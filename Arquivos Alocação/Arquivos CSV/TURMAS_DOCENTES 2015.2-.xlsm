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EstaPasta_de_trabalho" defaultThemeVersion="124226"/>
  <bookViews>
    <workbookView xWindow="-195" yWindow="5805" windowWidth="21645" windowHeight="5640" firstSheet="1" activeTab="1"/>
  </bookViews>
  <sheets>
    <sheet name="pendências" sheetId="16" state="hidden" r:id="rId1"/>
    <sheet name="TURMAS 2015.2" sheetId="14" r:id="rId2"/>
    <sheet name="docentes" sheetId="15" r:id="rId3"/>
    <sheet name="COORDENADORES" sheetId="10" r:id="rId4"/>
    <sheet name="RESUMO" sheetId="9" r:id="rId5"/>
    <sheet name="CRÉDITOS POR CENTRO" sheetId="13" state="hidden" r:id="rId6"/>
  </sheets>
  <externalReferences>
    <externalReference r:id="rId7"/>
    <externalReference r:id="rId8"/>
  </externalReferences>
  <definedNames>
    <definedName name="_xlnm._FilterDatabase" localSheetId="5" hidden="1">'CRÉDITOS POR CENTRO'!$A$5:$J$264</definedName>
    <definedName name="_xlnm._FilterDatabase" localSheetId="3" hidden="1">COORDENADORES!$A$1:$I$290</definedName>
    <definedName name="_xlnm._FilterDatabase" localSheetId="2" hidden="1">docentes!$A$1:$S$606</definedName>
    <definedName name="_xlnm._FilterDatabase" localSheetId="4" hidden="1">RESUMO!$N$4:$N$8</definedName>
    <definedName name="_xlnm._FilterDatabase" localSheetId="1" hidden="1">'TURMAS 2015.2'!$A$2:$AK$890</definedName>
    <definedName name="_xlnm._FilterDatabase">'[1]turmas 2014.2'!#REF!</definedName>
    <definedName name="_xlnm.Print_Area" localSheetId="2">docentes!$B$1:$N$612</definedName>
    <definedName name="_xlnm.Print_Titles" localSheetId="2">docentes!$1:$1</definedName>
    <definedName name="Tabela1" localSheetId="5">#REF!</definedName>
    <definedName name="Tabela1">#REF!</definedName>
    <definedName name="Tabela1_4" localSheetId="5">#REF!</definedName>
    <definedName name="Tabela1_4">#REF!</definedName>
  </definedNames>
  <calcPr calcId="162912"/>
</workbook>
</file>

<file path=xl/calcChain.xml><?xml version="1.0" encoding="utf-8"?>
<calcChain xmlns="http://schemas.openxmlformats.org/spreadsheetml/2006/main">
  <c r="Y92" i="14" l="1"/>
  <c r="Z312" i="14"/>
  <c r="Y312" i="14"/>
  <c r="V849" i="14"/>
  <c r="E4" i="9"/>
  <c r="G4" i="9"/>
  <c r="H4" i="9"/>
  <c r="E5" i="9"/>
  <c r="G5" i="9"/>
  <c r="H5" i="9"/>
  <c r="E6" i="9"/>
  <c r="G6" i="9"/>
  <c r="H6" i="9"/>
  <c r="E7" i="9"/>
  <c r="G7" i="9"/>
  <c r="H7" i="9"/>
  <c r="E8" i="9"/>
  <c r="G8" i="9"/>
  <c r="H8" i="9"/>
  <c r="H9" i="9"/>
  <c r="F8" i="9"/>
  <c r="F9" i="9"/>
  <c r="G9" i="9"/>
  <c r="E19" i="9"/>
  <c r="E20" i="9"/>
  <c r="E21" i="9"/>
  <c r="E23" i="9"/>
  <c r="E22" i="9"/>
  <c r="E24" i="9"/>
  <c r="C611" i="15"/>
  <c r="W152" i="14"/>
  <c r="W161" i="14"/>
  <c r="W196" i="14"/>
  <c r="W245" i="14"/>
  <c r="W351" i="14"/>
  <c r="W352" i="14"/>
  <c r="W353" i="14"/>
  <c r="W503" i="14"/>
  <c r="W504" i="14"/>
  <c r="W507" i="14"/>
  <c r="W530" i="14"/>
  <c r="W689" i="14"/>
  <c r="W691" i="14"/>
  <c r="W848" i="14"/>
  <c r="W850" i="14"/>
  <c r="W852" i="14"/>
  <c r="I95" i="10"/>
  <c r="J95" i="10"/>
  <c r="I96" i="10"/>
  <c r="J96" i="10"/>
  <c r="E9" i="9"/>
  <c r="Z887" i="14"/>
  <c r="Y887" i="14"/>
  <c r="Z886" i="14"/>
  <c r="Y886" i="14"/>
  <c r="Z885" i="14"/>
  <c r="Y885" i="14"/>
  <c r="Z884" i="14"/>
  <c r="Y884" i="14"/>
  <c r="Z883" i="14"/>
  <c r="Y883" i="14"/>
  <c r="Z882" i="14"/>
  <c r="Y882" i="14"/>
  <c r="Z881" i="14"/>
  <c r="Y881" i="14"/>
  <c r="Z880" i="14"/>
  <c r="Y880" i="14"/>
  <c r="Z879" i="14"/>
  <c r="Y879" i="14"/>
  <c r="Z878" i="14"/>
  <c r="Y878" i="14"/>
  <c r="Z877" i="14"/>
  <c r="Y877" i="14"/>
  <c r="Z876" i="14"/>
  <c r="Y876" i="14"/>
  <c r="Z875" i="14"/>
  <c r="Y875" i="14"/>
  <c r="Z874" i="14"/>
  <c r="Y874" i="14"/>
  <c r="Z873" i="14"/>
  <c r="Y873" i="14"/>
  <c r="Z872" i="14"/>
  <c r="Y872" i="14"/>
  <c r="Z871" i="14"/>
  <c r="Y871" i="14"/>
  <c r="Z866" i="14"/>
  <c r="Y866" i="14"/>
  <c r="Z865" i="14"/>
  <c r="Y865" i="14"/>
  <c r="Z864" i="14"/>
  <c r="Y864" i="14"/>
  <c r="Z860" i="14"/>
  <c r="Y860" i="14"/>
  <c r="Z857" i="14"/>
  <c r="Y857" i="14"/>
  <c r="Z856" i="14"/>
  <c r="Y856" i="14"/>
  <c r="Z855" i="14"/>
  <c r="Y855" i="14"/>
  <c r="Z854" i="14"/>
  <c r="Y854" i="14"/>
  <c r="Z847" i="14"/>
  <c r="Y847" i="14"/>
  <c r="Z845" i="14"/>
  <c r="Y845" i="14"/>
  <c r="Z844" i="14"/>
  <c r="Y844" i="14"/>
  <c r="Z843" i="14"/>
  <c r="Y843" i="14"/>
  <c r="Z842" i="14"/>
  <c r="Y842" i="14"/>
  <c r="Z836" i="14"/>
  <c r="Y836" i="14"/>
  <c r="Z835" i="14"/>
  <c r="Y835" i="14"/>
  <c r="Z828" i="14"/>
  <c r="Y828" i="14"/>
  <c r="Z827" i="14"/>
  <c r="Y827" i="14"/>
  <c r="Z824" i="14"/>
  <c r="Y824" i="14"/>
  <c r="Z823" i="14"/>
  <c r="Y823" i="14"/>
  <c r="Z822" i="14"/>
  <c r="Y822" i="14"/>
  <c r="Z821" i="14"/>
  <c r="Y821" i="14"/>
  <c r="Z820" i="14"/>
  <c r="Y820" i="14"/>
  <c r="Z817" i="14"/>
  <c r="Y817" i="14"/>
  <c r="Z814" i="14"/>
  <c r="Y814" i="14"/>
  <c r="Z813" i="14"/>
  <c r="Y813" i="14"/>
  <c r="Z812" i="14"/>
  <c r="Y812" i="14"/>
  <c r="Z811" i="14"/>
  <c r="Y811" i="14"/>
  <c r="Z810" i="14"/>
  <c r="Y810" i="14"/>
  <c r="Z809" i="14"/>
  <c r="Y809" i="14"/>
  <c r="Z808" i="14"/>
  <c r="Y808" i="14"/>
  <c r="Z807" i="14"/>
  <c r="Y807" i="14"/>
  <c r="Z806" i="14"/>
  <c r="Y806" i="14"/>
  <c r="Z805" i="14"/>
  <c r="Y805" i="14"/>
  <c r="Z804" i="14"/>
  <c r="Y804" i="14"/>
  <c r="Z803" i="14"/>
  <c r="Y803" i="14"/>
  <c r="Z802" i="14"/>
  <c r="Y802" i="14"/>
  <c r="Z801" i="14"/>
  <c r="Y801" i="14"/>
  <c r="Z800" i="14"/>
  <c r="Y800" i="14"/>
  <c r="Z799" i="14"/>
  <c r="Y799" i="14"/>
  <c r="Z798" i="14"/>
  <c r="Y798" i="14"/>
  <c r="Z797" i="14"/>
  <c r="Y797" i="14"/>
  <c r="Z794" i="14"/>
  <c r="Y794" i="14"/>
  <c r="Z793" i="14"/>
  <c r="Y793" i="14"/>
  <c r="Z792" i="14"/>
  <c r="Y792" i="14"/>
  <c r="Z791" i="14"/>
  <c r="Y791" i="14"/>
  <c r="Z790" i="14"/>
  <c r="Y790" i="14"/>
  <c r="Z789" i="14"/>
  <c r="Y789" i="14"/>
  <c r="Z786" i="14"/>
  <c r="Y786" i="14"/>
  <c r="Z785" i="14"/>
  <c r="Y785" i="14"/>
  <c r="Z784" i="14"/>
  <c r="Y784" i="14"/>
  <c r="Z783" i="14"/>
  <c r="Y783" i="14"/>
  <c r="Z782" i="14"/>
  <c r="Y782" i="14"/>
  <c r="Z781" i="14"/>
  <c r="Y781" i="14"/>
  <c r="Z780" i="14"/>
  <c r="Y780" i="14"/>
  <c r="Z777" i="14"/>
  <c r="Y777" i="14"/>
  <c r="Z776" i="14"/>
  <c r="Y776" i="14"/>
  <c r="Z775" i="14"/>
  <c r="Y775" i="14"/>
  <c r="Z774" i="14"/>
  <c r="Y774" i="14"/>
  <c r="Z773" i="14"/>
  <c r="Y773" i="14"/>
  <c r="Z772" i="14"/>
  <c r="Y772" i="14"/>
  <c r="Z770" i="14"/>
  <c r="Y770" i="14"/>
  <c r="Z769" i="14"/>
  <c r="Y769" i="14"/>
  <c r="Z768" i="14"/>
  <c r="Y768" i="14"/>
  <c r="Z767" i="14"/>
  <c r="Y767" i="14"/>
  <c r="Z766" i="14"/>
  <c r="Y766" i="14"/>
  <c r="Z765" i="14"/>
  <c r="Y765" i="14"/>
  <c r="Z764" i="14"/>
  <c r="Y764" i="14"/>
  <c r="Z763" i="14"/>
  <c r="Y763" i="14"/>
  <c r="Z762" i="14"/>
  <c r="Y762" i="14"/>
  <c r="Z761" i="14"/>
  <c r="Y761" i="14"/>
  <c r="Z760" i="14"/>
  <c r="Y760" i="14"/>
  <c r="Z759" i="14"/>
  <c r="Y759" i="14"/>
  <c r="Z758" i="14"/>
  <c r="Y758" i="14"/>
  <c r="Z757" i="14"/>
  <c r="Y757" i="14"/>
  <c r="Z756" i="14"/>
  <c r="Y756" i="14"/>
  <c r="Z755" i="14"/>
  <c r="Y755" i="14"/>
  <c r="Z754" i="14"/>
  <c r="Y754" i="14"/>
  <c r="Z753" i="14"/>
  <c r="Y753" i="14"/>
  <c r="Z752" i="14"/>
  <c r="Y752" i="14"/>
  <c r="Z751" i="14"/>
  <c r="Y751" i="14"/>
  <c r="Z750" i="14"/>
  <c r="Y750" i="14"/>
  <c r="Z749" i="14"/>
  <c r="Y749" i="14"/>
  <c r="Z748" i="14"/>
  <c r="Y748" i="14"/>
  <c r="Z747" i="14"/>
  <c r="Y747" i="14"/>
  <c r="Z746" i="14"/>
  <c r="Y746" i="14"/>
  <c r="Z745" i="14"/>
  <c r="Y745" i="14"/>
  <c r="Z744" i="14"/>
  <c r="Y744" i="14"/>
  <c r="Z741" i="14"/>
  <c r="Y741" i="14"/>
  <c r="Z740" i="14"/>
  <c r="Y740" i="14"/>
  <c r="Z739" i="14"/>
  <c r="Y739" i="14"/>
  <c r="Z738" i="14"/>
  <c r="Y738" i="14"/>
  <c r="Z737" i="14"/>
  <c r="Y737" i="14"/>
  <c r="Z736" i="14"/>
  <c r="Y736" i="14"/>
  <c r="Z735" i="14"/>
  <c r="Y735" i="14"/>
  <c r="Z734" i="14"/>
  <c r="Y734" i="14"/>
  <c r="Z733" i="14"/>
  <c r="Y733" i="14"/>
  <c r="Z732" i="14"/>
  <c r="Y732" i="14"/>
  <c r="Z731" i="14"/>
  <c r="Y731" i="14"/>
  <c r="Z730" i="14"/>
  <c r="Y730" i="14"/>
  <c r="Z729" i="14"/>
  <c r="Y729" i="14"/>
  <c r="Z728" i="14"/>
  <c r="Y728" i="14"/>
  <c r="Z727" i="14"/>
  <c r="Y727" i="14"/>
  <c r="Z726" i="14"/>
  <c r="Y726" i="14"/>
  <c r="Z725" i="14"/>
  <c r="Y725" i="14"/>
  <c r="Z724" i="14"/>
  <c r="Y724" i="14"/>
  <c r="Z723" i="14"/>
  <c r="Y723" i="14"/>
  <c r="Z722" i="14"/>
  <c r="Y722" i="14"/>
  <c r="Z720" i="14"/>
  <c r="Y720" i="14"/>
  <c r="Z719" i="14"/>
  <c r="Y719" i="14"/>
  <c r="Z718" i="14"/>
  <c r="Y718" i="14"/>
  <c r="Z715" i="14"/>
  <c r="Y715" i="14"/>
  <c r="Z714" i="14"/>
  <c r="Y714" i="14"/>
  <c r="Z709" i="14"/>
  <c r="Y709" i="14"/>
  <c r="Z708" i="14"/>
  <c r="Y708" i="14"/>
  <c r="Z705" i="14"/>
  <c r="Y705" i="14"/>
  <c r="Z704" i="14"/>
  <c r="Y704" i="14"/>
  <c r="Z701" i="14"/>
  <c r="Y701" i="14"/>
  <c r="Z700" i="14"/>
  <c r="Y700" i="14"/>
  <c r="Z699" i="14"/>
  <c r="Y699" i="14"/>
  <c r="Z698" i="14"/>
  <c r="Y698" i="14"/>
  <c r="Z697" i="14"/>
  <c r="Y697" i="14"/>
  <c r="Z696" i="14"/>
  <c r="Y696" i="14"/>
  <c r="Z695" i="14"/>
  <c r="Y695" i="14"/>
  <c r="Z687" i="14"/>
  <c r="Y687" i="14"/>
  <c r="Z686" i="14"/>
  <c r="Y686" i="14"/>
  <c r="Z685" i="14"/>
  <c r="Y685" i="14"/>
  <c r="Z684" i="14"/>
  <c r="Y684" i="14"/>
  <c r="Z665" i="14"/>
  <c r="Y665" i="14"/>
  <c r="Z664" i="14"/>
  <c r="Y664" i="14"/>
  <c r="Z661" i="14"/>
  <c r="Y661" i="14"/>
  <c r="Z660" i="14"/>
  <c r="Y660" i="14"/>
  <c r="Z659" i="14"/>
  <c r="Y659" i="14"/>
  <c r="Z658" i="14"/>
  <c r="Y658" i="14"/>
  <c r="Z657" i="14"/>
  <c r="Y657" i="14"/>
  <c r="Z649" i="14"/>
  <c r="Y649" i="14"/>
  <c r="Z648" i="14"/>
  <c r="Y648" i="14"/>
  <c r="Z647" i="14"/>
  <c r="Y647" i="14"/>
  <c r="Z642" i="14"/>
  <c r="Y642" i="14"/>
  <c r="Z641" i="14"/>
  <c r="Y641" i="14"/>
  <c r="Z640" i="14"/>
  <c r="Y640" i="14"/>
  <c r="Z639" i="14"/>
  <c r="Y639" i="14"/>
  <c r="Z638" i="14"/>
  <c r="Y638" i="14"/>
  <c r="Z637" i="14"/>
  <c r="Y637" i="14"/>
  <c r="Z636" i="14"/>
  <c r="Y636" i="14"/>
  <c r="Z635" i="14"/>
  <c r="Y635" i="14"/>
  <c r="Z634" i="14"/>
  <c r="Y634" i="14"/>
  <c r="Z633" i="14"/>
  <c r="Y633" i="14"/>
  <c r="Z632" i="14"/>
  <c r="Y632" i="14"/>
  <c r="Z630" i="14"/>
  <c r="Y630" i="14"/>
  <c r="Z627" i="14"/>
  <c r="Y627" i="14"/>
  <c r="Z626" i="14"/>
  <c r="Y626" i="14"/>
  <c r="Z625" i="14"/>
  <c r="Y625" i="14"/>
  <c r="Z624" i="14"/>
  <c r="Y624" i="14"/>
  <c r="Z623" i="14"/>
  <c r="Y623" i="14"/>
  <c r="Z622" i="14"/>
  <c r="Y622" i="14"/>
  <c r="Z621" i="14"/>
  <c r="Y621" i="14"/>
  <c r="Z620" i="14"/>
  <c r="Y620" i="14"/>
  <c r="Z615" i="14"/>
  <c r="Y615" i="14"/>
  <c r="Z614" i="14"/>
  <c r="Y614" i="14"/>
  <c r="Z613" i="14"/>
  <c r="Y613" i="14"/>
  <c r="Z612" i="14"/>
  <c r="Y612" i="14"/>
  <c r="Z611" i="14"/>
  <c r="Y611" i="14"/>
  <c r="Z610" i="14"/>
  <c r="Y610" i="14"/>
  <c r="Z609" i="14"/>
  <c r="Y609" i="14"/>
  <c r="Z608" i="14"/>
  <c r="Y608" i="14"/>
  <c r="Z607" i="14"/>
  <c r="Y607" i="14"/>
  <c r="Z606" i="14"/>
  <c r="Y606" i="14"/>
  <c r="Z605" i="14"/>
  <c r="Y605" i="14"/>
  <c r="Z604" i="14"/>
  <c r="Y604" i="14"/>
  <c r="Z603" i="14"/>
  <c r="Y603" i="14"/>
  <c r="Z602" i="14"/>
  <c r="Y602" i="14"/>
  <c r="Z600" i="14"/>
  <c r="Y600" i="14"/>
  <c r="Z599" i="14"/>
  <c r="Y599" i="14"/>
  <c r="Z598" i="14"/>
  <c r="Y598" i="14"/>
  <c r="Z597" i="14"/>
  <c r="Y597" i="14"/>
  <c r="Z596" i="14"/>
  <c r="Y596" i="14"/>
  <c r="Z595" i="14"/>
  <c r="Y595" i="14"/>
  <c r="Z594" i="14"/>
  <c r="Y594" i="14"/>
  <c r="Z593" i="14"/>
  <c r="Y593" i="14"/>
  <c r="Z592" i="14"/>
  <c r="Y592" i="14"/>
  <c r="Z591" i="14"/>
  <c r="Y591" i="14"/>
  <c r="Z590" i="14"/>
  <c r="Y590" i="14"/>
  <c r="Z589" i="14"/>
  <c r="Y589" i="14"/>
  <c r="Z586" i="14"/>
  <c r="Y586" i="14"/>
  <c r="Z585" i="14"/>
  <c r="Y585" i="14"/>
  <c r="Z584" i="14"/>
  <c r="Y584" i="14"/>
  <c r="Z583" i="14"/>
  <c r="Y583" i="14"/>
  <c r="Z582" i="14"/>
  <c r="Y582" i="14"/>
  <c r="Z563" i="14"/>
  <c r="Y563" i="14"/>
  <c r="Z562" i="14"/>
  <c r="Y562" i="14"/>
  <c r="Z559" i="14"/>
  <c r="Y559" i="14"/>
  <c r="Z558" i="14"/>
  <c r="Y558" i="14"/>
  <c r="Z541" i="14"/>
  <c r="Y541" i="14"/>
  <c r="Z540" i="14"/>
  <c r="Y540" i="14"/>
  <c r="Z538" i="14"/>
  <c r="Y538" i="14"/>
  <c r="Z537" i="14"/>
  <c r="Y537" i="14"/>
  <c r="Z535" i="14"/>
  <c r="Y535" i="14"/>
  <c r="Z534" i="14"/>
  <c r="Y534" i="14"/>
  <c r="Z533" i="14"/>
  <c r="Y533" i="14"/>
  <c r="Z522" i="14"/>
  <c r="Y522" i="14"/>
  <c r="Z521" i="14"/>
  <c r="Y521" i="14"/>
  <c r="Z520" i="14"/>
  <c r="Y520" i="14"/>
  <c r="Z519" i="14"/>
  <c r="Y519" i="14"/>
  <c r="Z518" i="14"/>
  <c r="Y518" i="14"/>
  <c r="Z517" i="14"/>
  <c r="Y517" i="14"/>
  <c r="Z516" i="14"/>
  <c r="Y516" i="14"/>
  <c r="Z515" i="14"/>
  <c r="Y515" i="14"/>
  <c r="Z514" i="14"/>
  <c r="Y514" i="14"/>
  <c r="Z513" i="14"/>
  <c r="Y513" i="14"/>
  <c r="Z512" i="14"/>
  <c r="Y512" i="14"/>
  <c r="Z511" i="14"/>
  <c r="Y511" i="14"/>
  <c r="Z510" i="14"/>
  <c r="Y510" i="14"/>
  <c r="Z509" i="14"/>
  <c r="Y509" i="14"/>
  <c r="Z489" i="14"/>
  <c r="Y489" i="14"/>
  <c r="Z488" i="14"/>
  <c r="Y488" i="14"/>
  <c r="Z487" i="14"/>
  <c r="Y487" i="14"/>
  <c r="Z486" i="14"/>
  <c r="Y486" i="14"/>
  <c r="Z479" i="14"/>
  <c r="Y479" i="14"/>
  <c r="Z478" i="14"/>
  <c r="Y478" i="14"/>
  <c r="Z473" i="14"/>
  <c r="Y473" i="14"/>
  <c r="Z472" i="14"/>
  <c r="Y472" i="14"/>
  <c r="Z471" i="14"/>
  <c r="Y471" i="14"/>
  <c r="Z470" i="14"/>
  <c r="Y470" i="14"/>
  <c r="Z469" i="14"/>
  <c r="Y469" i="14"/>
  <c r="Z468" i="14"/>
  <c r="Y468" i="14"/>
  <c r="Z467" i="14"/>
  <c r="Y467" i="14"/>
  <c r="Z466" i="14"/>
  <c r="Y466" i="14"/>
  <c r="Z465" i="14"/>
  <c r="Y465" i="14"/>
  <c r="Z464" i="14"/>
  <c r="Y464" i="14"/>
  <c r="Z463" i="14"/>
  <c r="Y463" i="14"/>
  <c r="Z437" i="14"/>
  <c r="Y437" i="14"/>
  <c r="Z436" i="14"/>
  <c r="Y436" i="14"/>
  <c r="Z435" i="14"/>
  <c r="Y435" i="14"/>
  <c r="Z432" i="14"/>
  <c r="Y432" i="14"/>
  <c r="Z431" i="14"/>
  <c r="Y431" i="14"/>
  <c r="Z430" i="14"/>
  <c r="Y430" i="14"/>
  <c r="Z429" i="14"/>
  <c r="Y429" i="14"/>
  <c r="Z414" i="14"/>
  <c r="Y414" i="14"/>
  <c r="Z413" i="14"/>
  <c r="Y413" i="14"/>
  <c r="Z412" i="14"/>
  <c r="Y412" i="14"/>
  <c r="Z411" i="14"/>
  <c r="Y411" i="14"/>
  <c r="Z410" i="14"/>
  <c r="Y410" i="14"/>
  <c r="Z409" i="14"/>
  <c r="Y409" i="14"/>
  <c r="Z408" i="14"/>
  <c r="Y408" i="14"/>
  <c r="Z407" i="14"/>
  <c r="Y407" i="14"/>
  <c r="Z406" i="14"/>
  <c r="Y406" i="14"/>
  <c r="Z405" i="14"/>
  <c r="Y405" i="14"/>
  <c r="Z404" i="14"/>
  <c r="Y404" i="14"/>
  <c r="Z403" i="14"/>
  <c r="Y403" i="14"/>
  <c r="Z402" i="14"/>
  <c r="Y402" i="14"/>
  <c r="Z401" i="14"/>
  <c r="Y401" i="14"/>
  <c r="Z400" i="14"/>
  <c r="Y400" i="14"/>
  <c r="Z399" i="14"/>
  <c r="Y399" i="14"/>
  <c r="Z398" i="14"/>
  <c r="Y398" i="14"/>
  <c r="Z397" i="14"/>
  <c r="Y397" i="14"/>
  <c r="Z396" i="14"/>
  <c r="Y396" i="14"/>
  <c r="Z395" i="14"/>
  <c r="Y395" i="14"/>
  <c r="Z394" i="14"/>
  <c r="Y394" i="14"/>
  <c r="Z393" i="14"/>
  <c r="Y393" i="14"/>
  <c r="Z392" i="14"/>
  <c r="Y392" i="14"/>
  <c r="Z391" i="14"/>
  <c r="Y391" i="14"/>
  <c r="Z390" i="14"/>
  <c r="Y390" i="14"/>
  <c r="Z389" i="14"/>
  <c r="Y389" i="14"/>
  <c r="Z388" i="14"/>
  <c r="Y388" i="14"/>
  <c r="Z387" i="14"/>
  <c r="Y387" i="14"/>
  <c r="Z386" i="14"/>
  <c r="Y386" i="14"/>
  <c r="Z385" i="14"/>
  <c r="Y385" i="14"/>
  <c r="Z384" i="14"/>
  <c r="Y384" i="14"/>
  <c r="Z383" i="14"/>
  <c r="Y383" i="14"/>
  <c r="Z382" i="14"/>
  <c r="Y382" i="14"/>
  <c r="Z381" i="14"/>
  <c r="Y381" i="14"/>
  <c r="Z380" i="14"/>
  <c r="Y380" i="14"/>
  <c r="Z379" i="14"/>
  <c r="Y379" i="14"/>
  <c r="Z378" i="14"/>
  <c r="Y378" i="14"/>
  <c r="Z377" i="14"/>
  <c r="Y377" i="14"/>
  <c r="Z376" i="14"/>
  <c r="Y376" i="14"/>
  <c r="Z375" i="14"/>
  <c r="Y375" i="14"/>
  <c r="Z374" i="14"/>
  <c r="Y374" i="14"/>
  <c r="Z373" i="14"/>
  <c r="Y373" i="14"/>
  <c r="Z372" i="14"/>
  <c r="Y372" i="14"/>
  <c r="Z371" i="14"/>
  <c r="Y371" i="14"/>
  <c r="Z370" i="14"/>
  <c r="Y370" i="14"/>
  <c r="Z369" i="14"/>
  <c r="Y369" i="14"/>
  <c r="Z368" i="14"/>
  <c r="Y368" i="14"/>
  <c r="Z367" i="14"/>
  <c r="Y367" i="14"/>
  <c r="Z366" i="14"/>
  <c r="Y366" i="14"/>
  <c r="Z365" i="14"/>
  <c r="Y365" i="14"/>
  <c r="Z364" i="14"/>
  <c r="Y364" i="14"/>
  <c r="Z363" i="14"/>
  <c r="Y363" i="14"/>
  <c r="Z323" i="14"/>
  <c r="Y323" i="14"/>
  <c r="Z322" i="14"/>
  <c r="Y322" i="14"/>
  <c r="Z320" i="14"/>
  <c r="Y320" i="14"/>
  <c r="Z319" i="14"/>
  <c r="Y319" i="14"/>
  <c r="Z318" i="14"/>
  <c r="Y318" i="14"/>
  <c r="Z317" i="14"/>
  <c r="Y317" i="14"/>
  <c r="Z316" i="14"/>
  <c r="Y316" i="14"/>
  <c r="Z315" i="14"/>
  <c r="Y315" i="14"/>
  <c r="Z314" i="14"/>
  <c r="Y314" i="14"/>
  <c r="Z313" i="14"/>
  <c r="Y313" i="14"/>
  <c r="Z311" i="14"/>
  <c r="Y311" i="14"/>
  <c r="Z310" i="14"/>
  <c r="Y310" i="14"/>
  <c r="Z309" i="14"/>
  <c r="Y309" i="14"/>
  <c r="Z308" i="14"/>
  <c r="Y308" i="14"/>
  <c r="Z307" i="14"/>
  <c r="Y307" i="14"/>
  <c r="Z305" i="14"/>
  <c r="Y305" i="14"/>
  <c r="Z304" i="14"/>
  <c r="Y304" i="14"/>
  <c r="Z303" i="14"/>
  <c r="Y303" i="14"/>
  <c r="Z302" i="14"/>
  <c r="Y302" i="14"/>
  <c r="Z301" i="14"/>
  <c r="Y301" i="14"/>
  <c r="Z300" i="14"/>
  <c r="Y300" i="14"/>
  <c r="Z292" i="14"/>
  <c r="Y292" i="14"/>
  <c r="Z291" i="14"/>
  <c r="Y291" i="14"/>
  <c r="Z290" i="14"/>
  <c r="Y290" i="14"/>
  <c r="Z289" i="14"/>
  <c r="Y289" i="14"/>
  <c r="Z288" i="14"/>
  <c r="Y288" i="14"/>
  <c r="Z287" i="14"/>
  <c r="Y287" i="14"/>
  <c r="Z286" i="14"/>
  <c r="Y286" i="14"/>
  <c r="Z285" i="14"/>
  <c r="Y285" i="14"/>
  <c r="Z284" i="14"/>
  <c r="Y284" i="14"/>
  <c r="Z283" i="14"/>
  <c r="Y283" i="14"/>
  <c r="Z282" i="14"/>
  <c r="Y282" i="14"/>
  <c r="Z281" i="14"/>
  <c r="Y281" i="14"/>
  <c r="Z280" i="14"/>
  <c r="Y280" i="14"/>
  <c r="Z279" i="14"/>
  <c r="Y279" i="14"/>
  <c r="Z278" i="14"/>
  <c r="Y278" i="14"/>
  <c r="Z275" i="14"/>
  <c r="Y275" i="14"/>
  <c r="Z267" i="14"/>
  <c r="Y267" i="14"/>
  <c r="Z264" i="14"/>
  <c r="Y264" i="14"/>
  <c r="Z263" i="14"/>
  <c r="Y263" i="14"/>
  <c r="Z253" i="14"/>
  <c r="Y253" i="14"/>
  <c r="Z249" i="14"/>
  <c r="Y249" i="14"/>
  <c r="Z242" i="14"/>
  <c r="Y242" i="14"/>
  <c r="Z241" i="14"/>
  <c r="Y241" i="14"/>
  <c r="Z240" i="14"/>
  <c r="Y240" i="14"/>
  <c r="Z237" i="14"/>
  <c r="Y237" i="14"/>
  <c r="Z236" i="14"/>
  <c r="Y236" i="14"/>
  <c r="Z235" i="14"/>
  <c r="Y235" i="14"/>
  <c r="Z234" i="14"/>
  <c r="Y234" i="14"/>
  <c r="Z228" i="14"/>
  <c r="Y228" i="14"/>
  <c r="Z227" i="14"/>
  <c r="Y227" i="14"/>
  <c r="Z214" i="14"/>
  <c r="Y214" i="14"/>
  <c r="Z213" i="14"/>
  <c r="Y213" i="14"/>
  <c r="Z212" i="14"/>
  <c r="Y212" i="14"/>
  <c r="Z211" i="14"/>
  <c r="Y211" i="14"/>
  <c r="Z210" i="14"/>
  <c r="Y210" i="14"/>
  <c r="Z209" i="14"/>
  <c r="Y209" i="14"/>
  <c r="Z208" i="14"/>
  <c r="Y208" i="14"/>
  <c r="Z207" i="14"/>
  <c r="Y207" i="14"/>
  <c r="Z206" i="14"/>
  <c r="Y206" i="14"/>
  <c r="Z205" i="14"/>
  <c r="Y205" i="14"/>
  <c r="Z204" i="14"/>
  <c r="Y204" i="14"/>
  <c r="Z203" i="14"/>
  <c r="Y203" i="14"/>
  <c r="Z202" i="14"/>
  <c r="Y202" i="14"/>
  <c r="Z201" i="14"/>
  <c r="Y201" i="14"/>
  <c r="Z200" i="14"/>
  <c r="Y200" i="14"/>
  <c r="Z199" i="14"/>
  <c r="Y199" i="14"/>
  <c r="Z184" i="14"/>
  <c r="Y184" i="14"/>
  <c r="Z183" i="14"/>
  <c r="Y183" i="14"/>
  <c r="Z182" i="14"/>
  <c r="Y182" i="14"/>
  <c r="Z181" i="14"/>
  <c r="Y181" i="14"/>
  <c r="Z180" i="14"/>
  <c r="Y180" i="14"/>
  <c r="Z179" i="14"/>
  <c r="Y179" i="14"/>
  <c r="Z174" i="14"/>
  <c r="Y174" i="14"/>
  <c r="Z173" i="14"/>
  <c r="Y173" i="14"/>
  <c r="Z170" i="14"/>
  <c r="Y170" i="14"/>
  <c r="Z169" i="14"/>
  <c r="Y169" i="14"/>
  <c r="Z139" i="14"/>
  <c r="Y139" i="14"/>
  <c r="Z138" i="14"/>
  <c r="Y138" i="14"/>
  <c r="Z137" i="14"/>
  <c r="Y137" i="14"/>
  <c r="Z136" i="14"/>
  <c r="Y136" i="14"/>
  <c r="Z135" i="14"/>
  <c r="Y135" i="14"/>
  <c r="Z134" i="14"/>
  <c r="Y134" i="14"/>
  <c r="Z133" i="14"/>
  <c r="Y133" i="14"/>
  <c r="Z132" i="14"/>
  <c r="Y132" i="14"/>
  <c r="Z131" i="14"/>
  <c r="Y131" i="14"/>
  <c r="Z130" i="14"/>
  <c r="Y130" i="14"/>
  <c r="Z129" i="14"/>
  <c r="Y129" i="14"/>
  <c r="Z128" i="14"/>
  <c r="Y128" i="14"/>
  <c r="Z127" i="14"/>
  <c r="Y127" i="14"/>
  <c r="Z126" i="14"/>
  <c r="Y126" i="14"/>
  <c r="Z125" i="14"/>
  <c r="Y125" i="14"/>
  <c r="Z124" i="14"/>
  <c r="Y124" i="14"/>
  <c r="Z123" i="14"/>
  <c r="Y123" i="14"/>
  <c r="Z122" i="14"/>
  <c r="Y122" i="14"/>
  <c r="Z121" i="14"/>
  <c r="Y121" i="14"/>
  <c r="Z120" i="14"/>
  <c r="Y120" i="14"/>
  <c r="Z119" i="14"/>
  <c r="Y119" i="14"/>
  <c r="Z118" i="14"/>
  <c r="Y118" i="14"/>
  <c r="Z117" i="14"/>
  <c r="Y117" i="14"/>
  <c r="Z116" i="14"/>
  <c r="Y116" i="14"/>
  <c r="Z115" i="14"/>
  <c r="Y115" i="14"/>
  <c r="Z114" i="14"/>
  <c r="Y114" i="14"/>
  <c r="Z113" i="14"/>
  <c r="Y113" i="14"/>
  <c r="Z112" i="14"/>
  <c r="Y112" i="14"/>
  <c r="Z111" i="14"/>
  <c r="Y111" i="14"/>
  <c r="Z110" i="14"/>
  <c r="Y110" i="14"/>
  <c r="Z109" i="14"/>
  <c r="Y109" i="14"/>
  <c r="Z108" i="14"/>
  <c r="Y108" i="14"/>
  <c r="Z107" i="14"/>
  <c r="Y107" i="14"/>
  <c r="Z106" i="14"/>
  <c r="Y106" i="14"/>
  <c r="Z105" i="14"/>
  <c r="Y105" i="14"/>
  <c r="Z104" i="14"/>
  <c r="Y104" i="14"/>
  <c r="Z103" i="14"/>
  <c r="Y103" i="14"/>
  <c r="Z102" i="14"/>
  <c r="Y102" i="14"/>
  <c r="Z101" i="14"/>
  <c r="Y101" i="14"/>
  <c r="Z100" i="14"/>
  <c r="Y100" i="14"/>
  <c r="Z99" i="14"/>
  <c r="Y99" i="14"/>
  <c r="Z98" i="14"/>
  <c r="Y98" i="14"/>
  <c r="Z97" i="14"/>
  <c r="Y97" i="14"/>
  <c r="Z96" i="14"/>
  <c r="Y96" i="14"/>
  <c r="Z95" i="14"/>
  <c r="Y95" i="14"/>
  <c r="Z94" i="14"/>
  <c r="Y94" i="14"/>
  <c r="Z93" i="14"/>
  <c r="Y93" i="14"/>
  <c r="Z92" i="14"/>
  <c r="Z91" i="14"/>
  <c r="Y91" i="14"/>
  <c r="Z90" i="14"/>
  <c r="Y90" i="14"/>
  <c r="Z89" i="14"/>
  <c r="Y89" i="14"/>
  <c r="Z88" i="14"/>
  <c r="Y88" i="14"/>
  <c r="Z87" i="14"/>
  <c r="Y87" i="14"/>
  <c r="Z86" i="14"/>
  <c r="Y86" i="14"/>
  <c r="Z85" i="14"/>
  <c r="Y85" i="14"/>
  <c r="Z84" i="14"/>
  <c r="Y84" i="14"/>
  <c r="Z83" i="14"/>
  <c r="Y83" i="14"/>
  <c r="Z82" i="14"/>
  <c r="Y82" i="14"/>
  <c r="Z81" i="14"/>
  <c r="Y81" i="14"/>
  <c r="Z80" i="14"/>
  <c r="Y80" i="14"/>
  <c r="Z79" i="14"/>
  <c r="Y79" i="14"/>
  <c r="Z78" i="14"/>
  <c r="Y78" i="14"/>
  <c r="Z77" i="14"/>
  <c r="Y77" i="14"/>
  <c r="Z76" i="14"/>
  <c r="Y76" i="14"/>
  <c r="Z75" i="14"/>
  <c r="Y75" i="14"/>
  <c r="Z74" i="14"/>
  <c r="Y74" i="14"/>
  <c r="Z73" i="14"/>
  <c r="Y73" i="14"/>
  <c r="Z72" i="14"/>
  <c r="Y72" i="14"/>
  <c r="Z71" i="14"/>
  <c r="Y71" i="14"/>
  <c r="Z70" i="14"/>
  <c r="Y70" i="14"/>
  <c r="Z69" i="14"/>
  <c r="Y69" i="14"/>
  <c r="Z68" i="14"/>
  <c r="Y68" i="14"/>
  <c r="Z67" i="14"/>
  <c r="Y67" i="14"/>
  <c r="Z66" i="14"/>
  <c r="Y66" i="14"/>
  <c r="Z65" i="14"/>
  <c r="Y65" i="14"/>
  <c r="Z64" i="14"/>
  <c r="Y64" i="14"/>
  <c r="Z63" i="14"/>
  <c r="Y63" i="14"/>
  <c r="Z62" i="14"/>
  <c r="Y62" i="14"/>
  <c r="Z61" i="14"/>
  <c r="Y61" i="14"/>
  <c r="Z60" i="14"/>
  <c r="Y60" i="14"/>
  <c r="Z59" i="14"/>
  <c r="Y59" i="14"/>
  <c r="Z58" i="14"/>
  <c r="Y58" i="14"/>
  <c r="Z57" i="14"/>
  <c r="Y57" i="14"/>
  <c r="Z56" i="14"/>
  <c r="Y56" i="14"/>
  <c r="Z55" i="14"/>
  <c r="Y55" i="14"/>
  <c r="Z54" i="14"/>
  <c r="Y54" i="14"/>
  <c r="Z53" i="14"/>
  <c r="Y53" i="14"/>
  <c r="Z51" i="14"/>
  <c r="Y51" i="14"/>
  <c r="Z50" i="14"/>
  <c r="Y50" i="14"/>
  <c r="Z49" i="14"/>
  <c r="Y49" i="14"/>
  <c r="Z48" i="14"/>
  <c r="Y48" i="14"/>
  <c r="Z47" i="14"/>
  <c r="Y47" i="14"/>
  <c r="Z46" i="14"/>
  <c r="Y46" i="14"/>
  <c r="Z45" i="14"/>
  <c r="Y45" i="14"/>
  <c r="Z44" i="14"/>
  <c r="Y44" i="14"/>
  <c r="Z43" i="14"/>
  <c r="Y43" i="14"/>
  <c r="Z42" i="14"/>
  <c r="Y42" i="14"/>
  <c r="Z41" i="14"/>
  <c r="Y41" i="14"/>
  <c r="Z40" i="14"/>
  <c r="Y40" i="14"/>
  <c r="Z39" i="14"/>
  <c r="Y39" i="14"/>
  <c r="Z38" i="14"/>
  <c r="Y38" i="14"/>
  <c r="Z37" i="14"/>
  <c r="Y37" i="14"/>
  <c r="Z35" i="14"/>
  <c r="Y35" i="14"/>
  <c r="Z34" i="14"/>
  <c r="Y34" i="14"/>
  <c r="Z33" i="14"/>
  <c r="Y33" i="14"/>
  <c r="Z32" i="14"/>
  <c r="Y32" i="14"/>
  <c r="Z28" i="14"/>
  <c r="Y28" i="14"/>
  <c r="Z27" i="14"/>
  <c r="Y27" i="14"/>
  <c r="Z26" i="14"/>
  <c r="Y26" i="14"/>
  <c r="Z25" i="14"/>
  <c r="Y25" i="14"/>
  <c r="Z24" i="14"/>
  <c r="Y24" i="14"/>
  <c r="Z23" i="14"/>
  <c r="Y23" i="14"/>
  <c r="Z15" i="14"/>
  <c r="Y15" i="14"/>
  <c r="Z14" i="14"/>
  <c r="Y14" i="14"/>
  <c r="W888" i="14"/>
  <c r="V888" i="14"/>
  <c r="W887" i="14"/>
  <c r="V887" i="14"/>
  <c r="W886" i="14"/>
  <c r="V886" i="14"/>
  <c r="W885" i="14"/>
  <c r="V885" i="14"/>
  <c r="W884" i="14"/>
  <c r="V884" i="14"/>
  <c r="W883" i="14"/>
  <c r="V883" i="14"/>
  <c r="W882" i="14"/>
  <c r="V882" i="14"/>
  <c r="W881" i="14"/>
  <c r="V881" i="14"/>
  <c r="W880" i="14"/>
  <c r="V880" i="14"/>
  <c r="W879" i="14"/>
  <c r="V879" i="14"/>
  <c r="W878" i="14"/>
  <c r="V878" i="14"/>
  <c r="W877" i="14"/>
  <c r="V877" i="14"/>
  <c r="W876" i="14"/>
  <c r="V876" i="14"/>
  <c r="W875" i="14"/>
  <c r="V875" i="14"/>
  <c r="W874" i="14"/>
  <c r="V874" i="14"/>
  <c r="W873" i="14"/>
  <c r="V873" i="14"/>
  <c r="W872" i="14"/>
  <c r="V872" i="14"/>
  <c r="W871" i="14"/>
  <c r="V871" i="14"/>
  <c r="W870" i="14"/>
  <c r="V870" i="14"/>
  <c r="W869" i="14"/>
  <c r="V869" i="14"/>
  <c r="W868" i="14"/>
  <c r="V868" i="14"/>
  <c r="W867" i="14"/>
  <c r="V867" i="14"/>
  <c r="W863" i="14"/>
  <c r="V863" i="14"/>
  <c r="W862" i="14"/>
  <c r="V862" i="14"/>
  <c r="W861" i="14"/>
  <c r="V861" i="14"/>
  <c r="W860" i="14"/>
  <c r="V860" i="14"/>
  <c r="W859" i="14"/>
  <c r="V859" i="14"/>
  <c r="W858" i="14"/>
  <c r="V858" i="14"/>
  <c r="W857" i="14"/>
  <c r="V857" i="14"/>
  <c r="W856" i="14"/>
  <c r="V856" i="14"/>
  <c r="W855" i="14"/>
  <c r="V855" i="14"/>
  <c r="W854" i="14"/>
  <c r="V854" i="14"/>
  <c r="W853" i="14"/>
  <c r="V853" i="14"/>
  <c r="V852" i="14"/>
  <c r="W851" i="14"/>
  <c r="V851" i="14"/>
  <c r="V850" i="14"/>
  <c r="V848" i="14"/>
  <c r="W847" i="14"/>
  <c r="V847" i="14"/>
  <c r="W846" i="14"/>
  <c r="V846" i="14"/>
  <c r="W845" i="14"/>
  <c r="V845" i="14"/>
  <c r="W844" i="14"/>
  <c r="V844" i="14"/>
  <c r="W843" i="14"/>
  <c r="V843" i="14"/>
  <c r="W842" i="14"/>
  <c r="V842" i="14"/>
  <c r="W841" i="14"/>
  <c r="V841" i="14"/>
  <c r="W840" i="14"/>
  <c r="V840" i="14"/>
  <c r="W839" i="14"/>
  <c r="V839" i="14"/>
  <c r="W838" i="14"/>
  <c r="V838" i="14"/>
  <c r="W837" i="14"/>
  <c r="V837" i="14"/>
  <c r="W836" i="14"/>
  <c r="V836" i="14"/>
  <c r="W835" i="14"/>
  <c r="V835" i="14"/>
  <c r="W834" i="14"/>
  <c r="V834" i="14"/>
  <c r="W833" i="14"/>
  <c r="V833" i="14"/>
  <c r="W832" i="14"/>
  <c r="V832" i="14"/>
  <c r="W831" i="14"/>
  <c r="V831" i="14"/>
  <c r="W830" i="14"/>
  <c r="V830" i="14"/>
  <c r="W829" i="14"/>
  <c r="V829" i="14"/>
  <c r="W828" i="14"/>
  <c r="V828" i="14"/>
  <c r="W827" i="14"/>
  <c r="V827" i="14"/>
  <c r="W826" i="14"/>
  <c r="V826" i="14"/>
  <c r="W825" i="14"/>
  <c r="V825" i="14"/>
  <c r="W824" i="14"/>
  <c r="V824" i="14"/>
  <c r="W823" i="14"/>
  <c r="V823" i="14"/>
  <c r="W822" i="14"/>
  <c r="V822" i="14"/>
  <c r="W821" i="14"/>
  <c r="V821" i="14"/>
  <c r="W820" i="14"/>
  <c r="V820" i="14"/>
  <c r="W819" i="14"/>
  <c r="V819" i="14"/>
  <c r="W818" i="14"/>
  <c r="V818" i="14"/>
  <c r="W817" i="14"/>
  <c r="V817" i="14"/>
  <c r="W816" i="14"/>
  <c r="V816" i="14"/>
  <c r="W815" i="14"/>
  <c r="V815" i="14"/>
  <c r="W814" i="14"/>
  <c r="V814" i="14"/>
  <c r="W813" i="14"/>
  <c r="V813" i="14"/>
  <c r="W812" i="14"/>
  <c r="V812" i="14"/>
  <c r="W811" i="14"/>
  <c r="V811" i="14"/>
  <c r="W810" i="14"/>
  <c r="V810" i="14"/>
  <c r="W809" i="14"/>
  <c r="V809" i="14"/>
  <c r="W808" i="14"/>
  <c r="V808" i="14"/>
  <c r="W807" i="14"/>
  <c r="V807" i="14"/>
  <c r="W806" i="14"/>
  <c r="V806" i="14"/>
  <c r="W805" i="14"/>
  <c r="V805" i="14"/>
  <c r="W804" i="14"/>
  <c r="V804" i="14"/>
  <c r="W803" i="14"/>
  <c r="V803" i="14"/>
  <c r="W802" i="14"/>
  <c r="V802" i="14"/>
  <c r="W801" i="14"/>
  <c r="V801" i="14"/>
  <c r="W800" i="14"/>
  <c r="V800" i="14"/>
  <c r="W799" i="14"/>
  <c r="V799" i="14"/>
  <c r="W798" i="14"/>
  <c r="V798" i="14"/>
  <c r="W797" i="14"/>
  <c r="V797" i="14"/>
  <c r="W796" i="14"/>
  <c r="V796" i="14"/>
  <c r="W795" i="14"/>
  <c r="V795" i="14"/>
  <c r="W794" i="14"/>
  <c r="V794" i="14"/>
  <c r="W793" i="14"/>
  <c r="V793" i="14"/>
  <c r="W792" i="14"/>
  <c r="V792" i="14"/>
  <c r="W791" i="14"/>
  <c r="V791" i="14"/>
  <c r="W790" i="14"/>
  <c r="V790" i="14"/>
  <c r="W789" i="14"/>
  <c r="V789" i="14"/>
  <c r="W788" i="14"/>
  <c r="V788" i="14"/>
  <c r="W787" i="14"/>
  <c r="V787" i="14"/>
  <c r="W786" i="14"/>
  <c r="V786" i="14"/>
  <c r="W785" i="14"/>
  <c r="V785" i="14"/>
  <c r="W784" i="14"/>
  <c r="V784" i="14"/>
  <c r="W783" i="14"/>
  <c r="V783" i="14"/>
  <c r="W782" i="14"/>
  <c r="V782" i="14"/>
  <c r="W781" i="14"/>
  <c r="V781" i="14"/>
  <c r="W780" i="14"/>
  <c r="V780" i="14"/>
  <c r="W779" i="14"/>
  <c r="V779" i="14"/>
  <c r="W778" i="14"/>
  <c r="V778" i="14"/>
  <c r="W777" i="14"/>
  <c r="V777" i="14"/>
  <c r="W776" i="14"/>
  <c r="V776" i="14"/>
  <c r="W775" i="14"/>
  <c r="V775" i="14"/>
  <c r="W774" i="14"/>
  <c r="V774" i="14"/>
  <c r="W773" i="14"/>
  <c r="V773" i="14"/>
  <c r="W772" i="14"/>
  <c r="V772" i="14"/>
  <c r="W771" i="14"/>
  <c r="V771" i="14"/>
  <c r="W770" i="14"/>
  <c r="V770" i="14"/>
  <c r="W769" i="14"/>
  <c r="V769" i="14"/>
  <c r="W768" i="14"/>
  <c r="V768" i="14"/>
  <c r="W751" i="14"/>
  <c r="V751" i="14"/>
  <c r="W750" i="14"/>
  <c r="V750" i="14"/>
  <c r="W749" i="14"/>
  <c r="V749" i="14"/>
  <c r="W748" i="14"/>
  <c r="V748" i="14"/>
  <c r="W747" i="14"/>
  <c r="V747" i="14"/>
  <c r="W746" i="14"/>
  <c r="V746" i="14"/>
  <c r="W745" i="14"/>
  <c r="V745" i="14"/>
  <c r="W744" i="14"/>
  <c r="V744" i="14"/>
  <c r="W743" i="14"/>
  <c r="V743" i="14"/>
  <c r="W742" i="14"/>
  <c r="V742" i="14"/>
  <c r="W741" i="14"/>
  <c r="V741" i="14"/>
  <c r="W740" i="14"/>
  <c r="V740" i="14"/>
  <c r="W739" i="14"/>
  <c r="V739" i="14"/>
  <c r="W738" i="14"/>
  <c r="V738" i="14"/>
  <c r="W737" i="14"/>
  <c r="V737" i="14"/>
  <c r="W736" i="14"/>
  <c r="V736" i="14"/>
  <c r="W735" i="14"/>
  <c r="V735" i="14"/>
  <c r="W734" i="14"/>
  <c r="V734" i="14"/>
  <c r="W733" i="14"/>
  <c r="V733" i="14"/>
  <c r="W732" i="14"/>
  <c r="V732" i="14"/>
  <c r="W731" i="14"/>
  <c r="V731" i="14"/>
  <c r="W730" i="14"/>
  <c r="V730" i="14"/>
  <c r="W729" i="14"/>
  <c r="V729" i="14"/>
  <c r="W728" i="14"/>
  <c r="V728" i="14"/>
  <c r="W727" i="14"/>
  <c r="V727" i="14"/>
  <c r="W726" i="14"/>
  <c r="V726" i="14"/>
  <c r="W725" i="14"/>
  <c r="V725" i="14"/>
  <c r="W724" i="14"/>
  <c r="V724" i="14"/>
  <c r="W723" i="14"/>
  <c r="V723" i="14"/>
  <c r="W722" i="14"/>
  <c r="V722" i="14"/>
  <c r="W721" i="14"/>
  <c r="V721" i="14"/>
  <c r="W720" i="14"/>
  <c r="V720" i="14"/>
  <c r="W719" i="14"/>
  <c r="V719" i="14"/>
  <c r="W718" i="14"/>
  <c r="V718" i="14"/>
  <c r="W717" i="14"/>
  <c r="V717" i="14"/>
  <c r="W716" i="14"/>
  <c r="V716" i="14"/>
  <c r="W715" i="14"/>
  <c r="V715" i="14"/>
  <c r="W714" i="14"/>
  <c r="V714" i="14"/>
  <c r="W713" i="14"/>
  <c r="V713" i="14"/>
  <c r="W712" i="14"/>
  <c r="V712" i="14"/>
  <c r="W711" i="14"/>
  <c r="V711" i="14"/>
  <c r="W710" i="14"/>
  <c r="V710" i="14"/>
  <c r="W709" i="14"/>
  <c r="V709" i="14"/>
  <c r="W708" i="14"/>
  <c r="V708" i="14"/>
  <c r="W707" i="14"/>
  <c r="V707" i="14"/>
  <c r="W706" i="14"/>
  <c r="V706" i="14"/>
  <c r="W705" i="14"/>
  <c r="V705" i="14"/>
  <c r="W704" i="14"/>
  <c r="V704" i="14"/>
  <c r="W703" i="14"/>
  <c r="V703" i="14"/>
  <c r="W702" i="14"/>
  <c r="V702" i="14"/>
  <c r="W701" i="14"/>
  <c r="V701" i="14"/>
  <c r="W700" i="14"/>
  <c r="V700" i="14"/>
  <c r="W699" i="14"/>
  <c r="V699" i="14"/>
  <c r="W698" i="14"/>
  <c r="V698" i="14"/>
  <c r="W697" i="14"/>
  <c r="V697" i="14"/>
  <c r="W696" i="14"/>
  <c r="V696" i="14"/>
  <c r="W695" i="14"/>
  <c r="V695" i="14"/>
  <c r="W694" i="14"/>
  <c r="V694" i="14"/>
  <c r="W693" i="14"/>
  <c r="V693" i="14"/>
  <c r="W692" i="14"/>
  <c r="V692" i="14"/>
  <c r="V691" i="14"/>
  <c r="W690" i="14"/>
  <c r="V690" i="14"/>
  <c r="V689" i="14"/>
  <c r="W688" i="14"/>
  <c r="V688" i="14"/>
  <c r="W687" i="14"/>
  <c r="V687" i="14"/>
  <c r="W686" i="14"/>
  <c r="V686" i="14"/>
  <c r="W685" i="14"/>
  <c r="V685" i="14"/>
  <c r="W684" i="14"/>
  <c r="V684" i="14"/>
  <c r="W683" i="14"/>
  <c r="V683" i="14"/>
  <c r="W682" i="14"/>
  <c r="V682" i="14"/>
  <c r="W681" i="14"/>
  <c r="V681" i="14"/>
  <c r="W680" i="14"/>
  <c r="V680" i="14"/>
  <c r="W679" i="14"/>
  <c r="V679" i="14"/>
  <c r="W678" i="14"/>
  <c r="V678" i="14"/>
  <c r="W677" i="14"/>
  <c r="V677" i="14"/>
  <c r="W676" i="14"/>
  <c r="V676" i="14"/>
  <c r="W675" i="14"/>
  <c r="V675" i="14"/>
  <c r="W674" i="14"/>
  <c r="V674" i="14"/>
  <c r="W673" i="14"/>
  <c r="V673" i="14"/>
  <c r="W672" i="14"/>
  <c r="V672" i="14"/>
  <c r="W671" i="14"/>
  <c r="V671" i="14"/>
  <c r="W670" i="14"/>
  <c r="V670" i="14"/>
  <c r="W669" i="14"/>
  <c r="V669" i="14"/>
  <c r="W668" i="14"/>
  <c r="V668" i="14"/>
  <c r="W667" i="14"/>
  <c r="V667" i="14"/>
  <c r="W666" i="14"/>
  <c r="V666" i="14"/>
  <c r="W665" i="14"/>
  <c r="V665" i="14"/>
  <c r="W664" i="14"/>
  <c r="V664" i="14"/>
  <c r="W663" i="14"/>
  <c r="V663" i="14"/>
  <c r="W662" i="14"/>
  <c r="V662" i="14"/>
  <c r="W661" i="14"/>
  <c r="V661" i="14"/>
  <c r="W660" i="14"/>
  <c r="V660" i="14"/>
  <c r="W659" i="14"/>
  <c r="V659" i="14"/>
  <c r="W658" i="14"/>
  <c r="V658" i="14"/>
  <c r="W657" i="14"/>
  <c r="V657" i="14"/>
  <c r="W656" i="14"/>
  <c r="V656" i="14"/>
  <c r="W655" i="14"/>
  <c r="V655" i="14"/>
  <c r="W654" i="14"/>
  <c r="V654" i="14"/>
  <c r="W653" i="14"/>
  <c r="V653" i="14"/>
  <c r="W652" i="14"/>
  <c r="V652" i="14"/>
  <c r="W651" i="14"/>
  <c r="V651" i="14"/>
  <c r="W650" i="14"/>
  <c r="V650" i="14"/>
  <c r="W649" i="14"/>
  <c r="V649" i="14"/>
  <c r="W648" i="14"/>
  <c r="V648" i="14"/>
  <c r="W647" i="14"/>
  <c r="V647" i="14"/>
  <c r="W646" i="14"/>
  <c r="V646" i="14"/>
  <c r="W645" i="14"/>
  <c r="V645" i="14"/>
  <c r="W644" i="14"/>
  <c r="V644" i="14"/>
  <c r="W643" i="14"/>
  <c r="V643" i="14"/>
  <c r="W633" i="14"/>
  <c r="V633" i="14"/>
  <c r="W632" i="14"/>
  <c r="V632" i="14"/>
  <c r="W631" i="14"/>
  <c r="V631" i="14"/>
  <c r="W630" i="14"/>
  <c r="V630" i="14"/>
  <c r="W629" i="14"/>
  <c r="V629" i="14"/>
  <c r="W628" i="14"/>
  <c r="V628" i="14"/>
  <c r="W627" i="14"/>
  <c r="V627" i="14"/>
  <c r="W626" i="14"/>
  <c r="V626" i="14"/>
  <c r="W625" i="14"/>
  <c r="V625" i="14"/>
  <c r="W624" i="14"/>
  <c r="V624" i="14"/>
  <c r="W623" i="14"/>
  <c r="V623" i="14"/>
  <c r="W622" i="14"/>
  <c r="V622" i="14"/>
  <c r="W621" i="14"/>
  <c r="V621" i="14"/>
  <c r="W620" i="14"/>
  <c r="V620" i="14"/>
  <c r="W619" i="14"/>
  <c r="V619" i="14"/>
  <c r="W618" i="14"/>
  <c r="V618" i="14"/>
  <c r="W617" i="14"/>
  <c r="V617" i="14"/>
  <c r="W616" i="14"/>
  <c r="V616" i="14"/>
  <c r="W615" i="14"/>
  <c r="V615" i="14"/>
  <c r="W614" i="14"/>
  <c r="V614" i="14"/>
  <c r="W613" i="14"/>
  <c r="V613" i="14"/>
  <c r="W612" i="14"/>
  <c r="V612" i="14"/>
  <c r="W611" i="14"/>
  <c r="V611" i="14"/>
  <c r="W610" i="14"/>
  <c r="V610" i="14"/>
  <c r="W609" i="14"/>
  <c r="V609" i="14"/>
  <c r="W608" i="14"/>
  <c r="V608" i="14"/>
  <c r="W607" i="14"/>
  <c r="V607" i="14"/>
  <c r="W606" i="14"/>
  <c r="V606" i="14"/>
  <c r="W605" i="14"/>
  <c r="V605" i="14"/>
  <c r="W604" i="14"/>
  <c r="V604" i="14"/>
  <c r="W603" i="14"/>
  <c r="V603" i="14"/>
  <c r="W602" i="14"/>
  <c r="V602" i="14"/>
  <c r="W601" i="14"/>
  <c r="V601" i="14"/>
  <c r="W600" i="14"/>
  <c r="V600" i="14"/>
  <c r="W599" i="14"/>
  <c r="V599" i="14"/>
  <c r="W598" i="14"/>
  <c r="V598" i="14"/>
  <c r="W597" i="14"/>
  <c r="V597" i="14"/>
  <c r="W596" i="14"/>
  <c r="V596" i="14"/>
  <c r="W595" i="14"/>
  <c r="V595" i="14"/>
  <c r="W594" i="14"/>
  <c r="V594" i="14"/>
  <c r="W593" i="14"/>
  <c r="V593" i="14"/>
  <c r="W592" i="14"/>
  <c r="V592" i="14"/>
  <c r="W591" i="14"/>
  <c r="V591" i="14"/>
  <c r="W590" i="14"/>
  <c r="V590" i="14"/>
  <c r="W589" i="14"/>
  <c r="V589" i="14"/>
  <c r="W588" i="14"/>
  <c r="V588" i="14"/>
  <c r="W587" i="14"/>
  <c r="V587" i="14"/>
  <c r="W586" i="14"/>
  <c r="V586" i="14"/>
  <c r="W585" i="14"/>
  <c r="V585" i="14"/>
  <c r="W581" i="14"/>
  <c r="V581" i="14"/>
  <c r="W580" i="14"/>
  <c r="V580" i="14"/>
  <c r="W579" i="14"/>
  <c r="V579" i="14"/>
  <c r="W578" i="14"/>
  <c r="V578" i="14"/>
  <c r="W577" i="14"/>
  <c r="V577" i="14"/>
  <c r="W576" i="14"/>
  <c r="V576" i="14"/>
  <c r="W575" i="14"/>
  <c r="V575" i="14"/>
  <c r="W574" i="14"/>
  <c r="V574" i="14"/>
  <c r="W573" i="14"/>
  <c r="V573" i="14"/>
  <c r="W572" i="14"/>
  <c r="V572" i="14"/>
  <c r="W571" i="14"/>
  <c r="V571" i="14"/>
  <c r="W570" i="14"/>
  <c r="V570" i="14"/>
  <c r="W569" i="14"/>
  <c r="V569" i="14"/>
  <c r="W568" i="14"/>
  <c r="V568" i="14"/>
  <c r="W567" i="14"/>
  <c r="V567" i="14"/>
  <c r="W566" i="14"/>
  <c r="V566" i="14"/>
  <c r="W565" i="14"/>
  <c r="V565" i="14"/>
  <c r="W564" i="14"/>
  <c r="V564" i="14"/>
  <c r="W563" i="14"/>
  <c r="V563" i="14"/>
  <c r="W562" i="14"/>
  <c r="V562" i="14"/>
  <c r="W561" i="14"/>
  <c r="V561" i="14"/>
  <c r="W560" i="14"/>
  <c r="V560" i="14"/>
  <c r="W559" i="14"/>
  <c r="V559" i="14"/>
  <c r="W558" i="14"/>
  <c r="V558" i="14"/>
  <c r="W557" i="14"/>
  <c r="V557" i="14"/>
  <c r="W556" i="14"/>
  <c r="V556" i="14"/>
  <c r="W555" i="14"/>
  <c r="V555" i="14"/>
  <c r="W554" i="14"/>
  <c r="V554" i="14"/>
  <c r="W553" i="14"/>
  <c r="V553" i="14"/>
  <c r="W552" i="14"/>
  <c r="V552" i="14"/>
  <c r="W551" i="14"/>
  <c r="V551" i="14"/>
  <c r="W550" i="14"/>
  <c r="V550" i="14"/>
  <c r="W549" i="14"/>
  <c r="V549" i="14"/>
  <c r="W548" i="14"/>
  <c r="V548" i="14"/>
  <c r="W547" i="14"/>
  <c r="V547" i="14"/>
  <c r="W546" i="14"/>
  <c r="V546" i="14"/>
  <c r="W545" i="14"/>
  <c r="V545" i="14"/>
  <c r="W544" i="14"/>
  <c r="V544" i="14"/>
  <c r="W543" i="14"/>
  <c r="V543" i="14"/>
  <c r="W542" i="14"/>
  <c r="V542" i="14"/>
  <c r="W541" i="14"/>
  <c r="V541" i="14"/>
  <c r="W540" i="14"/>
  <c r="V540" i="14"/>
  <c r="W539" i="14"/>
  <c r="V539" i="14"/>
  <c r="W538" i="14"/>
  <c r="V538" i="14"/>
  <c r="W537" i="14"/>
  <c r="V537" i="14"/>
  <c r="W536" i="14"/>
  <c r="V536" i="14"/>
  <c r="W535" i="14"/>
  <c r="V535" i="14"/>
  <c r="W534" i="14"/>
  <c r="V534" i="14"/>
  <c r="W533" i="14"/>
  <c r="V533" i="14"/>
  <c r="W532" i="14"/>
  <c r="V532" i="14"/>
  <c r="W531" i="14"/>
  <c r="V531" i="14"/>
  <c r="V530" i="14"/>
  <c r="W529" i="14"/>
  <c r="V529" i="14"/>
  <c r="W528" i="14"/>
  <c r="V528" i="14"/>
  <c r="W527" i="14"/>
  <c r="V527" i="14"/>
  <c r="W526" i="14"/>
  <c r="V526" i="14"/>
  <c r="W525" i="14"/>
  <c r="V525" i="14"/>
  <c r="W524" i="14"/>
  <c r="V524" i="14"/>
  <c r="W523" i="14"/>
  <c r="V523" i="14"/>
  <c r="W522" i="14"/>
  <c r="V522" i="14"/>
  <c r="W521" i="14"/>
  <c r="V521" i="14"/>
  <c r="W520" i="14"/>
  <c r="V520" i="14"/>
  <c r="W519" i="14"/>
  <c r="V519" i="14"/>
  <c r="W518" i="14"/>
  <c r="V518" i="14"/>
  <c r="W517" i="14"/>
  <c r="V517" i="14"/>
  <c r="W516" i="14"/>
  <c r="V516" i="14"/>
  <c r="W515" i="14"/>
  <c r="V515" i="14"/>
  <c r="W514" i="14"/>
  <c r="V514" i="14"/>
  <c r="W513" i="14"/>
  <c r="V513" i="14"/>
  <c r="W512" i="14"/>
  <c r="V512" i="14"/>
  <c r="W511" i="14"/>
  <c r="V511" i="14"/>
  <c r="W510" i="14"/>
  <c r="V510" i="14"/>
  <c r="W509" i="14"/>
  <c r="V509" i="14"/>
  <c r="W508" i="14"/>
  <c r="V508" i="14"/>
  <c r="V507" i="14"/>
  <c r="W506" i="14"/>
  <c r="V506" i="14"/>
  <c r="W505" i="14"/>
  <c r="V505" i="14"/>
  <c r="V504" i="14"/>
  <c r="V503" i="14"/>
  <c r="W502" i="14"/>
  <c r="V502" i="14"/>
  <c r="W501" i="14"/>
  <c r="V501" i="14"/>
  <c r="W500" i="14"/>
  <c r="V500" i="14"/>
  <c r="W499" i="14"/>
  <c r="V499" i="14"/>
  <c r="W498" i="14"/>
  <c r="V498" i="14"/>
  <c r="W497" i="14"/>
  <c r="V497" i="14"/>
  <c r="W496" i="14"/>
  <c r="V496" i="14"/>
  <c r="W495" i="14"/>
  <c r="V495" i="14"/>
  <c r="W494" i="14"/>
  <c r="V494" i="14"/>
  <c r="W493" i="14"/>
  <c r="V493" i="14"/>
  <c r="W492" i="14"/>
  <c r="V492" i="14"/>
  <c r="W491" i="14"/>
  <c r="V491" i="14"/>
  <c r="W490" i="14"/>
  <c r="V490" i="14"/>
  <c r="W489" i="14"/>
  <c r="V489" i="14"/>
  <c r="W488" i="14"/>
  <c r="V488" i="14"/>
  <c r="W487" i="14"/>
  <c r="V487" i="14"/>
  <c r="W486" i="14"/>
  <c r="V486" i="14"/>
  <c r="W485" i="14"/>
  <c r="V485" i="14"/>
  <c r="W484" i="14"/>
  <c r="V484" i="14"/>
  <c r="W483" i="14"/>
  <c r="V483" i="14"/>
  <c r="W482" i="14"/>
  <c r="V482" i="14"/>
  <c r="W481" i="14"/>
  <c r="V481" i="14"/>
  <c r="W480" i="14"/>
  <c r="V480" i="14"/>
  <c r="W479" i="14"/>
  <c r="V479" i="14"/>
  <c r="W478" i="14"/>
  <c r="V478" i="14"/>
  <c r="W477" i="14"/>
  <c r="V477" i="14"/>
  <c r="W476" i="14"/>
  <c r="V476" i="14"/>
  <c r="W475" i="14"/>
  <c r="V475" i="14"/>
  <c r="W474" i="14"/>
  <c r="V474" i="14"/>
  <c r="W473" i="14"/>
  <c r="V473" i="14"/>
  <c r="W472" i="14"/>
  <c r="V472" i="14"/>
  <c r="W471" i="14"/>
  <c r="V471" i="14"/>
  <c r="W470" i="14"/>
  <c r="V470" i="14"/>
  <c r="W469" i="14"/>
  <c r="V469" i="14"/>
  <c r="W468" i="14"/>
  <c r="V468" i="14"/>
  <c r="W467" i="14"/>
  <c r="V467" i="14"/>
  <c r="W466" i="14"/>
  <c r="V466" i="14"/>
  <c r="W465" i="14"/>
  <c r="V465" i="14"/>
  <c r="W464" i="14"/>
  <c r="V464" i="14"/>
  <c r="W463" i="14"/>
  <c r="V463" i="14"/>
  <c r="W462" i="14"/>
  <c r="V462" i="14"/>
  <c r="W461" i="14"/>
  <c r="V461" i="14"/>
  <c r="W460" i="14"/>
  <c r="V460" i="14"/>
  <c r="W459" i="14"/>
  <c r="V459" i="14"/>
  <c r="W458" i="14"/>
  <c r="V458" i="14"/>
  <c r="W457" i="14"/>
  <c r="V457" i="14"/>
  <c r="W456" i="14"/>
  <c r="V456" i="14"/>
  <c r="W455" i="14"/>
  <c r="V455" i="14"/>
  <c r="W454" i="14"/>
  <c r="V454" i="14"/>
  <c r="W453" i="14"/>
  <c r="V453" i="14"/>
  <c r="W452" i="14"/>
  <c r="V452" i="14"/>
  <c r="W451" i="14"/>
  <c r="V451" i="14"/>
  <c r="W450" i="14"/>
  <c r="V450" i="14"/>
  <c r="W449" i="14"/>
  <c r="V449" i="14"/>
  <c r="W448" i="14"/>
  <c r="V448" i="14"/>
  <c r="W447" i="14"/>
  <c r="V447" i="14"/>
  <c r="W446" i="14"/>
  <c r="V446" i="14"/>
  <c r="W445" i="14"/>
  <c r="V445" i="14"/>
  <c r="W444" i="14"/>
  <c r="V444" i="14"/>
  <c r="W443" i="14"/>
  <c r="V443" i="14"/>
  <c r="W442" i="14"/>
  <c r="V442" i="14"/>
  <c r="W441" i="14"/>
  <c r="V441" i="14"/>
  <c r="W440" i="14"/>
  <c r="V440" i="14"/>
  <c r="W439" i="14"/>
  <c r="V439" i="14"/>
  <c r="W438" i="14"/>
  <c r="V438" i="14"/>
  <c r="W437" i="14"/>
  <c r="V437" i="14"/>
  <c r="W436" i="14"/>
  <c r="V436" i="14"/>
  <c r="W435" i="14"/>
  <c r="V435" i="14"/>
  <c r="W434" i="14"/>
  <c r="V434" i="14"/>
  <c r="W433" i="14"/>
  <c r="V433" i="14"/>
  <c r="W432" i="14"/>
  <c r="V432" i="14"/>
  <c r="W431" i="14"/>
  <c r="V431" i="14"/>
  <c r="W430" i="14"/>
  <c r="V430" i="14"/>
  <c r="W429" i="14"/>
  <c r="V429" i="14"/>
  <c r="W428" i="14"/>
  <c r="V428" i="14"/>
  <c r="W427" i="14"/>
  <c r="V427" i="14"/>
  <c r="W426" i="14"/>
  <c r="V426" i="14"/>
  <c r="W425" i="14"/>
  <c r="V425" i="14"/>
  <c r="W424" i="14"/>
  <c r="V424" i="14"/>
  <c r="W423" i="14"/>
  <c r="V423" i="14"/>
  <c r="W422" i="14"/>
  <c r="V422" i="14"/>
  <c r="W421" i="14"/>
  <c r="V421" i="14"/>
  <c r="W420" i="14"/>
  <c r="V420" i="14"/>
  <c r="W419" i="14"/>
  <c r="V419" i="14"/>
  <c r="W418" i="14"/>
  <c r="V418" i="14"/>
  <c r="W417" i="14"/>
  <c r="V417" i="14"/>
  <c r="W416" i="14"/>
  <c r="V416" i="14"/>
  <c r="W415" i="14"/>
  <c r="V415" i="14"/>
  <c r="W414" i="14"/>
  <c r="V414" i="14"/>
  <c r="W413" i="14"/>
  <c r="V413" i="14"/>
  <c r="W412" i="14"/>
  <c r="V412" i="14"/>
  <c r="W411" i="14"/>
  <c r="V411" i="14"/>
  <c r="W410" i="14"/>
  <c r="V410" i="14"/>
  <c r="W409" i="14"/>
  <c r="V409" i="14"/>
  <c r="W408" i="14"/>
  <c r="V408" i="14"/>
  <c r="W407" i="14"/>
  <c r="V407" i="14"/>
  <c r="W406" i="14"/>
  <c r="V406" i="14"/>
  <c r="W405" i="14"/>
  <c r="V405" i="14"/>
  <c r="W404" i="14"/>
  <c r="V404" i="14"/>
  <c r="W403" i="14"/>
  <c r="V403" i="14"/>
  <c r="W402" i="14"/>
  <c r="V402" i="14"/>
  <c r="W401" i="14"/>
  <c r="V401" i="14"/>
  <c r="W400" i="14"/>
  <c r="V400" i="14"/>
  <c r="W399" i="14"/>
  <c r="V399" i="14"/>
  <c r="W398" i="14"/>
  <c r="V398" i="14"/>
  <c r="W397" i="14"/>
  <c r="V397" i="14"/>
  <c r="W396" i="14"/>
  <c r="V396" i="14"/>
  <c r="W395" i="14"/>
  <c r="V395" i="14"/>
  <c r="W394" i="14"/>
  <c r="V394" i="14"/>
  <c r="W393" i="14"/>
  <c r="V393" i="14"/>
  <c r="W392" i="14"/>
  <c r="V392" i="14"/>
  <c r="W391" i="14"/>
  <c r="V391" i="14"/>
  <c r="W390" i="14"/>
  <c r="V390" i="14"/>
  <c r="W389" i="14"/>
  <c r="V389" i="14"/>
  <c r="W388" i="14"/>
  <c r="V388" i="14"/>
  <c r="W387" i="14"/>
  <c r="V387" i="14"/>
  <c r="W386" i="14"/>
  <c r="V386" i="14"/>
  <c r="W385" i="14"/>
  <c r="V385" i="14"/>
  <c r="W384" i="14"/>
  <c r="V384" i="14"/>
  <c r="W383" i="14"/>
  <c r="V383" i="14"/>
  <c r="W382" i="14"/>
  <c r="V382" i="14"/>
  <c r="W381" i="14"/>
  <c r="V381" i="14"/>
  <c r="W380" i="14"/>
  <c r="V380" i="14"/>
  <c r="W379" i="14"/>
  <c r="V379" i="14"/>
  <c r="W378" i="14"/>
  <c r="V378" i="14"/>
  <c r="W377" i="14"/>
  <c r="V377" i="14"/>
  <c r="W376" i="14"/>
  <c r="V376" i="14"/>
  <c r="W375" i="14"/>
  <c r="V375" i="14"/>
  <c r="W374" i="14"/>
  <c r="V374" i="14"/>
  <c r="W373" i="14"/>
  <c r="V373" i="14"/>
  <c r="W372" i="14"/>
  <c r="V372" i="14"/>
  <c r="W371" i="14"/>
  <c r="V371" i="14"/>
  <c r="W370" i="14"/>
  <c r="V370" i="14"/>
  <c r="W369" i="14"/>
  <c r="V369" i="14"/>
  <c r="W368" i="14"/>
  <c r="V368" i="14"/>
  <c r="W367" i="14"/>
  <c r="V367" i="14"/>
  <c r="W366" i="14"/>
  <c r="V366" i="14"/>
  <c r="W365" i="14"/>
  <c r="V365" i="14"/>
  <c r="W364" i="14"/>
  <c r="V364" i="14"/>
  <c r="W363" i="14"/>
  <c r="V363" i="14"/>
  <c r="W362" i="14"/>
  <c r="V362" i="14"/>
  <c r="W361" i="14"/>
  <c r="V361" i="14"/>
  <c r="W360" i="14"/>
  <c r="V360" i="14"/>
  <c r="W359" i="14"/>
  <c r="V359" i="14"/>
  <c r="W358" i="14"/>
  <c r="V358" i="14"/>
  <c r="W357" i="14"/>
  <c r="V357" i="14"/>
  <c r="W356" i="14"/>
  <c r="V356" i="14"/>
  <c r="W355" i="14"/>
  <c r="V355" i="14"/>
  <c r="W354" i="14"/>
  <c r="V354" i="14"/>
  <c r="V353" i="14"/>
  <c r="V352" i="14"/>
  <c r="V351" i="14"/>
  <c r="W350" i="14"/>
  <c r="V350" i="14"/>
  <c r="W349" i="14"/>
  <c r="V349" i="14"/>
  <c r="W348" i="14"/>
  <c r="V348" i="14"/>
  <c r="W347" i="14"/>
  <c r="V347" i="14"/>
  <c r="W346" i="14"/>
  <c r="V346" i="14"/>
  <c r="W345" i="14"/>
  <c r="V345" i="14"/>
  <c r="W344" i="14"/>
  <c r="V344" i="14"/>
  <c r="W343" i="14"/>
  <c r="V343" i="14"/>
  <c r="W342" i="14"/>
  <c r="V342" i="14"/>
  <c r="W341" i="14"/>
  <c r="V341" i="14"/>
  <c r="W340" i="14"/>
  <c r="V340" i="14"/>
  <c r="W339" i="14"/>
  <c r="V339" i="14"/>
  <c r="W338" i="14"/>
  <c r="V338" i="14"/>
  <c r="W337" i="14"/>
  <c r="V337" i="14"/>
  <c r="W336" i="14"/>
  <c r="V336" i="14"/>
  <c r="W335" i="14"/>
  <c r="V335" i="14"/>
  <c r="W334" i="14"/>
  <c r="V334" i="14"/>
  <c r="W333" i="14"/>
  <c r="V333" i="14"/>
  <c r="W332" i="14"/>
  <c r="V332" i="14"/>
  <c r="W331" i="14"/>
  <c r="V331" i="14"/>
  <c r="W330" i="14"/>
  <c r="V330" i="14"/>
  <c r="W329" i="14"/>
  <c r="V329" i="14"/>
  <c r="W328" i="14"/>
  <c r="V328" i="14"/>
  <c r="W327" i="14"/>
  <c r="V327" i="14"/>
  <c r="W326" i="14"/>
  <c r="V326" i="14"/>
  <c r="W325" i="14"/>
  <c r="V325" i="14"/>
  <c r="W324" i="14"/>
  <c r="V324" i="14"/>
  <c r="W323" i="14"/>
  <c r="V323" i="14"/>
  <c r="W322" i="14"/>
  <c r="V322" i="14"/>
  <c r="W321" i="14"/>
  <c r="V321" i="14"/>
  <c r="W306" i="14"/>
  <c r="V306" i="14"/>
  <c r="W305" i="14"/>
  <c r="V305" i="14"/>
  <c r="W304" i="14"/>
  <c r="V304" i="14"/>
  <c r="W303" i="14"/>
  <c r="V303" i="14"/>
  <c r="W302" i="14"/>
  <c r="V302" i="14"/>
  <c r="W301" i="14"/>
  <c r="V301" i="14"/>
  <c r="W300" i="14"/>
  <c r="V300" i="14"/>
  <c r="W299" i="14"/>
  <c r="V299" i="14"/>
  <c r="W298" i="14"/>
  <c r="V298" i="14"/>
  <c r="W297" i="14"/>
  <c r="V297" i="14"/>
  <c r="W296" i="14"/>
  <c r="V296" i="14"/>
  <c r="W295" i="14"/>
  <c r="V295" i="14"/>
  <c r="W294" i="14"/>
  <c r="V294" i="14"/>
  <c r="W293" i="14"/>
  <c r="V293" i="14"/>
  <c r="W292" i="14"/>
  <c r="V292" i="14"/>
  <c r="W291" i="14"/>
  <c r="V291" i="14"/>
  <c r="W290" i="14"/>
  <c r="V290" i="14"/>
  <c r="W289" i="14"/>
  <c r="V289" i="14"/>
  <c r="W288" i="14"/>
  <c r="V288" i="14"/>
  <c r="W287" i="14"/>
  <c r="V287" i="14"/>
  <c r="W286" i="14"/>
  <c r="V286" i="14"/>
  <c r="W285" i="14"/>
  <c r="V285" i="14"/>
  <c r="W284" i="14"/>
  <c r="V284" i="14"/>
  <c r="W283" i="14"/>
  <c r="V283" i="14"/>
  <c r="W282" i="14"/>
  <c r="V282" i="14"/>
  <c r="W281" i="14"/>
  <c r="V281" i="14"/>
  <c r="W280" i="14"/>
  <c r="V280" i="14"/>
  <c r="W279" i="14"/>
  <c r="V279" i="14"/>
  <c r="W278" i="14"/>
  <c r="V278" i="14"/>
  <c r="W277" i="14"/>
  <c r="V277" i="14"/>
  <c r="W276" i="14"/>
  <c r="V276" i="14"/>
  <c r="W275" i="14"/>
  <c r="V275" i="14"/>
  <c r="W274" i="14"/>
  <c r="V274" i="14"/>
  <c r="W273" i="14"/>
  <c r="V273" i="14"/>
  <c r="W272" i="14"/>
  <c r="V272" i="14"/>
  <c r="W271" i="14"/>
  <c r="V271" i="14"/>
  <c r="W270" i="14"/>
  <c r="V270" i="14"/>
  <c r="W269" i="14"/>
  <c r="V269" i="14"/>
  <c r="W268" i="14"/>
  <c r="V268" i="14"/>
  <c r="W267" i="14"/>
  <c r="V267" i="14"/>
  <c r="W266" i="14"/>
  <c r="V266" i="14"/>
  <c r="W265" i="14"/>
  <c r="V265" i="14"/>
  <c r="W264" i="14"/>
  <c r="V264" i="14"/>
  <c r="W263" i="14"/>
  <c r="V263" i="14"/>
  <c r="W262" i="14"/>
  <c r="V262" i="14"/>
  <c r="W261" i="14"/>
  <c r="V261" i="14"/>
  <c r="W260" i="14"/>
  <c r="V260" i="14"/>
  <c r="W259" i="14"/>
  <c r="V259" i="14"/>
  <c r="W258" i="14"/>
  <c r="V258" i="14"/>
  <c r="W257" i="14"/>
  <c r="V257" i="14"/>
  <c r="W256" i="14"/>
  <c r="V256" i="14"/>
  <c r="W255" i="14"/>
  <c r="V255" i="14"/>
  <c r="W254" i="14"/>
  <c r="V254" i="14"/>
  <c r="W253" i="14"/>
  <c r="V253" i="14"/>
  <c r="W252" i="14"/>
  <c r="V252" i="14"/>
  <c r="W251" i="14"/>
  <c r="V251" i="14"/>
  <c r="W250" i="14"/>
  <c r="V250" i="14"/>
  <c r="W249" i="14"/>
  <c r="V249" i="14"/>
  <c r="W248" i="14"/>
  <c r="V248" i="14"/>
  <c r="W247" i="14"/>
  <c r="V247" i="14"/>
  <c r="W246" i="14"/>
  <c r="V246" i="14"/>
  <c r="V245" i="14"/>
  <c r="W244" i="14"/>
  <c r="V244" i="14"/>
  <c r="W243" i="14"/>
  <c r="V243" i="14"/>
  <c r="W242" i="14"/>
  <c r="V242" i="14"/>
  <c r="W241" i="14"/>
  <c r="V241" i="14"/>
  <c r="W240" i="14"/>
  <c r="V240" i="14"/>
  <c r="W239" i="14"/>
  <c r="V239" i="14"/>
  <c r="W238" i="14"/>
  <c r="V238" i="14"/>
  <c r="W232" i="14"/>
  <c r="V232" i="14"/>
  <c r="W231" i="14"/>
  <c r="V231" i="14"/>
  <c r="W230" i="14"/>
  <c r="V230" i="14"/>
  <c r="W229" i="14"/>
  <c r="V229" i="14"/>
  <c r="W228" i="14"/>
  <c r="V228" i="14"/>
  <c r="W227" i="14"/>
  <c r="V227" i="14"/>
  <c r="W226" i="14"/>
  <c r="V226" i="14"/>
  <c r="W225" i="14"/>
  <c r="V225" i="14"/>
  <c r="W224" i="14"/>
  <c r="V224" i="14"/>
  <c r="W223" i="14"/>
  <c r="V223" i="14"/>
  <c r="W222" i="14"/>
  <c r="V222" i="14"/>
  <c r="W221" i="14"/>
  <c r="V221" i="14"/>
  <c r="W220" i="14"/>
  <c r="V220" i="14"/>
  <c r="W219" i="14"/>
  <c r="V219" i="14"/>
  <c r="W218" i="14"/>
  <c r="V218" i="14"/>
  <c r="W217" i="14"/>
  <c r="V217" i="14"/>
  <c r="W216" i="14"/>
  <c r="V216" i="14"/>
  <c r="W215" i="14"/>
  <c r="V215" i="14"/>
  <c r="W214" i="14"/>
  <c r="V214" i="14"/>
  <c r="W213" i="14"/>
  <c r="V213" i="14"/>
  <c r="W212" i="14"/>
  <c r="V212" i="14"/>
  <c r="W211" i="14"/>
  <c r="V211" i="14"/>
  <c r="W210" i="14"/>
  <c r="V210" i="14"/>
  <c r="W209" i="14"/>
  <c r="V209" i="14"/>
  <c r="W208" i="14"/>
  <c r="V208" i="14"/>
  <c r="W207" i="14"/>
  <c r="V207" i="14"/>
  <c r="W206" i="14"/>
  <c r="V206" i="14"/>
  <c r="W205" i="14"/>
  <c r="V205" i="14"/>
  <c r="W204" i="14"/>
  <c r="V204" i="14"/>
  <c r="W203" i="14"/>
  <c r="V203" i="14"/>
  <c r="W202" i="14"/>
  <c r="V202" i="14"/>
  <c r="W201" i="14"/>
  <c r="V201" i="14"/>
  <c r="W200" i="14"/>
  <c r="V200" i="14"/>
  <c r="W199" i="14"/>
  <c r="V199" i="14"/>
  <c r="W198" i="14"/>
  <c r="V198" i="14"/>
  <c r="W197" i="14"/>
  <c r="V197" i="14"/>
  <c r="V196" i="14"/>
  <c r="W195" i="14"/>
  <c r="V195" i="14"/>
  <c r="W194" i="14"/>
  <c r="V194" i="14"/>
  <c r="W193" i="14"/>
  <c r="V193" i="14"/>
  <c r="W192" i="14"/>
  <c r="V192" i="14"/>
  <c r="W191" i="14"/>
  <c r="V191" i="14"/>
  <c r="W190" i="14"/>
  <c r="V190" i="14"/>
  <c r="W189" i="14"/>
  <c r="V189" i="14"/>
  <c r="W188" i="14"/>
  <c r="V188" i="14"/>
  <c r="W187" i="14"/>
  <c r="V187" i="14"/>
  <c r="W186" i="14"/>
  <c r="V186" i="14"/>
  <c r="W185" i="14"/>
  <c r="V185" i="14"/>
  <c r="W184" i="14"/>
  <c r="V184" i="14"/>
  <c r="W183" i="14"/>
  <c r="V183" i="14"/>
  <c r="W182" i="14"/>
  <c r="V182" i="14"/>
  <c r="W181" i="14"/>
  <c r="V181" i="14"/>
  <c r="W180" i="14"/>
  <c r="V180" i="14"/>
  <c r="W179" i="14"/>
  <c r="V179" i="14"/>
  <c r="W178" i="14"/>
  <c r="V178" i="14"/>
  <c r="W177" i="14"/>
  <c r="V177" i="14"/>
  <c r="W176" i="14"/>
  <c r="V176" i="14"/>
  <c r="W175" i="14"/>
  <c r="V175" i="14"/>
  <c r="W174" i="14"/>
  <c r="V174" i="14"/>
  <c r="W173" i="14"/>
  <c r="V173" i="14"/>
  <c r="W172" i="14"/>
  <c r="V172" i="14"/>
  <c r="W171" i="14"/>
  <c r="V171" i="14"/>
  <c r="W170" i="14"/>
  <c r="V170" i="14"/>
  <c r="W169" i="14"/>
  <c r="V169" i="14"/>
  <c r="W168" i="14"/>
  <c r="V168" i="14"/>
  <c r="W167" i="14"/>
  <c r="V167" i="14"/>
  <c r="W166" i="14"/>
  <c r="V166" i="14"/>
  <c r="W165" i="14"/>
  <c r="V165" i="14"/>
  <c r="W164" i="14"/>
  <c r="V164" i="14"/>
  <c r="W163" i="14"/>
  <c r="V163" i="14"/>
  <c r="W162" i="14"/>
  <c r="V162" i="14"/>
  <c r="V161" i="14"/>
  <c r="W160" i="14"/>
  <c r="V160" i="14"/>
  <c r="W159" i="14"/>
  <c r="V159" i="14"/>
  <c r="W158" i="14"/>
  <c r="V158" i="14"/>
  <c r="W157" i="14"/>
  <c r="V157" i="14"/>
  <c r="W156" i="14"/>
  <c r="V156" i="14"/>
  <c r="W155" i="14"/>
  <c r="V155" i="14"/>
  <c r="W154" i="14"/>
  <c r="V154" i="14"/>
  <c r="W153" i="14"/>
  <c r="V153" i="14"/>
  <c r="V152" i="14"/>
  <c r="W151" i="14"/>
  <c r="V151" i="14"/>
  <c r="W150" i="14"/>
  <c r="V150" i="14"/>
  <c r="W149" i="14"/>
  <c r="V149" i="14"/>
  <c r="W148" i="14"/>
  <c r="V148" i="14"/>
  <c r="W147" i="14"/>
  <c r="V147" i="14"/>
  <c r="W146" i="14"/>
  <c r="V146" i="14"/>
  <c r="W145" i="14"/>
  <c r="V145" i="14"/>
  <c r="W144" i="14"/>
  <c r="V144" i="14"/>
  <c r="W143" i="14"/>
  <c r="V143" i="14"/>
  <c r="W142" i="14"/>
  <c r="V142" i="14"/>
  <c r="W141" i="14"/>
  <c r="V141" i="14"/>
  <c r="W140" i="14"/>
  <c r="V140" i="14"/>
  <c r="W33" i="14"/>
  <c r="V33" i="14"/>
  <c r="W32" i="14"/>
  <c r="V32" i="14"/>
  <c r="W31" i="14"/>
  <c r="V31" i="14"/>
  <c r="W30" i="14"/>
  <c r="V30" i="14"/>
  <c r="W29" i="14"/>
  <c r="V29" i="14"/>
  <c r="W28" i="14"/>
  <c r="V28" i="14"/>
  <c r="W27" i="14"/>
  <c r="V27" i="14"/>
  <c r="W26" i="14"/>
  <c r="V26" i="14"/>
  <c r="W25" i="14"/>
  <c r="V25" i="14"/>
  <c r="W24" i="14"/>
  <c r="V24" i="14"/>
  <c r="W23" i="14"/>
  <c r="V23" i="14"/>
  <c r="W22" i="14"/>
  <c r="V22" i="14"/>
  <c r="W21" i="14"/>
  <c r="V21" i="14"/>
  <c r="W20" i="14"/>
  <c r="V20" i="14"/>
  <c r="W19" i="14"/>
  <c r="V19" i="14"/>
  <c r="W18" i="14"/>
  <c r="V18" i="14"/>
  <c r="W17" i="14"/>
  <c r="V17" i="14"/>
  <c r="W16" i="14"/>
  <c r="V16" i="14"/>
  <c r="W15" i="14"/>
  <c r="V15" i="14"/>
  <c r="W14" i="14"/>
  <c r="V14" i="14"/>
  <c r="W13" i="14"/>
  <c r="V13" i="14"/>
  <c r="W12" i="14"/>
  <c r="V12" i="14"/>
  <c r="W11" i="14"/>
  <c r="V11" i="14"/>
  <c r="W10" i="14"/>
  <c r="V10" i="14"/>
  <c r="W9" i="14"/>
  <c r="V9" i="14"/>
  <c r="W8" i="14"/>
  <c r="V8" i="14"/>
  <c r="W7" i="14"/>
  <c r="V7" i="14"/>
  <c r="W6" i="14"/>
  <c r="V6" i="14"/>
  <c r="W5" i="14"/>
  <c r="V5" i="14"/>
  <c r="W4" i="14"/>
  <c r="V4" i="14"/>
  <c r="W3" i="14"/>
  <c r="V3" i="14"/>
  <c r="J7" i="9"/>
  <c r="K7" i="9"/>
  <c r="J8" i="9"/>
  <c r="J4" i="9"/>
  <c r="J6" i="9"/>
  <c r="J5" i="9"/>
  <c r="K8" i="9"/>
  <c r="K5" i="9"/>
  <c r="K4" i="9"/>
  <c r="K6" i="9"/>
  <c r="J584" i="15"/>
  <c r="K584" i="15"/>
  <c r="L584" i="15"/>
  <c r="M584" i="15"/>
  <c r="J585" i="15"/>
  <c r="K585" i="15"/>
  <c r="L585" i="15"/>
  <c r="M585" i="15"/>
  <c r="J586" i="15"/>
  <c r="K586" i="15"/>
  <c r="L586" i="15"/>
  <c r="M586" i="15"/>
  <c r="J587" i="15"/>
  <c r="K587" i="15"/>
  <c r="L587" i="15"/>
  <c r="M587" i="15"/>
  <c r="J588" i="15"/>
  <c r="K588" i="15"/>
  <c r="L588" i="15"/>
  <c r="M588" i="15"/>
  <c r="J589" i="15"/>
  <c r="K589" i="15"/>
  <c r="L589" i="15"/>
  <c r="M589" i="15"/>
  <c r="J590" i="15"/>
  <c r="K590" i="15"/>
  <c r="L590" i="15"/>
  <c r="M590" i="15"/>
  <c r="J591" i="15"/>
  <c r="K591" i="15"/>
  <c r="L591" i="15"/>
  <c r="M591" i="15"/>
  <c r="J592" i="15"/>
  <c r="K592" i="15"/>
  <c r="L592" i="15"/>
  <c r="M592" i="15"/>
  <c r="J593" i="15"/>
  <c r="K593" i="15"/>
  <c r="L593" i="15"/>
  <c r="M593" i="15"/>
  <c r="J594" i="15"/>
  <c r="K594" i="15"/>
  <c r="L594" i="15"/>
  <c r="M594" i="15"/>
  <c r="J595" i="15"/>
  <c r="K595" i="15"/>
  <c r="L595" i="15"/>
  <c r="M595" i="15"/>
  <c r="J596" i="15"/>
  <c r="K596" i="15"/>
  <c r="L596" i="15"/>
  <c r="M596" i="15"/>
  <c r="J597" i="15"/>
  <c r="K597" i="15"/>
  <c r="L597" i="15"/>
  <c r="M597" i="15"/>
  <c r="J598" i="15"/>
  <c r="K598" i="15"/>
  <c r="L598" i="15"/>
  <c r="M598" i="15"/>
  <c r="J599" i="15"/>
  <c r="K599" i="15"/>
  <c r="L599" i="15"/>
  <c r="M599" i="15"/>
  <c r="J600" i="15"/>
  <c r="K600" i="15"/>
  <c r="L600" i="15"/>
  <c r="M600" i="15"/>
  <c r="J601" i="15"/>
  <c r="K601" i="15"/>
  <c r="L601" i="15"/>
  <c r="M601" i="15"/>
  <c r="J602" i="15"/>
  <c r="K602" i="15"/>
  <c r="L602" i="15"/>
  <c r="M602" i="15"/>
  <c r="J603" i="15"/>
  <c r="K603" i="15"/>
  <c r="L603" i="15"/>
  <c r="M603" i="15"/>
  <c r="J604" i="15"/>
  <c r="K604" i="15"/>
  <c r="L604" i="15"/>
  <c r="M604" i="15"/>
  <c r="J605" i="15"/>
  <c r="K605" i="15"/>
  <c r="L605" i="15"/>
  <c r="M605" i="15"/>
  <c r="M583" i="15"/>
  <c r="L583" i="15"/>
  <c r="K583" i="15"/>
  <c r="J583" i="15"/>
  <c r="M582" i="15"/>
  <c r="L582" i="15"/>
  <c r="K582" i="15"/>
  <c r="J582" i="15"/>
  <c r="M581" i="15"/>
  <c r="L581" i="15"/>
  <c r="K581" i="15"/>
  <c r="J581" i="15"/>
  <c r="M580" i="15"/>
  <c r="L580" i="15"/>
  <c r="K580" i="15"/>
  <c r="J580" i="15"/>
  <c r="M579" i="15"/>
  <c r="L579" i="15"/>
  <c r="K579" i="15"/>
  <c r="J579" i="15"/>
  <c r="M578" i="15"/>
  <c r="L578" i="15"/>
  <c r="K578" i="15"/>
  <c r="J578" i="15"/>
  <c r="N7" i="9"/>
  <c r="I7" i="9"/>
  <c r="J9" i="9"/>
  <c r="G22" i="9"/>
  <c r="F22" i="9"/>
  <c r="K9" i="9"/>
  <c r="F23" i="9"/>
  <c r="G23" i="9"/>
  <c r="N599" i="15"/>
  <c r="N596" i="15"/>
  <c r="N587" i="15"/>
  <c r="N584" i="15"/>
  <c r="N580" i="15"/>
  <c r="N582" i="15"/>
  <c r="N583" i="15"/>
  <c r="N595" i="15"/>
  <c r="N594" i="15"/>
  <c r="N593" i="15"/>
  <c r="N591" i="15"/>
  <c r="N590" i="15"/>
  <c r="N589" i="15"/>
  <c r="N592" i="15"/>
  <c r="N586" i="15"/>
  <c r="N585" i="15"/>
  <c r="N598" i="15"/>
  <c r="N597" i="15"/>
  <c r="N588" i="15"/>
  <c r="N605" i="15"/>
  <c r="N604" i="15"/>
  <c r="N603" i="15"/>
  <c r="N581" i="15"/>
  <c r="N602" i="15"/>
  <c r="N601" i="15"/>
  <c r="N600" i="15"/>
  <c r="N578" i="15"/>
  <c r="N579" i="15"/>
  <c r="H22" i="9"/>
  <c r="J12" i="15"/>
  <c r="K12" i="15"/>
  <c r="L12" i="15"/>
  <c r="M12" i="15"/>
  <c r="J13" i="15"/>
  <c r="K13" i="15"/>
  <c r="L13" i="15"/>
  <c r="M13" i="15"/>
  <c r="J14" i="15"/>
  <c r="K14" i="15"/>
  <c r="L14" i="15"/>
  <c r="M14" i="15"/>
  <c r="J15" i="15"/>
  <c r="K15" i="15"/>
  <c r="L15" i="15"/>
  <c r="M15" i="15"/>
  <c r="J16" i="15"/>
  <c r="K16" i="15"/>
  <c r="L16" i="15"/>
  <c r="M16" i="15"/>
  <c r="J17" i="15"/>
  <c r="K17" i="15"/>
  <c r="L17" i="15"/>
  <c r="M17" i="15"/>
  <c r="J18" i="15"/>
  <c r="K18" i="15"/>
  <c r="L18" i="15"/>
  <c r="M18" i="15"/>
  <c r="J19" i="15"/>
  <c r="K19" i="15"/>
  <c r="L19" i="15"/>
  <c r="M19" i="15"/>
  <c r="J20" i="15"/>
  <c r="K20" i="15"/>
  <c r="L20" i="15"/>
  <c r="M20" i="15"/>
  <c r="J21" i="15"/>
  <c r="K21" i="15"/>
  <c r="L21" i="15"/>
  <c r="M21" i="15"/>
  <c r="J22" i="15"/>
  <c r="K22" i="15"/>
  <c r="L22" i="15"/>
  <c r="M22" i="15"/>
  <c r="J23" i="15"/>
  <c r="K23" i="15"/>
  <c r="L23" i="15"/>
  <c r="M23" i="15"/>
  <c r="J24" i="15"/>
  <c r="K24" i="15"/>
  <c r="L24" i="15"/>
  <c r="M24" i="15"/>
  <c r="J25" i="15"/>
  <c r="K25" i="15"/>
  <c r="L25" i="15"/>
  <c r="M25" i="15"/>
  <c r="J26" i="15"/>
  <c r="K26" i="15"/>
  <c r="L26" i="15"/>
  <c r="M26" i="15"/>
  <c r="J27" i="15"/>
  <c r="K27" i="15"/>
  <c r="L27" i="15"/>
  <c r="M27" i="15"/>
  <c r="J28" i="15"/>
  <c r="K28" i="15"/>
  <c r="L28" i="15"/>
  <c r="M28" i="15"/>
  <c r="J29" i="15"/>
  <c r="K29" i="15"/>
  <c r="L29" i="15"/>
  <c r="M29" i="15"/>
  <c r="J30" i="15"/>
  <c r="K30" i="15"/>
  <c r="L30" i="15"/>
  <c r="M30" i="15"/>
  <c r="J31" i="15"/>
  <c r="K31" i="15"/>
  <c r="L31" i="15"/>
  <c r="M31" i="15"/>
  <c r="J32" i="15"/>
  <c r="K32" i="15"/>
  <c r="L32" i="15"/>
  <c r="M32" i="15"/>
  <c r="J33" i="15"/>
  <c r="K33" i="15"/>
  <c r="L33" i="15"/>
  <c r="M33" i="15"/>
  <c r="J34" i="15"/>
  <c r="K34" i="15"/>
  <c r="L34" i="15"/>
  <c r="M34" i="15"/>
  <c r="J35" i="15"/>
  <c r="K35" i="15"/>
  <c r="L35" i="15"/>
  <c r="M35" i="15"/>
  <c r="J36" i="15"/>
  <c r="K36" i="15"/>
  <c r="L36" i="15"/>
  <c r="M36" i="15"/>
  <c r="J37" i="15"/>
  <c r="K37" i="15"/>
  <c r="L37" i="15"/>
  <c r="M37" i="15"/>
  <c r="J38" i="15"/>
  <c r="K38" i="15"/>
  <c r="L38" i="15"/>
  <c r="M38" i="15"/>
  <c r="J39" i="15"/>
  <c r="K39" i="15"/>
  <c r="L39" i="15"/>
  <c r="M39" i="15"/>
  <c r="J40" i="15"/>
  <c r="K40" i="15"/>
  <c r="L40" i="15"/>
  <c r="M40" i="15"/>
  <c r="J41" i="15"/>
  <c r="K41" i="15"/>
  <c r="L41" i="15"/>
  <c r="M41" i="15"/>
  <c r="J42" i="15"/>
  <c r="K42" i="15"/>
  <c r="L42" i="15"/>
  <c r="M42" i="15"/>
  <c r="J43" i="15"/>
  <c r="K43" i="15"/>
  <c r="L43" i="15"/>
  <c r="M43" i="15"/>
  <c r="J44" i="15"/>
  <c r="K44" i="15"/>
  <c r="L44" i="15"/>
  <c r="M44" i="15"/>
  <c r="J45" i="15"/>
  <c r="K45" i="15"/>
  <c r="L45" i="15"/>
  <c r="M45" i="15"/>
  <c r="J46" i="15"/>
  <c r="K46" i="15"/>
  <c r="L46" i="15"/>
  <c r="M46" i="15"/>
  <c r="J47" i="15"/>
  <c r="K47" i="15"/>
  <c r="L47" i="15"/>
  <c r="M47" i="15"/>
  <c r="J48" i="15"/>
  <c r="K48" i="15"/>
  <c r="L48" i="15"/>
  <c r="M48" i="15"/>
  <c r="J49" i="15"/>
  <c r="K49" i="15"/>
  <c r="L49" i="15"/>
  <c r="M49" i="15"/>
  <c r="J50" i="15"/>
  <c r="K50" i="15"/>
  <c r="L50" i="15"/>
  <c r="M50" i="15"/>
  <c r="J51" i="15"/>
  <c r="K51" i="15"/>
  <c r="L51" i="15"/>
  <c r="M51" i="15"/>
  <c r="J52" i="15"/>
  <c r="K52" i="15"/>
  <c r="L52" i="15"/>
  <c r="M52" i="15"/>
  <c r="J53" i="15"/>
  <c r="K53" i="15"/>
  <c r="L53" i="15"/>
  <c r="M53" i="15"/>
  <c r="J54" i="15"/>
  <c r="K54" i="15"/>
  <c r="L54" i="15"/>
  <c r="M54" i="15"/>
  <c r="J55" i="15"/>
  <c r="K55" i="15"/>
  <c r="L55" i="15"/>
  <c r="M55" i="15"/>
  <c r="J56" i="15"/>
  <c r="K56" i="15"/>
  <c r="L56" i="15"/>
  <c r="M56" i="15"/>
  <c r="J57" i="15"/>
  <c r="K57" i="15"/>
  <c r="L57" i="15"/>
  <c r="M57" i="15"/>
  <c r="J58" i="15"/>
  <c r="K58" i="15"/>
  <c r="L58" i="15"/>
  <c r="M58" i="15"/>
  <c r="J59" i="15"/>
  <c r="K59" i="15"/>
  <c r="L59" i="15"/>
  <c r="M59" i="15"/>
  <c r="J60" i="15"/>
  <c r="K60" i="15"/>
  <c r="L60" i="15"/>
  <c r="M60" i="15"/>
  <c r="J61" i="15"/>
  <c r="K61" i="15"/>
  <c r="L61" i="15"/>
  <c r="M61" i="15"/>
  <c r="J62" i="15"/>
  <c r="K62" i="15"/>
  <c r="L62" i="15"/>
  <c r="M62" i="15"/>
  <c r="J63" i="15"/>
  <c r="K63" i="15"/>
  <c r="L63" i="15"/>
  <c r="M63" i="15"/>
  <c r="J64" i="15"/>
  <c r="K64" i="15"/>
  <c r="L64" i="15"/>
  <c r="M64" i="15"/>
  <c r="J65" i="15"/>
  <c r="K65" i="15"/>
  <c r="L65" i="15"/>
  <c r="M65" i="15"/>
  <c r="J66" i="15"/>
  <c r="K66" i="15"/>
  <c r="L66" i="15"/>
  <c r="M66" i="15"/>
  <c r="J67" i="15"/>
  <c r="K67" i="15"/>
  <c r="L67" i="15"/>
  <c r="M67" i="15"/>
  <c r="J68" i="15"/>
  <c r="K68" i="15"/>
  <c r="L68" i="15"/>
  <c r="M68" i="15"/>
  <c r="J69" i="15"/>
  <c r="K69" i="15"/>
  <c r="L69" i="15"/>
  <c r="M69" i="15"/>
  <c r="J70" i="15"/>
  <c r="K70" i="15"/>
  <c r="L70" i="15"/>
  <c r="M70" i="15"/>
  <c r="J71" i="15"/>
  <c r="K71" i="15"/>
  <c r="L71" i="15"/>
  <c r="M71" i="15"/>
  <c r="J72" i="15"/>
  <c r="K72" i="15"/>
  <c r="L72" i="15"/>
  <c r="M72" i="15"/>
  <c r="J73" i="15"/>
  <c r="K73" i="15"/>
  <c r="L73" i="15"/>
  <c r="M73" i="15"/>
  <c r="J74" i="15"/>
  <c r="K74" i="15"/>
  <c r="L74" i="15"/>
  <c r="M74" i="15"/>
  <c r="J75" i="15"/>
  <c r="K75" i="15"/>
  <c r="L75" i="15"/>
  <c r="M75" i="15"/>
  <c r="J76" i="15"/>
  <c r="K76" i="15"/>
  <c r="L76" i="15"/>
  <c r="M76" i="15"/>
  <c r="J77" i="15"/>
  <c r="K77" i="15"/>
  <c r="L77" i="15"/>
  <c r="M77" i="15"/>
  <c r="J78" i="15"/>
  <c r="K78" i="15"/>
  <c r="L78" i="15"/>
  <c r="M78" i="15"/>
  <c r="J79" i="15"/>
  <c r="K79" i="15"/>
  <c r="L79" i="15"/>
  <c r="M79" i="15"/>
  <c r="J80" i="15"/>
  <c r="K80" i="15"/>
  <c r="L80" i="15"/>
  <c r="M80" i="15"/>
  <c r="J81" i="15"/>
  <c r="K81" i="15"/>
  <c r="L81" i="15"/>
  <c r="M81" i="15"/>
  <c r="J82" i="15"/>
  <c r="K82" i="15"/>
  <c r="L82" i="15"/>
  <c r="M82" i="15"/>
  <c r="J83" i="15"/>
  <c r="K83" i="15"/>
  <c r="L83" i="15"/>
  <c r="M83" i="15"/>
  <c r="J84" i="15"/>
  <c r="K84" i="15"/>
  <c r="L84" i="15"/>
  <c r="M84" i="15"/>
  <c r="J85" i="15"/>
  <c r="K85" i="15"/>
  <c r="L85" i="15"/>
  <c r="M85" i="15"/>
  <c r="J86" i="15"/>
  <c r="K86" i="15"/>
  <c r="L86" i="15"/>
  <c r="M86" i="15"/>
  <c r="J87" i="15"/>
  <c r="K87" i="15"/>
  <c r="L87" i="15"/>
  <c r="M87" i="15"/>
  <c r="J88" i="15"/>
  <c r="K88" i="15"/>
  <c r="L88" i="15"/>
  <c r="M88" i="15"/>
  <c r="J89" i="15"/>
  <c r="K89" i="15"/>
  <c r="L89" i="15"/>
  <c r="M89" i="15"/>
  <c r="J90" i="15"/>
  <c r="K90" i="15"/>
  <c r="L90" i="15"/>
  <c r="M90" i="15"/>
  <c r="J91" i="15"/>
  <c r="K91" i="15"/>
  <c r="L91" i="15"/>
  <c r="M91" i="15"/>
  <c r="J92" i="15"/>
  <c r="K92" i="15"/>
  <c r="L92" i="15"/>
  <c r="M92" i="15"/>
  <c r="J93" i="15"/>
  <c r="K93" i="15"/>
  <c r="L93" i="15"/>
  <c r="M93" i="15"/>
  <c r="J94" i="15"/>
  <c r="K94" i="15"/>
  <c r="L94" i="15"/>
  <c r="M94" i="15"/>
  <c r="J95" i="15"/>
  <c r="K95" i="15"/>
  <c r="L95" i="15"/>
  <c r="M95" i="15"/>
  <c r="J96" i="15"/>
  <c r="K96" i="15"/>
  <c r="L96" i="15"/>
  <c r="M96" i="15"/>
  <c r="J97" i="15"/>
  <c r="K97" i="15"/>
  <c r="L97" i="15"/>
  <c r="M97" i="15"/>
  <c r="J98" i="15"/>
  <c r="K98" i="15"/>
  <c r="L98" i="15"/>
  <c r="M98" i="15"/>
  <c r="J99" i="15"/>
  <c r="K99" i="15"/>
  <c r="L99" i="15"/>
  <c r="M99" i="15"/>
  <c r="J100" i="15"/>
  <c r="K100" i="15"/>
  <c r="L100" i="15"/>
  <c r="M100" i="15"/>
  <c r="J101" i="15"/>
  <c r="K101" i="15"/>
  <c r="L101" i="15"/>
  <c r="M101" i="15"/>
  <c r="J102" i="15"/>
  <c r="K102" i="15"/>
  <c r="L102" i="15"/>
  <c r="M102" i="15"/>
  <c r="J103" i="15"/>
  <c r="K103" i="15"/>
  <c r="L103" i="15"/>
  <c r="M103" i="15"/>
  <c r="J104" i="15"/>
  <c r="K104" i="15"/>
  <c r="L104" i="15"/>
  <c r="M104" i="15"/>
  <c r="J105" i="15"/>
  <c r="K105" i="15"/>
  <c r="L105" i="15"/>
  <c r="M105" i="15"/>
  <c r="J106" i="15"/>
  <c r="K106" i="15"/>
  <c r="L106" i="15"/>
  <c r="M106" i="15"/>
  <c r="J107" i="15"/>
  <c r="K107" i="15"/>
  <c r="L107" i="15"/>
  <c r="M107" i="15"/>
  <c r="J108" i="15"/>
  <c r="K108" i="15"/>
  <c r="L108" i="15"/>
  <c r="M108" i="15"/>
  <c r="J109" i="15"/>
  <c r="K109" i="15"/>
  <c r="L109" i="15"/>
  <c r="M109" i="15"/>
  <c r="J110" i="15"/>
  <c r="K110" i="15"/>
  <c r="L110" i="15"/>
  <c r="M110" i="15"/>
  <c r="J111" i="15"/>
  <c r="K111" i="15"/>
  <c r="L111" i="15"/>
  <c r="M111" i="15"/>
  <c r="J112" i="15"/>
  <c r="K112" i="15"/>
  <c r="L112" i="15"/>
  <c r="M112" i="15"/>
  <c r="J113" i="15"/>
  <c r="K113" i="15"/>
  <c r="L113" i="15"/>
  <c r="M113" i="15"/>
  <c r="J114" i="15"/>
  <c r="K114" i="15"/>
  <c r="L114" i="15"/>
  <c r="M114" i="15"/>
  <c r="J115" i="15"/>
  <c r="K115" i="15"/>
  <c r="L115" i="15"/>
  <c r="M115" i="15"/>
  <c r="J116" i="15"/>
  <c r="K116" i="15"/>
  <c r="L116" i="15"/>
  <c r="M116" i="15"/>
  <c r="J117" i="15"/>
  <c r="K117" i="15"/>
  <c r="L117" i="15"/>
  <c r="M117" i="15"/>
  <c r="J118" i="15"/>
  <c r="K118" i="15"/>
  <c r="L118" i="15"/>
  <c r="M118" i="15"/>
  <c r="J119" i="15"/>
  <c r="K119" i="15"/>
  <c r="L119" i="15"/>
  <c r="M119" i="15"/>
  <c r="J120" i="15"/>
  <c r="K120" i="15"/>
  <c r="L120" i="15"/>
  <c r="M120" i="15"/>
  <c r="J121" i="15"/>
  <c r="K121" i="15"/>
  <c r="L121" i="15"/>
  <c r="M121" i="15"/>
  <c r="J122" i="15"/>
  <c r="K122" i="15"/>
  <c r="L122" i="15"/>
  <c r="M122" i="15"/>
  <c r="J123" i="15"/>
  <c r="K123" i="15"/>
  <c r="L123" i="15"/>
  <c r="M123" i="15"/>
  <c r="J124" i="15"/>
  <c r="K124" i="15"/>
  <c r="L124" i="15"/>
  <c r="M124" i="15"/>
  <c r="J125" i="15"/>
  <c r="K125" i="15"/>
  <c r="L125" i="15"/>
  <c r="M125" i="15"/>
  <c r="J126" i="15"/>
  <c r="K126" i="15"/>
  <c r="L126" i="15"/>
  <c r="M126" i="15"/>
  <c r="J127" i="15"/>
  <c r="K127" i="15"/>
  <c r="L127" i="15"/>
  <c r="M127" i="15"/>
  <c r="J128" i="15"/>
  <c r="K128" i="15"/>
  <c r="L128" i="15"/>
  <c r="M128" i="15"/>
  <c r="J129" i="15"/>
  <c r="K129" i="15"/>
  <c r="L129" i="15"/>
  <c r="M129" i="15"/>
  <c r="J130" i="15"/>
  <c r="K130" i="15"/>
  <c r="L130" i="15"/>
  <c r="M130" i="15"/>
  <c r="J131" i="15"/>
  <c r="K131" i="15"/>
  <c r="L131" i="15"/>
  <c r="M131" i="15"/>
  <c r="J132" i="15"/>
  <c r="K132" i="15"/>
  <c r="L132" i="15"/>
  <c r="M132" i="15"/>
  <c r="J133" i="15"/>
  <c r="K133" i="15"/>
  <c r="L133" i="15"/>
  <c r="M133" i="15"/>
  <c r="J134" i="15"/>
  <c r="K134" i="15"/>
  <c r="L134" i="15"/>
  <c r="M134" i="15"/>
  <c r="J135" i="15"/>
  <c r="K135" i="15"/>
  <c r="L135" i="15"/>
  <c r="M135" i="15"/>
  <c r="J136" i="15"/>
  <c r="K136" i="15"/>
  <c r="L136" i="15"/>
  <c r="M136" i="15"/>
  <c r="J137" i="15"/>
  <c r="K137" i="15"/>
  <c r="L137" i="15"/>
  <c r="M137" i="15"/>
  <c r="J138" i="15"/>
  <c r="K138" i="15"/>
  <c r="L138" i="15"/>
  <c r="M138" i="15"/>
  <c r="J139" i="15"/>
  <c r="K139" i="15"/>
  <c r="L139" i="15"/>
  <c r="M139" i="15"/>
  <c r="J140" i="15"/>
  <c r="K140" i="15"/>
  <c r="L140" i="15"/>
  <c r="M140" i="15"/>
  <c r="J141" i="15"/>
  <c r="K141" i="15"/>
  <c r="L141" i="15"/>
  <c r="M141" i="15"/>
  <c r="J142" i="15"/>
  <c r="K142" i="15"/>
  <c r="L142" i="15"/>
  <c r="M142" i="15"/>
  <c r="J143" i="15"/>
  <c r="K143" i="15"/>
  <c r="L143" i="15"/>
  <c r="M143" i="15"/>
  <c r="J144" i="15"/>
  <c r="K144" i="15"/>
  <c r="L144" i="15"/>
  <c r="M144" i="15"/>
  <c r="J145" i="15"/>
  <c r="K145" i="15"/>
  <c r="L145" i="15"/>
  <c r="M145" i="15"/>
  <c r="J146" i="15"/>
  <c r="K146" i="15"/>
  <c r="L146" i="15"/>
  <c r="M146" i="15"/>
  <c r="J147" i="15"/>
  <c r="K147" i="15"/>
  <c r="L147" i="15"/>
  <c r="M147" i="15"/>
  <c r="J148" i="15"/>
  <c r="K148" i="15"/>
  <c r="L148" i="15"/>
  <c r="M148" i="15"/>
  <c r="J149" i="15"/>
  <c r="K149" i="15"/>
  <c r="L149" i="15"/>
  <c r="M149" i="15"/>
  <c r="J150" i="15"/>
  <c r="K150" i="15"/>
  <c r="L150" i="15"/>
  <c r="M150" i="15"/>
  <c r="J151" i="15"/>
  <c r="K151" i="15"/>
  <c r="L151" i="15"/>
  <c r="M151" i="15"/>
  <c r="J152" i="15"/>
  <c r="K152" i="15"/>
  <c r="L152" i="15"/>
  <c r="M152" i="15"/>
  <c r="J153" i="15"/>
  <c r="K153" i="15"/>
  <c r="L153" i="15"/>
  <c r="M153" i="15"/>
  <c r="J154" i="15"/>
  <c r="K154" i="15"/>
  <c r="L154" i="15"/>
  <c r="M154" i="15"/>
  <c r="J155" i="15"/>
  <c r="K155" i="15"/>
  <c r="L155" i="15"/>
  <c r="M155" i="15"/>
  <c r="J156" i="15"/>
  <c r="K156" i="15"/>
  <c r="L156" i="15"/>
  <c r="M156" i="15"/>
  <c r="J157" i="15"/>
  <c r="K157" i="15"/>
  <c r="L157" i="15"/>
  <c r="M157" i="15"/>
  <c r="J158" i="15"/>
  <c r="K158" i="15"/>
  <c r="L158" i="15"/>
  <c r="M158" i="15"/>
  <c r="J159" i="15"/>
  <c r="K159" i="15"/>
  <c r="L159" i="15"/>
  <c r="M159" i="15"/>
  <c r="J160" i="15"/>
  <c r="K160" i="15"/>
  <c r="L160" i="15"/>
  <c r="M160" i="15"/>
  <c r="J161" i="15"/>
  <c r="K161" i="15"/>
  <c r="L161" i="15"/>
  <c r="M161" i="15"/>
  <c r="J162" i="15"/>
  <c r="K162" i="15"/>
  <c r="L162" i="15"/>
  <c r="M162" i="15"/>
  <c r="J163" i="15"/>
  <c r="K163" i="15"/>
  <c r="L163" i="15"/>
  <c r="M163" i="15"/>
  <c r="J164" i="15"/>
  <c r="K164" i="15"/>
  <c r="L164" i="15"/>
  <c r="M164" i="15"/>
  <c r="J165" i="15"/>
  <c r="K165" i="15"/>
  <c r="L165" i="15"/>
  <c r="M165" i="15"/>
  <c r="J166" i="15"/>
  <c r="K166" i="15"/>
  <c r="L166" i="15"/>
  <c r="M166" i="15"/>
  <c r="J167" i="15"/>
  <c r="K167" i="15"/>
  <c r="L167" i="15"/>
  <c r="M167" i="15"/>
  <c r="J168" i="15"/>
  <c r="K168" i="15"/>
  <c r="L168" i="15"/>
  <c r="M168" i="15"/>
  <c r="J169" i="15"/>
  <c r="K169" i="15"/>
  <c r="L169" i="15"/>
  <c r="M169" i="15"/>
  <c r="J170" i="15"/>
  <c r="K170" i="15"/>
  <c r="L170" i="15"/>
  <c r="M170" i="15"/>
  <c r="J171" i="15"/>
  <c r="K171" i="15"/>
  <c r="L171" i="15"/>
  <c r="M171" i="15"/>
  <c r="J172" i="15"/>
  <c r="K172" i="15"/>
  <c r="L172" i="15"/>
  <c r="M172" i="15"/>
  <c r="J173" i="15"/>
  <c r="K173" i="15"/>
  <c r="L173" i="15"/>
  <c r="M173" i="15"/>
  <c r="J174" i="15"/>
  <c r="K174" i="15"/>
  <c r="L174" i="15"/>
  <c r="M174" i="15"/>
  <c r="J175" i="15"/>
  <c r="K175" i="15"/>
  <c r="L175" i="15"/>
  <c r="M175" i="15"/>
  <c r="J176" i="15"/>
  <c r="K176" i="15"/>
  <c r="L176" i="15"/>
  <c r="M176" i="15"/>
  <c r="J177" i="15"/>
  <c r="K177" i="15"/>
  <c r="L177" i="15"/>
  <c r="M177" i="15"/>
  <c r="J178" i="15"/>
  <c r="K178" i="15"/>
  <c r="L178" i="15"/>
  <c r="M178" i="15"/>
  <c r="J179" i="15"/>
  <c r="K179" i="15"/>
  <c r="L179" i="15"/>
  <c r="M179" i="15"/>
  <c r="J180" i="15"/>
  <c r="K180" i="15"/>
  <c r="L180" i="15"/>
  <c r="M180" i="15"/>
  <c r="J181" i="15"/>
  <c r="K181" i="15"/>
  <c r="L181" i="15"/>
  <c r="M181" i="15"/>
  <c r="J182" i="15"/>
  <c r="K182" i="15"/>
  <c r="L182" i="15"/>
  <c r="M182" i="15"/>
  <c r="J183" i="15"/>
  <c r="K183" i="15"/>
  <c r="L183" i="15"/>
  <c r="M183" i="15"/>
  <c r="J184" i="15"/>
  <c r="K184" i="15"/>
  <c r="L184" i="15"/>
  <c r="M184" i="15"/>
  <c r="J185" i="15"/>
  <c r="K185" i="15"/>
  <c r="L185" i="15"/>
  <c r="M185" i="15"/>
  <c r="J186" i="15"/>
  <c r="K186" i="15"/>
  <c r="L186" i="15"/>
  <c r="M186" i="15"/>
  <c r="J187" i="15"/>
  <c r="K187" i="15"/>
  <c r="L187" i="15"/>
  <c r="M187" i="15"/>
  <c r="J188" i="15"/>
  <c r="K188" i="15"/>
  <c r="L188" i="15"/>
  <c r="M188" i="15"/>
  <c r="J189" i="15"/>
  <c r="K189" i="15"/>
  <c r="L189" i="15"/>
  <c r="M189" i="15"/>
  <c r="J190" i="15"/>
  <c r="K190" i="15"/>
  <c r="L190" i="15"/>
  <c r="M190" i="15"/>
  <c r="J191" i="15"/>
  <c r="K191" i="15"/>
  <c r="L191" i="15"/>
  <c r="M191" i="15"/>
  <c r="J192" i="15"/>
  <c r="K192" i="15"/>
  <c r="L192" i="15"/>
  <c r="M192" i="15"/>
  <c r="J193" i="15"/>
  <c r="K193" i="15"/>
  <c r="L193" i="15"/>
  <c r="M193" i="15"/>
  <c r="J194" i="15"/>
  <c r="K194" i="15"/>
  <c r="L194" i="15"/>
  <c r="M194" i="15"/>
  <c r="J195" i="15"/>
  <c r="K195" i="15"/>
  <c r="L195" i="15"/>
  <c r="M195" i="15"/>
  <c r="J196" i="15"/>
  <c r="K196" i="15"/>
  <c r="L196" i="15"/>
  <c r="M196" i="15"/>
  <c r="J197" i="15"/>
  <c r="K197" i="15"/>
  <c r="L197" i="15"/>
  <c r="M197" i="15"/>
  <c r="J198" i="15"/>
  <c r="K198" i="15"/>
  <c r="L198" i="15"/>
  <c r="M198" i="15"/>
  <c r="J199" i="15"/>
  <c r="K199" i="15"/>
  <c r="L199" i="15"/>
  <c r="M199" i="15"/>
  <c r="J200" i="15"/>
  <c r="K200" i="15"/>
  <c r="L200" i="15"/>
  <c r="M200" i="15"/>
  <c r="J201" i="15"/>
  <c r="K201" i="15"/>
  <c r="L201" i="15"/>
  <c r="M201" i="15"/>
  <c r="J202" i="15"/>
  <c r="K202" i="15"/>
  <c r="L202" i="15"/>
  <c r="M202" i="15"/>
  <c r="J203" i="15"/>
  <c r="K203" i="15"/>
  <c r="L203" i="15"/>
  <c r="M203" i="15"/>
  <c r="J204" i="15"/>
  <c r="K204" i="15"/>
  <c r="L204" i="15"/>
  <c r="M204" i="15"/>
  <c r="J205" i="15"/>
  <c r="K205" i="15"/>
  <c r="L205" i="15"/>
  <c r="M205" i="15"/>
  <c r="J206" i="15"/>
  <c r="K206" i="15"/>
  <c r="L206" i="15"/>
  <c r="M206" i="15"/>
  <c r="J207" i="15"/>
  <c r="K207" i="15"/>
  <c r="L207" i="15"/>
  <c r="M207" i="15"/>
  <c r="J208" i="15"/>
  <c r="K208" i="15"/>
  <c r="L208" i="15"/>
  <c r="M208" i="15"/>
  <c r="J209" i="15"/>
  <c r="K209" i="15"/>
  <c r="L209" i="15"/>
  <c r="M209" i="15"/>
  <c r="J210" i="15"/>
  <c r="K210" i="15"/>
  <c r="L210" i="15"/>
  <c r="M210" i="15"/>
  <c r="J211" i="15"/>
  <c r="K211" i="15"/>
  <c r="L211" i="15"/>
  <c r="M211" i="15"/>
  <c r="J212" i="15"/>
  <c r="K212" i="15"/>
  <c r="L212" i="15"/>
  <c r="M212" i="15"/>
  <c r="J213" i="15"/>
  <c r="K213" i="15"/>
  <c r="L213" i="15"/>
  <c r="M213" i="15"/>
  <c r="J214" i="15"/>
  <c r="K214" i="15"/>
  <c r="L214" i="15"/>
  <c r="M214" i="15"/>
  <c r="J215" i="15"/>
  <c r="K215" i="15"/>
  <c r="L215" i="15"/>
  <c r="M215" i="15"/>
  <c r="J216" i="15"/>
  <c r="K216" i="15"/>
  <c r="L216" i="15"/>
  <c r="M216" i="15"/>
  <c r="J217" i="15"/>
  <c r="K217" i="15"/>
  <c r="L217" i="15"/>
  <c r="M217" i="15"/>
  <c r="J218" i="15"/>
  <c r="K218" i="15"/>
  <c r="L218" i="15"/>
  <c r="M218" i="15"/>
  <c r="J219" i="15"/>
  <c r="K219" i="15"/>
  <c r="L219" i="15"/>
  <c r="M219" i="15"/>
  <c r="J220" i="15"/>
  <c r="K220" i="15"/>
  <c r="L220" i="15"/>
  <c r="M220" i="15"/>
  <c r="J221" i="15"/>
  <c r="K221" i="15"/>
  <c r="L221" i="15"/>
  <c r="M221" i="15"/>
  <c r="J222" i="15"/>
  <c r="K222" i="15"/>
  <c r="L222" i="15"/>
  <c r="M222" i="15"/>
  <c r="J223" i="15"/>
  <c r="K223" i="15"/>
  <c r="L223" i="15"/>
  <c r="M223" i="15"/>
  <c r="J224" i="15"/>
  <c r="K224" i="15"/>
  <c r="L224" i="15"/>
  <c r="M224" i="15"/>
  <c r="J225" i="15"/>
  <c r="K225" i="15"/>
  <c r="L225" i="15"/>
  <c r="M225" i="15"/>
  <c r="J226" i="15"/>
  <c r="K226" i="15"/>
  <c r="L226" i="15"/>
  <c r="M226" i="15"/>
  <c r="J227" i="15"/>
  <c r="K227" i="15"/>
  <c r="L227" i="15"/>
  <c r="M227" i="15"/>
  <c r="J228" i="15"/>
  <c r="K228" i="15"/>
  <c r="L228" i="15"/>
  <c r="M228" i="15"/>
  <c r="J229" i="15"/>
  <c r="K229" i="15"/>
  <c r="L229" i="15"/>
  <c r="M229" i="15"/>
  <c r="J230" i="15"/>
  <c r="K230" i="15"/>
  <c r="L230" i="15"/>
  <c r="M230" i="15"/>
  <c r="J231" i="15"/>
  <c r="K231" i="15"/>
  <c r="L231" i="15"/>
  <c r="M231" i="15"/>
  <c r="J232" i="15"/>
  <c r="K232" i="15"/>
  <c r="L232" i="15"/>
  <c r="M232" i="15"/>
  <c r="J233" i="15"/>
  <c r="K233" i="15"/>
  <c r="L233" i="15"/>
  <c r="M233" i="15"/>
  <c r="J234" i="15"/>
  <c r="K234" i="15"/>
  <c r="L234" i="15"/>
  <c r="M234" i="15"/>
  <c r="J235" i="15"/>
  <c r="K235" i="15"/>
  <c r="L235" i="15"/>
  <c r="M235" i="15"/>
  <c r="J236" i="15"/>
  <c r="K236" i="15"/>
  <c r="L236" i="15"/>
  <c r="M236" i="15"/>
  <c r="J237" i="15"/>
  <c r="K237" i="15"/>
  <c r="L237" i="15"/>
  <c r="M237" i="15"/>
  <c r="J238" i="15"/>
  <c r="K238" i="15"/>
  <c r="L238" i="15"/>
  <c r="M238" i="15"/>
  <c r="J239" i="15"/>
  <c r="K239" i="15"/>
  <c r="L239" i="15"/>
  <c r="M239" i="15"/>
  <c r="J240" i="15"/>
  <c r="K240" i="15"/>
  <c r="L240" i="15"/>
  <c r="M240" i="15"/>
  <c r="J241" i="15"/>
  <c r="K241" i="15"/>
  <c r="L241" i="15"/>
  <c r="M241" i="15"/>
  <c r="J242" i="15"/>
  <c r="K242" i="15"/>
  <c r="L242" i="15"/>
  <c r="M242" i="15"/>
  <c r="J243" i="15"/>
  <c r="K243" i="15"/>
  <c r="L243" i="15"/>
  <c r="M243" i="15"/>
  <c r="J244" i="15"/>
  <c r="K244" i="15"/>
  <c r="L244" i="15"/>
  <c r="M244" i="15"/>
  <c r="J245" i="15"/>
  <c r="K245" i="15"/>
  <c r="L245" i="15"/>
  <c r="M245" i="15"/>
  <c r="J246" i="15"/>
  <c r="K246" i="15"/>
  <c r="L246" i="15"/>
  <c r="M246" i="15"/>
  <c r="J247" i="15"/>
  <c r="K247" i="15"/>
  <c r="L247" i="15"/>
  <c r="M247" i="15"/>
  <c r="J248" i="15"/>
  <c r="K248" i="15"/>
  <c r="L248" i="15"/>
  <c r="M248" i="15"/>
  <c r="J249" i="15"/>
  <c r="K249" i="15"/>
  <c r="L249" i="15"/>
  <c r="M249" i="15"/>
  <c r="J250" i="15"/>
  <c r="K250" i="15"/>
  <c r="L250" i="15"/>
  <c r="M250" i="15"/>
  <c r="J251" i="15"/>
  <c r="K251" i="15"/>
  <c r="L251" i="15"/>
  <c r="M251" i="15"/>
  <c r="J252" i="15"/>
  <c r="K252" i="15"/>
  <c r="L252" i="15"/>
  <c r="M252" i="15"/>
  <c r="J253" i="15"/>
  <c r="K253" i="15"/>
  <c r="L253" i="15"/>
  <c r="M253" i="15"/>
  <c r="J254" i="15"/>
  <c r="K254" i="15"/>
  <c r="L254" i="15"/>
  <c r="M254" i="15"/>
  <c r="J255" i="15"/>
  <c r="K255" i="15"/>
  <c r="L255" i="15"/>
  <c r="M255" i="15"/>
  <c r="J256" i="15"/>
  <c r="K256" i="15"/>
  <c r="L256" i="15"/>
  <c r="M256" i="15"/>
  <c r="J257" i="15"/>
  <c r="K257" i="15"/>
  <c r="L257" i="15"/>
  <c r="M257" i="15"/>
  <c r="J258" i="15"/>
  <c r="K258" i="15"/>
  <c r="L258" i="15"/>
  <c r="M258" i="15"/>
  <c r="J259" i="15"/>
  <c r="K259" i="15"/>
  <c r="L259" i="15"/>
  <c r="M259" i="15"/>
  <c r="J260" i="15"/>
  <c r="K260" i="15"/>
  <c r="L260" i="15"/>
  <c r="M260" i="15"/>
  <c r="J261" i="15"/>
  <c r="K261" i="15"/>
  <c r="L261" i="15"/>
  <c r="M261" i="15"/>
  <c r="J262" i="15"/>
  <c r="K262" i="15"/>
  <c r="L262" i="15"/>
  <c r="M262" i="15"/>
  <c r="J263" i="15"/>
  <c r="K263" i="15"/>
  <c r="L263" i="15"/>
  <c r="M263" i="15"/>
  <c r="J264" i="15"/>
  <c r="K264" i="15"/>
  <c r="L264" i="15"/>
  <c r="M264" i="15"/>
  <c r="J265" i="15"/>
  <c r="K265" i="15"/>
  <c r="L265" i="15"/>
  <c r="M265" i="15"/>
  <c r="J266" i="15"/>
  <c r="K266" i="15"/>
  <c r="L266" i="15"/>
  <c r="M266" i="15"/>
  <c r="J267" i="15"/>
  <c r="K267" i="15"/>
  <c r="L267" i="15"/>
  <c r="M267" i="15"/>
  <c r="J268" i="15"/>
  <c r="K268" i="15"/>
  <c r="L268" i="15"/>
  <c r="M268" i="15"/>
  <c r="J269" i="15"/>
  <c r="K269" i="15"/>
  <c r="L269" i="15"/>
  <c r="M269" i="15"/>
  <c r="J270" i="15"/>
  <c r="K270" i="15"/>
  <c r="L270" i="15"/>
  <c r="M270" i="15"/>
  <c r="J271" i="15"/>
  <c r="K271" i="15"/>
  <c r="L271" i="15"/>
  <c r="M271" i="15"/>
  <c r="J272" i="15"/>
  <c r="K272" i="15"/>
  <c r="L272" i="15"/>
  <c r="M272" i="15"/>
  <c r="J273" i="15"/>
  <c r="K273" i="15"/>
  <c r="L273" i="15"/>
  <c r="M273" i="15"/>
  <c r="J274" i="15"/>
  <c r="K274" i="15"/>
  <c r="L274" i="15"/>
  <c r="M274" i="15"/>
  <c r="J275" i="15"/>
  <c r="K275" i="15"/>
  <c r="L275" i="15"/>
  <c r="M275" i="15"/>
  <c r="J276" i="15"/>
  <c r="K276" i="15"/>
  <c r="L276" i="15"/>
  <c r="M276" i="15"/>
  <c r="J277" i="15"/>
  <c r="K277" i="15"/>
  <c r="L277" i="15"/>
  <c r="M277" i="15"/>
  <c r="J278" i="15"/>
  <c r="K278" i="15"/>
  <c r="L278" i="15"/>
  <c r="M278" i="15"/>
  <c r="J279" i="15"/>
  <c r="K279" i="15"/>
  <c r="L279" i="15"/>
  <c r="M279" i="15"/>
  <c r="J280" i="15"/>
  <c r="K280" i="15"/>
  <c r="L280" i="15"/>
  <c r="M280" i="15"/>
  <c r="J281" i="15"/>
  <c r="K281" i="15"/>
  <c r="L281" i="15"/>
  <c r="M281" i="15"/>
  <c r="J282" i="15"/>
  <c r="K282" i="15"/>
  <c r="L282" i="15"/>
  <c r="M282" i="15"/>
  <c r="J283" i="15"/>
  <c r="K283" i="15"/>
  <c r="L283" i="15"/>
  <c r="M283" i="15"/>
  <c r="J284" i="15"/>
  <c r="K284" i="15"/>
  <c r="L284" i="15"/>
  <c r="M284" i="15"/>
  <c r="J285" i="15"/>
  <c r="K285" i="15"/>
  <c r="L285" i="15"/>
  <c r="M285" i="15"/>
  <c r="J286" i="15"/>
  <c r="K286" i="15"/>
  <c r="L286" i="15"/>
  <c r="M286" i="15"/>
  <c r="J287" i="15"/>
  <c r="K287" i="15"/>
  <c r="L287" i="15"/>
  <c r="M287" i="15"/>
  <c r="J288" i="15"/>
  <c r="K288" i="15"/>
  <c r="L288" i="15"/>
  <c r="M288" i="15"/>
  <c r="J289" i="15"/>
  <c r="K289" i="15"/>
  <c r="L289" i="15"/>
  <c r="M289" i="15"/>
  <c r="J290" i="15"/>
  <c r="K290" i="15"/>
  <c r="L290" i="15"/>
  <c r="M290" i="15"/>
  <c r="J291" i="15"/>
  <c r="K291" i="15"/>
  <c r="L291" i="15"/>
  <c r="M291" i="15"/>
  <c r="J292" i="15"/>
  <c r="K292" i="15"/>
  <c r="L292" i="15"/>
  <c r="M292" i="15"/>
  <c r="J293" i="15"/>
  <c r="K293" i="15"/>
  <c r="L293" i="15"/>
  <c r="M293" i="15"/>
  <c r="J294" i="15"/>
  <c r="K294" i="15"/>
  <c r="L294" i="15"/>
  <c r="M294" i="15"/>
  <c r="J295" i="15"/>
  <c r="K295" i="15"/>
  <c r="L295" i="15"/>
  <c r="M295" i="15"/>
  <c r="J296" i="15"/>
  <c r="K296" i="15"/>
  <c r="L296" i="15"/>
  <c r="M296" i="15"/>
  <c r="J297" i="15"/>
  <c r="K297" i="15"/>
  <c r="L297" i="15"/>
  <c r="M297" i="15"/>
  <c r="J298" i="15"/>
  <c r="K298" i="15"/>
  <c r="L298" i="15"/>
  <c r="M298" i="15"/>
  <c r="J299" i="15"/>
  <c r="K299" i="15"/>
  <c r="L299" i="15"/>
  <c r="M299" i="15"/>
  <c r="J300" i="15"/>
  <c r="K300" i="15"/>
  <c r="L300" i="15"/>
  <c r="M300" i="15"/>
  <c r="J301" i="15"/>
  <c r="K301" i="15"/>
  <c r="L301" i="15"/>
  <c r="M301" i="15"/>
  <c r="J302" i="15"/>
  <c r="K302" i="15"/>
  <c r="L302" i="15"/>
  <c r="M302" i="15"/>
  <c r="J303" i="15"/>
  <c r="K303" i="15"/>
  <c r="L303" i="15"/>
  <c r="M303" i="15"/>
  <c r="J304" i="15"/>
  <c r="K304" i="15"/>
  <c r="L304" i="15"/>
  <c r="M304" i="15"/>
  <c r="J305" i="15"/>
  <c r="K305" i="15"/>
  <c r="L305" i="15"/>
  <c r="M305" i="15"/>
  <c r="J306" i="15"/>
  <c r="K306" i="15"/>
  <c r="L306" i="15"/>
  <c r="M306" i="15"/>
  <c r="J307" i="15"/>
  <c r="K307" i="15"/>
  <c r="L307" i="15"/>
  <c r="M307" i="15"/>
  <c r="J308" i="15"/>
  <c r="K308" i="15"/>
  <c r="L308" i="15"/>
  <c r="M308" i="15"/>
  <c r="J309" i="15"/>
  <c r="K309" i="15"/>
  <c r="L309" i="15"/>
  <c r="M309" i="15"/>
  <c r="J310" i="15"/>
  <c r="K310" i="15"/>
  <c r="L310" i="15"/>
  <c r="M310" i="15"/>
  <c r="J311" i="15"/>
  <c r="K311" i="15"/>
  <c r="L311" i="15"/>
  <c r="M311" i="15"/>
  <c r="J312" i="15"/>
  <c r="K312" i="15"/>
  <c r="L312" i="15"/>
  <c r="M312" i="15"/>
  <c r="J313" i="15"/>
  <c r="K313" i="15"/>
  <c r="L313" i="15"/>
  <c r="M313" i="15"/>
  <c r="J314" i="15"/>
  <c r="K314" i="15"/>
  <c r="L314" i="15"/>
  <c r="M314" i="15"/>
  <c r="J315" i="15"/>
  <c r="K315" i="15"/>
  <c r="L315" i="15"/>
  <c r="M315" i="15"/>
  <c r="J316" i="15"/>
  <c r="K316" i="15"/>
  <c r="L316" i="15"/>
  <c r="M316" i="15"/>
  <c r="J317" i="15"/>
  <c r="K317" i="15"/>
  <c r="L317" i="15"/>
  <c r="M317" i="15"/>
  <c r="J318" i="15"/>
  <c r="K318" i="15"/>
  <c r="L318" i="15"/>
  <c r="M318" i="15"/>
  <c r="J319" i="15"/>
  <c r="K319" i="15"/>
  <c r="L319" i="15"/>
  <c r="M319" i="15"/>
  <c r="J320" i="15"/>
  <c r="K320" i="15"/>
  <c r="L320" i="15"/>
  <c r="M320" i="15"/>
  <c r="J321" i="15"/>
  <c r="K321" i="15"/>
  <c r="L321" i="15"/>
  <c r="M321" i="15"/>
  <c r="J322" i="15"/>
  <c r="K322" i="15"/>
  <c r="L322" i="15"/>
  <c r="M322" i="15"/>
  <c r="J323" i="15"/>
  <c r="K323" i="15"/>
  <c r="L323" i="15"/>
  <c r="M323" i="15"/>
  <c r="J324" i="15"/>
  <c r="K324" i="15"/>
  <c r="L324" i="15"/>
  <c r="M324" i="15"/>
  <c r="J325" i="15"/>
  <c r="K325" i="15"/>
  <c r="L325" i="15"/>
  <c r="M325" i="15"/>
  <c r="J326" i="15"/>
  <c r="K326" i="15"/>
  <c r="L326" i="15"/>
  <c r="M326" i="15"/>
  <c r="J327" i="15"/>
  <c r="K327" i="15"/>
  <c r="L327" i="15"/>
  <c r="M327" i="15"/>
  <c r="J328" i="15"/>
  <c r="K328" i="15"/>
  <c r="L328" i="15"/>
  <c r="M328" i="15"/>
  <c r="J329" i="15"/>
  <c r="K329" i="15"/>
  <c r="L329" i="15"/>
  <c r="M329" i="15"/>
  <c r="J330" i="15"/>
  <c r="K330" i="15"/>
  <c r="L330" i="15"/>
  <c r="M330" i="15"/>
  <c r="J331" i="15"/>
  <c r="K331" i="15"/>
  <c r="L331" i="15"/>
  <c r="M331" i="15"/>
  <c r="J332" i="15"/>
  <c r="K332" i="15"/>
  <c r="L332" i="15"/>
  <c r="M332" i="15"/>
  <c r="J333" i="15"/>
  <c r="K333" i="15"/>
  <c r="L333" i="15"/>
  <c r="M333" i="15"/>
  <c r="J334" i="15"/>
  <c r="K334" i="15"/>
  <c r="L334" i="15"/>
  <c r="M334" i="15"/>
  <c r="J335" i="15"/>
  <c r="K335" i="15"/>
  <c r="L335" i="15"/>
  <c r="M335" i="15"/>
  <c r="J336" i="15"/>
  <c r="K336" i="15"/>
  <c r="L336" i="15"/>
  <c r="M336" i="15"/>
  <c r="J337" i="15"/>
  <c r="K337" i="15"/>
  <c r="L337" i="15"/>
  <c r="M337" i="15"/>
  <c r="J338" i="15"/>
  <c r="K338" i="15"/>
  <c r="L338" i="15"/>
  <c r="M338" i="15"/>
  <c r="J339" i="15"/>
  <c r="K339" i="15"/>
  <c r="L339" i="15"/>
  <c r="M339" i="15"/>
  <c r="J340" i="15"/>
  <c r="K340" i="15"/>
  <c r="L340" i="15"/>
  <c r="M340" i="15"/>
  <c r="J341" i="15"/>
  <c r="K341" i="15"/>
  <c r="L341" i="15"/>
  <c r="M341" i="15"/>
  <c r="J342" i="15"/>
  <c r="K342" i="15"/>
  <c r="L342" i="15"/>
  <c r="M342" i="15"/>
  <c r="J343" i="15"/>
  <c r="K343" i="15"/>
  <c r="L343" i="15"/>
  <c r="M343" i="15"/>
  <c r="J344" i="15"/>
  <c r="K344" i="15"/>
  <c r="L344" i="15"/>
  <c r="M344" i="15"/>
  <c r="J345" i="15"/>
  <c r="K345" i="15"/>
  <c r="L345" i="15"/>
  <c r="M345" i="15"/>
  <c r="J346" i="15"/>
  <c r="K346" i="15"/>
  <c r="L346" i="15"/>
  <c r="M346" i="15"/>
  <c r="J347" i="15"/>
  <c r="K347" i="15"/>
  <c r="L347" i="15"/>
  <c r="M347" i="15"/>
  <c r="J348" i="15"/>
  <c r="K348" i="15"/>
  <c r="L348" i="15"/>
  <c r="M348" i="15"/>
  <c r="J349" i="15"/>
  <c r="K349" i="15"/>
  <c r="L349" i="15"/>
  <c r="M349" i="15"/>
  <c r="J350" i="15"/>
  <c r="K350" i="15"/>
  <c r="L350" i="15"/>
  <c r="M350" i="15"/>
  <c r="J351" i="15"/>
  <c r="K351" i="15"/>
  <c r="L351" i="15"/>
  <c r="M351" i="15"/>
  <c r="J352" i="15"/>
  <c r="K352" i="15"/>
  <c r="L352" i="15"/>
  <c r="M352" i="15"/>
  <c r="J353" i="15"/>
  <c r="K353" i="15"/>
  <c r="L353" i="15"/>
  <c r="M353" i="15"/>
  <c r="J354" i="15"/>
  <c r="K354" i="15"/>
  <c r="L354" i="15"/>
  <c r="M354" i="15"/>
  <c r="J355" i="15"/>
  <c r="K355" i="15"/>
  <c r="L355" i="15"/>
  <c r="M355" i="15"/>
  <c r="J356" i="15"/>
  <c r="K356" i="15"/>
  <c r="L356" i="15"/>
  <c r="M356" i="15"/>
  <c r="J357" i="15"/>
  <c r="K357" i="15"/>
  <c r="L357" i="15"/>
  <c r="M357" i="15"/>
  <c r="J358" i="15"/>
  <c r="K358" i="15"/>
  <c r="L358" i="15"/>
  <c r="M358" i="15"/>
  <c r="J359" i="15"/>
  <c r="K359" i="15"/>
  <c r="L359" i="15"/>
  <c r="M359" i="15"/>
  <c r="J360" i="15"/>
  <c r="K360" i="15"/>
  <c r="L360" i="15"/>
  <c r="M360" i="15"/>
  <c r="J361" i="15"/>
  <c r="K361" i="15"/>
  <c r="L361" i="15"/>
  <c r="M361" i="15"/>
  <c r="J362" i="15"/>
  <c r="K362" i="15"/>
  <c r="L362" i="15"/>
  <c r="M362" i="15"/>
  <c r="J363" i="15"/>
  <c r="K363" i="15"/>
  <c r="L363" i="15"/>
  <c r="M363" i="15"/>
  <c r="J364" i="15"/>
  <c r="K364" i="15"/>
  <c r="L364" i="15"/>
  <c r="M364" i="15"/>
  <c r="J365" i="15"/>
  <c r="K365" i="15"/>
  <c r="L365" i="15"/>
  <c r="M365" i="15"/>
  <c r="J366" i="15"/>
  <c r="K366" i="15"/>
  <c r="L366" i="15"/>
  <c r="M366" i="15"/>
  <c r="J367" i="15"/>
  <c r="K367" i="15"/>
  <c r="L367" i="15"/>
  <c r="M367" i="15"/>
  <c r="J368" i="15"/>
  <c r="K368" i="15"/>
  <c r="L368" i="15"/>
  <c r="M368" i="15"/>
  <c r="J369" i="15"/>
  <c r="K369" i="15"/>
  <c r="L369" i="15"/>
  <c r="M369" i="15"/>
  <c r="J370" i="15"/>
  <c r="K370" i="15"/>
  <c r="L370" i="15"/>
  <c r="M370" i="15"/>
  <c r="J371" i="15"/>
  <c r="K371" i="15"/>
  <c r="L371" i="15"/>
  <c r="M371" i="15"/>
  <c r="J372" i="15"/>
  <c r="K372" i="15"/>
  <c r="L372" i="15"/>
  <c r="M372" i="15"/>
  <c r="J373" i="15"/>
  <c r="K373" i="15"/>
  <c r="L373" i="15"/>
  <c r="M373" i="15"/>
  <c r="J374" i="15"/>
  <c r="K374" i="15"/>
  <c r="L374" i="15"/>
  <c r="M374" i="15"/>
  <c r="J375" i="15"/>
  <c r="K375" i="15"/>
  <c r="L375" i="15"/>
  <c r="M375" i="15"/>
  <c r="J376" i="15"/>
  <c r="K376" i="15"/>
  <c r="L376" i="15"/>
  <c r="M376" i="15"/>
  <c r="J377" i="15"/>
  <c r="K377" i="15"/>
  <c r="L377" i="15"/>
  <c r="M377" i="15"/>
  <c r="J378" i="15"/>
  <c r="K378" i="15"/>
  <c r="L378" i="15"/>
  <c r="M378" i="15"/>
  <c r="J379" i="15"/>
  <c r="K379" i="15"/>
  <c r="L379" i="15"/>
  <c r="M379" i="15"/>
  <c r="J380" i="15"/>
  <c r="K380" i="15"/>
  <c r="L380" i="15"/>
  <c r="M380" i="15"/>
  <c r="J381" i="15"/>
  <c r="K381" i="15"/>
  <c r="L381" i="15"/>
  <c r="M381" i="15"/>
  <c r="J382" i="15"/>
  <c r="K382" i="15"/>
  <c r="L382" i="15"/>
  <c r="M382" i="15"/>
  <c r="J383" i="15"/>
  <c r="K383" i="15"/>
  <c r="L383" i="15"/>
  <c r="M383" i="15"/>
  <c r="J384" i="15"/>
  <c r="K384" i="15"/>
  <c r="L384" i="15"/>
  <c r="M384" i="15"/>
  <c r="J385" i="15"/>
  <c r="K385" i="15"/>
  <c r="L385" i="15"/>
  <c r="M385" i="15"/>
  <c r="J386" i="15"/>
  <c r="K386" i="15"/>
  <c r="L386" i="15"/>
  <c r="M386" i="15"/>
  <c r="J387" i="15"/>
  <c r="K387" i="15"/>
  <c r="L387" i="15"/>
  <c r="M387" i="15"/>
  <c r="J388" i="15"/>
  <c r="K388" i="15"/>
  <c r="L388" i="15"/>
  <c r="M388" i="15"/>
  <c r="J389" i="15"/>
  <c r="K389" i="15"/>
  <c r="L389" i="15"/>
  <c r="M389" i="15"/>
  <c r="J390" i="15"/>
  <c r="K390" i="15"/>
  <c r="L390" i="15"/>
  <c r="M390" i="15"/>
  <c r="J391" i="15"/>
  <c r="K391" i="15"/>
  <c r="L391" i="15"/>
  <c r="M391" i="15"/>
  <c r="J392" i="15"/>
  <c r="K392" i="15"/>
  <c r="L392" i="15"/>
  <c r="M392" i="15"/>
  <c r="J393" i="15"/>
  <c r="K393" i="15"/>
  <c r="L393" i="15"/>
  <c r="M393" i="15"/>
  <c r="J394" i="15"/>
  <c r="K394" i="15"/>
  <c r="L394" i="15"/>
  <c r="M394" i="15"/>
  <c r="J395" i="15"/>
  <c r="K395" i="15"/>
  <c r="L395" i="15"/>
  <c r="M395" i="15"/>
  <c r="J396" i="15"/>
  <c r="K396" i="15"/>
  <c r="L396" i="15"/>
  <c r="M396" i="15"/>
  <c r="J397" i="15"/>
  <c r="K397" i="15"/>
  <c r="L397" i="15"/>
  <c r="M397" i="15"/>
  <c r="J398" i="15"/>
  <c r="K398" i="15"/>
  <c r="L398" i="15"/>
  <c r="M398" i="15"/>
  <c r="J399" i="15"/>
  <c r="K399" i="15"/>
  <c r="L399" i="15"/>
  <c r="M399" i="15"/>
  <c r="J400" i="15"/>
  <c r="K400" i="15"/>
  <c r="L400" i="15"/>
  <c r="M400" i="15"/>
  <c r="J401" i="15"/>
  <c r="K401" i="15"/>
  <c r="L401" i="15"/>
  <c r="M401" i="15"/>
  <c r="J402" i="15"/>
  <c r="K402" i="15"/>
  <c r="L402" i="15"/>
  <c r="M402" i="15"/>
  <c r="J403" i="15"/>
  <c r="K403" i="15"/>
  <c r="L403" i="15"/>
  <c r="M403" i="15"/>
  <c r="J404" i="15"/>
  <c r="K404" i="15"/>
  <c r="L404" i="15"/>
  <c r="M404" i="15"/>
  <c r="J405" i="15"/>
  <c r="K405" i="15"/>
  <c r="L405" i="15"/>
  <c r="M405" i="15"/>
  <c r="J406" i="15"/>
  <c r="K406" i="15"/>
  <c r="L406" i="15"/>
  <c r="M406" i="15"/>
  <c r="J407" i="15"/>
  <c r="K407" i="15"/>
  <c r="L407" i="15"/>
  <c r="M407" i="15"/>
  <c r="J408" i="15"/>
  <c r="K408" i="15"/>
  <c r="L408" i="15"/>
  <c r="M408" i="15"/>
  <c r="J409" i="15"/>
  <c r="K409" i="15"/>
  <c r="L409" i="15"/>
  <c r="M409" i="15"/>
  <c r="J410" i="15"/>
  <c r="K410" i="15"/>
  <c r="L410" i="15"/>
  <c r="M410" i="15"/>
  <c r="J411" i="15"/>
  <c r="K411" i="15"/>
  <c r="L411" i="15"/>
  <c r="M411" i="15"/>
  <c r="J412" i="15"/>
  <c r="K412" i="15"/>
  <c r="L412" i="15"/>
  <c r="M412" i="15"/>
  <c r="J413" i="15"/>
  <c r="K413" i="15"/>
  <c r="L413" i="15"/>
  <c r="M413" i="15"/>
  <c r="J414" i="15"/>
  <c r="K414" i="15"/>
  <c r="L414" i="15"/>
  <c r="M414" i="15"/>
  <c r="J415" i="15"/>
  <c r="K415" i="15"/>
  <c r="L415" i="15"/>
  <c r="M415" i="15"/>
  <c r="J416" i="15"/>
  <c r="K416" i="15"/>
  <c r="L416" i="15"/>
  <c r="M416" i="15"/>
  <c r="J417" i="15"/>
  <c r="K417" i="15"/>
  <c r="L417" i="15"/>
  <c r="M417" i="15"/>
  <c r="J418" i="15"/>
  <c r="K418" i="15"/>
  <c r="L418" i="15"/>
  <c r="M418" i="15"/>
  <c r="J419" i="15"/>
  <c r="K419" i="15"/>
  <c r="L419" i="15"/>
  <c r="M419" i="15"/>
  <c r="J420" i="15"/>
  <c r="K420" i="15"/>
  <c r="L420" i="15"/>
  <c r="M420" i="15"/>
  <c r="J421" i="15"/>
  <c r="K421" i="15"/>
  <c r="L421" i="15"/>
  <c r="M421" i="15"/>
  <c r="J422" i="15"/>
  <c r="K422" i="15"/>
  <c r="L422" i="15"/>
  <c r="M422" i="15"/>
  <c r="J423" i="15"/>
  <c r="K423" i="15"/>
  <c r="L423" i="15"/>
  <c r="M423" i="15"/>
  <c r="J424" i="15"/>
  <c r="K424" i="15"/>
  <c r="L424" i="15"/>
  <c r="M424" i="15"/>
  <c r="J425" i="15"/>
  <c r="K425" i="15"/>
  <c r="L425" i="15"/>
  <c r="M425" i="15"/>
  <c r="J426" i="15"/>
  <c r="K426" i="15"/>
  <c r="L426" i="15"/>
  <c r="M426" i="15"/>
  <c r="J427" i="15"/>
  <c r="K427" i="15"/>
  <c r="L427" i="15"/>
  <c r="M427" i="15"/>
  <c r="J428" i="15"/>
  <c r="K428" i="15"/>
  <c r="L428" i="15"/>
  <c r="M428" i="15"/>
  <c r="J429" i="15"/>
  <c r="K429" i="15"/>
  <c r="L429" i="15"/>
  <c r="M429" i="15"/>
  <c r="J430" i="15"/>
  <c r="K430" i="15"/>
  <c r="L430" i="15"/>
  <c r="M430" i="15"/>
  <c r="J431" i="15"/>
  <c r="K431" i="15"/>
  <c r="L431" i="15"/>
  <c r="M431" i="15"/>
  <c r="J432" i="15"/>
  <c r="K432" i="15"/>
  <c r="L432" i="15"/>
  <c r="M432" i="15"/>
  <c r="J433" i="15"/>
  <c r="K433" i="15"/>
  <c r="L433" i="15"/>
  <c r="M433" i="15"/>
  <c r="J434" i="15"/>
  <c r="K434" i="15"/>
  <c r="L434" i="15"/>
  <c r="M434" i="15"/>
  <c r="J435" i="15"/>
  <c r="K435" i="15"/>
  <c r="L435" i="15"/>
  <c r="M435" i="15"/>
  <c r="J436" i="15"/>
  <c r="K436" i="15"/>
  <c r="L436" i="15"/>
  <c r="M436" i="15"/>
  <c r="J437" i="15"/>
  <c r="K437" i="15"/>
  <c r="L437" i="15"/>
  <c r="M437" i="15"/>
  <c r="J438" i="15"/>
  <c r="K438" i="15"/>
  <c r="L438" i="15"/>
  <c r="M438" i="15"/>
  <c r="J439" i="15"/>
  <c r="K439" i="15"/>
  <c r="L439" i="15"/>
  <c r="M439" i="15"/>
  <c r="J440" i="15"/>
  <c r="K440" i="15"/>
  <c r="L440" i="15"/>
  <c r="M440" i="15"/>
  <c r="J441" i="15"/>
  <c r="K441" i="15"/>
  <c r="L441" i="15"/>
  <c r="M441" i="15"/>
  <c r="J442" i="15"/>
  <c r="K442" i="15"/>
  <c r="L442" i="15"/>
  <c r="M442" i="15"/>
  <c r="J443" i="15"/>
  <c r="K443" i="15"/>
  <c r="L443" i="15"/>
  <c r="M443" i="15"/>
  <c r="J444" i="15"/>
  <c r="K444" i="15"/>
  <c r="L444" i="15"/>
  <c r="M444" i="15"/>
  <c r="J445" i="15"/>
  <c r="K445" i="15"/>
  <c r="L445" i="15"/>
  <c r="M445" i="15"/>
  <c r="J446" i="15"/>
  <c r="K446" i="15"/>
  <c r="L446" i="15"/>
  <c r="M446" i="15"/>
  <c r="J447" i="15"/>
  <c r="K447" i="15"/>
  <c r="L447" i="15"/>
  <c r="M447" i="15"/>
  <c r="J448" i="15"/>
  <c r="K448" i="15"/>
  <c r="L448" i="15"/>
  <c r="M448" i="15"/>
  <c r="J449" i="15"/>
  <c r="K449" i="15"/>
  <c r="L449" i="15"/>
  <c r="M449" i="15"/>
  <c r="J450" i="15"/>
  <c r="K450" i="15"/>
  <c r="L450" i="15"/>
  <c r="M450" i="15"/>
  <c r="J451" i="15"/>
  <c r="K451" i="15"/>
  <c r="L451" i="15"/>
  <c r="M451" i="15"/>
  <c r="J452" i="15"/>
  <c r="K452" i="15"/>
  <c r="L452" i="15"/>
  <c r="M452" i="15"/>
  <c r="J453" i="15"/>
  <c r="K453" i="15"/>
  <c r="L453" i="15"/>
  <c r="M453" i="15"/>
  <c r="J454" i="15"/>
  <c r="K454" i="15"/>
  <c r="L454" i="15"/>
  <c r="M454" i="15"/>
  <c r="J455" i="15"/>
  <c r="K455" i="15"/>
  <c r="L455" i="15"/>
  <c r="M455" i="15"/>
  <c r="J456" i="15"/>
  <c r="K456" i="15"/>
  <c r="L456" i="15"/>
  <c r="M456" i="15"/>
  <c r="J457" i="15"/>
  <c r="K457" i="15"/>
  <c r="L457" i="15"/>
  <c r="M457" i="15"/>
  <c r="J458" i="15"/>
  <c r="K458" i="15"/>
  <c r="L458" i="15"/>
  <c r="M458" i="15"/>
  <c r="J459" i="15"/>
  <c r="K459" i="15"/>
  <c r="L459" i="15"/>
  <c r="M459" i="15"/>
  <c r="J460" i="15"/>
  <c r="K460" i="15"/>
  <c r="L460" i="15"/>
  <c r="M460" i="15"/>
  <c r="J461" i="15"/>
  <c r="K461" i="15"/>
  <c r="L461" i="15"/>
  <c r="M461" i="15"/>
  <c r="J462" i="15"/>
  <c r="K462" i="15"/>
  <c r="L462" i="15"/>
  <c r="M462" i="15"/>
  <c r="J463" i="15"/>
  <c r="K463" i="15"/>
  <c r="L463" i="15"/>
  <c r="M463" i="15"/>
  <c r="J464" i="15"/>
  <c r="K464" i="15"/>
  <c r="L464" i="15"/>
  <c r="M464" i="15"/>
  <c r="J465" i="15"/>
  <c r="K465" i="15"/>
  <c r="L465" i="15"/>
  <c r="M465" i="15"/>
  <c r="J466" i="15"/>
  <c r="K466" i="15"/>
  <c r="L466" i="15"/>
  <c r="M466" i="15"/>
  <c r="J467" i="15"/>
  <c r="K467" i="15"/>
  <c r="L467" i="15"/>
  <c r="M467" i="15"/>
  <c r="J468" i="15"/>
  <c r="K468" i="15"/>
  <c r="L468" i="15"/>
  <c r="M468" i="15"/>
  <c r="J469" i="15"/>
  <c r="K469" i="15"/>
  <c r="L469" i="15"/>
  <c r="M469" i="15"/>
  <c r="J470" i="15"/>
  <c r="K470" i="15"/>
  <c r="L470" i="15"/>
  <c r="M470" i="15"/>
  <c r="J471" i="15"/>
  <c r="K471" i="15"/>
  <c r="L471" i="15"/>
  <c r="M471" i="15"/>
  <c r="J472" i="15"/>
  <c r="K472" i="15"/>
  <c r="L472" i="15"/>
  <c r="M472" i="15"/>
  <c r="J473" i="15"/>
  <c r="K473" i="15"/>
  <c r="L473" i="15"/>
  <c r="M473" i="15"/>
  <c r="J474" i="15"/>
  <c r="K474" i="15"/>
  <c r="L474" i="15"/>
  <c r="M474" i="15"/>
  <c r="J475" i="15"/>
  <c r="K475" i="15"/>
  <c r="L475" i="15"/>
  <c r="M475" i="15"/>
  <c r="J476" i="15"/>
  <c r="K476" i="15"/>
  <c r="L476" i="15"/>
  <c r="M476" i="15"/>
  <c r="J477" i="15"/>
  <c r="K477" i="15"/>
  <c r="L477" i="15"/>
  <c r="M477" i="15"/>
  <c r="J478" i="15"/>
  <c r="K478" i="15"/>
  <c r="L478" i="15"/>
  <c r="M478" i="15"/>
  <c r="J479" i="15"/>
  <c r="K479" i="15"/>
  <c r="L479" i="15"/>
  <c r="M479" i="15"/>
  <c r="J480" i="15"/>
  <c r="K480" i="15"/>
  <c r="L480" i="15"/>
  <c r="M480" i="15"/>
  <c r="J481" i="15"/>
  <c r="K481" i="15"/>
  <c r="L481" i="15"/>
  <c r="M481" i="15"/>
  <c r="J482" i="15"/>
  <c r="K482" i="15"/>
  <c r="L482" i="15"/>
  <c r="M482" i="15"/>
  <c r="J483" i="15"/>
  <c r="K483" i="15"/>
  <c r="L483" i="15"/>
  <c r="M483" i="15"/>
  <c r="J484" i="15"/>
  <c r="K484" i="15"/>
  <c r="L484" i="15"/>
  <c r="M484" i="15"/>
  <c r="J485" i="15"/>
  <c r="K485" i="15"/>
  <c r="L485" i="15"/>
  <c r="M485" i="15"/>
  <c r="J486" i="15"/>
  <c r="K486" i="15"/>
  <c r="L486" i="15"/>
  <c r="M486" i="15"/>
  <c r="J487" i="15"/>
  <c r="K487" i="15"/>
  <c r="L487" i="15"/>
  <c r="M487" i="15"/>
  <c r="J488" i="15"/>
  <c r="K488" i="15"/>
  <c r="L488" i="15"/>
  <c r="M488" i="15"/>
  <c r="J489" i="15"/>
  <c r="K489" i="15"/>
  <c r="L489" i="15"/>
  <c r="M489" i="15"/>
  <c r="J490" i="15"/>
  <c r="K490" i="15"/>
  <c r="L490" i="15"/>
  <c r="M490" i="15"/>
  <c r="J491" i="15"/>
  <c r="K491" i="15"/>
  <c r="L491" i="15"/>
  <c r="M491" i="15"/>
  <c r="J492" i="15"/>
  <c r="K492" i="15"/>
  <c r="L492" i="15"/>
  <c r="M492" i="15"/>
  <c r="J493" i="15"/>
  <c r="K493" i="15"/>
  <c r="L493" i="15"/>
  <c r="M493" i="15"/>
  <c r="J494" i="15"/>
  <c r="K494" i="15"/>
  <c r="L494" i="15"/>
  <c r="M494" i="15"/>
  <c r="J495" i="15"/>
  <c r="K495" i="15"/>
  <c r="L495" i="15"/>
  <c r="M495" i="15"/>
  <c r="J496" i="15"/>
  <c r="K496" i="15"/>
  <c r="L496" i="15"/>
  <c r="M496" i="15"/>
  <c r="J497" i="15"/>
  <c r="K497" i="15"/>
  <c r="L497" i="15"/>
  <c r="M497" i="15"/>
  <c r="J498" i="15"/>
  <c r="K498" i="15"/>
  <c r="L498" i="15"/>
  <c r="M498" i="15"/>
  <c r="J499" i="15"/>
  <c r="K499" i="15"/>
  <c r="L499" i="15"/>
  <c r="M499" i="15"/>
  <c r="J500" i="15"/>
  <c r="K500" i="15"/>
  <c r="L500" i="15"/>
  <c r="M500" i="15"/>
  <c r="J501" i="15"/>
  <c r="K501" i="15"/>
  <c r="L501" i="15"/>
  <c r="M501" i="15"/>
  <c r="J502" i="15"/>
  <c r="K502" i="15"/>
  <c r="L502" i="15"/>
  <c r="M502" i="15"/>
  <c r="J503" i="15"/>
  <c r="K503" i="15"/>
  <c r="L503" i="15"/>
  <c r="M503" i="15"/>
  <c r="J504" i="15"/>
  <c r="K504" i="15"/>
  <c r="L504" i="15"/>
  <c r="M504" i="15"/>
  <c r="J505" i="15"/>
  <c r="K505" i="15"/>
  <c r="L505" i="15"/>
  <c r="M505" i="15"/>
  <c r="J506" i="15"/>
  <c r="K506" i="15"/>
  <c r="L506" i="15"/>
  <c r="M506" i="15"/>
  <c r="J507" i="15"/>
  <c r="K507" i="15"/>
  <c r="L507" i="15"/>
  <c r="M507" i="15"/>
  <c r="J508" i="15"/>
  <c r="K508" i="15"/>
  <c r="L508" i="15"/>
  <c r="M508" i="15"/>
  <c r="J509" i="15"/>
  <c r="K509" i="15"/>
  <c r="L509" i="15"/>
  <c r="M509" i="15"/>
  <c r="J510" i="15"/>
  <c r="K510" i="15"/>
  <c r="L510" i="15"/>
  <c r="M510" i="15"/>
  <c r="J511" i="15"/>
  <c r="K511" i="15"/>
  <c r="L511" i="15"/>
  <c r="M511" i="15"/>
  <c r="J512" i="15"/>
  <c r="K512" i="15"/>
  <c r="L512" i="15"/>
  <c r="M512" i="15"/>
  <c r="J513" i="15"/>
  <c r="K513" i="15"/>
  <c r="L513" i="15"/>
  <c r="M513" i="15"/>
  <c r="J514" i="15"/>
  <c r="K514" i="15"/>
  <c r="L514" i="15"/>
  <c r="M514" i="15"/>
  <c r="J515" i="15"/>
  <c r="K515" i="15"/>
  <c r="L515" i="15"/>
  <c r="M515" i="15"/>
  <c r="J516" i="15"/>
  <c r="K516" i="15"/>
  <c r="L516" i="15"/>
  <c r="M516" i="15"/>
  <c r="J517" i="15"/>
  <c r="K517" i="15"/>
  <c r="L517" i="15"/>
  <c r="M517" i="15"/>
  <c r="J518" i="15"/>
  <c r="K518" i="15"/>
  <c r="L518" i="15"/>
  <c r="M518" i="15"/>
  <c r="J519" i="15"/>
  <c r="K519" i="15"/>
  <c r="L519" i="15"/>
  <c r="M519" i="15"/>
  <c r="J520" i="15"/>
  <c r="K520" i="15"/>
  <c r="L520" i="15"/>
  <c r="M520" i="15"/>
  <c r="J521" i="15"/>
  <c r="K521" i="15"/>
  <c r="L521" i="15"/>
  <c r="M521" i="15"/>
  <c r="J522" i="15"/>
  <c r="K522" i="15"/>
  <c r="L522" i="15"/>
  <c r="M522" i="15"/>
  <c r="J523" i="15"/>
  <c r="K523" i="15"/>
  <c r="L523" i="15"/>
  <c r="M523" i="15"/>
  <c r="J524" i="15"/>
  <c r="K524" i="15"/>
  <c r="L524" i="15"/>
  <c r="M524" i="15"/>
  <c r="J525" i="15"/>
  <c r="K525" i="15"/>
  <c r="L525" i="15"/>
  <c r="M525" i="15"/>
  <c r="J526" i="15"/>
  <c r="K526" i="15"/>
  <c r="L526" i="15"/>
  <c r="M526" i="15"/>
  <c r="J527" i="15"/>
  <c r="K527" i="15"/>
  <c r="L527" i="15"/>
  <c r="M527" i="15"/>
  <c r="J528" i="15"/>
  <c r="K528" i="15"/>
  <c r="L528" i="15"/>
  <c r="M528" i="15"/>
  <c r="J529" i="15"/>
  <c r="K529" i="15"/>
  <c r="L529" i="15"/>
  <c r="M529" i="15"/>
  <c r="J530" i="15"/>
  <c r="K530" i="15"/>
  <c r="L530" i="15"/>
  <c r="M530" i="15"/>
  <c r="J531" i="15"/>
  <c r="K531" i="15"/>
  <c r="L531" i="15"/>
  <c r="M531" i="15"/>
  <c r="J532" i="15"/>
  <c r="K532" i="15"/>
  <c r="L532" i="15"/>
  <c r="M532" i="15"/>
  <c r="J533" i="15"/>
  <c r="K533" i="15"/>
  <c r="L533" i="15"/>
  <c r="M533" i="15"/>
  <c r="J534" i="15"/>
  <c r="K534" i="15"/>
  <c r="L534" i="15"/>
  <c r="M534" i="15"/>
  <c r="J535" i="15"/>
  <c r="K535" i="15"/>
  <c r="L535" i="15"/>
  <c r="M535" i="15"/>
  <c r="J536" i="15"/>
  <c r="K536" i="15"/>
  <c r="L536" i="15"/>
  <c r="M536" i="15"/>
  <c r="J537" i="15"/>
  <c r="K537" i="15"/>
  <c r="L537" i="15"/>
  <c r="M537" i="15"/>
  <c r="J538" i="15"/>
  <c r="K538" i="15"/>
  <c r="L538" i="15"/>
  <c r="M538" i="15"/>
  <c r="J539" i="15"/>
  <c r="K539" i="15"/>
  <c r="L539" i="15"/>
  <c r="M539" i="15"/>
  <c r="J540" i="15"/>
  <c r="K540" i="15"/>
  <c r="L540" i="15"/>
  <c r="M540" i="15"/>
  <c r="J541" i="15"/>
  <c r="K541" i="15"/>
  <c r="L541" i="15"/>
  <c r="M541" i="15"/>
  <c r="J542" i="15"/>
  <c r="K542" i="15"/>
  <c r="L542" i="15"/>
  <c r="M542" i="15"/>
  <c r="J543" i="15"/>
  <c r="K543" i="15"/>
  <c r="L543" i="15"/>
  <c r="M543" i="15"/>
  <c r="J544" i="15"/>
  <c r="K544" i="15"/>
  <c r="L544" i="15"/>
  <c r="M544" i="15"/>
  <c r="J545" i="15"/>
  <c r="K545" i="15"/>
  <c r="L545" i="15"/>
  <c r="M545" i="15"/>
  <c r="J546" i="15"/>
  <c r="K546" i="15"/>
  <c r="L546" i="15"/>
  <c r="M546" i="15"/>
  <c r="J547" i="15"/>
  <c r="K547" i="15"/>
  <c r="L547" i="15"/>
  <c r="M547" i="15"/>
  <c r="J548" i="15"/>
  <c r="K548" i="15"/>
  <c r="L548" i="15"/>
  <c r="M548" i="15"/>
  <c r="J549" i="15"/>
  <c r="K549" i="15"/>
  <c r="L549" i="15"/>
  <c r="M549" i="15"/>
  <c r="J550" i="15"/>
  <c r="K550" i="15"/>
  <c r="L550" i="15"/>
  <c r="M550" i="15"/>
  <c r="J551" i="15"/>
  <c r="K551" i="15"/>
  <c r="L551" i="15"/>
  <c r="M551" i="15"/>
  <c r="J552" i="15"/>
  <c r="K552" i="15"/>
  <c r="L552" i="15"/>
  <c r="M552" i="15"/>
  <c r="J553" i="15"/>
  <c r="K553" i="15"/>
  <c r="L553" i="15"/>
  <c r="M553" i="15"/>
  <c r="J554" i="15"/>
  <c r="K554" i="15"/>
  <c r="L554" i="15"/>
  <c r="M554" i="15"/>
  <c r="J555" i="15"/>
  <c r="K555" i="15"/>
  <c r="L555" i="15"/>
  <c r="M555" i="15"/>
  <c r="J556" i="15"/>
  <c r="K556" i="15"/>
  <c r="L556" i="15"/>
  <c r="M556" i="15"/>
  <c r="J557" i="15"/>
  <c r="K557" i="15"/>
  <c r="L557" i="15"/>
  <c r="M557" i="15"/>
  <c r="J558" i="15"/>
  <c r="K558" i="15"/>
  <c r="L558" i="15"/>
  <c r="M558" i="15"/>
  <c r="J559" i="15"/>
  <c r="K559" i="15"/>
  <c r="L559" i="15"/>
  <c r="M559" i="15"/>
  <c r="J560" i="15"/>
  <c r="K560" i="15"/>
  <c r="L560" i="15"/>
  <c r="M560" i="15"/>
  <c r="J561" i="15"/>
  <c r="K561" i="15"/>
  <c r="L561" i="15"/>
  <c r="M561" i="15"/>
  <c r="J562" i="15"/>
  <c r="K562" i="15"/>
  <c r="L562" i="15"/>
  <c r="M562" i="15"/>
  <c r="J563" i="15"/>
  <c r="K563" i="15"/>
  <c r="L563" i="15"/>
  <c r="M563" i="15"/>
  <c r="J564" i="15"/>
  <c r="K564" i="15"/>
  <c r="L564" i="15"/>
  <c r="M564" i="15"/>
  <c r="J565" i="15"/>
  <c r="K565" i="15"/>
  <c r="L565" i="15"/>
  <c r="M565" i="15"/>
  <c r="J566" i="15"/>
  <c r="K566" i="15"/>
  <c r="L566" i="15"/>
  <c r="M566" i="15"/>
  <c r="J567" i="15"/>
  <c r="K567" i="15"/>
  <c r="L567" i="15"/>
  <c r="M567" i="15"/>
  <c r="J568" i="15"/>
  <c r="K568" i="15"/>
  <c r="L568" i="15"/>
  <c r="M568" i="15"/>
  <c r="J569" i="15"/>
  <c r="K569" i="15"/>
  <c r="L569" i="15"/>
  <c r="M569" i="15"/>
  <c r="J570" i="15"/>
  <c r="K570" i="15"/>
  <c r="L570" i="15"/>
  <c r="M570" i="15"/>
  <c r="J571" i="15"/>
  <c r="K571" i="15"/>
  <c r="L571" i="15"/>
  <c r="M571" i="15"/>
  <c r="J572" i="15"/>
  <c r="K572" i="15"/>
  <c r="L572" i="15"/>
  <c r="M572" i="15"/>
  <c r="J573" i="15"/>
  <c r="K573" i="15"/>
  <c r="L573" i="15"/>
  <c r="M573" i="15"/>
  <c r="J574" i="15"/>
  <c r="K574" i="15"/>
  <c r="L574" i="15"/>
  <c r="M574" i="15"/>
  <c r="J575" i="15"/>
  <c r="K575" i="15"/>
  <c r="L575" i="15"/>
  <c r="M575" i="15"/>
  <c r="J576" i="15"/>
  <c r="K576" i="15"/>
  <c r="L576" i="15"/>
  <c r="M576" i="15"/>
  <c r="J577" i="15"/>
  <c r="K577" i="15"/>
  <c r="L577" i="15"/>
  <c r="M577" i="15"/>
  <c r="J3" i="15"/>
  <c r="K3" i="15"/>
  <c r="L3" i="15"/>
  <c r="M3" i="15"/>
  <c r="J4" i="15"/>
  <c r="K4" i="15"/>
  <c r="L4" i="15"/>
  <c r="M4" i="15"/>
  <c r="J5" i="15"/>
  <c r="K5" i="15"/>
  <c r="L5" i="15"/>
  <c r="M5" i="15"/>
  <c r="J6" i="15"/>
  <c r="K6" i="15"/>
  <c r="L6" i="15"/>
  <c r="M6" i="15"/>
  <c r="J7" i="15"/>
  <c r="K7" i="15"/>
  <c r="L7" i="15"/>
  <c r="M7" i="15"/>
  <c r="J8" i="15"/>
  <c r="K8" i="15"/>
  <c r="L8" i="15"/>
  <c r="M8" i="15"/>
  <c r="J9" i="15"/>
  <c r="K9" i="15"/>
  <c r="L9" i="15"/>
  <c r="M9" i="15"/>
  <c r="J10" i="15"/>
  <c r="K10" i="15"/>
  <c r="L10" i="15"/>
  <c r="M10" i="15"/>
  <c r="J11" i="15"/>
  <c r="K11" i="15"/>
  <c r="L11" i="15"/>
  <c r="M11" i="15"/>
  <c r="M2" i="15"/>
  <c r="L2" i="15"/>
  <c r="J2" i="15"/>
  <c r="C889" i="14"/>
  <c r="D889" i="14"/>
  <c r="C5" i="9"/>
  <c r="F19" i="9"/>
  <c r="C4" i="9"/>
  <c r="N297" i="15"/>
  <c r="N293" i="15"/>
  <c r="N292" i="15"/>
  <c r="N267" i="15"/>
  <c r="N265" i="15"/>
  <c r="N256" i="15"/>
  <c r="N252" i="15"/>
  <c r="N112" i="15"/>
  <c r="N108" i="15"/>
  <c r="N107" i="15"/>
  <c r="N72" i="15"/>
  <c r="N64" i="15"/>
  <c r="N60" i="15"/>
  <c r="N59" i="15"/>
  <c r="N48" i="15"/>
  <c r="N44" i="15"/>
  <c r="N43" i="15"/>
  <c r="N576" i="15"/>
  <c r="N574" i="15"/>
  <c r="N572" i="15"/>
  <c r="N570" i="15"/>
  <c r="N566" i="15"/>
  <c r="N534" i="15"/>
  <c r="N530" i="15"/>
  <c r="N528" i="15"/>
  <c r="N526" i="15"/>
  <c r="N524" i="15"/>
  <c r="N522" i="15"/>
  <c r="N518" i="15"/>
  <c r="N488" i="15"/>
  <c r="N456" i="15"/>
  <c r="N577" i="15"/>
  <c r="N575" i="15"/>
  <c r="N550" i="15"/>
  <c r="N529" i="15"/>
  <c r="N527" i="15"/>
  <c r="N391" i="15"/>
  <c r="N380" i="15"/>
  <c r="N344" i="15"/>
  <c r="N510" i="15"/>
  <c r="N446" i="15"/>
  <c r="N445" i="15"/>
  <c r="N444" i="15"/>
  <c r="N443" i="15"/>
  <c r="N442" i="15"/>
  <c r="N441" i="15"/>
  <c r="N430" i="15"/>
  <c r="N428" i="15"/>
  <c r="N427" i="15"/>
  <c r="N424" i="15"/>
  <c r="N422" i="15"/>
  <c r="N421" i="15"/>
  <c r="N420" i="15"/>
  <c r="N419" i="15"/>
  <c r="N404" i="15"/>
  <c r="N251" i="15"/>
  <c r="N184" i="15"/>
  <c r="N168" i="15"/>
  <c r="N167" i="15"/>
  <c r="N166" i="15"/>
  <c r="N165" i="15"/>
  <c r="N163" i="15"/>
  <c r="N162" i="15"/>
  <c r="N152" i="15"/>
  <c r="N151" i="15"/>
  <c r="N150" i="15"/>
  <c r="N149" i="15"/>
  <c r="N147" i="15"/>
  <c r="N146" i="15"/>
  <c r="N120" i="15"/>
  <c r="N486" i="15"/>
  <c r="N485" i="15"/>
  <c r="N472" i="15"/>
  <c r="N392" i="15"/>
  <c r="N331" i="15"/>
  <c r="N328" i="15"/>
  <c r="N327" i="15"/>
  <c r="N326" i="15"/>
  <c r="N323" i="15"/>
  <c r="N322" i="15"/>
  <c r="N299" i="15"/>
  <c r="N88" i="15"/>
  <c r="N87" i="15"/>
  <c r="N86" i="15"/>
  <c r="N85" i="15"/>
  <c r="N83" i="15"/>
  <c r="N82" i="15"/>
  <c r="N56" i="15"/>
  <c r="N498" i="15"/>
  <c r="N494" i="15"/>
  <c r="N492" i="15"/>
  <c r="N448" i="15"/>
  <c r="N376" i="15"/>
  <c r="N375" i="15"/>
  <c r="N374" i="15"/>
  <c r="N372" i="15"/>
  <c r="N371" i="15"/>
  <c r="N370" i="15"/>
  <c r="N369" i="15"/>
  <c r="N368" i="15"/>
  <c r="N367" i="15"/>
  <c r="N366" i="15"/>
  <c r="N364" i="15"/>
  <c r="N360" i="15"/>
  <c r="N240" i="15"/>
  <c r="N236" i="15"/>
  <c r="N200" i="15"/>
  <c r="N192" i="15"/>
  <c r="N188" i="15"/>
  <c r="N187" i="15"/>
  <c r="N104" i="15"/>
  <c r="N103" i="15"/>
  <c r="N102" i="15"/>
  <c r="N101" i="15"/>
  <c r="N99" i="15"/>
  <c r="N98" i="15"/>
  <c r="N561" i="15"/>
  <c r="N558" i="15"/>
  <c r="N514" i="15"/>
  <c r="N466" i="15"/>
  <c r="N459" i="15"/>
  <c r="N436" i="15"/>
  <c r="N402" i="15"/>
  <c r="N356" i="15"/>
  <c r="N291" i="15"/>
  <c r="N290" i="15"/>
  <c r="N288" i="15"/>
  <c r="N287" i="15"/>
  <c r="N286" i="15"/>
  <c r="N280" i="15"/>
  <c r="N275" i="15"/>
  <c r="N274" i="15"/>
  <c r="N176" i="15"/>
  <c r="N172" i="15"/>
  <c r="N171" i="15"/>
  <c r="N136" i="15"/>
  <c r="N128" i="15"/>
  <c r="N124" i="15"/>
  <c r="N123" i="15"/>
  <c r="N40" i="15"/>
  <c r="N39" i="15"/>
  <c r="N38" i="15"/>
  <c r="N37" i="15"/>
  <c r="N35" i="15"/>
  <c r="N34" i="15"/>
  <c r="N24" i="15"/>
  <c r="N23" i="15"/>
  <c r="N22" i="15"/>
  <c r="N21" i="15"/>
  <c r="N19" i="15"/>
  <c r="N18" i="15"/>
  <c r="C890" i="14"/>
  <c r="C16" i="10"/>
  <c r="D16" i="10"/>
  <c r="N562" i="15"/>
  <c r="N560" i="15"/>
  <c r="N559" i="15"/>
  <c r="N556" i="15"/>
  <c r="N554" i="15"/>
  <c r="N470" i="15"/>
  <c r="N468" i="15"/>
  <c r="N467" i="15"/>
  <c r="N465" i="15"/>
  <c r="N462" i="15"/>
  <c r="N460" i="15"/>
  <c r="N432" i="15"/>
  <c r="N403" i="15"/>
  <c r="N401" i="15"/>
  <c r="N347" i="15"/>
  <c r="N345" i="15"/>
  <c r="N546" i="15"/>
  <c r="N545" i="15"/>
  <c r="N544" i="15"/>
  <c r="N543" i="15"/>
  <c r="N542" i="15"/>
  <c r="N540" i="15"/>
  <c r="N538" i="15"/>
  <c r="N508" i="15"/>
  <c r="N506" i="15"/>
  <c r="N505" i="15"/>
  <c r="N504" i="15"/>
  <c r="N503" i="15"/>
  <c r="N480" i="15"/>
  <c r="N478" i="15"/>
  <c r="N452" i="15"/>
  <c r="N414" i="15"/>
  <c r="N408" i="15"/>
  <c r="N386" i="15"/>
  <c r="N385" i="15"/>
  <c r="N341" i="15"/>
  <c r="N340" i="15"/>
  <c r="N333" i="15"/>
  <c r="N332" i="15"/>
  <c r="N312" i="15"/>
  <c r="N235" i="15"/>
  <c r="N232" i="15"/>
  <c r="N231" i="15"/>
  <c r="N230" i="15"/>
  <c r="N229" i="15"/>
  <c r="N227" i="15"/>
  <c r="N226" i="15"/>
  <c r="N219" i="15"/>
  <c r="N216" i="15"/>
  <c r="N215" i="15"/>
  <c r="N214" i="15"/>
  <c r="N213" i="15"/>
  <c r="N211" i="15"/>
  <c r="N210" i="15"/>
  <c r="J606" i="15"/>
  <c r="M606" i="15"/>
  <c r="N569" i="15"/>
  <c r="N568" i="15"/>
  <c r="N567" i="15"/>
  <c r="N553" i="15"/>
  <c r="N552" i="15"/>
  <c r="N551" i="15"/>
  <c r="N537" i="15"/>
  <c r="N536" i="15"/>
  <c r="N535" i="15"/>
  <c r="N521" i="15"/>
  <c r="N520" i="15"/>
  <c r="N519" i="15"/>
  <c r="N502" i="15"/>
  <c r="N500" i="15"/>
  <c r="N451" i="15"/>
  <c r="L606" i="15"/>
  <c r="N564" i="15"/>
  <c r="N548" i="15"/>
  <c r="N532" i="15"/>
  <c r="N516" i="15"/>
  <c r="N440" i="15"/>
  <c r="N438" i="15"/>
  <c r="N416" i="15"/>
  <c r="N406" i="15"/>
  <c r="N484" i="15"/>
  <c r="N483" i="15"/>
  <c r="N398" i="15"/>
  <c r="N396" i="15"/>
  <c r="N395" i="15"/>
  <c r="N513" i="15"/>
  <c r="N512" i="15"/>
  <c r="N511" i="15"/>
  <c r="N497" i="15"/>
  <c r="N496" i="15"/>
  <c r="N495" i="15"/>
  <c r="N477" i="15"/>
  <c r="N476" i="15"/>
  <c r="N475" i="15"/>
  <c r="N474" i="15"/>
  <c r="N473" i="15"/>
  <c r="N464" i="15"/>
  <c r="N454" i="15"/>
  <c r="N453" i="15"/>
  <c r="N435" i="15"/>
  <c r="N434" i="15"/>
  <c r="N433" i="15"/>
  <c r="N413" i="15"/>
  <c r="N412" i="15"/>
  <c r="N411" i="15"/>
  <c r="N410" i="15"/>
  <c r="N409" i="15"/>
  <c r="N400" i="15"/>
  <c r="N388" i="15"/>
  <c r="N387" i="15"/>
  <c r="N355" i="15"/>
  <c r="N354" i="15"/>
  <c r="N352" i="15"/>
  <c r="N351" i="15"/>
  <c r="N350" i="15"/>
  <c r="N329" i="15"/>
  <c r="N311" i="15"/>
  <c r="N310" i="15"/>
  <c r="N307" i="15"/>
  <c r="N306" i="15"/>
  <c r="N304" i="15"/>
  <c r="N303" i="15"/>
  <c r="N302" i="15"/>
  <c r="N283" i="15"/>
  <c r="N281" i="15"/>
  <c r="N264" i="15"/>
  <c r="N263" i="15"/>
  <c r="N262" i="15"/>
  <c r="N259" i="15"/>
  <c r="N258" i="15"/>
  <c r="N224" i="15"/>
  <c r="N220" i="15"/>
  <c r="N199" i="15"/>
  <c r="N198" i="15"/>
  <c r="N197" i="15"/>
  <c r="N195" i="15"/>
  <c r="N194" i="15"/>
  <c r="N160" i="15"/>
  <c r="N156" i="15"/>
  <c r="N155" i="15"/>
  <c r="N135" i="15"/>
  <c r="N134" i="15"/>
  <c r="N133" i="15"/>
  <c r="N131" i="15"/>
  <c r="N130" i="15"/>
  <c r="N96" i="15"/>
  <c r="N92" i="15"/>
  <c r="N91" i="15"/>
  <c r="N71" i="15"/>
  <c r="N70" i="15"/>
  <c r="N69" i="15"/>
  <c r="N67" i="15"/>
  <c r="N66" i="15"/>
  <c r="N32" i="15"/>
  <c r="N28" i="15"/>
  <c r="N27" i="15"/>
  <c r="N339" i="15"/>
  <c r="N338" i="15"/>
  <c r="N317" i="15"/>
  <c r="N316" i="15"/>
  <c r="N315" i="15"/>
  <c r="N313" i="15"/>
  <c r="N296" i="15"/>
  <c r="N277" i="15"/>
  <c r="N276" i="15"/>
  <c r="N269" i="15"/>
  <c r="N268" i="15"/>
  <c r="N248" i="15"/>
  <c r="N247" i="15"/>
  <c r="N246" i="15"/>
  <c r="N245" i="15"/>
  <c r="N243" i="15"/>
  <c r="N242" i="15"/>
  <c r="N208" i="15"/>
  <c r="N204" i="15"/>
  <c r="N203" i="15"/>
  <c r="N183" i="15"/>
  <c r="N182" i="15"/>
  <c r="N181" i="15"/>
  <c r="N179" i="15"/>
  <c r="N178" i="15"/>
  <c r="N144" i="15"/>
  <c r="N140" i="15"/>
  <c r="N139" i="15"/>
  <c r="N119" i="15"/>
  <c r="N118" i="15"/>
  <c r="N117" i="15"/>
  <c r="N115" i="15"/>
  <c r="N114" i="15"/>
  <c r="N80" i="15"/>
  <c r="N76" i="15"/>
  <c r="N75" i="15"/>
  <c r="N55" i="15"/>
  <c r="N54" i="15"/>
  <c r="N53" i="15"/>
  <c r="N51" i="15"/>
  <c r="N50" i="15"/>
  <c r="N16" i="15"/>
  <c r="N12" i="15"/>
  <c r="N573" i="15"/>
  <c r="N565" i="15"/>
  <c r="N557" i="15"/>
  <c r="N549" i="15"/>
  <c r="N541" i="15"/>
  <c r="N533" i="15"/>
  <c r="N525" i="15"/>
  <c r="N517" i="15"/>
  <c r="N509" i="15"/>
  <c r="N501" i="15"/>
  <c r="N493" i="15"/>
  <c r="N482" i="15"/>
  <c r="N481" i="15"/>
  <c r="N461" i="15"/>
  <c r="N450" i="15"/>
  <c r="N449" i="15"/>
  <c r="N429" i="15"/>
  <c r="N418" i="15"/>
  <c r="N417" i="15"/>
  <c r="N397" i="15"/>
  <c r="N383" i="15"/>
  <c r="N382" i="15"/>
  <c r="N349" i="15"/>
  <c r="N348" i="15"/>
  <c r="N343" i="15"/>
  <c r="N342" i="15"/>
  <c r="N320" i="15"/>
  <c r="N319" i="15"/>
  <c r="N318" i="15"/>
  <c r="N309" i="15"/>
  <c r="N308" i="15"/>
  <c r="N285" i="15"/>
  <c r="N284" i="15"/>
  <c r="N279" i="15"/>
  <c r="N278" i="15"/>
  <c r="N571" i="15"/>
  <c r="N563" i="15"/>
  <c r="N555" i="15"/>
  <c r="N547" i="15"/>
  <c r="N539" i="15"/>
  <c r="N531" i="15"/>
  <c r="N523" i="15"/>
  <c r="N515" i="15"/>
  <c r="N507" i="15"/>
  <c r="N499" i="15"/>
  <c r="N491" i="15"/>
  <c r="N490" i="15"/>
  <c r="N489" i="15"/>
  <c r="N469" i="15"/>
  <c r="N458" i="15"/>
  <c r="N457" i="15"/>
  <c r="N437" i="15"/>
  <c r="N426" i="15"/>
  <c r="N425" i="15"/>
  <c r="N405" i="15"/>
  <c r="N394" i="15"/>
  <c r="N359" i="15"/>
  <c r="N358" i="15"/>
  <c r="N336" i="15"/>
  <c r="N335" i="15"/>
  <c r="N334" i="15"/>
  <c r="N325" i="15"/>
  <c r="N324" i="15"/>
  <c r="N301" i="15"/>
  <c r="N300" i="15"/>
  <c r="N295" i="15"/>
  <c r="N294" i="15"/>
  <c r="N272" i="15"/>
  <c r="N271" i="15"/>
  <c r="N270" i="15"/>
  <c r="N261" i="15"/>
  <c r="N260" i="15"/>
  <c r="N255" i="15"/>
  <c r="N254" i="15"/>
  <c r="N253" i="15"/>
  <c r="N244" i="15"/>
  <c r="N239" i="15"/>
  <c r="N238" i="15"/>
  <c r="N237" i="15"/>
  <c r="N228" i="15"/>
  <c r="N223" i="15"/>
  <c r="N222" i="15"/>
  <c r="N221" i="15"/>
  <c r="N212" i="15"/>
  <c r="N207" i="15"/>
  <c r="N206" i="15"/>
  <c r="N205" i="15"/>
  <c r="N196" i="15"/>
  <c r="N191" i="15"/>
  <c r="N190" i="15"/>
  <c r="N189" i="15"/>
  <c r="N180" i="15"/>
  <c r="N175" i="15"/>
  <c r="N174" i="15"/>
  <c r="N173" i="15"/>
  <c r="N164" i="15"/>
  <c r="N159" i="15"/>
  <c r="N158" i="15"/>
  <c r="N157" i="15"/>
  <c r="N148" i="15"/>
  <c r="N143" i="15"/>
  <c r="N142" i="15"/>
  <c r="N141" i="15"/>
  <c r="N132" i="15"/>
  <c r="N127" i="15"/>
  <c r="N126" i="15"/>
  <c r="N125" i="15"/>
  <c r="N116" i="15"/>
  <c r="N111" i="15"/>
  <c r="N110" i="15"/>
  <c r="N109" i="15"/>
  <c r="N100" i="15"/>
  <c r="N95" i="15"/>
  <c r="N94" i="15"/>
  <c r="N93" i="15"/>
  <c r="N84" i="15"/>
  <c r="N79" i="15"/>
  <c r="N78" i="15"/>
  <c r="N77" i="15"/>
  <c r="N68" i="15"/>
  <c r="N63" i="15"/>
  <c r="N62" i="15"/>
  <c r="N61" i="15"/>
  <c r="N52" i="15"/>
  <c r="N47" i="15"/>
  <c r="N46" i="15"/>
  <c r="N45" i="15"/>
  <c r="N36" i="15"/>
  <c r="N31" i="15"/>
  <c r="N30" i="15"/>
  <c r="N29" i="15"/>
  <c r="N20" i="15"/>
  <c r="N15" i="15"/>
  <c r="N14" i="15"/>
  <c r="N13" i="15"/>
  <c r="N487" i="15"/>
  <c r="N479" i="15"/>
  <c r="N471" i="15"/>
  <c r="N463" i="15"/>
  <c r="N455" i="15"/>
  <c r="N447" i="15"/>
  <c r="N439" i="15"/>
  <c r="N431" i="15"/>
  <c r="N423" i="15"/>
  <c r="N415" i="15"/>
  <c r="N407" i="15"/>
  <c r="N399" i="15"/>
  <c r="N390" i="15"/>
  <c r="N389" i="15"/>
  <c r="N384" i="15"/>
  <c r="N379" i="15"/>
  <c r="N378" i="15"/>
  <c r="N377" i="15"/>
  <c r="N363" i="15"/>
  <c r="N362" i="15"/>
  <c r="N361" i="15"/>
  <c r="N353" i="15"/>
  <c r="N346" i="15"/>
  <c r="N337" i="15"/>
  <c r="N330" i="15"/>
  <c r="N321" i="15"/>
  <c r="N314" i="15"/>
  <c r="N305" i="15"/>
  <c r="N298" i="15"/>
  <c r="N289" i="15"/>
  <c r="N282" i="15"/>
  <c r="N273" i="15"/>
  <c r="N266" i="15"/>
  <c r="N250" i="15"/>
  <c r="N234" i="15"/>
  <c r="N218" i="15"/>
  <c r="N202" i="15"/>
  <c r="N186" i="15"/>
  <c r="N170" i="15"/>
  <c r="N154" i="15"/>
  <c r="N138" i="15"/>
  <c r="N122" i="15"/>
  <c r="N106" i="15"/>
  <c r="N90" i="15"/>
  <c r="N74" i="15"/>
  <c r="N58" i="15"/>
  <c r="N42" i="15"/>
  <c r="N26" i="15"/>
  <c r="N393" i="15"/>
  <c r="N381" i="15"/>
  <c r="N373" i="15"/>
  <c r="N365" i="15"/>
  <c r="N357" i="15"/>
  <c r="N257" i="15"/>
  <c r="N249" i="15"/>
  <c r="N241" i="15"/>
  <c r="N233" i="15"/>
  <c r="N225" i="15"/>
  <c r="N217" i="15"/>
  <c r="N209" i="15"/>
  <c r="N201" i="15"/>
  <c r="N193" i="15"/>
  <c r="N185" i="15"/>
  <c r="N177" i="15"/>
  <c r="N169" i="15"/>
  <c r="N161" i="15"/>
  <c r="N153" i="15"/>
  <c r="N145" i="15"/>
  <c r="N137" i="15"/>
  <c r="N129" i="15"/>
  <c r="N121" i="15"/>
  <c r="N113" i="15"/>
  <c r="N105" i="15"/>
  <c r="N97" i="15"/>
  <c r="N89" i="15"/>
  <c r="N81" i="15"/>
  <c r="N73" i="15"/>
  <c r="N65" i="15"/>
  <c r="N57" i="15"/>
  <c r="N49" i="15"/>
  <c r="N41" i="15"/>
  <c r="N33" i="15"/>
  <c r="N25" i="15"/>
  <c r="N17" i="15"/>
  <c r="C267" i="10"/>
  <c r="D267" i="10"/>
  <c r="C165" i="10"/>
  <c r="D165" i="10"/>
  <c r="C37" i="10"/>
  <c r="D37" i="10"/>
  <c r="C115" i="10"/>
  <c r="D115" i="10"/>
  <c r="C51" i="10"/>
  <c r="D51" i="10"/>
  <c r="C27" i="10"/>
  <c r="D27" i="10"/>
  <c r="C181" i="10"/>
  <c r="D181" i="10"/>
  <c r="C53" i="10"/>
  <c r="D53" i="10"/>
  <c r="C253" i="10"/>
  <c r="D253" i="10"/>
  <c r="C189" i="10"/>
  <c r="D189" i="10"/>
  <c r="C125" i="10"/>
  <c r="D125" i="10"/>
  <c r="C61" i="10"/>
  <c r="D61" i="10"/>
  <c r="C2" i="10"/>
  <c r="C257" i="10"/>
  <c r="D257" i="10"/>
  <c r="C225" i="10"/>
  <c r="D225" i="10"/>
  <c r="C193" i="10"/>
  <c r="D193" i="10"/>
  <c r="C161" i="10"/>
  <c r="D161" i="10"/>
  <c r="C129" i="10"/>
  <c r="D129" i="10"/>
  <c r="C97" i="10"/>
  <c r="D97" i="10"/>
  <c r="C65" i="10"/>
  <c r="D65" i="10"/>
  <c r="C33" i="10"/>
  <c r="D33" i="10"/>
  <c r="C287" i="10"/>
  <c r="C255" i="10"/>
  <c r="D255" i="10"/>
  <c r="C223" i="10"/>
  <c r="D223" i="10"/>
  <c r="C191" i="10"/>
  <c r="D191" i="10"/>
  <c r="C159" i="10"/>
  <c r="D159" i="10"/>
  <c r="C127" i="10"/>
  <c r="D127" i="10"/>
  <c r="C95" i="10"/>
  <c r="D95" i="10"/>
  <c r="C63" i="10"/>
  <c r="D63" i="10"/>
  <c r="C31" i="10"/>
  <c r="D31" i="10"/>
  <c r="C286" i="10"/>
  <c r="D286" i="10"/>
  <c r="C270" i="10"/>
  <c r="D270" i="10"/>
  <c r="C254" i="10"/>
  <c r="D254" i="10"/>
  <c r="C238" i="10"/>
  <c r="D238" i="10"/>
  <c r="C222" i="10"/>
  <c r="D222" i="10"/>
  <c r="C206" i="10"/>
  <c r="D206" i="10"/>
  <c r="C190" i="10"/>
  <c r="D190" i="10"/>
  <c r="C174" i="10"/>
  <c r="D174" i="10"/>
  <c r="C158" i="10"/>
  <c r="D158" i="10"/>
  <c r="C142" i="10"/>
  <c r="D142" i="10"/>
  <c r="C126" i="10"/>
  <c r="D126" i="10"/>
  <c r="C110" i="10"/>
  <c r="D110" i="10"/>
  <c r="C94" i="10"/>
  <c r="D94" i="10"/>
  <c r="C78" i="10"/>
  <c r="D78" i="10"/>
  <c r="C62" i="10"/>
  <c r="D62" i="10"/>
  <c r="C46" i="10"/>
  <c r="D46" i="10"/>
  <c r="C30" i="10"/>
  <c r="D30" i="10"/>
  <c r="C14" i="10"/>
  <c r="D14" i="10"/>
  <c r="C284" i="10"/>
  <c r="C268" i="10"/>
  <c r="D268" i="10"/>
  <c r="C252" i="10"/>
  <c r="D252" i="10"/>
  <c r="C236" i="10"/>
  <c r="D236" i="10"/>
  <c r="C220" i="10"/>
  <c r="D220" i="10"/>
  <c r="C204" i="10"/>
  <c r="D204" i="10"/>
  <c r="C188" i="10"/>
  <c r="D188" i="10"/>
  <c r="C172" i="10"/>
  <c r="D172" i="10"/>
  <c r="C156" i="10"/>
  <c r="D156" i="10"/>
  <c r="C140" i="10"/>
  <c r="D140" i="10"/>
  <c r="C124" i="10"/>
  <c r="D124" i="10"/>
  <c r="C108" i="10"/>
  <c r="D108" i="10"/>
  <c r="C92" i="10"/>
  <c r="D92" i="10"/>
  <c r="C76" i="10"/>
  <c r="D76" i="10"/>
  <c r="C60" i="10"/>
  <c r="D60" i="10"/>
  <c r="C44" i="10"/>
  <c r="D44" i="10"/>
  <c r="C28" i="10"/>
  <c r="D28" i="10"/>
  <c r="C12" i="10"/>
  <c r="D12" i="10"/>
  <c r="C235" i="10"/>
  <c r="D235" i="10"/>
  <c r="C123" i="10"/>
  <c r="D123" i="10"/>
  <c r="C261" i="10"/>
  <c r="D261" i="10"/>
  <c r="C133" i="10"/>
  <c r="D133" i="10"/>
  <c r="C5" i="10"/>
  <c r="D5" i="10"/>
  <c r="C227" i="10"/>
  <c r="D227" i="10"/>
  <c r="C163" i="10"/>
  <c r="D163" i="10"/>
  <c r="C99" i="10"/>
  <c r="D99" i="10"/>
  <c r="C35" i="10"/>
  <c r="D35" i="10"/>
  <c r="C251" i="10"/>
  <c r="D251" i="10"/>
  <c r="C107" i="10"/>
  <c r="D107" i="10"/>
  <c r="C277" i="10"/>
  <c r="D277" i="10"/>
  <c r="C149" i="10"/>
  <c r="D149" i="10"/>
  <c r="C21" i="10"/>
  <c r="D21" i="10"/>
  <c r="C237" i="10"/>
  <c r="D237" i="10"/>
  <c r="C173" i="10"/>
  <c r="D173" i="10"/>
  <c r="C109" i="10"/>
  <c r="D109" i="10"/>
  <c r="C45" i="10"/>
  <c r="D45" i="10"/>
  <c r="C281" i="10"/>
  <c r="D281" i="10"/>
  <c r="C249" i="10"/>
  <c r="D249" i="10"/>
  <c r="C217" i="10"/>
  <c r="D217" i="10"/>
  <c r="C185" i="10"/>
  <c r="D185" i="10"/>
  <c r="C153" i="10"/>
  <c r="D153" i="10"/>
  <c r="C121" i="10"/>
  <c r="D121" i="10"/>
  <c r="C89" i="10"/>
  <c r="D89" i="10"/>
  <c r="C57" i="10"/>
  <c r="D57" i="10"/>
  <c r="C25" i="10"/>
  <c r="D25" i="10"/>
  <c r="C279" i="10"/>
  <c r="D279" i="10"/>
  <c r="C247" i="10"/>
  <c r="D247" i="10"/>
  <c r="C215" i="10"/>
  <c r="D215" i="10"/>
  <c r="C183" i="10"/>
  <c r="D183" i="10"/>
  <c r="C151" i="10"/>
  <c r="D151" i="10"/>
  <c r="C119" i="10"/>
  <c r="D119" i="10"/>
  <c r="C87" i="10"/>
  <c r="D87" i="10"/>
  <c r="C55" i="10"/>
  <c r="D55" i="10"/>
  <c r="C23" i="10"/>
  <c r="D23" i="10"/>
  <c r="C282" i="10"/>
  <c r="C266" i="10"/>
  <c r="D266" i="10"/>
  <c r="C250" i="10"/>
  <c r="D250" i="10"/>
  <c r="C234" i="10"/>
  <c r="D234" i="10"/>
  <c r="C218" i="10"/>
  <c r="D218" i="10"/>
  <c r="C202" i="10"/>
  <c r="D202" i="10"/>
  <c r="C186" i="10"/>
  <c r="D186" i="10"/>
  <c r="C170" i="10"/>
  <c r="D170" i="10"/>
  <c r="C154" i="10"/>
  <c r="D154" i="10"/>
  <c r="C138" i="10"/>
  <c r="D138" i="10"/>
  <c r="C122" i="10"/>
  <c r="D122" i="10"/>
  <c r="C106" i="10"/>
  <c r="D106" i="10"/>
  <c r="C90" i="10"/>
  <c r="D90" i="10"/>
  <c r="C74" i="10"/>
  <c r="D74" i="10"/>
  <c r="C58" i="10"/>
  <c r="D58" i="10"/>
  <c r="C42" i="10"/>
  <c r="D42" i="10"/>
  <c r="C26" i="10"/>
  <c r="D26" i="10"/>
  <c r="C10" i="10"/>
  <c r="D10" i="10"/>
  <c r="C280" i="10"/>
  <c r="D280" i="10"/>
  <c r="C264" i="10"/>
  <c r="D264" i="10"/>
  <c r="C248" i="10"/>
  <c r="D248" i="10"/>
  <c r="C232" i="10"/>
  <c r="D232" i="10"/>
  <c r="C216" i="10"/>
  <c r="D216" i="10"/>
  <c r="C200" i="10"/>
  <c r="D200" i="10"/>
  <c r="C184" i="10"/>
  <c r="D184" i="10"/>
  <c r="C168" i="10"/>
  <c r="D168" i="10"/>
  <c r="C152" i="10"/>
  <c r="D152" i="10"/>
  <c r="C136" i="10"/>
  <c r="D136" i="10"/>
  <c r="C120" i="10"/>
  <c r="D120" i="10"/>
  <c r="C104" i="10"/>
  <c r="D104" i="10"/>
  <c r="C88" i="10"/>
  <c r="D88" i="10"/>
  <c r="C72" i="10"/>
  <c r="D72" i="10"/>
  <c r="C56" i="10"/>
  <c r="D56" i="10"/>
  <c r="C40" i="10"/>
  <c r="D40" i="10"/>
  <c r="C24" i="10"/>
  <c r="D24" i="10"/>
  <c r="C8" i="10"/>
  <c r="D8" i="10"/>
  <c r="C11" i="10"/>
  <c r="D11" i="10"/>
  <c r="C179" i="10"/>
  <c r="D179" i="10"/>
  <c r="C283" i="10"/>
  <c r="C219" i="10"/>
  <c r="D219" i="10"/>
  <c r="C91" i="10"/>
  <c r="D91" i="10"/>
  <c r="C229" i="10"/>
  <c r="D229" i="10"/>
  <c r="C101" i="10"/>
  <c r="D101" i="10"/>
  <c r="C275" i="10"/>
  <c r="D275" i="10"/>
  <c r="C211" i="10"/>
  <c r="D211" i="10"/>
  <c r="C147" i="10"/>
  <c r="D147" i="10"/>
  <c r="C83" i="10"/>
  <c r="D83" i="10"/>
  <c r="C19" i="10"/>
  <c r="D19" i="10"/>
  <c r="C203" i="10"/>
  <c r="D203" i="10"/>
  <c r="C75" i="10"/>
  <c r="D75" i="10"/>
  <c r="C245" i="10"/>
  <c r="D245" i="10"/>
  <c r="C117" i="10"/>
  <c r="D117" i="10"/>
  <c r="C285" i="10"/>
  <c r="D285" i="10"/>
  <c r="C221" i="10"/>
  <c r="D221" i="10"/>
  <c r="C157" i="10"/>
  <c r="D157" i="10"/>
  <c r="C93" i="10"/>
  <c r="D93" i="10"/>
  <c r="C29" i="10"/>
  <c r="D29" i="10"/>
  <c r="C273" i="10"/>
  <c r="D273" i="10"/>
  <c r="C241" i="10"/>
  <c r="D241" i="10"/>
  <c r="C209" i="10"/>
  <c r="D209" i="10"/>
  <c r="C177" i="10"/>
  <c r="D177" i="10"/>
  <c r="C145" i="10"/>
  <c r="D145" i="10"/>
  <c r="C113" i="10"/>
  <c r="D113" i="10"/>
  <c r="C81" i="10"/>
  <c r="D81" i="10"/>
  <c r="C49" i="10"/>
  <c r="D49" i="10"/>
  <c r="C17" i="10"/>
  <c r="D17" i="10"/>
  <c r="C271" i="10"/>
  <c r="D271" i="10"/>
  <c r="C239" i="10"/>
  <c r="D239" i="10"/>
  <c r="C207" i="10"/>
  <c r="D207" i="10"/>
  <c r="C175" i="10"/>
  <c r="D175" i="10"/>
  <c r="C143" i="10"/>
  <c r="D143" i="10"/>
  <c r="C111" i="10"/>
  <c r="D111" i="10"/>
  <c r="C79" i="10"/>
  <c r="D79" i="10"/>
  <c r="C47" i="10"/>
  <c r="D47" i="10"/>
  <c r="C15" i="10"/>
  <c r="D15" i="10"/>
  <c r="C278" i="10"/>
  <c r="D278" i="10"/>
  <c r="C262" i="10"/>
  <c r="D262" i="10"/>
  <c r="C246" i="10"/>
  <c r="D246" i="10"/>
  <c r="C230" i="10"/>
  <c r="D230" i="10"/>
  <c r="C214" i="10"/>
  <c r="D214" i="10"/>
  <c r="C198" i="10"/>
  <c r="D198" i="10"/>
  <c r="C182" i="10"/>
  <c r="D182" i="10"/>
  <c r="C166" i="10"/>
  <c r="D166" i="10"/>
  <c r="C150" i="10"/>
  <c r="D150" i="10"/>
  <c r="C134" i="10"/>
  <c r="D134" i="10"/>
  <c r="C118" i="10"/>
  <c r="D118" i="10"/>
  <c r="C102" i="10"/>
  <c r="D102" i="10"/>
  <c r="C86" i="10"/>
  <c r="D86" i="10"/>
  <c r="C70" i="10"/>
  <c r="D70" i="10"/>
  <c r="C54" i="10"/>
  <c r="D54" i="10"/>
  <c r="C38" i="10"/>
  <c r="D38" i="10"/>
  <c r="C22" i="10"/>
  <c r="D22" i="10"/>
  <c r="C6" i="10"/>
  <c r="D6" i="10"/>
  <c r="C276" i="10"/>
  <c r="D276" i="10"/>
  <c r="C260" i="10"/>
  <c r="D260" i="10"/>
  <c r="C244" i="10"/>
  <c r="D244" i="10"/>
  <c r="C228" i="10"/>
  <c r="D228" i="10"/>
  <c r="C212" i="10"/>
  <c r="D212" i="10"/>
  <c r="C196" i="10"/>
  <c r="D196" i="10"/>
  <c r="C180" i="10"/>
  <c r="D180" i="10"/>
  <c r="C164" i="10"/>
  <c r="D164" i="10"/>
  <c r="C148" i="10"/>
  <c r="D148" i="10"/>
  <c r="C132" i="10"/>
  <c r="D132" i="10"/>
  <c r="C116" i="10"/>
  <c r="D116" i="10"/>
  <c r="C100" i="10"/>
  <c r="D100" i="10"/>
  <c r="C84" i="10"/>
  <c r="D84" i="10"/>
  <c r="C68" i="10"/>
  <c r="D68" i="10"/>
  <c r="C52" i="10"/>
  <c r="D52" i="10"/>
  <c r="C36" i="10"/>
  <c r="D36" i="10"/>
  <c r="C20" i="10"/>
  <c r="D20" i="10"/>
  <c r="C4" i="10"/>
  <c r="D4" i="10"/>
  <c r="C155" i="10"/>
  <c r="D155" i="10"/>
  <c r="C243" i="10"/>
  <c r="D243" i="10"/>
  <c r="C139" i="10"/>
  <c r="D139" i="10"/>
  <c r="C187" i="10"/>
  <c r="D187" i="10"/>
  <c r="C59" i="10"/>
  <c r="D59" i="10"/>
  <c r="C197" i="10"/>
  <c r="D197" i="10"/>
  <c r="C69" i="10"/>
  <c r="D69" i="10"/>
  <c r="C259" i="10"/>
  <c r="D259" i="10"/>
  <c r="C195" i="10"/>
  <c r="D195" i="10"/>
  <c r="C131" i="10"/>
  <c r="D131" i="10"/>
  <c r="C67" i="10"/>
  <c r="D67" i="10"/>
  <c r="C3" i="10"/>
  <c r="D3" i="10"/>
  <c r="C171" i="10"/>
  <c r="D171" i="10"/>
  <c r="C43" i="10"/>
  <c r="D43" i="10"/>
  <c r="C213" i="10"/>
  <c r="D213" i="10"/>
  <c r="C85" i="10"/>
  <c r="D85" i="10"/>
  <c r="C269" i="10"/>
  <c r="D269" i="10"/>
  <c r="C205" i="10"/>
  <c r="D205" i="10"/>
  <c r="C141" i="10"/>
  <c r="D141" i="10"/>
  <c r="C77" i="10"/>
  <c r="D77" i="10"/>
  <c r="C13" i="10"/>
  <c r="D13" i="10"/>
  <c r="C265" i="10"/>
  <c r="D265" i="10"/>
  <c r="C233" i="10"/>
  <c r="D233" i="10"/>
  <c r="C201" i="10"/>
  <c r="D201" i="10"/>
  <c r="C169" i="10"/>
  <c r="D169" i="10"/>
  <c r="C137" i="10"/>
  <c r="D137" i="10"/>
  <c r="C105" i="10"/>
  <c r="D105" i="10"/>
  <c r="C73" i="10"/>
  <c r="D73" i="10"/>
  <c r="C41" i="10"/>
  <c r="D41" i="10"/>
  <c r="C9" i="10"/>
  <c r="D9" i="10"/>
  <c r="C263" i="10"/>
  <c r="D263" i="10"/>
  <c r="C231" i="10"/>
  <c r="D231" i="10"/>
  <c r="C199" i="10"/>
  <c r="D199" i="10"/>
  <c r="C167" i="10"/>
  <c r="D167" i="10"/>
  <c r="C135" i="10"/>
  <c r="D135" i="10"/>
  <c r="C103" i="10"/>
  <c r="D103" i="10"/>
  <c r="C71" i="10"/>
  <c r="D71" i="10"/>
  <c r="C39" i="10"/>
  <c r="D39" i="10"/>
  <c r="C7" i="10"/>
  <c r="D7" i="10"/>
  <c r="C274" i="10"/>
  <c r="D274" i="10"/>
  <c r="C258" i="10"/>
  <c r="D258" i="10"/>
  <c r="C242" i="10"/>
  <c r="D242" i="10"/>
  <c r="C226" i="10"/>
  <c r="D226" i="10"/>
  <c r="C210" i="10"/>
  <c r="D210" i="10"/>
  <c r="C194" i="10"/>
  <c r="D194" i="10"/>
  <c r="C178" i="10"/>
  <c r="D178" i="10"/>
  <c r="C162" i="10"/>
  <c r="D162" i="10"/>
  <c r="C146" i="10"/>
  <c r="D146" i="10"/>
  <c r="C130" i="10"/>
  <c r="D130" i="10"/>
  <c r="C114" i="10"/>
  <c r="D114" i="10"/>
  <c r="C98" i="10"/>
  <c r="D98" i="10"/>
  <c r="C82" i="10"/>
  <c r="D82" i="10"/>
  <c r="C66" i="10"/>
  <c r="D66" i="10"/>
  <c r="C50" i="10"/>
  <c r="D50" i="10"/>
  <c r="C34" i="10"/>
  <c r="D34" i="10"/>
  <c r="C18" i="10"/>
  <c r="D18" i="10"/>
  <c r="C288" i="10"/>
  <c r="D288" i="10"/>
  <c r="C272" i="10"/>
  <c r="D272" i="10"/>
  <c r="C256" i="10"/>
  <c r="D256" i="10"/>
  <c r="C240" i="10"/>
  <c r="D240" i="10"/>
  <c r="C224" i="10"/>
  <c r="D224" i="10"/>
  <c r="C208" i="10"/>
  <c r="D208" i="10"/>
  <c r="C192" i="10"/>
  <c r="D192" i="10"/>
  <c r="C176" i="10"/>
  <c r="D176" i="10"/>
  <c r="C160" i="10"/>
  <c r="D160" i="10"/>
  <c r="C144" i="10"/>
  <c r="D144" i="10"/>
  <c r="C128" i="10"/>
  <c r="D128" i="10"/>
  <c r="C112" i="10"/>
  <c r="D112" i="10"/>
  <c r="C96" i="10"/>
  <c r="D96" i="10"/>
  <c r="C80" i="10"/>
  <c r="D80" i="10"/>
  <c r="C64" i="10"/>
  <c r="D64" i="10"/>
  <c r="C48" i="10"/>
  <c r="D48" i="10"/>
  <c r="C32" i="10"/>
  <c r="D32" i="10"/>
  <c r="D282" i="10"/>
  <c r="D283" i="10"/>
  <c r="D284" i="10"/>
  <c r="D287" i="10"/>
  <c r="K2" i="16"/>
  <c r="L7" i="16"/>
  <c r="K7" i="16"/>
  <c r="L6" i="16"/>
  <c r="K6" i="16"/>
  <c r="L5" i="16"/>
  <c r="K5" i="16"/>
  <c r="L2" i="16"/>
  <c r="I11" i="16"/>
  <c r="H11" i="16"/>
  <c r="I10" i="16"/>
  <c r="H10" i="16"/>
  <c r="I9" i="16"/>
  <c r="H9" i="16"/>
  <c r="I8" i="16"/>
  <c r="H8" i="16"/>
  <c r="I7" i="16"/>
  <c r="H7" i="16"/>
  <c r="I6" i="16"/>
  <c r="H6" i="16"/>
  <c r="I5" i="16"/>
  <c r="H5" i="16"/>
  <c r="I4" i="16"/>
  <c r="H4" i="16"/>
  <c r="I3" i="16"/>
  <c r="H3" i="16"/>
  <c r="H263" i="13"/>
  <c r="D263" i="13"/>
  <c r="F263" i="13"/>
  <c r="C263" i="13"/>
  <c r="G263" i="13"/>
  <c r="H262" i="13"/>
  <c r="F262" i="13"/>
  <c r="C262" i="13"/>
  <c r="G262" i="13"/>
  <c r="D262" i="13"/>
  <c r="H261" i="13"/>
  <c r="F261" i="13"/>
  <c r="C261" i="13"/>
  <c r="D261" i="13"/>
  <c r="J261" i="13"/>
  <c r="H260" i="13"/>
  <c r="F260" i="13"/>
  <c r="C260" i="13"/>
  <c r="G260" i="13"/>
  <c r="D260" i="13"/>
  <c r="H259" i="13"/>
  <c r="C259" i="13"/>
  <c r="F259" i="13"/>
  <c r="G259" i="13"/>
  <c r="D259" i="13"/>
  <c r="H258" i="13"/>
  <c r="F258" i="13"/>
  <c r="D258" i="13"/>
  <c r="C258" i="13"/>
  <c r="H257" i="13"/>
  <c r="F257" i="13"/>
  <c r="D257" i="13"/>
  <c r="C257" i="13"/>
  <c r="E257" i="13"/>
  <c r="H256" i="13"/>
  <c r="F256" i="13"/>
  <c r="C256" i="13"/>
  <c r="G256" i="13"/>
  <c r="D256" i="13"/>
  <c r="H255" i="13"/>
  <c r="C255" i="13"/>
  <c r="F255" i="13"/>
  <c r="D255" i="13"/>
  <c r="H254" i="13"/>
  <c r="F254" i="13"/>
  <c r="C254" i="13"/>
  <c r="G254" i="13"/>
  <c r="D254" i="13"/>
  <c r="E254" i="13"/>
  <c r="H253" i="13"/>
  <c r="F253" i="13"/>
  <c r="C253" i="13"/>
  <c r="G253" i="13"/>
  <c r="D253" i="13"/>
  <c r="H252" i="13"/>
  <c r="F252" i="13"/>
  <c r="C252" i="13"/>
  <c r="G252" i="13"/>
  <c r="D252" i="13"/>
  <c r="H251" i="13"/>
  <c r="C251" i="13"/>
  <c r="D251" i="13"/>
  <c r="F251" i="13"/>
  <c r="J251" i="13"/>
  <c r="H250" i="13"/>
  <c r="C250" i="13"/>
  <c r="F250" i="13"/>
  <c r="D250" i="13"/>
  <c r="H249" i="13"/>
  <c r="F249" i="13"/>
  <c r="C249" i="13"/>
  <c r="G249" i="13"/>
  <c r="D249" i="13"/>
  <c r="E249" i="13"/>
  <c r="H248" i="13"/>
  <c r="F248" i="13"/>
  <c r="D248" i="13"/>
  <c r="C248" i="13"/>
  <c r="J248" i="13"/>
  <c r="E248" i="13"/>
  <c r="H247" i="13"/>
  <c r="C247" i="13"/>
  <c r="I247" i="13"/>
  <c r="F247" i="13"/>
  <c r="D247" i="13"/>
  <c r="H246" i="13"/>
  <c r="C246" i="13"/>
  <c r="I246" i="13"/>
  <c r="F246" i="13"/>
  <c r="D246" i="13"/>
  <c r="H245" i="13"/>
  <c r="C245" i="13"/>
  <c r="I245" i="13"/>
  <c r="F245" i="13"/>
  <c r="D245" i="13"/>
  <c r="E245" i="13"/>
  <c r="H244" i="13"/>
  <c r="C244" i="13"/>
  <c r="I244" i="13"/>
  <c r="F244" i="13"/>
  <c r="D244" i="13"/>
  <c r="H243" i="13"/>
  <c r="C243" i="13"/>
  <c r="I243" i="13"/>
  <c r="F243" i="13"/>
  <c r="D243" i="13"/>
  <c r="J243" i="13"/>
  <c r="H242" i="13"/>
  <c r="C242" i="13"/>
  <c r="I242" i="13"/>
  <c r="D242" i="13"/>
  <c r="F242" i="13"/>
  <c r="E242" i="13"/>
  <c r="H241" i="13"/>
  <c r="F241" i="13"/>
  <c r="D241" i="13"/>
  <c r="C241" i="13"/>
  <c r="I241" i="13"/>
  <c r="H240" i="13"/>
  <c r="F240" i="13"/>
  <c r="D240" i="13"/>
  <c r="C240" i="13"/>
  <c r="E240" i="13"/>
  <c r="H239" i="13"/>
  <c r="C239" i="13"/>
  <c r="I239" i="13"/>
  <c r="F239" i="13"/>
  <c r="D239" i="13"/>
  <c r="H238" i="13"/>
  <c r="F238" i="13"/>
  <c r="D238" i="13"/>
  <c r="C238" i="13"/>
  <c r="G238" i="13"/>
  <c r="H237" i="13"/>
  <c r="C237" i="13"/>
  <c r="I237" i="13"/>
  <c r="F237" i="13"/>
  <c r="D237" i="13"/>
  <c r="J237" i="13"/>
  <c r="E237" i="13"/>
  <c r="H236" i="13"/>
  <c r="F236" i="13"/>
  <c r="D236" i="13"/>
  <c r="C236" i="13"/>
  <c r="E236" i="13"/>
  <c r="H235" i="13"/>
  <c r="C235" i="13"/>
  <c r="F235" i="13"/>
  <c r="G235" i="13"/>
  <c r="D235" i="13"/>
  <c r="H234" i="13"/>
  <c r="C234" i="13"/>
  <c r="F234" i="13"/>
  <c r="D234" i="13"/>
  <c r="E234" i="13"/>
  <c r="H233" i="13"/>
  <c r="F233" i="13"/>
  <c r="D233" i="13"/>
  <c r="C233" i="13"/>
  <c r="H232" i="13"/>
  <c r="F232" i="13"/>
  <c r="D232" i="13"/>
  <c r="C232" i="13"/>
  <c r="H231" i="13"/>
  <c r="C231" i="13"/>
  <c r="F231" i="13"/>
  <c r="D231" i="13"/>
  <c r="J231" i="13"/>
  <c r="H230" i="13"/>
  <c r="C230" i="13"/>
  <c r="I230" i="13"/>
  <c r="F230" i="13"/>
  <c r="D230" i="13"/>
  <c r="H229" i="13"/>
  <c r="C229" i="13"/>
  <c r="I229" i="13"/>
  <c r="F229" i="13"/>
  <c r="D229" i="13"/>
  <c r="H228" i="13"/>
  <c r="F228" i="13"/>
  <c r="D228" i="13"/>
  <c r="C228" i="13"/>
  <c r="H227" i="13"/>
  <c r="C227" i="13"/>
  <c r="I227" i="13"/>
  <c r="F227" i="13"/>
  <c r="D227" i="13"/>
  <c r="H226" i="13"/>
  <c r="F226" i="13"/>
  <c r="D226" i="13"/>
  <c r="C226" i="13"/>
  <c r="H225" i="13"/>
  <c r="C225" i="13"/>
  <c r="I225" i="13"/>
  <c r="F225" i="13"/>
  <c r="G225" i="13"/>
  <c r="D225" i="13"/>
  <c r="E225" i="13"/>
  <c r="H224" i="13"/>
  <c r="C224" i="13"/>
  <c r="I224" i="13"/>
  <c r="F224" i="13"/>
  <c r="D224" i="13"/>
  <c r="H223" i="13"/>
  <c r="C223" i="13"/>
  <c r="D223" i="13"/>
  <c r="E223" i="13"/>
  <c r="F223" i="13"/>
  <c r="H222" i="13"/>
  <c r="C222" i="13"/>
  <c r="F222" i="13"/>
  <c r="G222" i="13"/>
  <c r="D222" i="13"/>
  <c r="H221" i="13"/>
  <c r="C221" i="13"/>
  <c r="F221" i="13"/>
  <c r="G221" i="13"/>
  <c r="D221" i="13"/>
  <c r="H220" i="13"/>
  <c r="C220" i="13"/>
  <c r="F220" i="13"/>
  <c r="D220" i="13"/>
  <c r="H219" i="13"/>
  <c r="D219" i="13"/>
  <c r="F219" i="13"/>
  <c r="C219" i="13"/>
  <c r="G219" i="13"/>
  <c r="H218" i="13"/>
  <c r="C218" i="13"/>
  <c r="D218" i="13"/>
  <c r="F218" i="13"/>
  <c r="H217" i="13"/>
  <c r="C217" i="13"/>
  <c r="I217" i="13"/>
  <c r="F217" i="13"/>
  <c r="D217" i="13"/>
  <c r="H216" i="13"/>
  <c r="C216" i="13"/>
  <c r="I216" i="13"/>
  <c r="F216" i="13"/>
  <c r="D216" i="13"/>
  <c r="H215" i="13"/>
  <c r="C215" i="13"/>
  <c r="I215" i="13"/>
  <c r="F215" i="13"/>
  <c r="D215" i="13"/>
  <c r="H214" i="13"/>
  <c r="F214" i="13"/>
  <c r="D214" i="13"/>
  <c r="C214" i="13"/>
  <c r="H213" i="13"/>
  <c r="C213" i="13"/>
  <c r="I213" i="13"/>
  <c r="D213" i="13"/>
  <c r="F213" i="13"/>
  <c r="J213" i="13"/>
  <c r="E213" i="13"/>
  <c r="H212" i="13"/>
  <c r="C212" i="13"/>
  <c r="I212" i="13"/>
  <c r="F212" i="13"/>
  <c r="D212" i="13"/>
  <c r="H211" i="13"/>
  <c r="F211" i="13"/>
  <c r="D211" i="13"/>
  <c r="C211" i="13"/>
  <c r="J211" i="13"/>
  <c r="E211" i="13"/>
  <c r="H210" i="13"/>
  <c r="C210" i="13"/>
  <c r="D210" i="13"/>
  <c r="E210" i="13"/>
  <c r="F210" i="13"/>
  <c r="H209" i="13"/>
  <c r="C209" i="13"/>
  <c r="F209" i="13"/>
  <c r="G209" i="13"/>
  <c r="D209" i="13"/>
  <c r="H208" i="13"/>
  <c r="C208" i="13"/>
  <c r="D208" i="13"/>
  <c r="E208" i="13"/>
  <c r="F208" i="13"/>
  <c r="H207" i="13"/>
  <c r="C207" i="13"/>
  <c r="I207" i="13"/>
  <c r="F207" i="13"/>
  <c r="D207" i="13"/>
  <c r="H206" i="13"/>
  <c r="D206" i="13"/>
  <c r="F206" i="13"/>
  <c r="C206" i="13"/>
  <c r="J206" i="13"/>
  <c r="G206" i="13"/>
  <c r="H205" i="13"/>
  <c r="D205" i="13"/>
  <c r="F205" i="13"/>
  <c r="C205" i="13"/>
  <c r="H204" i="13"/>
  <c r="C204" i="13"/>
  <c r="I204" i="13"/>
  <c r="F204" i="13"/>
  <c r="D204" i="13"/>
  <c r="J204" i="13"/>
  <c r="H203" i="13"/>
  <c r="F203" i="13"/>
  <c r="D203" i="13"/>
  <c r="C203" i="13"/>
  <c r="J203" i="13"/>
  <c r="H202" i="13"/>
  <c r="D202" i="13"/>
  <c r="F202" i="13"/>
  <c r="C202" i="13"/>
  <c r="H201" i="13"/>
  <c r="F201" i="13"/>
  <c r="D201" i="13"/>
  <c r="C201" i="13"/>
  <c r="J201" i="13"/>
  <c r="H200" i="13"/>
  <c r="C200" i="13"/>
  <c r="I200" i="13"/>
  <c r="F200" i="13"/>
  <c r="D200" i="13"/>
  <c r="H199" i="13"/>
  <c r="F199" i="13"/>
  <c r="C199" i="13"/>
  <c r="D199" i="13"/>
  <c r="H198" i="13"/>
  <c r="D198" i="13"/>
  <c r="F198" i="13"/>
  <c r="C198" i="13"/>
  <c r="I198" i="13"/>
  <c r="H197" i="13"/>
  <c r="C197" i="13"/>
  <c r="I197" i="13"/>
  <c r="F197" i="13"/>
  <c r="D197" i="13"/>
  <c r="E197" i="13"/>
  <c r="H196" i="13"/>
  <c r="C196" i="13"/>
  <c r="I196" i="13"/>
  <c r="F196" i="13"/>
  <c r="D196" i="13"/>
  <c r="E196" i="13"/>
  <c r="H195" i="13"/>
  <c r="D195" i="13"/>
  <c r="F195" i="13"/>
  <c r="C195" i="13"/>
  <c r="H194" i="13"/>
  <c r="D194" i="13"/>
  <c r="C194" i="13"/>
  <c r="E194" i="13"/>
  <c r="F194" i="13"/>
  <c r="H193" i="13"/>
  <c r="F193" i="13"/>
  <c r="C193" i="13"/>
  <c r="D193" i="13"/>
  <c r="H192" i="13"/>
  <c r="C192" i="13"/>
  <c r="F192" i="13"/>
  <c r="G192" i="13"/>
  <c r="D192" i="13"/>
  <c r="H191" i="13"/>
  <c r="F191" i="13"/>
  <c r="C191" i="13"/>
  <c r="D191" i="13"/>
  <c r="H190" i="13"/>
  <c r="F190" i="13"/>
  <c r="C190" i="13"/>
  <c r="D190" i="13"/>
  <c r="H189" i="13"/>
  <c r="C189" i="13"/>
  <c r="I189" i="13"/>
  <c r="F189" i="13"/>
  <c r="D189" i="13"/>
  <c r="E189" i="13"/>
  <c r="H188" i="13"/>
  <c r="C188" i="13"/>
  <c r="I188" i="13"/>
  <c r="F188" i="13"/>
  <c r="D188" i="13"/>
  <c r="H187" i="13"/>
  <c r="C187" i="13"/>
  <c r="I187" i="13"/>
  <c r="F187" i="13"/>
  <c r="G187" i="13"/>
  <c r="D187" i="13"/>
  <c r="E187" i="13"/>
  <c r="H186" i="13"/>
  <c r="F186" i="13"/>
  <c r="C186" i="13"/>
  <c r="G186" i="13"/>
  <c r="D186" i="13"/>
  <c r="E186" i="13"/>
  <c r="H185" i="13"/>
  <c r="C185" i="13"/>
  <c r="F185" i="13"/>
  <c r="D185" i="13"/>
  <c r="E185" i="13"/>
  <c r="H184" i="13"/>
  <c r="C184" i="13"/>
  <c r="I184" i="13"/>
  <c r="F184" i="13"/>
  <c r="D184" i="13"/>
  <c r="H183" i="13"/>
  <c r="F183" i="13"/>
  <c r="C183" i="13"/>
  <c r="D183" i="13"/>
  <c r="H182" i="13"/>
  <c r="C182" i="13"/>
  <c r="F182" i="13"/>
  <c r="D182" i="13"/>
  <c r="H181" i="13"/>
  <c r="C181" i="13"/>
  <c r="I181" i="13"/>
  <c r="F181" i="13"/>
  <c r="G181" i="13"/>
  <c r="D181" i="13"/>
  <c r="H180" i="13"/>
  <c r="C180" i="13"/>
  <c r="I180" i="13"/>
  <c r="F180" i="13"/>
  <c r="G180" i="13"/>
  <c r="D180" i="13"/>
  <c r="H179" i="13"/>
  <c r="C179" i="13"/>
  <c r="F179" i="13"/>
  <c r="D179" i="13"/>
  <c r="H178" i="13"/>
  <c r="C178" i="13"/>
  <c r="I178" i="13"/>
  <c r="D178" i="13"/>
  <c r="F178" i="13"/>
  <c r="H177" i="13"/>
  <c r="C177" i="13"/>
  <c r="I177" i="13"/>
  <c r="F177" i="13"/>
  <c r="D177" i="13"/>
  <c r="E177" i="13"/>
  <c r="H176" i="13"/>
  <c r="C176" i="13"/>
  <c r="I176" i="13"/>
  <c r="F176" i="13"/>
  <c r="D176" i="13"/>
  <c r="H175" i="13"/>
  <c r="D175" i="13"/>
  <c r="F175" i="13"/>
  <c r="C175" i="13"/>
  <c r="G175" i="13"/>
  <c r="H174" i="13"/>
  <c r="C174" i="13"/>
  <c r="I174" i="13"/>
  <c r="F174" i="13"/>
  <c r="G174" i="13"/>
  <c r="D174" i="13"/>
  <c r="H173" i="13"/>
  <c r="C173" i="13"/>
  <c r="I173" i="13"/>
  <c r="F173" i="13"/>
  <c r="D173" i="13"/>
  <c r="H172" i="13"/>
  <c r="C172" i="13"/>
  <c r="I172" i="13"/>
  <c r="F172" i="13"/>
  <c r="D172" i="13"/>
  <c r="H171" i="13"/>
  <c r="F171" i="13"/>
  <c r="D171" i="13"/>
  <c r="C171" i="13"/>
  <c r="E171" i="13"/>
  <c r="H170" i="13"/>
  <c r="F170" i="13"/>
  <c r="C170" i="13"/>
  <c r="G170" i="13"/>
  <c r="D170" i="13"/>
  <c r="H169" i="13"/>
  <c r="F169" i="13"/>
  <c r="C169" i="13"/>
  <c r="D169" i="13"/>
  <c r="E169" i="13"/>
  <c r="H168" i="13"/>
  <c r="C168" i="13"/>
  <c r="F168" i="13"/>
  <c r="D168" i="13"/>
  <c r="H167" i="13"/>
  <c r="C167" i="13"/>
  <c r="F167" i="13"/>
  <c r="D167" i="13"/>
  <c r="H166" i="13"/>
  <c r="C166" i="13"/>
  <c r="I166" i="13"/>
  <c r="F166" i="13"/>
  <c r="G166" i="13"/>
  <c r="D166" i="13"/>
  <c r="H165" i="13"/>
  <c r="C165" i="13"/>
  <c r="I165" i="13"/>
  <c r="F165" i="13"/>
  <c r="D165" i="13"/>
  <c r="H164" i="13"/>
  <c r="C164" i="13"/>
  <c r="F164" i="13"/>
  <c r="D164" i="13"/>
  <c r="H163" i="13"/>
  <c r="C163" i="13"/>
  <c r="F163" i="13"/>
  <c r="D163" i="13"/>
  <c r="E163" i="13"/>
  <c r="H162" i="13"/>
  <c r="F162" i="13"/>
  <c r="D162" i="13"/>
  <c r="C162" i="13"/>
  <c r="H161" i="13"/>
  <c r="F161" i="13"/>
  <c r="D161" i="13"/>
  <c r="C161" i="13"/>
  <c r="E161" i="13"/>
  <c r="H160" i="13"/>
  <c r="C160" i="13"/>
  <c r="I160" i="13"/>
  <c r="F160" i="13"/>
  <c r="D160" i="13"/>
  <c r="E160" i="13"/>
  <c r="H159" i="13"/>
  <c r="C159" i="13"/>
  <c r="I159" i="13"/>
  <c r="F159" i="13"/>
  <c r="G159" i="13"/>
  <c r="D159" i="13"/>
  <c r="E159" i="13"/>
  <c r="H158" i="13"/>
  <c r="C158" i="13"/>
  <c r="I158" i="13"/>
  <c r="F158" i="13"/>
  <c r="G158" i="13"/>
  <c r="D158" i="13"/>
  <c r="H157" i="13"/>
  <c r="C157" i="13"/>
  <c r="F157" i="13"/>
  <c r="D157" i="13"/>
  <c r="H156" i="13"/>
  <c r="F156" i="13"/>
  <c r="C156" i="13"/>
  <c r="G156" i="13"/>
  <c r="D156" i="13"/>
  <c r="H155" i="13"/>
  <c r="C155" i="13"/>
  <c r="F155" i="13"/>
  <c r="D155" i="13"/>
  <c r="E155" i="13"/>
  <c r="H154" i="13"/>
  <c r="C154" i="13"/>
  <c r="I154" i="13"/>
  <c r="F154" i="13"/>
  <c r="D154" i="13"/>
  <c r="E154" i="13"/>
  <c r="H153" i="13"/>
  <c r="C153" i="13"/>
  <c r="I153" i="13"/>
  <c r="F153" i="13"/>
  <c r="G153" i="13"/>
  <c r="D153" i="13"/>
  <c r="E153" i="13"/>
  <c r="H152" i="13"/>
  <c r="C152" i="13"/>
  <c r="F152" i="13"/>
  <c r="D152" i="13"/>
  <c r="H151" i="13"/>
  <c r="C151" i="13"/>
  <c r="I151" i="13"/>
  <c r="F151" i="13"/>
  <c r="G151" i="13"/>
  <c r="D151" i="13"/>
  <c r="E151" i="13"/>
  <c r="H150" i="13"/>
  <c r="C150" i="13"/>
  <c r="F150" i="13"/>
  <c r="D150" i="13"/>
  <c r="H149" i="13"/>
  <c r="C149" i="13"/>
  <c r="D149" i="13"/>
  <c r="E149" i="13"/>
  <c r="F149" i="13"/>
  <c r="G149" i="13"/>
  <c r="H148" i="13"/>
  <c r="C148" i="13"/>
  <c r="I148" i="13"/>
  <c r="F148" i="13"/>
  <c r="D148" i="13"/>
  <c r="J148" i="13"/>
  <c r="H147" i="13"/>
  <c r="C147" i="13"/>
  <c r="F147" i="13"/>
  <c r="G147" i="13"/>
  <c r="D147" i="13"/>
  <c r="H146" i="13"/>
  <c r="C146" i="13"/>
  <c r="F146" i="13"/>
  <c r="D146" i="13"/>
  <c r="H145" i="13"/>
  <c r="C145" i="13"/>
  <c r="F145" i="13"/>
  <c r="G145" i="13"/>
  <c r="D145" i="13"/>
  <c r="H144" i="13"/>
  <c r="C144" i="13"/>
  <c r="F144" i="13"/>
  <c r="D144" i="13"/>
  <c r="J144" i="13"/>
  <c r="H143" i="13"/>
  <c r="C143" i="13"/>
  <c r="F143" i="13"/>
  <c r="G143" i="13"/>
  <c r="I143" i="13"/>
  <c r="D143" i="13"/>
  <c r="H142" i="13"/>
  <c r="C142" i="13"/>
  <c r="I142" i="13"/>
  <c r="F142" i="13"/>
  <c r="D142" i="13"/>
  <c r="E142" i="13"/>
  <c r="H141" i="13"/>
  <c r="F141" i="13"/>
  <c r="D141" i="13"/>
  <c r="C141" i="13"/>
  <c r="H140" i="13"/>
  <c r="F140" i="13"/>
  <c r="C140" i="13"/>
  <c r="G140" i="13"/>
  <c r="D140" i="13"/>
  <c r="H139" i="13"/>
  <c r="C139" i="13"/>
  <c r="I139" i="13"/>
  <c r="F139" i="13"/>
  <c r="D139" i="13"/>
  <c r="H138" i="13"/>
  <c r="C138" i="13"/>
  <c r="D138" i="13"/>
  <c r="E138" i="13"/>
  <c r="F138" i="13"/>
  <c r="H137" i="13"/>
  <c r="C137" i="13"/>
  <c r="I137" i="13"/>
  <c r="F137" i="13"/>
  <c r="G137" i="13"/>
  <c r="D137" i="13"/>
  <c r="E137" i="13"/>
  <c r="H136" i="13"/>
  <c r="F136" i="13"/>
  <c r="C136" i="13"/>
  <c r="D136" i="13"/>
  <c r="H135" i="13"/>
  <c r="C135" i="13"/>
  <c r="I135" i="13"/>
  <c r="F135" i="13"/>
  <c r="D135" i="13"/>
  <c r="H134" i="13"/>
  <c r="C134" i="13"/>
  <c r="F134" i="13"/>
  <c r="G134" i="13"/>
  <c r="D134" i="13"/>
  <c r="H133" i="13"/>
  <c r="F133" i="13"/>
  <c r="D133" i="13"/>
  <c r="C133" i="13"/>
  <c r="H132" i="13"/>
  <c r="C132" i="13"/>
  <c r="I132" i="13"/>
  <c r="F132" i="13"/>
  <c r="D132" i="13"/>
  <c r="H131" i="13"/>
  <c r="C131" i="13"/>
  <c r="F131" i="13"/>
  <c r="G131" i="13"/>
  <c r="D131" i="13"/>
  <c r="H130" i="13"/>
  <c r="D130" i="13"/>
  <c r="F130" i="13"/>
  <c r="C130" i="13"/>
  <c r="E130" i="13"/>
  <c r="H129" i="13"/>
  <c r="C129" i="13"/>
  <c r="F129" i="13"/>
  <c r="D129" i="13"/>
  <c r="J129" i="13"/>
  <c r="H128" i="13"/>
  <c r="F128" i="13"/>
  <c r="D128" i="13"/>
  <c r="C128" i="13"/>
  <c r="H127" i="13"/>
  <c r="C127" i="13"/>
  <c r="I127" i="13"/>
  <c r="F127" i="13"/>
  <c r="D127" i="13"/>
  <c r="E127" i="13"/>
  <c r="H126" i="13"/>
  <c r="C126" i="13"/>
  <c r="F126" i="13"/>
  <c r="D126" i="13"/>
  <c r="H125" i="13"/>
  <c r="C125" i="13"/>
  <c r="I125" i="13"/>
  <c r="F125" i="13"/>
  <c r="G125" i="13"/>
  <c r="D125" i="13"/>
  <c r="E125" i="13"/>
  <c r="H124" i="13"/>
  <c r="F124" i="13"/>
  <c r="D124" i="13"/>
  <c r="C124" i="13"/>
  <c r="H123" i="13"/>
  <c r="C123" i="13"/>
  <c r="F123" i="13"/>
  <c r="G123" i="13"/>
  <c r="I123" i="13"/>
  <c r="D123" i="13"/>
  <c r="H122" i="13"/>
  <c r="C122" i="13"/>
  <c r="I122" i="13"/>
  <c r="F122" i="13"/>
  <c r="D122" i="13"/>
  <c r="H121" i="13"/>
  <c r="C121" i="13"/>
  <c r="I121" i="13"/>
  <c r="F121" i="13"/>
  <c r="D121" i="13"/>
  <c r="H120" i="13"/>
  <c r="C120" i="13"/>
  <c r="I120" i="13"/>
  <c r="F120" i="13"/>
  <c r="G120" i="13"/>
  <c r="D120" i="13"/>
  <c r="H119" i="13"/>
  <c r="C119" i="13"/>
  <c r="D119" i="13"/>
  <c r="F119" i="13"/>
  <c r="J119" i="13"/>
  <c r="H118" i="13"/>
  <c r="F118" i="13"/>
  <c r="C118" i="13"/>
  <c r="G118" i="13"/>
  <c r="D118" i="13"/>
  <c r="H117" i="13"/>
  <c r="C117" i="13"/>
  <c r="D117" i="13"/>
  <c r="E117" i="13"/>
  <c r="F117" i="13"/>
  <c r="H116" i="13"/>
  <c r="C116" i="13"/>
  <c r="I116" i="13"/>
  <c r="F116" i="13"/>
  <c r="D116" i="13"/>
  <c r="H115" i="13"/>
  <c r="C115" i="13"/>
  <c r="I115" i="13"/>
  <c r="F115" i="13"/>
  <c r="D115" i="13"/>
  <c r="H114" i="13"/>
  <c r="D114" i="13"/>
  <c r="F114" i="13"/>
  <c r="C114" i="13"/>
  <c r="J114" i="13"/>
  <c r="H113" i="13"/>
  <c r="C113" i="13"/>
  <c r="I113" i="13"/>
  <c r="F113" i="13"/>
  <c r="D113" i="13"/>
  <c r="J113" i="13"/>
  <c r="H112" i="13"/>
  <c r="F112" i="13"/>
  <c r="D112" i="13"/>
  <c r="C112" i="13"/>
  <c r="H111" i="13"/>
  <c r="D111" i="13"/>
  <c r="F111" i="13"/>
  <c r="C111" i="13"/>
  <c r="H110" i="13"/>
  <c r="F110" i="13"/>
  <c r="D110" i="13"/>
  <c r="C110" i="13"/>
  <c r="H109" i="13"/>
  <c r="F109" i="13"/>
  <c r="D109" i="13"/>
  <c r="C109" i="13"/>
  <c r="H108" i="13"/>
  <c r="D108" i="13"/>
  <c r="F108" i="13"/>
  <c r="C108" i="13"/>
  <c r="H107" i="13"/>
  <c r="D107" i="13"/>
  <c r="F107" i="13"/>
  <c r="C107" i="13"/>
  <c r="H106" i="13"/>
  <c r="D106" i="13"/>
  <c r="F106" i="13"/>
  <c r="C106" i="13"/>
  <c r="J106" i="13"/>
  <c r="H105" i="13"/>
  <c r="D105" i="13"/>
  <c r="F105" i="13"/>
  <c r="C105" i="13"/>
  <c r="J105" i="13"/>
  <c r="H104" i="13"/>
  <c r="F104" i="13"/>
  <c r="D104" i="13"/>
  <c r="C104" i="13"/>
  <c r="H103" i="13"/>
  <c r="D103" i="13"/>
  <c r="F103" i="13"/>
  <c r="C103" i="13"/>
  <c r="H102" i="13"/>
  <c r="F102" i="13"/>
  <c r="D102" i="13"/>
  <c r="C102" i="13"/>
  <c r="H101" i="13"/>
  <c r="D101" i="13"/>
  <c r="F101" i="13"/>
  <c r="C101" i="13"/>
  <c r="J101" i="13"/>
  <c r="H100" i="13"/>
  <c r="F100" i="13"/>
  <c r="D100" i="13"/>
  <c r="C100" i="13"/>
  <c r="H99" i="13"/>
  <c r="D99" i="13"/>
  <c r="F99" i="13"/>
  <c r="C99" i="13"/>
  <c r="J99" i="13"/>
  <c r="H98" i="13"/>
  <c r="F98" i="13"/>
  <c r="D98" i="13"/>
  <c r="C98" i="13"/>
  <c r="J98" i="13"/>
  <c r="H97" i="13"/>
  <c r="F97" i="13"/>
  <c r="D97" i="13"/>
  <c r="C97" i="13"/>
  <c r="J97" i="13"/>
  <c r="H96" i="13"/>
  <c r="D96" i="13"/>
  <c r="F96" i="13"/>
  <c r="C96" i="13"/>
  <c r="J96" i="13"/>
  <c r="H95" i="13"/>
  <c r="F95" i="13"/>
  <c r="D95" i="13"/>
  <c r="C95" i="13"/>
  <c r="H94" i="13"/>
  <c r="C94" i="13"/>
  <c r="I94" i="13"/>
  <c r="F94" i="13"/>
  <c r="G94" i="13"/>
  <c r="D94" i="13"/>
  <c r="H93" i="13"/>
  <c r="C93" i="13"/>
  <c r="I93" i="13"/>
  <c r="F93" i="13"/>
  <c r="G93" i="13"/>
  <c r="D93" i="13"/>
  <c r="H92" i="13"/>
  <c r="D92" i="13"/>
  <c r="C92" i="13"/>
  <c r="E92" i="13"/>
  <c r="F92" i="13"/>
  <c r="H91" i="13"/>
  <c r="C91" i="13"/>
  <c r="F91" i="13"/>
  <c r="D91" i="13"/>
  <c r="H90" i="13"/>
  <c r="F90" i="13"/>
  <c r="C90" i="13"/>
  <c r="G90" i="13"/>
  <c r="D90" i="13"/>
  <c r="H89" i="13"/>
  <c r="C89" i="13"/>
  <c r="F89" i="13"/>
  <c r="G89" i="13"/>
  <c r="D89" i="13"/>
  <c r="H88" i="13"/>
  <c r="C88" i="13"/>
  <c r="F88" i="13"/>
  <c r="G88" i="13"/>
  <c r="D88" i="13"/>
  <c r="H87" i="13"/>
  <c r="C87" i="13"/>
  <c r="F87" i="13"/>
  <c r="D87" i="13"/>
  <c r="H86" i="13"/>
  <c r="C86" i="13"/>
  <c r="F86" i="13"/>
  <c r="D86" i="13"/>
  <c r="H85" i="13"/>
  <c r="C85" i="13"/>
  <c r="I85" i="13"/>
  <c r="F85" i="13"/>
  <c r="D85" i="13"/>
  <c r="E85" i="13"/>
  <c r="H84" i="13"/>
  <c r="C84" i="13"/>
  <c r="F84" i="13"/>
  <c r="G84" i="13"/>
  <c r="D84" i="13"/>
  <c r="H83" i="13"/>
  <c r="C83" i="13"/>
  <c r="I83" i="13"/>
  <c r="F83" i="13"/>
  <c r="G83" i="13"/>
  <c r="D83" i="13"/>
  <c r="H82" i="13"/>
  <c r="C82" i="13"/>
  <c r="F82" i="13"/>
  <c r="D82" i="13"/>
  <c r="H81" i="13"/>
  <c r="C81" i="13"/>
  <c r="F81" i="13"/>
  <c r="G81" i="13"/>
  <c r="D81" i="13"/>
  <c r="H80" i="13"/>
  <c r="C80" i="13"/>
  <c r="I80" i="13"/>
  <c r="F80" i="13"/>
  <c r="D80" i="13"/>
  <c r="H79" i="13"/>
  <c r="C79" i="13"/>
  <c r="F79" i="13"/>
  <c r="G79" i="13"/>
  <c r="D79" i="13"/>
  <c r="H78" i="13"/>
  <c r="C78" i="13"/>
  <c r="F78" i="13"/>
  <c r="G78" i="13"/>
  <c r="D78" i="13"/>
  <c r="E78" i="13"/>
  <c r="H77" i="13"/>
  <c r="F77" i="13"/>
  <c r="D77" i="13"/>
  <c r="C77" i="13"/>
  <c r="H76" i="13"/>
  <c r="C76" i="13"/>
  <c r="F76" i="13"/>
  <c r="G76" i="13"/>
  <c r="D76" i="13"/>
  <c r="H75" i="13"/>
  <c r="C75" i="13"/>
  <c r="D75" i="13"/>
  <c r="F75" i="13"/>
  <c r="G75" i="13"/>
  <c r="H74" i="13"/>
  <c r="C74" i="13"/>
  <c r="I74" i="13"/>
  <c r="F74" i="13"/>
  <c r="G74" i="13"/>
  <c r="D74" i="13"/>
  <c r="H73" i="13"/>
  <c r="C73" i="13"/>
  <c r="I73" i="13"/>
  <c r="F73" i="13"/>
  <c r="D73" i="13"/>
  <c r="J73" i="13"/>
  <c r="H72" i="13"/>
  <c r="C72" i="13"/>
  <c r="F72" i="13"/>
  <c r="G72" i="13"/>
  <c r="D72" i="13"/>
  <c r="E72" i="13"/>
  <c r="H71" i="13"/>
  <c r="C71" i="13"/>
  <c r="F71" i="13"/>
  <c r="D71" i="13"/>
  <c r="H70" i="13"/>
  <c r="C70" i="13"/>
  <c r="D70" i="13"/>
  <c r="F70" i="13"/>
  <c r="J70" i="13"/>
  <c r="I70" i="13"/>
  <c r="H69" i="13"/>
  <c r="C69" i="13"/>
  <c r="I69" i="13"/>
  <c r="F69" i="13"/>
  <c r="G69" i="13"/>
  <c r="D69" i="13"/>
  <c r="H68" i="13"/>
  <c r="C68" i="13"/>
  <c r="I68" i="13"/>
  <c r="F68" i="13"/>
  <c r="D68" i="13"/>
  <c r="H67" i="13"/>
  <c r="D67" i="13"/>
  <c r="F67" i="13"/>
  <c r="C67" i="13"/>
  <c r="G67" i="13"/>
  <c r="H66" i="13"/>
  <c r="C66" i="13"/>
  <c r="D66" i="13"/>
  <c r="E66" i="13"/>
  <c r="F66" i="13"/>
  <c r="G66" i="13"/>
  <c r="H65" i="13"/>
  <c r="C65" i="13"/>
  <c r="I65" i="13"/>
  <c r="F65" i="13"/>
  <c r="D65" i="13"/>
  <c r="H64" i="13"/>
  <c r="C64" i="13"/>
  <c r="I64" i="13"/>
  <c r="F64" i="13"/>
  <c r="G64" i="13"/>
  <c r="D64" i="13"/>
  <c r="H63" i="13"/>
  <c r="C63" i="13"/>
  <c r="F63" i="13"/>
  <c r="D63" i="13"/>
  <c r="H62" i="13"/>
  <c r="C62" i="13"/>
  <c r="F62" i="13"/>
  <c r="G62" i="13"/>
  <c r="D62" i="13"/>
  <c r="E62" i="13"/>
  <c r="H61" i="13"/>
  <c r="C61" i="13"/>
  <c r="F61" i="13"/>
  <c r="D61" i="13"/>
  <c r="H60" i="13"/>
  <c r="C60" i="13"/>
  <c r="I60" i="13"/>
  <c r="F60" i="13"/>
  <c r="D60" i="13"/>
  <c r="E60" i="13"/>
  <c r="H59" i="13"/>
  <c r="C59" i="13"/>
  <c r="I59" i="13"/>
  <c r="D59" i="13"/>
  <c r="F59" i="13"/>
  <c r="H58" i="13"/>
  <c r="C58" i="13"/>
  <c r="I58" i="13"/>
  <c r="F58" i="13"/>
  <c r="G58" i="13"/>
  <c r="D58" i="13"/>
  <c r="E58" i="13"/>
  <c r="H57" i="13"/>
  <c r="C57" i="13"/>
  <c r="F57" i="13"/>
  <c r="D57" i="13"/>
  <c r="J57" i="13"/>
  <c r="H56" i="13"/>
  <c r="C56" i="13"/>
  <c r="I56" i="13"/>
  <c r="F56" i="13"/>
  <c r="D56" i="13"/>
  <c r="H55" i="13"/>
  <c r="C55" i="13"/>
  <c r="F55" i="13"/>
  <c r="G55" i="13"/>
  <c r="D55" i="13"/>
  <c r="H54" i="13"/>
  <c r="C54" i="13"/>
  <c r="I54" i="13"/>
  <c r="F54" i="13"/>
  <c r="G54" i="13"/>
  <c r="D54" i="13"/>
  <c r="E54" i="13"/>
  <c r="H53" i="13"/>
  <c r="C53" i="13"/>
  <c r="F53" i="13"/>
  <c r="G53" i="13"/>
  <c r="D53" i="13"/>
  <c r="H52" i="13"/>
  <c r="F52" i="13"/>
  <c r="C52" i="13"/>
  <c r="I52" i="13"/>
  <c r="D52" i="13"/>
  <c r="H51" i="13"/>
  <c r="C51" i="13"/>
  <c r="F51" i="13"/>
  <c r="G51" i="13"/>
  <c r="D51" i="13"/>
  <c r="H50" i="13"/>
  <c r="C50" i="13"/>
  <c r="I50" i="13"/>
  <c r="F50" i="13"/>
  <c r="G50" i="13"/>
  <c r="D50" i="13"/>
  <c r="E50" i="13"/>
  <c r="H49" i="13"/>
  <c r="C49" i="13"/>
  <c r="I49" i="13"/>
  <c r="F49" i="13"/>
  <c r="G49" i="13"/>
  <c r="D49" i="13"/>
  <c r="H48" i="13"/>
  <c r="C48" i="13"/>
  <c r="D48" i="13"/>
  <c r="E48" i="13"/>
  <c r="I48" i="13"/>
  <c r="F48" i="13"/>
  <c r="H47" i="13"/>
  <c r="C47" i="13"/>
  <c r="I47" i="13"/>
  <c r="F47" i="13"/>
  <c r="G47" i="13"/>
  <c r="D47" i="13"/>
  <c r="E47" i="13"/>
  <c r="H46" i="13"/>
  <c r="C46" i="13"/>
  <c r="F46" i="13"/>
  <c r="D46" i="13"/>
  <c r="H45" i="13"/>
  <c r="C45" i="13"/>
  <c r="I45" i="13"/>
  <c r="F45" i="13"/>
  <c r="D45" i="13"/>
  <c r="J45" i="13"/>
  <c r="H44" i="13"/>
  <c r="C44" i="13"/>
  <c r="F44" i="13"/>
  <c r="D44" i="13"/>
  <c r="H43" i="13"/>
  <c r="C43" i="13"/>
  <c r="I43" i="13"/>
  <c r="D43" i="13"/>
  <c r="F43" i="13"/>
  <c r="G43" i="13"/>
  <c r="H42" i="13"/>
  <c r="F42" i="13"/>
  <c r="D42" i="13"/>
  <c r="C42" i="13"/>
  <c r="E42" i="13"/>
  <c r="H41" i="13"/>
  <c r="C41" i="13"/>
  <c r="F41" i="13"/>
  <c r="D41" i="13"/>
  <c r="J41" i="13"/>
  <c r="H40" i="13"/>
  <c r="C40" i="13"/>
  <c r="F40" i="13"/>
  <c r="G40" i="13"/>
  <c r="D40" i="13"/>
  <c r="J40" i="13"/>
  <c r="H39" i="13"/>
  <c r="D39" i="13"/>
  <c r="F39" i="13"/>
  <c r="C39" i="13"/>
  <c r="E39" i="13"/>
  <c r="H38" i="13"/>
  <c r="C38" i="13"/>
  <c r="F38" i="13"/>
  <c r="G38" i="13"/>
  <c r="D38" i="13"/>
  <c r="H37" i="13"/>
  <c r="C37" i="13"/>
  <c r="I37" i="13"/>
  <c r="F37" i="13"/>
  <c r="D37" i="13"/>
  <c r="H36" i="13"/>
  <c r="C36" i="13"/>
  <c r="I36" i="13"/>
  <c r="D36" i="13"/>
  <c r="E36" i="13"/>
  <c r="F36" i="13"/>
  <c r="G36" i="13"/>
  <c r="H35" i="13"/>
  <c r="C35" i="13"/>
  <c r="I35" i="13"/>
  <c r="F35" i="13"/>
  <c r="G35" i="13"/>
  <c r="D35" i="13"/>
  <c r="E35" i="13"/>
  <c r="H34" i="13"/>
  <c r="C34" i="13"/>
  <c r="F34" i="13"/>
  <c r="G34" i="13"/>
  <c r="D34" i="13"/>
  <c r="E34" i="13"/>
  <c r="H33" i="13"/>
  <c r="C33" i="13"/>
  <c r="I33" i="13"/>
  <c r="F33" i="13"/>
  <c r="D33" i="13"/>
  <c r="H32" i="13"/>
  <c r="C32" i="13"/>
  <c r="F32" i="13"/>
  <c r="G32" i="13"/>
  <c r="D32" i="13"/>
  <c r="H31" i="13"/>
  <c r="C31" i="13"/>
  <c r="F31" i="13"/>
  <c r="G31" i="13"/>
  <c r="D31" i="13"/>
  <c r="H30" i="13"/>
  <c r="F30" i="13"/>
  <c r="C30" i="13"/>
  <c r="D30" i="13"/>
  <c r="J30" i="13"/>
  <c r="H29" i="13"/>
  <c r="C29" i="13"/>
  <c r="F29" i="13"/>
  <c r="G29" i="13"/>
  <c r="D29" i="13"/>
  <c r="H28" i="13"/>
  <c r="C28" i="13"/>
  <c r="F28" i="13"/>
  <c r="D28" i="13"/>
  <c r="H27" i="13"/>
  <c r="D27" i="13"/>
  <c r="C27" i="13"/>
  <c r="E27" i="13"/>
  <c r="F27" i="13"/>
  <c r="G27" i="13"/>
  <c r="H26" i="13"/>
  <c r="C26" i="13"/>
  <c r="I26" i="13"/>
  <c r="F26" i="13"/>
  <c r="D26" i="13"/>
  <c r="H25" i="13"/>
  <c r="C25" i="13"/>
  <c r="I25" i="13"/>
  <c r="F25" i="13"/>
  <c r="D25" i="13"/>
  <c r="E25" i="13"/>
  <c r="H24" i="13"/>
  <c r="C24" i="13"/>
  <c r="I24" i="13"/>
  <c r="F24" i="13"/>
  <c r="G24" i="13"/>
  <c r="D24" i="13"/>
  <c r="E24" i="13"/>
  <c r="H23" i="13"/>
  <c r="F23" i="13"/>
  <c r="C23" i="13"/>
  <c r="I23" i="13"/>
  <c r="D23" i="13"/>
  <c r="H22" i="13"/>
  <c r="C22" i="13"/>
  <c r="F22" i="13"/>
  <c r="G22" i="13"/>
  <c r="D22" i="13"/>
  <c r="H21" i="13"/>
  <c r="C21" i="13"/>
  <c r="F21" i="13"/>
  <c r="G21" i="13"/>
  <c r="D21" i="13"/>
  <c r="H20" i="13"/>
  <c r="C20" i="13"/>
  <c r="F20" i="13"/>
  <c r="D20" i="13"/>
  <c r="J20" i="13"/>
  <c r="H19" i="13"/>
  <c r="C19" i="13"/>
  <c r="F19" i="13"/>
  <c r="G19" i="13"/>
  <c r="I19" i="13"/>
  <c r="D19" i="13"/>
  <c r="E19" i="13"/>
  <c r="H18" i="13"/>
  <c r="C18" i="13"/>
  <c r="I18" i="13"/>
  <c r="F18" i="13"/>
  <c r="D18" i="13"/>
  <c r="E18" i="13"/>
  <c r="H17" i="13"/>
  <c r="C17" i="13"/>
  <c r="D17" i="13"/>
  <c r="E17" i="13"/>
  <c r="F17" i="13"/>
  <c r="G17" i="13"/>
  <c r="H16" i="13"/>
  <c r="D16" i="13"/>
  <c r="F16" i="13"/>
  <c r="C16" i="13"/>
  <c r="I16" i="13"/>
  <c r="H15" i="13"/>
  <c r="C15" i="13"/>
  <c r="D15" i="13"/>
  <c r="E15" i="13"/>
  <c r="F15" i="13"/>
  <c r="H14" i="13"/>
  <c r="C14" i="13"/>
  <c r="F14" i="13"/>
  <c r="G14" i="13"/>
  <c r="D14" i="13"/>
  <c r="H13" i="13"/>
  <c r="D13" i="13"/>
  <c r="F13" i="13"/>
  <c r="C13" i="13"/>
  <c r="I13" i="13"/>
  <c r="H12" i="13"/>
  <c r="C12" i="13"/>
  <c r="F12" i="13"/>
  <c r="G12" i="13"/>
  <c r="D12" i="13"/>
  <c r="H11" i="13"/>
  <c r="C11" i="13"/>
  <c r="F11" i="13"/>
  <c r="D11" i="13"/>
  <c r="E11" i="13"/>
  <c r="H10" i="13"/>
  <c r="C10" i="13"/>
  <c r="I10" i="13"/>
  <c r="F10" i="13"/>
  <c r="D10" i="13"/>
  <c r="H9" i="13"/>
  <c r="C9" i="13"/>
  <c r="F9" i="13"/>
  <c r="D9" i="13"/>
  <c r="H8" i="13"/>
  <c r="C8" i="13"/>
  <c r="I8" i="13"/>
  <c r="F8" i="13"/>
  <c r="G8" i="13"/>
  <c r="D8" i="13"/>
  <c r="J8" i="13"/>
  <c r="E8" i="13"/>
  <c r="H7" i="13"/>
  <c r="F7" i="13"/>
  <c r="D7" i="13"/>
  <c r="C7" i="13"/>
  <c r="E7" i="13"/>
  <c r="H6" i="13"/>
  <c r="H264" i="13"/>
  <c r="C6" i="13"/>
  <c r="D6" i="13"/>
  <c r="E6" i="13"/>
  <c r="F6" i="13"/>
  <c r="D264" i="13"/>
  <c r="E93" i="13"/>
  <c r="E184" i="13"/>
  <c r="E193" i="13"/>
  <c r="E203" i="13"/>
  <c r="I114" i="13"/>
  <c r="G213" i="13"/>
  <c r="I171" i="13"/>
  <c r="I175" i="13"/>
  <c r="I203" i="13"/>
  <c r="I211" i="13"/>
  <c r="E45" i="13"/>
  <c r="G45" i="13"/>
  <c r="G46" i="13"/>
  <c r="I118" i="13"/>
  <c r="G126" i="13"/>
  <c r="I130" i="13"/>
  <c r="E21" i="13"/>
  <c r="I169" i="13"/>
  <c r="G85" i="13"/>
  <c r="G87" i="13"/>
  <c r="E83" i="13"/>
  <c r="E158" i="13"/>
  <c r="G73" i="13"/>
  <c r="E94" i="13"/>
  <c r="G139" i="13"/>
  <c r="G141" i="13"/>
  <c r="G144" i="13"/>
  <c r="E207" i="13"/>
  <c r="G214" i="13"/>
  <c r="G216" i="13"/>
  <c r="I67" i="13"/>
  <c r="I77" i="13"/>
  <c r="I90" i="13"/>
  <c r="I92" i="13"/>
  <c r="I124" i="13"/>
  <c r="G133" i="13"/>
  <c r="I136" i="13"/>
  <c r="E180" i="13"/>
  <c r="G184" i="13"/>
  <c r="G217" i="13"/>
  <c r="E80" i="13"/>
  <c r="G128" i="13"/>
  <c r="E174" i="13"/>
  <c r="E9" i="13"/>
  <c r="G7" i="13"/>
  <c r="G25" i="13"/>
  <c r="E28" i="13"/>
  <c r="G37" i="13"/>
  <c r="G11" i="13"/>
  <c r="G59" i="13"/>
  <c r="G63" i="13"/>
  <c r="G65" i="13"/>
  <c r="I141" i="13"/>
  <c r="E148" i="13"/>
  <c r="G42" i="13"/>
  <c r="E57" i="13"/>
  <c r="E64" i="13"/>
  <c r="E65" i="13"/>
  <c r="E68" i="13"/>
  <c r="E75" i="13"/>
  <c r="E76" i="13"/>
  <c r="G113" i="13"/>
  <c r="G116" i="13"/>
  <c r="G121" i="13"/>
  <c r="E134" i="13"/>
  <c r="G154" i="13"/>
  <c r="J158" i="13"/>
  <c r="E167" i="13"/>
  <c r="J171" i="13"/>
  <c r="E175" i="13"/>
  <c r="G129" i="13"/>
  <c r="G150" i="13"/>
  <c r="I156" i="13"/>
  <c r="E172" i="13"/>
  <c r="E176" i="13"/>
  <c r="G215" i="13"/>
  <c r="I219" i="13"/>
  <c r="G114" i="13"/>
  <c r="G122" i="13"/>
  <c r="J165" i="13"/>
  <c r="E165" i="13"/>
  <c r="G138" i="13"/>
  <c r="J145" i="13"/>
  <c r="G146" i="13"/>
  <c r="G160" i="13"/>
  <c r="G164" i="13"/>
  <c r="G168" i="13"/>
  <c r="G176" i="13"/>
  <c r="G178" i="13"/>
  <c r="G188" i="13"/>
  <c r="G195" i="13"/>
  <c r="G196" i="13"/>
  <c r="G200" i="13"/>
  <c r="G204" i="13"/>
  <c r="G208" i="13"/>
  <c r="G212" i="13"/>
  <c r="G258" i="13"/>
  <c r="G177" i="13"/>
  <c r="G179" i="13"/>
  <c r="G189" i="13"/>
  <c r="G203" i="13"/>
  <c r="G207" i="13"/>
  <c r="I232" i="13"/>
  <c r="I233" i="13"/>
  <c r="I236" i="13"/>
  <c r="I238" i="13"/>
  <c r="I240" i="13"/>
  <c r="I248" i="13"/>
  <c r="I249" i="13"/>
  <c r="I252" i="13"/>
  <c r="I253" i="13"/>
  <c r="I254" i="13"/>
  <c r="I256" i="13"/>
  <c r="I257" i="13"/>
  <c r="I258" i="13"/>
  <c r="I260" i="13"/>
  <c r="I261" i="13"/>
  <c r="G56" i="13"/>
  <c r="G115" i="13"/>
  <c r="E124" i="13"/>
  <c r="E143" i="13"/>
  <c r="E145" i="13"/>
  <c r="I186" i="13"/>
  <c r="J100" i="13"/>
  <c r="I190" i="13"/>
  <c r="E152" i="13"/>
  <c r="E156" i="13"/>
  <c r="I194" i="13"/>
  <c r="G198" i="13"/>
  <c r="I205" i="13"/>
  <c r="E205" i="13"/>
  <c r="I183" i="13"/>
  <c r="I191" i="13"/>
  <c r="E195" i="13"/>
  <c r="I199" i="13"/>
  <c r="I206" i="13"/>
  <c r="E214" i="13"/>
  <c r="G223" i="13"/>
  <c r="G227" i="13"/>
  <c r="G229" i="13"/>
  <c r="G230" i="13"/>
  <c r="G233" i="13"/>
  <c r="G234" i="13"/>
  <c r="G237" i="13"/>
  <c r="G242" i="13"/>
  <c r="G243" i="13"/>
  <c r="G246" i="13"/>
  <c r="G247" i="13"/>
  <c r="G248" i="13"/>
  <c r="G251" i="13"/>
  <c r="G255" i="13"/>
  <c r="G257" i="13"/>
  <c r="J180" i="13"/>
  <c r="J186" i="13"/>
  <c r="E235" i="13"/>
  <c r="E239" i="13"/>
  <c r="E243" i="13"/>
  <c r="E247" i="13"/>
  <c r="J257" i="13"/>
  <c r="J222" i="13"/>
  <c r="E224" i="13"/>
  <c r="E232" i="13"/>
  <c r="J234" i="13"/>
  <c r="E244" i="13"/>
  <c r="E252" i="13"/>
  <c r="E256" i="13"/>
  <c r="E260" i="13"/>
  <c r="J53" i="13"/>
  <c r="E263" i="13"/>
  <c r="I195" i="13"/>
  <c r="J172" i="13"/>
  <c r="J138" i="13"/>
  <c r="J139" i="13"/>
  <c r="E144" i="13"/>
  <c r="J168" i="13"/>
  <c r="J174" i="13"/>
  <c r="E181" i="13"/>
  <c r="E206" i="13"/>
  <c r="E123" i="13"/>
  <c r="E147" i="13"/>
  <c r="E139" i="13"/>
  <c r="E168" i="13"/>
  <c r="E166" i="13"/>
  <c r="I263" i="13"/>
  <c r="J181" i="13"/>
  <c r="G232" i="13"/>
  <c r="E141" i="13"/>
  <c r="E204" i="13"/>
  <c r="J193" i="13"/>
  <c r="G44" i="13"/>
  <c r="E233" i="13"/>
  <c r="J146" i="13"/>
  <c r="J256" i="13"/>
  <c r="J190" i="13"/>
  <c r="J77" i="13"/>
  <c r="J191" i="13"/>
  <c r="G167" i="13"/>
  <c r="J142" i="13"/>
  <c r="G61" i="13"/>
  <c r="J143" i="13"/>
  <c r="E219" i="13"/>
  <c r="J93" i="13"/>
  <c r="J151" i="13"/>
  <c r="E10" i="13"/>
  <c r="J64" i="13"/>
  <c r="J189" i="13"/>
  <c r="E43" i="13"/>
  <c r="J87" i="13"/>
  <c r="G148" i="13"/>
  <c r="E132" i="13"/>
  <c r="H2" i="16"/>
  <c r="I2" i="16"/>
  <c r="E227" i="13"/>
  <c r="J227" i="13"/>
  <c r="J258" i="13"/>
  <c r="E258" i="13"/>
  <c r="E262" i="13"/>
  <c r="J262" i="13"/>
  <c r="J163" i="13"/>
  <c r="J62" i="13"/>
  <c r="I39" i="13"/>
  <c r="J72" i="13"/>
  <c r="I30" i="13"/>
  <c r="I170" i="13"/>
  <c r="J9" i="13"/>
  <c r="G9" i="13"/>
  <c r="G10" i="13"/>
  <c r="J10" i="13"/>
  <c r="J14" i="13"/>
  <c r="E14" i="13"/>
  <c r="I15" i="13"/>
  <c r="G71" i="13"/>
  <c r="J71" i="13"/>
  <c r="J133" i="13"/>
  <c r="E133" i="13"/>
  <c r="J135" i="13"/>
  <c r="E135" i="13"/>
  <c r="J136" i="13"/>
  <c r="E136" i="13"/>
  <c r="I152" i="13"/>
  <c r="J152" i="13"/>
  <c r="I218" i="13"/>
  <c r="G218" i="13"/>
  <c r="G33" i="13"/>
  <c r="J33" i="13"/>
  <c r="E61" i="13"/>
  <c r="J61" i="13"/>
  <c r="E228" i="13"/>
  <c r="I228" i="13"/>
  <c r="G228" i="13"/>
  <c r="E229" i="13"/>
  <c r="J229" i="13"/>
  <c r="G28" i="13"/>
  <c r="J28" i="13"/>
  <c r="E226" i="13"/>
  <c r="G226" i="13"/>
  <c r="I226" i="13"/>
  <c r="E73" i="13"/>
  <c r="J15" i="13"/>
  <c r="I42" i="13"/>
  <c r="J42" i="13"/>
  <c r="J68" i="13"/>
  <c r="G68" i="13"/>
  <c r="J69" i="13"/>
  <c r="E69" i="13"/>
  <c r="I162" i="13"/>
  <c r="G162" i="13"/>
  <c r="J162" i="13"/>
  <c r="G182" i="13"/>
  <c r="J182" i="13"/>
  <c r="G183" i="13"/>
  <c r="J183" i="13"/>
  <c r="G185" i="13"/>
  <c r="J185" i="13"/>
  <c r="I214" i="13"/>
  <c r="J214" i="13"/>
  <c r="J187" i="13"/>
  <c r="E30" i="13"/>
  <c r="E182" i="13"/>
  <c r="J25" i="13"/>
  <c r="G6" i="13"/>
  <c r="F264" i="13"/>
  <c r="J6" i="13"/>
  <c r="J264" i="13"/>
  <c r="E13" i="13"/>
  <c r="G16" i="13"/>
  <c r="J51" i="13"/>
  <c r="E51" i="13"/>
  <c r="I155" i="13"/>
  <c r="J155" i="13"/>
  <c r="G157" i="13"/>
  <c r="J157" i="13"/>
  <c r="G30" i="13"/>
  <c r="I44" i="13"/>
  <c r="I87" i="13"/>
  <c r="I131" i="13"/>
  <c r="I210" i="13"/>
  <c r="G261" i="13"/>
  <c r="J18" i="13"/>
  <c r="J39" i="13"/>
  <c r="G39" i="13"/>
  <c r="J48" i="13"/>
  <c r="I86" i="13"/>
  <c r="I91" i="13"/>
  <c r="I208" i="13"/>
  <c r="J252" i="13"/>
  <c r="J86" i="13"/>
  <c r="J196" i="13"/>
  <c r="I9" i="13"/>
  <c r="I21" i="13"/>
  <c r="I28" i="13"/>
  <c r="I31" i="13"/>
  <c r="I38" i="13"/>
  <c r="E44" i="13"/>
  <c r="G52" i="13"/>
  <c r="I55" i="13"/>
  <c r="I66" i="13"/>
  <c r="E79" i="13"/>
  <c r="I79" i="13"/>
  <c r="E86" i="13"/>
  <c r="J207" i="13"/>
  <c r="E238" i="13"/>
  <c r="J239" i="13"/>
  <c r="E241" i="13"/>
  <c r="I250" i="13"/>
  <c r="I251" i="13"/>
  <c r="G13" i="13"/>
  <c r="J44" i="13"/>
  <c r="J67" i="13"/>
  <c r="E67" i="13"/>
  <c r="E70" i="13"/>
  <c r="I88" i="13"/>
  <c r="I89" i="13"/>
  <c r="J169" i="13"/>
  <c r="G169" i="13"/>
  <c r="I209" i="13"/>
  <c r="J131" i="13"/>
  <c r="J79" i="13"/>
  <c r="J210" i="13"/>
  <c r="J54" i="13"/>
  <c r="G241" i="13"/>
  <c r="C264" i="13"/>
  <c r="J83" i="13"/>
  <c r="J7" i="13"/>
  <c r="G15" i="13"/>
  <c r="I20" i="13"/>
  <c r="I22" i="13"/>
  <c r="G26" i="13"/>
  <c r="I29" i="13"/>
  <c r="I32" i="13"/>
  <c r="E129" i="13"/>
  <c r="J17" i="13"/>
  <c r="J85" i="13"/>
  <c r="J235" i="13"/>
  <c r="J177" i="13"/>
  <c r="I6" i="13"/>
  <c r="I7" i="13"/>
  <c r="I11" i="13"/>
  <c r="I12" i="13"/>
  <c r="I14" i="13"/>
  <c r="I17" i="13"/>
  <c r="E20" i="13"/>
  <c r="J21" i="13"/>
  <c r="J22" i="13"/>
  <c r="E23" i="13"/>
  <c r="E29" i="13"/>
  <c r="I40" i="13"/>
  <c r="I41" i="13"/>
  <c r="E46" i="13"/>
  <c r="G48" i="13"/>
  <c r="I51" i="13"/>
  <c r="I57" i="13"/>
  <c r="I61" i="13"/>
  <c r="I62" i="13"/>
  <c r="I63" i="13"/>
  <c r="J65" i="13"/>
  <c r="G70" i="13"/>
  <c r="E71" i="13"/>
  <c r="I72" i="13"/>
  <c r="E77" i="13"/>
  <c r="G117" i="13"/>
  <c r="G119" i="13"/>
  <c r="J122" i="13"/>
  <c r="J156" i="13"/>
  <c r="I161" i="13"/>
  <c r="I163" i="13"/>
  <c r="I164" i="13"/>
  <c r="G190" i="13"/>
  <c r="G191" i="13"/>
  <c r="G193" i="13"/>
  <c r="J195" i="13"/>
  <c r="G220" i="13"/>
  <c r="I231" i="13"/>
  <c r="G77" i="13"/>
  <c r="I81" i="13"/>
  <c r="I82" i="13"/>
  <c r="J102" i="13"/>
  <c r="J104" i="13"/>
  <c r="J110" i="13"/>
  <c r="J112" i="13"/>
  <c r="E113" i="13"/>
  <c r="I117" i="13"/>
  <c r="I119" i="13"/>
  <c r="J123" i="13"/>
  <c r="J128" i="13"/>
  <c r="E128" i="13"/>
  <c r="E131" i="13"/>
  <c r="I138" i="13"/>
  <c r="J154" i="13"/>
  <c r="G171" i="13"/>
  <c r="E178" i="13"/>
  <c r="J179" i="13"/>
  <c r="I182" i="13"/>
  <c r="I192" i="13"/>
  <c r="I193" i="13"/>
  <c r="J198" i="13"/>
  <c r="G199" i="13"/>
  <c r="J202" i="13"/>
  <c r="I234" i="13"/>
  <c r="I235" i="13"/>
  <c r="J255" i="13"/>
  <c r="I259" i="13"/>
  <c r="G23" i="13"/>
  <c r="I27" i="13"/>
  <c r="E31" i="13"/>
  <c r="E32" i="13"/>
  <c r="E33" i="13"/>
  <c r="I34" i="13"/>
  <c r="E38" i="13"/>
  <c r="G41" i="13"/>
  <c r="I46" i="13"/>
  <c r="E53" i="13"/>
  <c r="I53" i="13"/>
  <c r="J59" i="13"/>
  <c r="G60" i="13"/>
  <c r="J63" i="13"/>
  <c r="I71" i="13"/>
  <c r="I75" i="13"/>
  <c r="I76" i="13"/>
  <c r="I78" i="13"/>
  <c r="G80" i="13"/>
  <c r="E81" i="13"/>
  <c r="G91" i="13"/>
  <c r="G92" i="13"/>
  <c r="J94" i="13"/>
  <c r="J107" i="13"/>
  <c r="J108" i="13"/>
  <c r="J111" i="13"/>
  <c r="I126" i="13"/>
  <c r="J134" i="13"/>
  <c r="I134" i="13"/>
  <c r="G136" i="13"/>
  <c r="J141" i="13"/>
  <c r="I144" i="13"/>
  <c r="I145" i="13"/>
  <c r="I146" i="13"/>
  <c r="I147" i="13"/>
  <c r="G152" i="13"/>
  <c r="E157" i="13"/>
  <c r="G161" i="13"/>
  <c r="G165" i="13"/>
  <c r="I167" i="13"/>
  <c r="I168" i="13"/>
  <c r="J176" i="13"/>
  <c r="E183" i="13"/>
  <c r="J184" i="13"/>
  <c r="I185" i="13"/>
  <c r="E190" i="13"/>
  <c r="J208" i="13"/>
  <c r="E220" i="13"/>
  <c r="E221" i="13"/>
  <c r="E222" i="13"/>
  <c r="J232" i="13"/>
  <c r="J233" i="13"/>
  <c r="G245" i="13"/>
  <c r="G250" i="13"/>
  <c r="E259" i="13"/>
  <c r="E261" i="13"/>
  <c r="E82" i="13"/>
  <c r="I84" i="13"/>
  <c r="G86" i="13"/>
  <c r="E87" i="13"/>
  <c r="E88" i="13"/>
  <c r="E89" i="13"/>
  <c r="E91" i="13"/>
  <c r="J92" i="13"/>
  <c r="J95" i="13"/>
  <c r="E114" i="13"/>
  <c r="E119" i="13"/>
  <c r="J127" i="13"/>
  <c r="I128" i="13"/>
  <c r="I129" i="13"/>
  <c r="I133" i="13"/>
  <c r="G135" i="13"/>
  <c r="I140" i="13"/>
  <c r="G142" i="13"/>
  <c r="E146" i="13"/>
  <c r="I149" i="13"/>
  <c r="I150" i="13"/>
  <c r="J153" i="13"/>
  <c r="G155" i="13"/>
  <c r="I157" i="13"/>
  <c r="E162" i="13"/>
  <c r="G163" i="13"/>
  <c r="G172" i="13"/>
  <c r="E173" i="13"/>
  <c r="I179" i="13"/>
  <c r="E191" i="13"/>
  <c r="G197" i="13"/>
  <c r="E200" i="13"/>
  <c r="G205" i="13"/>
  <c r="G210" i="13"/>
  <c r="E217" i="13"/>
  <c r="I220" i="13"/>
  <c r="I221" i="13"/>
  <c r="I222" i="13"/>
  <c r="I223" i="13"/>
  <c r="G231" i="13"/>
  <c r="J247" i="13"/>
  <c r="E250" i="13"/>
  <c r="E251" i="13"/>
  <c r="J254" i="13"/>
  <c r="I255" i="13"/>
  <c r="J260" i="13"/>
  <c r="I262" i="13"/>
  <c r="J159" i="13"/>
  <c r="J81" i="13"/>
  <c r="J19" i="13"/>
  <c r="E59" i="13"/>
  <c r="J50" i="13"/>
  <c r="J149" i="13"/>
  <c r="J47" i="13"/>
  <c r="J58" i="13"/>
  <c r="J91" i="13"/>
  <c r="J76" i="13"/>
  <c r="J250" i="13"/>
  <c r="E255" i="13"/>
  <c r="E231" i="13"/>
  <c r="G57" i="13"/>
  <c r="E41" i="13"/>
  <c r="J11" i="13"/>
  <c r="J16" i="13"/>
  <c r="E16" i="13"/>
  <c r="G20" i="13"/>
  <c r="J49" i="13"/>
  <c r="E49" i="13"/>
  <c r="J90" i="13"/>
  <c r="J109" i="13"/>
  <c r="J118" i="13"/>
  <c r="E118" i="13"/>
  <c r="G132" i="13"/>
  <c r="J132" i="13"/>
  <c r="E164" i="13"/>
  <c r="J164" i="13"/>
  <c r="E170" i="13"/>
  <c r="J170" i="13"/>
  <c r="J173" i="13"/>
  <c r="G173" i="13"/>
  <c r="E179" i="13"/>
  <c r="E192" i="13"/>
  <c r="J192" i="13"/>
  <c r="J246" i="13"/>
  <c r="E246" i="13"/>
  <c r="E12" i="13"/>
  <c r="J12" i="13"/>
  <c r="E121" i="13"/>
  <c r="J121" i="13"/>
  <c r="E218" i="13"/>
  <c r="J218" i="13"/>
  <c r="E230" i="13"/>
  <c r="J230" i="13"/>
  <c r="J242" i="13"/>
  <c r="G244" i="13"/>
  <c r="J244" i="13"/>
  <c r="E253" i="13"/>
  <c r="J253" i="13"/>
  <c r="J27" i="13"/>
  <c r="J31" i="13"/>
  <c r="J24" i="13"/>
  <c r="J197" i="13"/>
  <c r="J35" i="13"/>
  <c r="J78" i="13"/>
  <c r="J80" i="13"/>
  <c r="J60" i="13"/>
  <c r="J241" i="13"/>
  <c r="J225" i="13"/>
  <c r="G239" i="13"/>
  <c r="J221" i="13"/>
  <c r="E198" i="13"/>
  <c r="J89" i="13"/>
  <c r="J220" i="13"/>
  <c r="G127" i="13"/>
  <c r="E63" i="13"/>
  <c r="E122" i="13"/>
  <c r="J37" i="13"/>
  <c r="E37" i="13"/>
  <c r="J52" i="13"/>
  <c r="E52" i="13"/>
  <c r="J55" i="13"/>
  <c r="E55" i="13"/>
  <c r="E90" i="13"/>
  <c r="E115" i="13"/>
  <c r="J115" i="13"/>
  <c r="E116" i="13"/>
  <c r="J116" i="13"/>
  <c r="J124" i="13"/>
  <c r="G124" i="13"/>
  <c r="E126" i="13"/>
  <c r="J126" i="13"/>
  <c r="J137" i="13"/>
  <c r="J140" i="13"/>
  <c r="E140" i="13"/>
  <c r="J160" i="13"/>
  <c r="J161" i="13"/>
  <c r="J166" i="13"/>
  <c r="J188" i="13"/>
  <c r="E188" i="13"/>
  <c r="J240" i="13"/>
  <c r="G240" i="13"/>
  <c r="J245" i="13"/>
  <c r="J74" i="13"/>
  <c r="E74" i="13"/>
  <c r="J194" i="13"/>
  <c r="G194" i="13"/>
  <c r="J178" i="13"/>
  <c r="J46" i="13"/>
  <c r="J219" i="13"/>
  <c r="J29" i="13"/>
  <c r="J259" i="13"/>
  <c r="J117" i="13"/>
  <c r="J75" i="13"/>
  <c r="J125" i="13"/>
  <c r="J217" i="13"/>
  <c r="E22" i="13"/>
  <c r="J32" i="13"/>
  <c r="J238" i="13"/>
  <c r="J249" i="13"/>
  <c r="J223" i="13"/>
  <c r="J200" i="13"/>
  <c r="J88" i="13"/>
  <c r="J23" i="13"/>
  <c r="G211" i="13"/>
  <c r="G18" i="13"/>
  <c r="J13" i="13"/>
  <c r="J34" i="13"/>
  <c r="J36" i="13"/>
  <c r="J38" i="13"/>
  <c r="E40" i="13"/>
  <c r="E56" i="13"/>
  <c r="J56" i="13"/>
  <c r="G82" i="13"/>
  <c r="J82" i="13"/>
  <c r="E84" i="13"/>
  <c r="J84" i="13"/>
  <c r="E120" i="13"/>
  <c r="J120" i="13"/>
  <c r="G130" i="13"/>
  <c r="J130" i="13"/>
  <c r="E199" i="13"/>
  <c r="J199" i="13"/>
  <c r="E209" i="13"/>
  <c r="J209" i="13"/>
  <c r="E215" i="13"/>
  <c r="J215" i="13"/>
  <c r="E216" i="13"/>
  <c r="J216" i="13"/>
  <c r="J26" i="13"/>
  <c r="E26" i="13"/>
  <c r="J43" i="13"/>
  <c r="J66" i="13"/>
  <c r="J103" i="13"/>
  <c r="J147" i="13"/>
  <c r="E150" i="13"/>
  <c r="J150" i="13"/>
  <c r="J175" i="13"/>
  <c r="J205" i="13"/>
  <c r="E212" i="13"/>
  <c r="J212" i="13"/>
  <c r="G224" i="13"/>
  <c r="J224" i="13"/>
  <c r="J228" i="13"/>
  <c r="G236" i="13"/>
  <c r="J236" i="13"/>
  <c r="J167" i="13"/>
  <c r="J226" i="13"/>
  <c r="J263" i="13"/>
  <c r="D2" i="10"/>
  <c r="D289" i="10"/>
  <c r="C6" i="9"/>
  <c r="C289" i="10"/>
  <c r="C612" i="15"/>
  <c r="C9" i="9"/>
  <c r="M20" i="9"/>
  <c r="K2" i="15"/>
  <c r="K606" i="15"/>
  <c r="O20" i="9"/>
  <c r="C10" i="9"/>
  <c r="D12" i="9"/>
  <c r="N11" i="15"/>
  <c r="N8" i="9"/>
  <c r="I8" i="9"/>
  <c r="N10" i="15"/>
  <c r="N3" i="15"/>
  <c r="N4" i="15"/>
  <c r="N7" i="15"/>
  <c r="N6" i="15"/>
  <c r="G19" i="9"/>
  <c r="N8" i="15"/>
  <c r="N9" i="15"/>
  <c r="G21" i="9"/>
  <c r="N5" i="15"/>
  <c r="N20" i="9"/>
  <c r="N21" i="9"/>
  <c r="G20" i="9"/>
  <c r="N5" i="9"/>
  <c r="N2" i="15"/>
  <c r="N4" i="9"/>
  <c r="F21" i="9"/>
  <c r="L20" i="9"/>
  <c r="L21" i="9"/>
  <c r="N6" i="9"/>
  <c r="I6" i="9"/>
  <c r="F20" i="9"/>
  <c r="F24" i="9"/>
  <c r="I4" i="9"/>
  <c r="N9" i="9"/>
  <c r="G24" i="9"/>
  <c r="L8" i="9"/>
  <c r="O8" i="9"/>
  <c r="L7" i="9"/>
  <c r="O7" i="9"/>
  <c r="N606" i="15"/>
  <c r="L4" i="9"/>
  <c r="L6" i="9"/>
  <c r="O6" i="9"/>
  <c r="L5" i="9"/>
  <c r="O5" i="9"/>
  <c r="D13" i="9"/>
  <c r="H19" i="9"/>
  <c r="H21" i="9"/>
  <c r="H20" i="9"/>
  <c r="H23" i="9"/>
  <c r="I5" i="9"/>
  <c r="O4" i="9"/>
  <c r="O9" i="9"/>
  <c r="L9" i="9"/>
  <c r="M8" i="9"/>
  <c r="P8" i="9"/>
  <c r="M7" i="9"/>
  <c r="P7" i="9"/>
  <c r="M4" i="9"/>
  <c r="M6" i="9"/>
  <c r="P6" i="9"/>
  <c r="M5" i="9"/>
  <c r="P5" i="9"/>
  <c r="H24" i="9"/>
  <c r="H25" i="9"/>
  <c r="M9" i="9"/>
  <c r="P4" i="9"/>
  <c r="P9" i="9"/>
</calcChain>
</file>

<file path=xl/comments1.xml><?xml version="1.0" encoding="utf-8"?>
<comments xmlns="http://schemas.openxmlformats.org/spreadsheetml/2006/main">
  <authors>
    <author>Andreia Sousa Bezerra</author>
  </authors>
  <commentList>
    <comment ref="P140" authorId="0" shapeId="0">
      <text>
        <r>
          <rPr>
            <b/>
            <sz val="9"/>
            <color indexed="81"/>
            <rFont val="Tahoma"/>
            <family val="2"/>
          </rPr>
          <t>Andreia Sousa Bezerra:</t>
        </r>
        <r>
          <rPr>
            <sz val="9"/>
            <color indexed="81"/>
            <rFont val="Tahoma"/>
            <family val="2"/>
          </rPr>
          <t xml:space="preserve">
Diminuir o n. de vagas no sistema para 58. Aluno mobilidade. RA11083210 e 21011010.</t>
        </r>
      </text>
    </comment>
    <comment ref="P295" authorId="0" shapeId="0">
      <text>
        <r>
          <rPr>
            <b/>
            <sz val="9"/>
            <color indexed="81"/>
            <rFont val="Tahoma"/>
            <family val="2"/>
          </rPr>
          <t>Andreia Sousa Bezerra:</t>
        </r>
        <r>
          <rPr>
            <sz val="9"/>
            <color indexed="81"/>
            <rFont val="Tahoma"/>
            <family val="2"/>
          </rPr>
          <t xml:space="preserve">
Diminuir o n. de vagas no sistema para 31. Aluno mobilidade. RA 11084110</t>
        </r>
      </text>
    </comment>
    <comment ref="P466" authorId="0" shapeId="0">
      <text>
        <r>
          <rPr>
            <b/>
            <sz val="9"/>
            <color indexed="81"/>
            <rFont val="Tahoma"/>
            <family val="2"/>
          </rPr>
          <t>Andreia Sousa Bezerra:</t>
        </r>
        <r>
          <rPr>
            <sz val="9"/>
            <color indexed="81"/>
            <rFont val="Tahoma"/>
            <family val="2"/>
          </rPr>
          <t xml:space="preserve">
Diminuir o n. de vagas no sistema para 89. Aluno mobilidade. RA11092911</t>
        </r>
      </text>
    </comment>
  </commentList>
</comments>
</file>

<file path=xl/sharedStrings.xml><?xml version="1.0" encoding="utf-8"?>
<sst xmlns="http://schemas.openxmlformats.org/spreadsheetml/2006/main" count="15230" uniqueCount="4835">
  <si>
    <t>Código disciplina</t>
  </si>
  <si>
    <t>TURMA</t>
  </si>
  <si>
    <t>T</t>
  </si>
  <si>
    <t>P</t>
  </si>
  <si>
    <t>teoria</t>
  </si>
  <si>
    <t>prática</t>
  </si>
  <si>
    <t>cod doc teoria</t>
  </si>
  <si>
    <t>docente teoria</t>
  </si>
  <si>
    <t>Centro</t>
  </si>
  <si>
    <t>cod. Doc. Prativa</t>
  </si>
  <si>
    <t>docente prática</t>
  </si>
  <si>
    <t>EN2133</t>
  </si>
  <si>
    <t>Habitação e Assentamentos Humanos A-noturno (Santo André)</t>
  </si>
  <si>
    <t xml:space="preserve">segunda das 19:00 às 23:00, sala S - 002-0, semanal </t>
  </si>
  <si>
    <t>CS3302</t>
  </si>
  <si>
    <t>História de Atuação do Brasil nos Processos de Integração Sul-americana A-diurno (São Bernardo do Campo)</t>
  </si>
  <si>
    <t xml:space="preserve">segunda das 08:00 às 10:00, sala A2-S202-SB, semanal , quarta das 10:00 às 12:00, sala A2-S202-SB, semanal </t>
  </si>
  <si>
    <t>História de Atuação do Brasil nos Processos de Integração Sul-americana A-noturno (São Bernardo do Campo)</t>
  </si>
  <si>
    <t xml:space="preserve">segunda das 19:00 às 21:00, sala A2-S301-SB, semanal , quarta das 21:00 às 23:00, sala A2-S301-SB, semanal </t>
  </si>
  <si>
    <t>BC1507</t>
  </si>
  <si>
    <t>Instrumentação e Controle A-noturno (São Bernardo do Campo)</t>
  </si>
  <si>
    <t xml:space="preserve">terca das 19:00 às 21:00, sala A1-S103-SB, quinzenal I, quinta das 21:00 às 23:00, sala A1-S103-SB, semanal </t>
  </si>
  <si>
    <t>terca das 19:00 às 21:00, sala A1-L306-SB, quinzenal II</t>
  </si>
  <si>
    <t>Instrumentação e Controle C1-diurno (Santo André)</t>
  </si>
  <si>
    <t xml:space="preserve">terca das 14:00 às 16:00, sala A - 114-0, quinzenal I, quinta das 16:00 às 18:00, sala A - 114-0, semanal </t>
  </si>
  <si>
    <t>terca das 14:00 às 16:00, sala 405-1, quinzenal II</t>
  </si>
  <si>
    <t>Instrumentação e Controle C2-diurno (Santo André)</t>
  </si>
  <si>
    <t>terca das 14:00 às 16:00, sala 407-1, quinzenal II</t>
  </si>
  <si>
    <t>MC8109</t>
  </si>
  <si>
    <t>Neuroarte A-diurno (Santo André)</t>
  </si>
  <si>
    <t xml:space="preserve">quinta das 14:00 às 16:00, sala S - 302-2, semanal </t>
  </si>
  <si>
    <t>CS3313</t>
  </si>
  <si>
    <t>Regimes de Negociação Financeira Internacional e a Estratégia Brasileira A-diurno (São Bernardo do Campo)</t>
  </si>
  <si>
    <t xml:space="preserve">terca das 08:00 às 10:00, sala A1-S205-SB, semanal , quinta das 10:00 às 12:00, sala A1-S201-SB, semanal </t>
  </si>
  <si>
    <t>Regimes de Negociação Financeira Internacional e a Estratégia Brasileira A-noturno (São Bernardo do Campo)</t>
  </si>
  <si>
    <t xml:space="preserve">terca das 19:00 às 21:00, sala A2-S208-SB, semanal , quinta das 21:00 às 23:00, sala A2-S208-SB, semanal </t>
  </si>
  <si>
    <t>NH2000</t>
  </si>
  <si>
    <t>Trabalho de Conclusão de Curso em Física A-Diurno (Santo André)</t>
  </si>
  <si>
    <t xml:space="preserve">sabado das 10:00 às 12:00, sala S - 309-3, semanal </t>
  </si>
  <si>
    <t xml:space="preserve">Curso responsável pela oferta da turma
(Filtre o curso) </t>
  </si>
  <si>
    <t>Código  turma SIE</t>
  </si>
  <si>
    <t>Nº TURMAS</t>
  </si>
  <si>
    <t>Disciplina</t>
  </si>
  <si>
    <t>I</t>
  </si>
  <si>
    <t>Ações determinadas pela Coordenação de Curso</t>
  </si>
  <si>
    <t>Campus</t>
  </si>
  <si>
    <t>Turno</t>
  </si>
  <si>
    <t>Ação 
PREENCHIMENTO OBRIGATÓRIO
Escolher entre as opções</t>
  </si>
  <si>
    <t>informações necessárias para execução da ação</t>
  </si>
  <si>
    <t>NOVO Nº DE VAGAS/ OBSERVAÇÕES
 (Em caso de NOVAS TURMAS utilizar a aba  "DIC. NOVAS A SEREM OFERTADAS ")</t>
  </si>
  <si>
    <t>Ações Executadas pela Prograd - respostas</t>
  </si>
  <si>
    <t>conferência de vagas no sistema alocação</t>
  </si>
  <si>
    <t>ENGENHARIA AEROESPACIAL</t>
  </si>
  <si>
    <t>DAEN2213SA</t>
  </si>
  <si>
    <t>EN2213</t>
  </si>
  <si>
    <t>Aerodinâmica I</t>
  </si>
  <si>
    <t>Aerodinâmica I A-diurno (Santo André)</t>
  </si>
  <si>
    <t>Manter</t>
  </si>
  <si>
    <t>¬0¬</t>
  </si>
  <si>
    <t>OK - MANTIDA COM ORIGINALMENTE OFERTADA</t>
  </si>
  <si>
    <t>SA</t>
  </si>
  <si>
    <t>D</t>
  </si>
  <si>
    <t xml:space="preserve">terca das 10:00 às 12:00, sala S - 307-1, semanal , quinta das 08:00 às 10:00, sala S - 307-1, semanal </t>
  </si>
  <si>
    <t>NAEN2210SA</t>
  </si>
  <si>
    <t>EN2210</t>
  </si>
  <si>
    <t>Aeroelasticidade</t>
  </si>
  <si>
    <t>Aeroelasticidade A-Noturno (Santo André)</t>
  </si>
  <si>
    <t>Ampliar vagas - procurar nova sala</t>
  </si>
  <si>
    <t>Informar o novo número de vagas</t>
  </si>
  <si>
    <t>ok - nova sala S302-1</t>
  </si>
  <si>
    <t>N</t>
  </si>
  <si>
    <t xml:space="preserve">terca das 21:00 às 23:00, sala S - 307-1, semanal , quinta das 19:00 às 21:00, sala S - 307-1, semanal </t>
  </si>
  <si>
    <t>DAEN2220SB</t>
  </si>
  <si>
    <t>EN2220</t>
  </si>
  <si>
    <t>Aeronáutica I-A</t>
  </si>
  <si>
    <t>Aeronáutica I-A A-diurno (São Bernardo do Campo)</t>
  </si>
  <si>
    <t>SB</t>
  </si>
  <si>
    <t xml:space="preserve">terca das 08:00 às 10:00, sala A2-S305-SB, semanal , quinta das 10:00 às 12:00, sala A2-S305-SB, semanal </t>
  </si>
  <si>
    <t>BACHARELADO EM MATEMÁTICA</t>
  </si>
  <si>
    <t>DABC1425SA</t>
  </si>
  <si>
    <t>BC1425</t>
  </si>
  <si>
    <t>Álgebra Linear</t>
  </si>
  <si>
    <t>Álgebra Linear A-diurno (Santo André)</t>
  </si>
  <si>
    <t xml:space="preserve">segunda das 08:00 às 10:00, sala A - 106-0, semanal , quarta das 10:00 às 12:00, sala A - 106-0, semanal , sexta das 08:00 às 10:00, sala A - 106-0, semanal </t>
  </si>
  <si>
    <t>BACHARELADO EM CIÊNCIAS ECONÔMICAS</t>
  </si>
  <si>
    <t>DABC1425SB</t>
  </si>
  <si>
    <t>Álgebra Linear A-diurno (São Bernardo do Campo)</t>
  </si>
  <si>
    <t xml:space="preserve">segunda das 08:00 às 10:00, sala A1-S205-SB, semanal , quarta das 10:00 às 12:00, sala A1-S205-SB, semanal , sexta das 08:00 às 10:00, sala A1-S205-SB, semanal </t>
  </si>
  <si>
    <t>NABC1425SA</t>
  </si>
  <si>
    <t>Álgebra Linear A-Noturno (Santo André)</t>
  </si>
  <si>
    <t>ampliar vagas - procurar nova sala</t>
  </si>
  <si>
    <t>OK - AMPLIADO 127 / NOVA SALA 211-0</t>
  </si>
  <si>
    <t xml:space="preserve">segunda das 19:00 às 21:00, sala A - 114-0, semanal , quarta das 21:00 às 23:00, sala A - 114-0, semanal , sexta das 19:00 às 21:00, sala A - 114-0, semanal </t>
  </si>
  <si>
    <t>NAMC1301SA</t>
  </si>
  <si>
    <t>MC1301</t>
  </si>
  <si>
    <t>Álgebra Linear Avançada I</t>
  </si>
  <si>
    <t>Álgebra Linear Avançada I A-Noturno (Santo André)</t>
  </si>
  <si>
    <t>manter</t>
  </si>
  <si>
    <t xml:space="preserve">terca das 21:00 às 23:00, sala S - 304-2, semanal , sexta das 19:00 às 21:00, sala S - 304-2, semanal </t>
  </si>
  <si>
    <t>DBBC1425SA</t>
  </si>
  <si>
    <t>Álgebra Linear B-diurno (Santo André)</t>
  </si>
  <si>
    <t>cancelar</t>
  </si>
  <si>
    <t>OK - TURMA CANCELADA</t>
  </si>
  <si>
    <t xml:space="preserve">segunda das 10:00 às 12:00, sala A - 106-0, semanal , quarta das 08:00 às 10:00, sala A - 106-0, semanal , sexta das 10:00 às 12:00, sala A - 106-0, semanal </t>
  </si>
  <si>
    <t>NBBC1425SA</t>
  </si>
  <si>
    <t>Álgebra Linear B-Noturno (Santo André)</t>
  </si>
  <si>
    <t xml:space="preserve">segunda das 21:00 às 23:00, sala A - 114-0, semanal , quarta das 19:00 às 21:00, sala A - 114-0, semanal , sexta das 21:00 às 23:00, sala A - 114-0, semanal </t>
  </si>
  <si>
    <t>NABC1425SB</t>
  </si>
  <si>
    <t>Álgebra Linear A-Noturno (São Bernardo do Campo)</t>
  </si>
  <si>
    <t>AGUARDANDO DOCENTE SOBRE A POSSIBILIDADE DE ABERTURA DE MAIS UMA TURMA</t>
  </si>
  <si>
    <t xml:space="preserve">segunda das 19:00 às 21:00, sala A1-S205-SB, semanal , quarta das 21:00 às 23:00, sala A1-S205-SB, semanal , sexta das 19:00 às 21:00, sala A1-S205-SB, semanal </t>
  </si>
  <si>
    <t>DAMC1301SA</t>
  </si>
  <si>
    <t>Álgebra Linear Avançada I A-diurno (Santo André)</t>
  </si>
  <si>
    <t xml:space="preserve">terca das 10:00 às 12:00, sala S - 302-2, semanal , sexta das 08:00 às 10:00, sala S - 302-2, semanal </t>
  </si>
  <si>
    <t>BACHARELADO EM CIÊNCIA DA COMPUTAÇÃO</t>
  </si>
  <si>
    <t>DAMC3305SA</t>
  </si>
  <si>
    <t>MC3305</t>
  </si>
  <si>
    <t>Algoritmos e Estruturas de Dados II</t>
  </si>
  <si>
    <t>Algoritmos e Estruturas de Dados II A-diurno (Santo André)</t>
  </si>
  <si>
    <t>Ampliar vagas para 48 – Reservar L407-2</t>
  </si>
  <si>
    <t>AMPLIADO - NOVO LAB 407-2</t>
  </si>
  <si>
    <t xml:space="preserve">terca das 08:00 às 10:00, sala S - 301-3, semanal </t>
  </si>
  <si>
    <t xml:space="preserve">quinta das 10:00 às 12:00, sala 409-2, semanal </t>
  </si>
  <si>
    <t>NAMC3305SA</t>
  </si>
  <si>
    <t>Algoritmos e Estruturas de Dados II A-Noturno (Santo André)</t>
  </si>
  <si>
    <t>Ampliar vagas para 53 – Reservar L407-2 (overbooking no Lab)</t>
  </si>
  <si>
    <t xml:space="preserve">terca das 19:00 às 21:00, sala S - 301-3, semanal </t>
  </si>
  <si>
    <t xml:space="preserve">quinta das 21:00 às 23:00, sala 409-2, semanal </t>
  </si>
  <si>
    <t>ENGENHARIA DE GESTÃO</t>
  </si>
  <si>
    <t>NAEN3528SB</t>
  </si>
  <si>
    <t>EN3528</t>
  </si>
  <si>
    <t>Análise de Redes de Transporte e Distribuição</t>
  </si>
  <si>
    <t>Análise de Redes de Transporte e Distribuição A-Noturno (São Bernardo do Campo)</t>
  </si>
  <si>
    <t xml:space="preserve">quarta das 19:00 às 23:00, sala A2-S202-SB, semanal </t>
  </si>
  <si>
    <t>ENGENHARIA DE INSTRUMENTAÇÃO, AUTOMAÇÃO E ROBÓTICA</t>
  </si>
  <si>
    <t>NAEN2706SA</t>
  </si>
  <si>
    <t>EN2706</t>
  </si>
  <si>
    <t>Análise de sistemas Dinâmincos Lineares</t>
  </si>
  <si>
    <t>Análise de sistemas Dinâmincos Lineares A-noturno (Santo André)</t>
  </si>
  <si>
    <t>turma nova - Disponível somente na segunda etapa</t>
  </si>
  <si>
    <t>quinta  das 17:00 às 20:00</t>
  </si>
  <si>
    <t>DABC1421SA</t>
  </si>
  <si>
    <t>BC1421</t>
  </si>
  <si>
    <t>Análise Real I</t>
  </si>
  <si>
    <t>Análise Real I A-diurno (Santo André)</t>
  </si>
  <si>
    <t xml:space="preserve">segunda das 10:00 às 12:00, sala S - 302-2, semanal , quinta das 08:00 às 10:00, sala S - 302-2, semanal </t>
  </si>
  <si>
    <t>NABC1421SA</t>
  </si>
  <si>
    <t>Análise Real I A-Noturno (Santo André)</t>
  </si>
  <si>
    <t xml:space="preserve">segunda das 21:00 às 23:00, sala S - 304-2, semanal , quinta das 19:00 às 21:00, sala S - 304-2, semanal </t>
  </si>
  <si>
    <t>DAMC1305SA</t>
  </si>
  <si>
    <t>MC1305</t>
  </si>
  <si>
    <t>Anéis e Corpos</t>
  </si>
  <si>
    <t>Anéis e Corpos A-diurno (Santo André)</t>
  </si>
  <si>
    <t xml:space="preserve">terca das 10:00 às 12:00, sala A - 110-0, semanal , quinta das 08:00 às 10:00, sala A - 110-0, semanal </t>
  </si>
  <si>
    <t>NAMC1305SA</t>
  </si>
  <si>
    <t>Anéis e Corpos A-Noturno (Santo André)</t>
  </si>
  <si>
    <t xml:space="preserve">terca das 21:00 às 23:00, sala A - 110-0, semanal , quinta das 19:00 às 21:00, sala A - 110-0, semanal </t>
  </si>
  <si>
    <t>LICENCIATURA EM FILOSOFIA</t>
  </si>
  <si>
    <t>NANH5130SB</t>
  </si>
  <si>
    <t>NH5130</t>
  </si>
  <si>
    <t>Antropologia Filosófica</t>
  </si>
  <si>
    <t>Antropologia Filosófica A-Noturno (São Bernardo do Campo)</t>
  </si>
  <si>
    <t xml:space="preserve">quinta das 19:00 às 23:00, sala A1-S103-SB, semanal </t>
  </si>
  <si>
    <t>DAEN3233SA</t>
  </si>
  <si>
    <t>EN3233</t>
  </si>
  <si>
    <t>Aplicações de Elementos Finitos para Engenharia</t>
  </si>
  <si>
    <t>Aplicações de Elementos Finitos para Engenharia A-diurno (Santo André)</t>
  </si>
  <si>
    <t xml:space="preserve">quarta das 16:00 às 18:00, sala S - 307-1, quinzenal I, sexta das 14:00 às 16:00, sala S - 307-1, semanal </t>
  </si>
  <si>
    <t>quarta das 16:00 às 18:00, sala 504-1, quinzenal II</t>
  </si>
  <si>
    <t>DABC1503SA</t>
  </si>
  <si>
    <t>BC1503</t>
  </si>
  <si>
    <t>Arquitetura de Computadores</t>
  </si>
  <si>
    <t>Arquitetura de Computadores A-diurno (Santo André)</t>
  </si>
  <si>
    <t xml:space="preserve">segunda das 08:00 às 10:00, sala S - 301-3, semanal , quarta das 10:00 às 12:00, sala S - 301-3, semanal </t>
  </si>
  <si>
    <t>NABC1503SA</t>
  </si>
  <si>
    <t>Arquitetura de Computadores A-Noturno (Santo André)</t>
  </si>
  <si>
    <t>Ampliar vagas – Absorver excedente – procurar nova sala</t>
  </si>
  <si>
    <t>OK - TURMA AMPLIADA 70 / NOVA SALA 302-1</t>
  </si>
  <si>
    <t xml:space="preserve">segunda das 19:00 às 21:00, sala S - 301-3, semanal , quarta das 21:00 às 23:00, sala S - 301-3, semanal </t>
  </si>
  <si>
    <t>DAMC6004SA</t>
  </si>
  <si>
    <t>MC6004</t>
  </si>
  <si>
    <t>Avaliação de Desempenho de Redes</t>
  </si>
  <si>
    <t>Avaliação de Desempenho de Redes A-diurno (Santo André)</t>
  </si>
  <si>
    <t xml:space="preserve">terca das 08:00 às 10:00, sala S - 304-2, semanal , quinta das 10:00 às 12:00, sala S - 304-2, semanal </t>
  </si>
  <si>
    <t>ENGENHARIA AMBIENTAL E URBANA</t>
  </si>
  <si>
    <t>DAEN2132SA</t>
  </si>
  <si>
    <t>EN2132</t>
  </si>
  <si>
    <t>Avaliação de Impactos Ambientais</t>
  </si>
  <si>
    <t>Avaliação de Impactos Ambientais A-diurno (Santo André)</t>
  </si>
  <si>
    <t xml:space="preserve">quarta das 08:00 às 12:00, sala S - 301-1, semanal </t>
  </si>
  <si>
    <t>NAEN2132SA</t>
  </si>
  <si>
    <t>Avaliação de Impactos Ambientais A-Noturno (Santo André)</t>
  </si>
  <si>
    <t xml:space="preserve">quarta das 19:00 às 23:00, sala S - 301-1, semanal </t>
  </si>
  <si>
    <t>BACHARELADO EM POLÍTICAS PÚBLICAS</t>
  </si>
  <si>
    <t>DABH1122SB</t>
  </si>
  <si>
    <t>BH1122</t>
  </si>
  <si>
    <t>Avaliação e Monitoramento de Políticas Públicas</t>
  </si>
  <si>
    <t>Avaliação e Monitoramento de Políticas Públicas A-diurno (São Bernardo do Campo)</t>
  </si>
  <si>
    <t xml:space="preserve">terca das 08:00 às 10:00, sala A2-S302-SB, semanal , quinta das 10:00 às 12:00, sala A2-S302-SB, semanal </t>
  </si>
  <si>
    <t>NABH1122SB</t>
  </si>
  <si>
    <t>Avaliação e Monitoramento de Políticas Públicas A-Noturno (São Bernardo do Campo)</t>
  </si>
  <si>
    <t xml:space="preserve">terca das 19:00 às 21:00, sala A2-S302-SB, semanal , quinta das 21:00 às 23:00, sala A2-S302-SB, semanal </t>
  </si>
  <si>
    <t>NAEN3234SA</t>
  </si>
  <si>
    <t>EN3234</t>
  </si>
  <si>
    <t>Aviônica</t>
  </si>
  <si>
    <t>Aviônica A-Noturno (Santo André)</t>
  </si>
  <si>
    <t>ok ampliado - nova sala S301-3</t>
  </si>
  <si>
    <t xml:space="preserve">segunda das 21:00 às 23:00, sala S - 307-1, semanal , quarta das 19:00 às 21:00, sala S - 307-1, semanal </t>
  </si>
  <si>
    <t>DAMC3310SA</t>
  </si>
  <si>
    <t>MC3310</t>
  </si>
  <si>
    <t>Banco de Dados</t>
  </si>
  <si>
    <t>Banco de Dados A-diurno (Santo André)</t>
  </si>
  <si>
    <t>Ampliar vagas para 41 – overbooking no Lab</t>
  </si>
  <si>
    <t>OK - TURMA AMPLIADA 41</t>
  </si>
  <si>
    <t xml:space="preserve">segunda das 10:00 às 12:00, sala S - 301-3, semanal , terca das 10:00 às 12:00, sala S - 301-3, semanal </t>
  </si>
  <si>
    <t xml:space="preserve">quinta das 08:00 às 10:00, sala 409-2, semanal </t>
  </si>
  <si>
    <t>NAMC3310SA</t>
  </si>
  <si>
    <t>Banco de Dados A-Noturno (Santo André)</t>
  </si>
  <si>
    <t>Ampliar vagas para 64 – Reservar L407-2 – procurar nova sala (overbooking no Lab)</t>
  </si>
  <si>
    <t>AMPLIADO - ALTERADO SALA S-302-1 - LAB. 407-2</t>
  </si>
  <si>
    <t xml:space="preserve">segunda das 21:00 às 23:00, sala S - 301-3, semanal , terca das 21:00 às 23:00, sala S - 301-3, semanal </t>
  </si>
  <si>
    <t xml:space="preserve">quinta das 19:00 às 21:00, sala 409-2, semanal </t>
  </si>
  <si>
    <t>BACHARELADO EM CIÊNCIA E TECNOLOGIA</t>
  </si>
  <si>
    <t>DA1BC0001SA</t>
  </si>
  <si>
    <t>BC0001</t>
  </si>
  <si>
    <t>Base Experimental das Ciências Naturais</t>
  </si>
  <si>
    <t>Base Experimental das Ciências Naturais A1-diurno (Santo André)</t>
  </si>
  <si>
    <t xml:space="preserve">quinta das 08:00 às 11:00, sala L601/602, semanal </t>
  </si>
  <si>
    <t>DA1BC0001SB</t>
  </si>
  <si>
    <t>Base Experimental das Ciências Naturais A1-diurno (São Bernardo do Campo)</t>
  </si>
  <si>
    <t xml:space="preserve">quinta das 08:00 às 11:00, sala A1-L301-SB, semanal </t>
  </si>
  <si>
    <t>NA1BC0001SA</t>
  </si>
  <si>
    <t>Base Experimental das Ciências Naturais A1-Noturno (Santo André)</t>
  </si>
  <si>
    <t>TURMA CANCELADA DEVIDO A QUANTIDADE RE REINGRESSNTES DO NOTURNO QUE JÁ FIZERAM ESTA DISCIPLINA</t>
  </si>
  <si>
    <t xml:space="preserve">quinta das 19:00 às 22:00, sala L601/602, semanal </t>
  </si>
  <si>
    <t>NA1BC0001SB</t>
  </si>
  <si>
    <t>Base Experimental das Ciências Naturais A1-Noturno (São Bernardo do Campo)</t>
  </si>
  <si>
    <t xml:space="preserve">quinta das 19:00 às 22:00, sala A1-L301-SB, semanal </t>
  </si>
  <si>
    <t>DA2BC0001SA</t>
  </si>
  <si>
    <t>Base Experimental das Ciências Naturais A2-diurno (Santo André)</t>
  </si>
  <si>
    <t xml:space="preserve">quinta das 08:00 às 11:00, sala L602, semanal </t>
  </si>
  <si>
    <t>DA2BC0001SB</t>
  </si>
  <si>
    <t>Base Experimental das Ciências Naturais A2-diurno (São Bernardo do Campo)</t>
  </si>
  <si>
    <t xml:space="preserve">quinta das 08:00 às 11:00, sala A1-L302-SB, semanal </t>
  </si>
  <si>
    <t>NA2BC0001SA</t>
  </si>
  <si>
    <t>Base Experimental das Ciências Naturais A2-Noturno (Santo André)</t>
  </si>
  <si>
    <t xml:space="preserve">quinta das 19:00 às 22:00, sala L602, semanal </t>
  </si>
  <si>
    <t>NA2BC0001SB</t>
  </si>
  <si>
    <t>Base Experimental das Ciências Naturais A2-Noturno (São Bernardo do Campo)</t>
  </si>
  <si>
    <t xml:space="preserve">quinta das 19:00 às 22:00, sala A1-L302-SB, semanal </t>
  </si>
  <si>
    <t>DA3BC0001SA</t>
  </si>
  <si>
    <t>Base Experimental das Ciências Naturais A3-diurno (Santo André)</t>
  </si>
  <si>
    <t xml:space="preserve">quinta das 08:00 às 11:00, sala L605, semanal </t>
  </si>
  <si>
    <t>DA3BC0001SB</t>
  </si>
  <si>
    <t>Base Experimental das Ciências Naturais A3-diurno (São Bernardo do Campo)</t>
  </si>
  <si>
    <t xml:space="preserve">quinta das 08:00 às 11:00, sala A1-L305-SB, semanal </t>
  </si>
  <si>
    <t>NA3BC0001SA</t>
  </si>
  <si>
    <t>Base Experimental das Ciências Naturais A3-Noturno (Santo André)</t>
  </si>
  <si>
    <t xml:space="preserve">quinta das 19:00 às 22:00, sala L605, semanal </t>
  </si>
  <si>
    <t>NA3BC0001SB</t>
  </si>
  <si>
    <t>Base Experimental das Ciências Naturais A3-Noturno (São Bernardo do Campo)</t>
  </si>
  <si>
    <t xml:space="preserve">quinta das 19:00 às 22:00, sala A1-L305-SB, semanal </t>
  </si>
  <si>
    <t>DA4BC0001SA</t>
  </si>
  <si>
    <t>Base Experimental das Ciências Naturais A4-diurno (Santo André)</t>
  </si>
  <si>
    <t xml:space="preserve">quinta das 08:00 às 11:00, sala L606, semanal </t>
  </si>
  <si>
    <t>NA4BC0001SA</t>
  </si>
  <si>
    <t>Base Experimental das Ciências Naturais A4-Noturno (Santo André)</t>
  </si>
  <si>
    <t xml:space="preserve">quinta das 19:00 às 22:00, sala L606, semanal </t>
  </si>
  <si>
    <t>DA5BC0001SA</t>
  </si>
  <si>
    <t>Base Experimental das Ciências Naturais A5-diurno (Santo André)</t>
  </si>
  <si>
    <t xml:space="preserve">quinta das 08:00 às 11:00, sala 404-3, semanal </t>
  </si>
  <si>
    <t>NA5BC0001SA</t>
  </si>
  <si>
    <t>Base Experimental das Ciências Naturais A5-Noturno (Santo André)</t>
  </si>
  <si>
    <t xml:space="preserve">quinta das 19:00 às 22:00, sala 404-3, semanal </t>
  </si>
  <si>
    <t>DA6BC0001SA</t>
  </si>
  <si>
    <t>Base Experimental das Ciências Naturais A6-diurno (Santo André)</t>
  </si>
  <si>
    <t xml:space="preserve">quinta das 08:00 às 11:00, sala 405-3, semanal </t>
  </si>
  <si>
    <t>NA6BC0001SA</t>
  </si>
  <si>
    <t>Base Experimental das Ciências Naturais A6-Noturno (Santo André)</t>
  </si>
  <si>
    <t xml:space="preserve">quinta das 19:00 às 22:00, sala 405-3, semanal </t>
  </si>
  <si>
    <t>NA7BC0001SA</t>
  </si>
  <si>
    <t>Base Experimental das Ciências Naturais A7-Noturno (Santo André)</t>
  </si>
  <si>
    <t xml:space="preserve">quinta das 19:00 às 22:00, sala 408-3, semanal </t>
  </si>
  <si>
    <t>DB1BC0001SA</t>
  </si>
  <si>
    <t>Base Experimental das Ciências Naturais B1-diurno (Santo André)</t>
  </si>
  <si>
    <t xml:space="preserve">segunda das 08:00 às 11:00, sala L601/602, semanal </t>
  </si>
  <si>
    <t>DB1BC0001SB</t>
  </si>
  <si>
    <t>Base Experimental das Ciências Naturais B1-diurno (São Bernardo do Campo)</t>
  </si>
  <si>
    <t xml:space="preserve">segunda das 08:00 às 11:00, sala A1-L301-SB, semanal </t>
  </si>
  <si>
    <t>NB1BC0001SA</t>
  </si>
  <si>
    <t>Base Experimental das Ciências Naturais B1-Noturno (Santo André)</t>
  </si>
  <si>
    <t xml:space="preserve">segunda das 19:00 às 22:00, sala L601/602, semanal </t>
  </si>
  <si>
    <t>NB1BC0001SB</t>
  </si>
  <si>
    <t>Base Experimental das Ciências Naturais B1-Noturno (São Bernardo do Campo)</t>
  </si>
  <si>
    <t xml:space="preserve">segunda das 19:00 às 22:00, sala A1-L301-SB, semanal </t>
  </si>
  <si>
    <t>DB2BC0001SA</t>
  </si>
  <si>
    <t>Base Experimental das Ciências Naturais B2-diurno (Santo André)</t>
  </si>
  <si>
    <t xml:space="preserve">segunda das 08:00 às 11:00, sala L602, semanal </t>
  </si>
  <si>
    <t>DB2BC0001SB</t>
  </si>
  <si>
    <t>Base Experimental das Ciências Naturais B2-diurno (São Bernardo do Campo)</t>
  </si>
  <si>
    <t xml:space="preserve">segunda das 08:00 às 11:00, sala A1-L302-SB, semanal </t>
  </si>
  <si>
    <t>NB2BC0001SA</t>
  </si>
  <si>
    <t>Base Experimental das Ciências Naturais B2-Noturno (Santo André)</t>
  </si>
  <si>
    <t xml:space="preserve">segunda das 19:00 às 22:00, sala L602, semanal </t>
  </si>
  <si>
    <t>NB2BC0001SB</t>
  </si>
  <si>
    <t>Base Experimental das Ciências Naturais B2-Noturno (São Bernardo do Campo)</t>
  </si>
  <si>
    <t xml:space="preserve">segunda das 19:00 às 22:00, sala A1-L302-SB, semanal </t>
  </si>
  <si>
    <t>DB3BC0001SA</t>
  </si>
  <si>
    <t>Base Experimental das Ciências Naturais B3-diurno (Santo André)</t>
  </si>
  <si>
    <t xml:space="preserve">segunda das 08:00 às 11:00, sala L605, semanal </t>
  </si>
  <si>
    <t>DB3BC0001SB</t>
  </si>
  <si>
    <t>Base Experimental das Ciências Naturais B3-diurno (São Bernardo do Campo)</t>
  </si>
  <si>
    <t xml:space="preserve">segunda das 08:00 às 11:00, sala A1-L305-SB, semanal </t>
  </si>
  <si>
    <t>NB3BC0001SA</t>
  </si>
  <si>
    <t>Base Experimental das Ciências Naturais B3-Noturno (Santo André)</t>
  </si>
  <si>
    <t xml:space="preserve">segunda das 19:00 às 22:00, sala L605, semanal </t>
  </si>
  <si>
    <t>NB3BC0001SB</t>
  </si>
  <si>
    <t>Base Experimental das Ciências Naturais B3-Noturno (São Bernardo do Campo)</t>
  </si>
  <si>
    <t xml:space="preserve">segunda das 19:00 às 22:00, sala A1-L305-SB, semanal </t>
  </si>
  <si>
    <t>DB4BC0001SA</t>
  </si>
  <si>
    <t>Base Experimental das Ciências Naturais B4-diurno (Santo André)</t>
  </si>
  <si>
    <t xml:space="preserve">segunda das 08:00 às 11:00, sala L606, semanal </t>
  </si>
  <si>
    <t>NB4BC0001SA</t>
  </si>
  <si>
    <t>Base Experimental das Ciências Naturais B4-Noturno (Santo André)</t>
  </si>
  <si>
    <t xml:space="preserve">segunda das 19:00 às 22:00, sala L606, semanal </t>
  </si>
  <si>
    <t>DB5BC0001SA</t>
  </si>
  <si>
    <t>Base Experimental das Ciências Naturais B5-diurno (Santo André)</t>
  </si>
  <si>
    <t xml:space="preserve">segunda das 08:00 às 11:00, sala 404-3, semanal </t>
  </si>
  <si>
    <t>NB5BC0001SA</t>
  </si>
  <si>
    <t>Base Experimental das Ciências Naturais B5-Noturno (Santo André)</t>
  </si>
  <si>
    <t xml:space="preserve">segunda das 19:00 às 22:00, sala 404-3, semanal </t>
  </si>
  <si>
    <t>DB6BC0001SA</t>
  </si>
  <si>
    <t>Base Experimental das Ciências Naturais B6-diurno (Santo André)</t>
  </si>
  <si>
    <t xml:space="preserve">segunda das 08:00 às 11:00, sala 405-3, semanal </t>
  </si>
  <si>
    <t>NB6BC0001SA</t>
  </si>
  <si>
    <t>Base Experimental das Ciências Naturais B6-Noturno (Santo André)</t>
  </si>
  <si>
    <t xml:space="preserve">segunda das 19:00 às 22:00, sala 405-3, semanal </t>
  </si>
  <si>
    <t>NB7BC0001SA</t>
  </si>
  <si>
    <t>Base Experimental das Ciências Naturais B7-Noturno (Santo André)</t>
  </si>
  <si>
    <t xml:space="preserve">segunda das 19:00 às 22:00, sala 408-3, semanal </t>
  </si>
  <si>
    <t>DC1BC0001SA</t>
  </si>
  <si>
    <t>Base Experimental das Ciências Naturais C1-diurno (Santo André)</t>
  </si>
  <si>
    <t xml:space="preserve">quinta das 14:00 às 17:00, sala L601/602, semanal </t>
  </si>
  <si>
    <t>DC1BC0001SB</t>
  </si>
  <si>
    <t>Base Experimental das Ciências Naturais C1-diurno (São Bernardo do Campo)</t>
  </si>
  <si>
    <t xml:space="preserve">segunda das 14:00 às 17:00, sala A1-L301-SB, semanal </t>
  </si>
  <si>
    <t>NC1BC0001SA</t>
  </si>
  <si>
    <t>Base Experimental das Ciências Naturais C1-Noturno (Santo André)</t>
  </si>
  <si>
    <t xml:space="preserve">sabado das 08:00 às 11:00, sala L601/602, semanal </t>
  </si>
  <si>
    <t>NC1BC0001SB</t>
  </si>
  <si>
    <t>Base Experimental das Ciências Naturais C1-Noturno (São Bernardo do Campo)</t>
  </si>
  <si>
    <t xml:space="preserve">sabado das 08:00 às 11:00, sala A1-L301-SB, semanal </t>
  </si>
  <si>
    <t>DC2BC0001SA</t>
  </si>
  <si>
    <t>Base Experimental das Ciências Naturais C2-diurno (Santo André)</t>
  </si>
  <si>
    <t xml:space="preserve">quinta das 14:00 às 17:00, sala L602, semanal </t>
  </si>
  <si>
    <t>DC2BC0001SB</t>
  </si>
  <si>
    <t>Base Experimental das Ciências Naturais C2-diurno (São Bernardo do Campo)</t>
  </si>
  <si>
    <t xml:space="preserve">segunda das 14:00 às 17:00, sala A1-L302-SB, semanal </t>
  </si>
  <si>
    <t>NC2BC0001SA</t>
  </si>
  <si>
    <t>Base Experimental das Ciências Naturais C2-Noturno (Santo André)</t>
  </si>
  <si>
    <t xml:space="preserve">sabado das 08:00 às 11:00, sala L602, semanal </t>
  </si>
  <si>
    <t>NC2BC0001SB</t>
  </si>
  <si>
    <t>Base Experimental das Ciências Naturais C2-Noturno (São Bernardo do Campo)</t>
  </si>
  <si>
    <t xml:space="preserve">sabado das 08:00 às 11:00, sala A1-L302-SB, semanal </t>
  </si>
  <si>
    <t>DC3BC0001SA</t>
  </si>
  <si>
    <t>Base Experimental das Ciências Naturais C3-diurno (Santo André)</t>
  </si>
  <si>
    <t xml:space="preserve">quinta das 14:00 às 17:00, sala L605, semanal </t>
  </si>
  <si>
    <t>NC3BC0001SA</t>
  </si>
  <si>
    <t>Base Experimental das Ciências Naturais C3-Noturno (Santo André)</t>
  </si>
  <si>
    <t xml:space="preserve">sabado das 08:00 às 11:00, sala L605, semanal </t>
  </si>
  <si>
    <t>DC4BC0001SA</t>
  </si>
  <si>
    <t>Base Experimental das Ciências Naturais C4-diurno (Santo André)</t>
  </si>
  <si>
    <t xml:space="preserve">quinta das 14:00 às 17:00, sala L606, semanal </t>
  </si>
  <si>
    <t>NC4BC0001SA</t>
  </si>
  <si>
    <t>Base Experimental das Ciências Naturais C4-Noturno (Santo André)</t>
  </si>
  <si>
    <t xml:space="preserve">sabado das 08:00 às 11:00, sala L606, semanal </t>
  </si>
  <si>
    <t>NC5BC0001SA</t>
  </si>
  <si>
    <t>Base Experimental das Ciências Naturais C5-Noturno (Santo André)</t>
  </si>
  <si>
    <t xml:space="preserve">sabado das 08:00 às 11:00, sala 404-3, semanal </t>
  </si>
  <si>
    <t>DD1BC0001SA</t>
  </si>
  <si>
    <t>Base Experimental das Ciências Naturais D1-diurno (Santo André)</t>
  </si>
  <si>
    <t xml:space="preserve">segunda das 14:00 às 17:00, sala L601/602, semanal </t>
  </si>
  <si>
    <t>DD2BC0001SA</t>
  </si>
  <si>
    <t>Base Experimental das Ciências Naturais D2-diurno (Santo André)</t>
  </si>
  <si>
    <t xml:space="preserve">segunda das 14:00 às 17:00, sala L602, semanal </t>
  </si>
  <si>
    <t>DD3BC0001SA</t>
  </si>
  <si>
    <t>Base Experimental das Ciências Naturais D3-diurno (Santo André)</t>
  </si>
  <si>
    <t xml:space="preserve">segunda das 14:00 às 17:00, sala L605, semanal </t>
  </si>
  <si>
    <t>DA10BC0005SA</t>
  </si>
  <si>
    <t>BC0005</t>
  </si>
  <si>
    <t>Bases Computacionais da Ciência</t>
  </si>
  <si>
    <t>Bases Computacionais da Ciência A10-diurno (Santo André)</t>
  </si>
  <si>
    <t xml:space="preserve">terca das 10:00 às 12:00, sala L501, semanal </t>
  </si>
  <si>
    <t>NA10BC0005SA</t>
  </si>
  <si>
    <t>Bases Computacionais da Ciência A10-Noturno (Santo André)</t>
  </si>
  <si>
    <t>ALTERADO VAGAS DE INGRESSANTES PARA 25</t>
  </si>
  <si>
    <t xml:space="preserve">terca das 21:00 às 23:00, sala L501, semanal </t>
  </si>
  <si>
    <t>DA11BC0005SA</t>
  </si>
  <si>
    <t>Bases Computacionais da Ciência A11-diurno (Santo André)</t>
  </si>
  <si>
    <t xml:space="preserve">terca das 10:00 às 12:00, sala 409-2, semanal </t>
  </si>
  <si>
    <t>NA11BC0005SA</t>
  </si>
  <si>
    <t>Bases Computacionais da Ciência A11-Noturno (Santo André)</t>
  </si>
  <si>
    <t>ALTERADO VAGAS DE INGRESSANTES PARA 19</t>
  </si>
  <si>
    <t xml:space="preserve">terca das 21:00 às 23:00, sala 409-2, semanal </t>
  </si>
  <si>
    <t>DA1BC0005SA</t>
  </si>
  <si>
    <t>Bases Computacionais da Ciência A1-diurno (Santo André)</t>
  </si>
  <si>
    <t xml:space="preserve">terca das 10:00 às 12:00, sala L502, semanal </t>
  </si>
  <si>
    <t>DA1BC0005SB</t>
  </si>
  <si>
    <t>Bases Computacionais da Ciência A1-diurno (São Bernardo do Campo)</t>
  </si>
  <si>
    <t xml:space="preserve">terca das 10:00 às 12:00, sala A1-L102-SB, semanal </t>
  </si>
  <si>
    <t>NA1BC0005SA</t>
  </si>
  <si>
    <t>Bases Computacionais da Ciência A1-Noturno (Santo André)</t>
  </si>
  <si>
    <t xml:space="preserve">terca das 21:00 às 23:00, sala L502, semanal </t>
  </si>
  <si>
    <t>NA1BC0005SB</t>
  </si>
  <si>
    <t>Bases Computacionais da Ciência A1-Noturno (São Bernardo do Campo)</t>
  </si>
  <si>
    <t xml:space="preserve">terca das 21:00 às 23:00, sala A1-L102-SB, semanal </t>
  </si>
  <si>
    <t>DA2BC0005SA</t>
  </si>
  <si>
    <t>Bases Computacionais da Ciência A2-diurno (Santo André)</t>
  </si>
  <si>
    <t xml:space="preserve">terca das 10:00 às 12:00, sala L503, semanal </t>
  </si>
  <si>
    <t>DA2BC0005SB</t>
  </si>
  <si>
    <t>Bases Computacionais da Ciência A2-diurno (São Bernardo do Campo)</t>
  </si>
  <si>
    <t xml:space="preserve">terca das 10:00 às 12:00, sala A2-L001-SB, semanal </t>
  </si>
  <si>
    <t>NA2BC0005SA</t>
  </si>
  <si>
    <t>Bases Computacionais da Ciência A2-Noturno (Santo André)</t>
  </si>
  <si>
    <t xml:space="preserve">terca das 21:00 às 23:00, sala L503, semanal </t>
  </si>
  <si>
    <t>NA2BC0005SB</t>
  </si>
  <si>
    <t>Bases Computacionais da Ciência A2-Noturno (São Bernardo do Campo)</t>
  </si>
  <si>
    <t xml:space="preserve">terca das 21:00 às 23:00, sala A2-L001-SB, semanal </t>
  </si>
  <si>
    <t>DA3BC0005SA</t>
  </si>
  <si>
    <t>Bases Computacionais da Ciência A3-diurno (Santo André)</t>
  </si>
  <si>
    <t xml:space="preserve">terca das 10:00 às 12:00, sala L504, semanal </t>
  </si>
  <si>
    <t>DA3BC0005SB</t>
  </si>
  <si>
    <t>Bases Computacionais da Ciência A3-diurno (São Bernardo do Campo)</t>
  </si>
  <si>
    <t xml:space="preserve">terca das 10:00 às 12:00, sala A1-L002-SB, semanal </t>
  </si>
  <si>
    <t>NA3BC0005SA</t>
  </si>
  <si>
    <t>Bases Computacionais da Ciência A3-Noturno (Santo André)</t>
  </si>
  <si>
    <t xml:space="preserve">terca das 21:00 às 23:00, sala L504, semanal </t>
  </si>
  <si>
    <t>NA3BC0005SB</t>
  </si>
  <si>
    <t>Bases Computacionais da Ciência A3-Noturno (São Bernardo do Campo)</t>
  </si>
  <si>
    <t xml:space="preserve">terca das 21:00 às 23:00, sala A1-L002-SB, semanal </t>
  </si>
  <si>
    <t>DA4BC0005SA</t>
  </si>
  <si>
    <t>Bases Computacionais da Ciência A4-diurno (Santo André)</t>
  </si>
  <si>
    <t xml:space="preserve">terca das 10:00 às 12:00, sala L505, semanal </t>
  </si>
  <si>
    <t>DA4BC0005SB</t>
  </si>
  <si>
    <t>Bases Computacionais da Ciência A4-diurno (São Bernardo do Campo)</t>
  </si>
  <si>
    <t xml:space="preserve">terca das 10:00 às 12:00, sala A2-L003-SB, semanal </t>
  </si>
  <si>
    <t>NA4BC0005SA</t>
  </si>
  <si>
    <t>Bases Computacionais da Ciência A4-Noturno (Santo André)</t>
  </si>
  <si>
    <t xml:space="preserve">terca das 21:00 às 23:00, sala L505, semanal </t>
  </si>
  <si>
    <t>NA4BC0005SB</t>
  </si>
  <si>
    <t>Bases Computacionais da Ciência A4-Noturno (São Bernardo do Campo)</t>
  </si>
  <si>
    <t xml:space="preserve">terca das 21:00 às 23:00, sala A2-L003-SB, semanal </t>
  </si>
  <si>
    <t>DA5BC0005SA</t>
  </si>
  <si>
    <t>Bases Computacionais da Ciência A5-diurno (Santo André)</t>
  </si>
  <si>
    <t xml:space="preserve">terca das 10:00 às 12:00, sala L603, semanal </t>
  </si>
  <si>
    <t>NA5BC0005SA</t>
  </si>
  <si>
    <t>Bases Computacionais da Ciência A5-Noturno (Santo André)</t>
  </si>
  <si>
    <t xml:space="preserve">terca das 21:00 às 23:00, sala L603, semanal </t>
  </si>
  <si>
    <t>DA6BC0005SA</t>
  </si>
  <si>
    <t>Bases Computacionais da Ciência A6-diurno (Santo André)</t>
  </si>
  <si>
    <t xml:space="preserve">terca das 10:00 às 12:00, sala L703, semanal </t>
  </si>
  <si>
    <t>NA6BC0005SA</t>
  </si>
  <si>
    <t>Bases Computacionais da Ciência A6-Noturno (Santo André)</t>
  </si>
  <si>
    <t xml:space="preserve">terca das 21:00 às 23:00, sala L703, semanal </t>
  </si>
  <si>
    <t>DA7BC0005SA</t>
  </si>
  <si>
    <t>Bases Computacionais da Ciência A7-diurno (Santo André)</t>
  </si>
  <si>
    <t xml:space="preserve">terca das 10:00 às 12:00, sala L506, semanal </t>
  </si>
  <si>
    <t>NA7BC0005SA</t>
  </si>
  <si>
    <t>Bases Computacionais da Ciência A7-Noturno (Santo André)</t>
  </si>
  <si>
    <t xml:space="preserve">terca das 21:00 às 23:00, sala 401-1, semanal </t>
  </si>
  <si>
    <t>DA8BC0005SA</t>
  </si>
  <si>
    <t>Bases Computacionais da Ciência A8-diurno (Santo André)</t>
  </si>
  <si>
    <t xml:space="preserve">terca das 10:00 às 12:00, sala 402-2, semanal </t>
  </si>
  <si>
    <t>NA8BC0005SA</t>
  </si>
  <si>
    <t>Bases Computacionais da Ciência A8-Noturno (Santo André)</t>
  </si>
  <si>
    <t xml:space="preserve">terca das 21:00 às 23:00, sala 402-2, semanal </t>
  </si>
  <si>
    <t>DA9BC0005SA</t>
  </si>
  <si>
    <t>Bases Computacionais da Ciência A9-diurno (Santo André)</t>
  </si>
  <si>
    <t xml:space="preserve">terca das 10:00 às 12:00, sala 404-2, semanal </t>
  </si>
  <si>
    <t>NA9BC0005SA</t>
  </si>
  <si>
    <t>Bases Computacionais da Ciência A9-Noturno (Santo André)</t>
  </si>
  <si>
    <t xml:space="preserve">terca das 21:00 às 23:00, sala 404-2, semanal </t>
  </si>
  <si>
    <t>DB1BC0005SA</t>
  </si>
  <si>
    <t>Bases Computacionais da Ciência B1-diurno (Santo André)</t>
  </si>
  <si>
    <t xml:space="preserve">terca das 08:00 às 10:00, sala L502, semanal </t>
  </si>
  <si>
    <t>DB1BC0005SB</t>
  </si>
  <si>
    <t>Bases Computacionais da Ciência B1-diurno (São Bernardo do Campo)</t>
  </si>
  <si>
    <t xml:space="preserve">terca das 08:00 às 10:00, sala A1-L002-SB, semanal </t>
  </si>
  <si>
    <t>NB1BC0005SA</t>
  </si>
  <si>
    <t>Bases Computacionais da Ciência B1-Noturno (Santo André)</t>
  </si>
  <si>
    <t xml:space="preserve">terca das 19:00 às 21:00, sala L502, semanal </t>
  </si>
  <si>
    <t>NB1BC0005SB</t>
  </si>
  <si>
    <t>Bases Computacionais da Ciência B1-Noturno (São Bernardo do Campo)</t>
  </si>
  <si>
    <t xml:space="preserve">terca das 19:00 às 21:00, sala A1-L102-SB, semanal </t>
  </si>
  <si>
    <t>DB2BC0005SA</t>
  </si>
  <si>
    <t>Bases Computacionais da Ciência B2-diurno (Santo André)</t>
  </si>
  <si>
    <t xml:space="preserve">terca das 08:00 às 10:00, sala L503, semanal </t>
  </si>
  <si>
    <t>DB2BC0005SB</t>
  </si>
  <si>
    <t>Bases Computacionais da Ciência B2-diurno (São Bernardo do Campo)</t>
  </si>
  <si>
    <t xml:space="preserve">terca das 08:00 às 10:00, sala A2-L001-SB, semanal </t>
  </si>
  <si>
    <t>NB2BC0005SA</t>
  </si>
  <si>
    <t>Bases Computacionais da Ciência B2-Noturno (Santo André)</t>
  </si>
  <si>
    <t xml:space="preserve">terca das 19:00 às 21:00, sala L503, semanal </t>
  </si>
  <si>
    <t>NB2BC0005SB</t>
  </si>
  <si>
    <t>Bases Computacionais da Ciência B2-Noturno (São Bernardo do Campo)</t>
  </si>
  <si>
    <t xml:space="preserve">terca das 19:00 às 21:00, sala A2-L001-SB, semanal </t>
  </si>
  <si>
    <t>DB3BC0005SA</t>
  </si>
  <si>
    <t>Bases Computacionais da Ciência B3-diurno (Santo André)</t>
  </si>
  <si>
    <t xml:space="preserve">terca das 08:00 às 10:00, sala L504, semanal </t>
  </si>
  <si>
    <t>NB3BC0005SA</t>
  </si>
  <si>
    <t>Bases Computacionais da Ciência B3-Noturno (Santo André)</t>
  </si>
  <si>
    <t xml:space="preserve">terca das 19:00 às 21:00, sala L504, semanal </t>
  </si>
  <si>
    <t>NB3BC0005SB</t>
  </si>
  <si>
    <t>Bases Computacionais da Ciência B3-Noturno (São Bernardo do Campo)</t>
  </si>
  <si>
    <t xml:space="preserve">terca das 19:00 às 21:00, sala A1-L101-SB, semanal </t>
  </si>
  <si>
    <t>DB4BC0005SA</t>
  </si>
  <si>
    <t>Bases Computacionais da Ciência B4-diurno (Santo André)</t>
  </si>
  <si>
    <t xml:space="preserve">terca das 08:00 às 10:00, sala L505, semanal </t>
  </si>
  <si>
    <t>NB4BC0005SA</t>
  </si>
  <si>
    <t>Bases Computacionais da Ciência B4-Noturno (Santo André)</t>
  </si>
  <si>
    <t xml:space="preserve">terca das 19:00 às 21:00, sala L505, semanal </t>
  </si>
  <si>
    <t>DB5BC0005SA</t>
  </si>
  <si>
    <t>Bases Computacionais da Ciência B5-diurno (Santo André)</t>
  </si>
  <si>
    <t xml:space="preserve">terca das 08:00 às 10:00, sala L603, semanal </t>
  </si>
  <si>
    <t>NB5BC0005SA</t>
  </si>
  <si>
    <t>Bases Computacionais da Ciência B5-Noturno (Santo André)</t>
  </si>
  <si>
    <t xml:space="preserve">terca das 19:00 às 21:00, sala L603, semanal </t>
  </si>
  <si>
    <t>DB6BC0005SA</t>
  </si>
  <si>
    <t>Bases Computacionais da Ciência B6-diurno (Santo André)</t>
  </si>
  <si>
    <t xml:space="preserve">terca das 08:00 às 10:00, sala L703, semanal </t>
  </si>
  <si>
    <t>NB6BC0005SA</t>
  </si>
  <si>
    <t>Bases Computacionais da Ciência B6-Noturno (Santo André)</t>
  </si>
  <si>
    <t xml:space="preserve">terca das 19:00 às 21:00, sala L703, semanal </t>
  </si>
  <si>
    <t>DB7BC0005SA</t>
  </si>
  <si>
    <t>Bases Computacionais da Ciência B7-diurno (Santo André)</t>
  </si>
  <si>
    <t xml:space="preserve">terca das 08:00 às 10:00, sala L506, semanal </t>
  </si>
  <si>
    <t>NB7BC0005SA</t>
  </si>
  <si>
    <t>Bases Computacionais da Ciência B7-Noturno (Santo André)</t>
  </si>
  <si>
    <t xml:space="preserve">terca das 19:00 às 21:00, sala L506, semanal </t>
  </si>
  <si>
    <t>DB8BC0005SA</t>
  </si>
  <si>
    <t>Bases Computacionais da Ciência B8-diurno (Santo André)</t>
  </si>
  <si>
    <t xml:space="preserve">terca das 08:00 às 10:00, sala 402-2, semanal </t>
  </si>
  <si>
    <t>NB8BC0005SA</t>
  </si>
  <si>
    <t>Bases Computacionais da Ciência B8-Noturno (Santo André)</t>
  </si>
  <si>
    <t xml:space="preserve">terca das 19:00 às 21:00, sala 402-2, semanal </t>
  </si>
  <si>
    <t>DCBC0005SB</t>
  </si>
  <si>
    <t>Bases Computacionais da Ciência C-diurno (São Bernardo do Campo)</t>
  </si>
  <si>
    <t xml:space="preserve">terca das 14:00 às 16:00, sala A1-L102-SB, semanal </t>
  </si>
  <si>
    <t>DABC0004SA</t>
  </si>
  <si>
    <t>BC0004</t>
  </si>
  <si>
    <t>Bases Epistemológicas da Ciência Moderna</t>
  </si>
  <si>
    <t>Bases Epistemológicas da Ciência Moderna A-diurno (Santo André)</t>
  </si>
  <si>
    <t xml:space="preserve">segunda das 10:00 às 12:00, sala S - 311-3, quinzenal I, quarta das 08:00 às 10:00, sala S - 311-3, semanal </t>
  </si>
  <si>
    <t>DABC0004SB</t>
  </si>
  <si>
    <t>Bases Epistemológicas da Ciência Moderna A-diurno (São Bernardo do Campo)</t>
  </si>
  <si>
    <t xml:space="preserve">segunda das 10:00 às 12:00, sala A2-S101-SB, quinzenal I, quarta das 08:00 às 10:00, sala A2-S101-SB, semanal </t>
  </si>
  <si>
    <t>NABC0004SA</t>
  </si>
  <si>
    <t>Bases Epistemológicas da Ciência Moderna A-Noturno (Santo André)</t>
  </si>
  <si>
    <t xml:space="preserve">segunda das 21:00 às 23:00, sala S - 311-3, quinzenal I, quarta das 19:00 às 21:00, sala S - 311-3, semanal </t>
  </si>
  <si>
    <t>NABC0004SB</t>
  </si>
  <si>
    <t>Bases Epistemológicas da Ciência Moderna A-Noturno (São Bernardo do Campo)</t>
  </si>
  <si>
    <t xml:space="preserve">segunda das 21:00 às 23:00, sala A1-S206-SB, quinzenal I, quarta das 19:00 às 21:00, sala A1-S206-SB, semanal </t>
  </si>
  <si>
    <t>DBBC0004SA</t>
  </si>
  <si>
    <t>Bases Epistemológicas da Ciência Moderna B-diurno (Santo André)</t>
  </si>
  <si>
    <t xml:space="preserve">segunda das 08:00 às 10:00, sala S - 311-3, quinzenal I, quarta das 10:00 às 12:00, sala S - 311-3, semanal </t>
  </si>
  <si>
    <t>NBBC0004SA</t>
  </si>
  <si>
    <t>Bases Epistemológicas da Ciência Moderna B-Noturno (Santo André)</t>
  </si>
  <si>
    <t xml:space="preserve">segunda das 19:00 às 21:00, sala S - 311-3, quinzenal I, quarta das 21:00 às 23:00, sala S - 311-3, semanal </t>
  </si>
  <si>
    <t>DA1BC0003SA</t>
  </si>
  <si>
    <t>BC0003</t>
  </si>
  <si>
    <t>Bases Matemáticas</t>
  </si>
  <si>
    <t>Bases Matemáticas A1-diurno (Santo André)</t>
  </si>
  <si>
    <t xml:space="preserve">quarta das 08:00 às 10:00, sala S - 204-0, semanal , sexta das 10:00 às 12:00, sala S - 204-0, semanal </t>
  </si>
  <si>
    <t>DA1BC0003SB</t>
  </si>
  <si>
    <t>Bases Matemáticas A1-diurno (São Bernardo do Campo)</t>
  </si>
  <si>
    <t xml:space="preserve">quarta das 08:00 às 10:00, sala A1-S201-SB, semanal , sexta das 10:00 às 12:00, sala A1-S201-SB, semanal </t>
  </si>
  <si>
    <t>NA1BC0003SA</t>
  </si>
  <si>
    <t>Bases Matemáticas A1-Noturno (Santo André)</t>
  </si>
  <si>
    <t>ALTERADO Nº DE VAGAS DE INGRESSANTES PARA 60</t>
  </si>
  <si>
    <t xml:space="preserve">quarta das 19:00 às 21:00, sala S - 204-0, semanal , sexta das 21:00 às 23:00, sala S - 204-0, semanal </t>
  </si>
  <si>
    <t>NA1BC0003SB</t>
  </si>
  <si>
    <t>Bases Matemáticas A1-Noturno (São Bernardo do Campo)</t>
  </si>
  <si>
    <t xml:space="preserve">quarta das 19:00 às 21:00, sala A2-S101-SB, semanal , sexta das 21:00 às 23:00, sala A2-S101-SB, semanal </t>
  </si>
  <si>
    <t>DA2BC0003SA</t>
  </si>
  <si>
    <t>Bases Matemáticas A2-diurno (Santo André)</t>
  </si>
  <si>
    <t xml:space="preserve">quarta das 08:00 às 10:00, sala S - 205-0, semanal , sexta das 10:00 às 12:00, sala S - 205-0, semanal </t>
  </si>
  <si>
    <t>DA2BC0003SB</t>
  </si>
  <si>
    <t>Bases Matemáticas A2-diurno (São Bernardo do Campo)</t>
  </si>
  <si>
    <t xml:space="preserve">quarta das 08:00 às 10:00, sala A1-S202-SB, semanal , sexta das 10:00 às 12:00, sala A1-S202-SB, semanal </t>
  </si>
  <si>
    <t>NA2BC0003SA</t>
  </si>
  <si>
    <t>Bases Matemáticas A2-Noturno (Santo André)</t>
  </si>
  <si>
    <t>ALTERADO Nº DE VAGAS DE INGRESSANTES PARA 59</t>
  </si>
  <si>
    <t xml:space="preserve">quarta das 19:00 às 21:00, sala S - 205-0, semanal , sexta das 21:00 às 23:00, sala S - 205-0, semanal </t>
  </si>
  <si>
    <t>NA2BC0003SB</t>
  </si>
  <si>
    <t>Bases Matemáticas A2-Noturno (São Bernardo do Campo)</t>
  </si>
  <si>
    <t xml:space="preserve">quarta das 19:00 às 21:00, sala A2-S102-SB, semanal , sexta das 21:00 às 23:00, sala A2-S102-SB, semanal </t>
  </si>
  <si>
    <t>DA3BC0003SA</t>
  </si>
  <si>
    <t>Bases Matemáticas A3-diurno (Santo André)</t>
  </si>
  <si>
    <t xml:space="preserve">quarta das 08:00 às 10:00, sala S - 206-0, semanal , sexta das 10:00 às 12:00, sala S - 206-0, semanal </t>
  </si>
  <si>
    <t>NA3BC0003SA</t>
  </si>
  <si>
    <t>Bases Matemáticas A3-Noturno (Santo André)</t>
  </si>
  <si>
    <t>ALTERADO Nº DE VAGAS DE INGRESSANTES PARA 75</t>
  </si>
  <si>
    <t xml:space="preserve">quarta das 19:00 às 21:00, sala S - 206-0, semanal , sexta das 21:00 às 23:00, sala S - 206-0, semanal </t>
  </si>
  <si>
    <t>DA4BC0003SA</t>
  </si>
  <si>
    <t>Bases Matemáticas A4-diurno (Santo André)</t>
  </si>
  <si>
    <t xml:space="preserve">quarta das 08:00 às 10:00, sala S - 207-0, semanal , sexta das 10:00 às 12:00, sala S - 207-0, semanal </t>
  </si>
  <si>
    <t>NA4BC0003SA</t>
  </si>
  <si>
    <t>Bases Matemáticas A4-Noturno (Santo André)</t>
  </si>
  <si>
    <t xml:space="preserve">quarta das 19:00 às 21:00, sala S - 207-0, semanal , sexta das 21:00 às 23:00, sala S - 207-0, semanal </t>
  </si>
  <si>
    <t>DB1BC0003SA</t>
  </si>
  <si>
    <t>Bases Matemáticas B1-diurno (Santo André)</t>
  </si>
  <si>
    <t xml:space="preserve">quarta das 10:00 às 12:00, sala S - 208-0, semanal , sexta das 08:00 às 10:00, sala S - 208-0, semanal </t>
  </si>
  <si>
    <t>NB1BC0003SA</t>
  </si>
  <si>
    <t>Bases Matemáticas B1-Noturno (Santo André)</t>
  </si>
  <si>
    <t xml:space="preserve">quarta das 21:00 às 23:00, sala S - 208-0, semanal , sexta das 19:00 às 21:00, sala S - 208-0, semanal </t>
  </si>
  <si>
    <t>DB2BC0003SA</t>
  </si>
  <si>
    <t>Bases Matemáticas B2-diurno (Santo André)</t>
  </si>
  <si>
    <t xml:space="preserve">quarta das 10:00 às 12:00, sala S - 213-0, semanal , sexta das 08:00 às 10:00, sala S - 213-0, semanal </t>
  </si>
  <si>
    <t>NB2BC0003SA</t>
  </si>
  <si>
    <t>Bases Matemáticas B2-Noturno (Santo André)</t>
  </si>
  <si>
    <t xml:space="preserve">quarta das 21:00 às 23:00, sala S - 213-0, semanal , sexta das 19:00 às 21:00, sala S - 213-0, semanal </t>
  </si>
  <si>
    <t>DB3BC0003SA</t>
  </si>
  <si>
    <t>Bases Matemáticas B3-diurno (Santo André)</t>
  </si>
  <si>
    <t xml:space="preserve">quarta das 10:00 às 12:00, sala S - 214-0, semanal , sexta das 08:00 às 10:00, sala S - 214-0, semanal </t>
  </si>
  <si>
    <t>NB3BC0003SA</t>
  </si>
  <si>
    <t>Bases Matemáticas B3-Noturno (Santo André)</t>
  </si>
  <si>
    <t xml:space="preserve">quarta das 21:00 às 23:00, sala S - 214-0, semanal , sexta das 19:00 às 21:00, sala S - 214-0, semanal </t>
  </si>
  <si>
    <t>NB4BC0003SA</t>
  </si>
  <si>
    <t>Bases Matemáticas B4-Noturno (Santo André)</t>
  </si>
  <si>
    <t xml:space="preserve">quarta das 21:00 às 23:00, sala S - 302-3, semanal , sexta das 19:00 às 21:00, sala S - 302-3, semanal </t>
  </si>
  <si>
    <t>DBBC0003SB</t>
  </si>
  <si>
    <t>Bases Matemáticas B-diurno (São Bernardo do Campo)</t>
  </si>
  <si>
    <t xml:space="preserve">quarta das 10:00 às 12:00, sala A1-S201-SB, semanal , sexta das 08:00 às 10:00, sala A1-S201-SB, semanal </t>
  </si>
  <si>
    <t>NBBC0003SB</t>
  </si>
  <si>
    <t>Bases Matemáticas B-Noturno (São Bernardo do Campo)</t>
  </si>
  <si>
    <t xml:space="preserve">quarta das 21:00 às 23:00, sala A1-S201-SB, semanal , sexta das 19:00 às 21:00, sala A1-S201-SB, semanal </t>
  </si>
  <si>
    <t>BACHARELADO EM NEUROCIÊNCIA</t>
  </si>
  <si>
    <t>DAMC8000SB</t>
  </si>
  <si>
    <t>MC8000</t>
  </si>
  <si>
    <t>Bases Neurais da Motricidade</t>
  </si>
  <si>
    <t>Bases Neurais da Motricidade A-diurno (São Bernardo do Campo)</t>
  </si>
  <si>
    <t xml:space="preserve">terca das 10:00 às 12:00, sala A1-S106-SB, semanal , quinta das 10:00 às 12:00, sala A1-S106-SB, semanal </t>
  </si>
  <si>
    <t>NAMC8000SB</t>
  </si>
  <si>
    <t>Bases Neurais da Motricidade A-Noturno (São Bernardo do Campo)</t>
  </si>
  <si>
    <t>Cancelar</t>
  </si>
  <si>
    <t xml:space="preserve">terca das 21:00 às 23:00, sala A1-S106-SB, semanal , quinta das 19:00 às 21:00, sala A1-S106-SB, semanal </t>
  </si>
  <si>
    <t>BACHARELADO EM CIÊNCIAS BIOLÓGICAS</t>
  </si>
  <si>
    <t>DANH1703SA</t>
  </si>
  <si>
    <t>NH1703</t>
  </si>
  <si>
    <t>Biologia Animal I</t>
  </si>
  <si>
    <t>Biologia Animal I A-diurno (Santo André)</t>
  </si>
  <si>
    <t xml:space="preserve">quinta das 08:00 às 10:00, sala S - 306-3, semanal </t>
  </si>
  <si>
    <t xml:space="preserve">quarta das 08:00 às 10:00, sala 402-3, quinzenal II, quinta das 10:00 às 12:00, sala 402-3, semanal </t>
  </si>
  <si>
    <t>NANH1703SA</t>
  </si>
  <si>
    <t>Biologia Animal I A-Noturno (Santo André)</t>
  </si>
  <si>
    <t xml:space="preserve">quinta das 19:00 às 21:00, sala S - 306-3, semanal </t>
  </si>
  <si>
    <t xml:space="preserve">quarta das 19:00 às 21:00, sala 402-3, quinzenal II, quinta das 21:00 às 23:00, sala 402-3, semanal </t>
  </si>
  <si>
    <t>DABC1320SA</t>
  </si>
  <si>
    <t>BC1320</t>
  </si>
  <si>
    <t>Biologia Molecular e Biotecnologia</t>
  </si>
  <si>
    <t>Biologia Molecular e Biotecnologia A-diurno (Santo André)</t>
  </si>
  <si>
    <t xml:space="preserve">terca das 09:00 às 12:00, sala S - 305-2, semanal </t>
  </si>
  <si>
    <t>NABC1320SA</t>
  </si>
  <si>
    <t>Biologia Molecular e Biotecnologia A-Noturno (Santo André)</t>
  </si>
  <si>
    <t xml:space="preserve">terca das 19:00 às 22:00, sala S - 305-2, semanal </t>
  </si>
  <si>
    <t>DANH1702SA</t>
  </si>
  <si>
    <t>NH1702</t>
  </si>
  <si>
    <t>Biologia Vegetal I</t>
  </si>
  <si>
    <t>Biologia Vegetal I A-diurno (Santo André)</t>
  </si>
  <si>
    <t>terca das 08:00 às 10:00, sala S - 306-3, semanal , quarta das 08:00 às 10:00, sala S - 306-3, quinzenal I</t>
  </si>
  <si>
    <t xml:space="preserve">terca das 10:00 às 12:00, sala 402-3, semanal </t>
  </si>
  <si>
    <t>NANH1702SA</t>
  </si>
  <si>
    <t>Biologia Vegetal I A-Noturno (Santo André)</t>
  </si>
  <si>
    <t>terca das 19:00 às 21:00, sala S - 306-3, semanal , quarta das 19:00 às 21:00, sala S - 306-3, quinzenal I</t>
  </si>
  <si>
    <t xml:space="preserve">terca das 21:00 às 23:00, sala 402-3, semanal </t>
  </si>
  <si>
    <t>ENGENHARIA BIOMÉDICA</t>
  </si>
  <si>
    <t>DAEN2324SB</t>
  </si>
  <si>
    <t>EN2324</t>
  </si>
  <si>
    <t>Biossegurança</t>
  </si>
  <si>
    <t>Biossegurança A-diurno (São Bernardo do Campo)</t>
  </si>
  <si>
    <t xml:space="preserve">quarta das 10:00 às 12:00, sala A2-S205-SB, semanal , sexta das 08:00 às 10:00, sala A2-S205-SB, semanal </t>
  </si>
  <si>
    <t>NAEN2324SA</t>
  </si>
  <si>
    <t>Biossegurança A-Noturno (Santo André)</t>
  </si>
  <si>
    <t xml:space="preserve">terca das 21:00 às 23:00, sala S - 008-0, semanal , quinta das 19:00 às 21:00, sala S - 008-0, semanal </t>
  </si>
  <si>
    <t>DABC1716SA</t>
  </si>
  <si>
    <t>BC1716</t>
  </si>
  <si>
    <t>Cálculo de Probabilidade</t>
  </si>
  <si>
    <t>Cálculo de Probabilidade A-diurno (Santo André)</t>
  </si>
  <si>
    <t xml:space="preserve">segunda das 08:00 às 10:00, sala S - 302-2, semanal , quarta das 10:00 às 12:00, sala S - 302-2, semanal </t>
  </si>
  <si>
    <t>NABC1716SA</t>
  </si>
  <si>
    <t>Cálculo de Probabilidade A-Noturno (Santo André)</t>
  </si>
  <si>
    <t xml:space="preserve">segunda das 19:00 às 21:00, sala S - 304-2, semanal , quarta das 21:00 às 23:00, sala S - 304-2, semanal </t>
  </si>
  <si>
    <t>ENGENHARIAS</t>
  </si>
  <si>
    <t>DABC1499SA</t>
  </si>
  <si>
    <t>BC1499</t>
  </si>
  <si>
    <t>Cálculo Numérico</t>
  </si>
  <si>
    <t>Cálculo Numérico A-diurno (Santo André)</t>
  </si>
  <si>
    <t xml:space="preserve">segunda das 08:00 às 10:00, sala A - 113-0, semanal , quarta das 10:00 às 12:00, sala A - 113-0, semanal </t>
  </si>
  <si>
    <t>DABC1499SB</t>
  </si>
  <si>
    <t>Cálculo Numérico A-diurno (São Bernardo do Campo)</t>
  </si>
  <si>
    <t xml:space="preserve">segunda das 14:00 às 16:00, sala A2-S202-SB, semanal , quarta das 16:00 às 18:00, sala A2-S202-SB, semanal </t>
  </si>
  <si>
    <t>NABC1499SA</t>
  </si>
  <si>
    <t>Cálculo Numérico A-Noturno (Santo André)</t>
  </si>
  <si>
    <t xml:space="preserve">segunda das 19:00 às 21:00, sala A - 104-0, semanal , quarta das 21:00 às 23:00, sala A - 104-0, semanal </t>
  </si>
  <si>
    <t>NABC1499SB</t>
  </si>
  <si>
    <t>Cálculo Numérico A-Noturno (São Bernardo do Campo)</t>
  </si>
  <si>
    <t xml:space="preserve">segunda das 21:00 às 23:00, sala A2-S305-SB, semanal , quarta das 19:00 às 21:00, sala A2-S305-SB, semanal </t>
  </si>
  <si>
    <t>DBBC1499SA</t>
  </si>
  <si>
    <t>Cálculo Numérico B-diurno (Santo André)</t>
  </si>
  <si>
    <t xml:space="preserve">segunda das 10:00 às 12:00, sala A - 101-0, semanal , quarta das 08:00 às 10:00, sala A - 101-0, semanal </t>
  </si>
  <si>
    <t>NBBC1499SA</t>
  </si>
  <si>
    <t>Cálculo Numérico B-Noturno (Santo André)</t>
  </si>
  <si>
    <t xml:space="preserve">segunda das 21:00 às 23:00, sala A - 101-0, semanal , quarta das 19:00 às 21:00, sala A - 101-0, semanal </t>
  </si>
  <si>
    <t>BACHARELADO EM CIÊNCIAS E HUMANIDADES</t>
  </si>
  <si>
    <t>DA1BC0603SB</t>
  </si>
  <si>
    <t>BC0603</t>
  </si>
  <si>
    <t>Ciência, Tecnologia e Sociedade</t>
  </si>
  <si>
    <t>Ciência, Tecnologia e Sociedade A1-diurno (São Bernardo do Campo)</t>
  </si>
  <si>
    <t>Outros</t>
  </si>
  <si>
    <t>Absorver todos os alunos da turma A3 Diurno do BC&amp;T</t>
  </si>
  <si>
    <t xml:space="preserve">segunda das 08:00 às 10:00, sala A2-S106-SB, quinzenal I, quarta das 10:00 às 12:00, sala A2-S106-SB, semanal </t>
  </si>
  <si>
    <t>NA1BC0603SB</t>
  </si>
  <si>
    <t>Ciência, Tecnologia e Sociedade A1-Noturno (São Bernardo do Campo)</t>
  </si>
  <si>
    <t xml:space="preserve">segunda das 19:00 às 21:00, sala B-A004-SB, quinzenal I, quarta das 21:00 às 23:00, sala B-A004-SB, semanal </t>
  </si>
  <si>
    <t>DA2BC0603SB</t>
  </si>
  <si>
    <t>Ciência, Tecnologia e Sociedade A2-diurno (São Bernardo do Campo)</t>
  </si>
  <si>
    <t xml:space="preserve">segunda das 08:00 às 10:00, sala A1-S204-SB, quinzenal I, quarta das 10:00 às 12:00, sala A1-S204-SB, semanal </t>
  </si>
  <si>
    <t>NA2BC0603SB</t>
  </si>
  <si>
    <t>Ciência, Tecnologia e Sociedade A2-Noturno (São Bernardo do Campo)</t>
  </si>
  <si>
    <t xml:space="preserve">segunda das 19:00 às 21:00, sala A2-S205-SB, quinzenal I, quarta das 21:00 às 23:00, sala A2-S205-SB, semanal </t>
  </si>
  <si>
    <t>DA3BC0603SB</t>
  </si>
  <si>
    <t>Ciência, Tecnologia e Sociedade A3-diurno (São Bernardo do Campo)</t>
  </si>
  <si>
    <t>Transferir alunos para outra turma em mesmo horário e cancelar</t>
  </si>
  <si>
    <t>observação - fazer a transferência para a turma de CTS do BCH - A1 durno</t>
  </si>
  <si>
    <t>OK - TURMA CANCELADA - transferir 5 alunos turma A1 - BCH</t>
  </si>
  <si>
    <t xml:space="preserve">segunda das 08:00 às 10:00, sala A2-S201-SB, quinzenal I, quarta das 10:00 às 12:00, sala A2-S201-SB, semanal </t>
  </si>
  <si>
    <t>DABC0603SA</t>
  </si>
  <si>
    <t>Ciência, Tecnologia e Sociedade A-diurno (Santo André)</t>
  </si>
  <si>
    <t xml:space="preserve">segunda das 10:00 às 12:00, sala A - 108-0, quinzenal I, quarta das 08:00 às 10:00, sala A - 108-0, semanal </t>
  </si>
  <si>
    <t>NABC0603SA</t>
  </si>
  <si>
    <t>Ciência, Tecnologia e Sociedade A-Noturno (Santo André)</t>
  </si>
  <si>
    <t xml:space="preserve">segunda das 21:00 às 23:00, sala A - 108-0, quinzenal I, quarta das 19:00 às 21:00, sala A - 108-0, semanal </t>
  </si>
  <si>
    <t>DB1BC0603SB</t>
  </si>
  <si>
    <t>Ciência, Tecnologia e Sociedade B1-diurno (São Bernardo do Campo)</t>
  </si>
  <si>
    <t xml:space="preserve">segunda das 10:00 às 12:00, sala A2-S201-SB, quinzenal I, quarta das 08:00 às 10:00, sala A2-S201-SB, semanal </t>
  </si>
  <si>
    <t>NB1BC0603SA</t>
  </si>
  <si>
    <t>Ciência, Tecnologia e Sociedade B1-Noturno (Santo André)</t>
  </si>
  <si>
    <t xml:space="preserve">segunda das 19:00 às 21:00, sala A - 107-0, quinzenal I, quarta das 21:00 às 23:00, sala A - 107-0, semanal </t>
  </si>
  <si>
    <t>NB1BC0603SB</t>
  </si>
  <si>
    <t>Ciência, Tecnologia e Sociedade B1-Noturno (São Bernardo do Campo)</t>
  </si>
  <si>
    <t>Ampliar vagas - absorver excedente</t>
  </si>
  <si>
    <t>OVERBOOKING - aguardando retorno BCH</t>
  </si>
  <si>
    <t xml:space="preserve">segunda das 21:00 às 23:00, sala A1-S204-SB, quinzenal I, quarta das 19:00 às 21:00, sala A1-S204-SB, semanal </t>
  </si>
  <si>
    <t>DB2BC0603SB</t>
  </si>
  <si>
    <t>Ciência, Tecnologia e Sociedade B2-diurno (São Bernardo do Campo)</t>
  </si>
  <si>
    <t xml:space="preserve">segunda das 10:00 às 12:00, sala A2-S106-SB, quinzenal I, quarta das 08:00 às 10:00, sala A2-S106-SB, semanal </t>
  </si>
  <si>
    <t>NB2BC0603SA</t>
  </si>
  <si>
    <t>Ciência, Tecnologia e Sociedade B2-Noturno (Santo André)</t>
  </si>
  <si>
    <t xml:space="preserve">segunda das 19:00 às 21:00, sala A - 103-0, quinzenal I, quarta das 21:00 às 23:00, sala A - 103-0, semanal </t>
  </si>
  <si>
    <t>NB2BC0603SB</t>
  </si>
  <si>
    <t>Ciência, Tecnologia e Sociedade B2-Noturno (São Bernardo do Campo)</t>
  </si>
  <si>
    <t xml:space="preserve">segunda das 21:00 às 23:00, sala A2-S204-SB, quinzenal I, quarta das 19:00 às 21:00, sala A2-S204-SB, semanal </t>
  </si>
  <si>
    <t>DBBC0603SA</t>
  </si>
  <si>
    <t>Ciência, Tecnologia e Sociedade B-diurno (Santo André)</t>
  </si>
  <si>
    <t xml:space="preserve">segunda das 08:00 às 10:00, sala A - 107-0, quinzenal I, quarta das 10:00 às 12:00, sala A - 107-0, semanal </t>
  </si>
  <si>
    <t>DAEN2321SA</t>
  </si>
  <si>
    <t>EN2321</t>
  </si>
  <si>
    <t>Ciências dos Materiais Biocompatíveis</t>
  </si>
  <si>
    <t>Ciências dos Materiais Biocompatíveis A-diurno (Santo André)</t>
  </si>
  <si>
    <t>terca das 10:00 às 12:00, sala S - 303-1, semanal , quinta das 08:00 às 10:00, sala S - 303-1, quinzenal II</t>
  </si>
  <si>
    <t>quinta das 08:00 às 10:00, sala 501-1, quinzenal I</t>
  </si>
  <si>
    <t>NAEN2321SA</t>
  </si>
  <si>
    <t>Ciências dos Materiais Biocompatíveis A-Noturno (Santo André)</t>
  </si>
  <si>
    <t>terca das 19:00 às 21:00, sala S - 303-1, semanal , quinta das 21:00 às 23:00, sala S - 303-1, quinzenal II</t>
  </si>
  <si>
    <t>quinta das 21:00 às 23:00, sala 501-1, quinzenal I</t>
  </si>
  <si>
    <t>DA1BC1519SA</t>
  </si>
  <si>
    <t>BC1519</t>
  </si>
  <si>
    <t>Circuitos Elétricos e Fotônica</t>
  </si>
  <si>
    <t>Circuitos Elétricos e Fotônica A1-diurno (Santo André)</t>
  </si>
  <si>
    <t xml:space="preserve">terca das 08:00 às 10:00, sala S - 302-2, quinzenal II, quinta das 10:00 às 12:00, sala S - 302-2, semanal </t>
  </si>
  <si>
    <t>terca das 08:00 às 10:00, sala 403-1, quinzenal I</t>
  </si>
  <si>
    <t>NA1BC1519SA</t>
  </si>
  <si>
    <t>Circuitos Elétricos e Fotônica A1-Noturno (Santo André)</t>
  </si>
  <si>
    <t xml:space="preserve">terca das 19:00 às 21:00, sala S - 311-3, quinzenal II, quinta das 21:00 às 23:00, sala S - 311-3, semanal </t>
  </si>
  <si>
    <t>terca das 19:00 às 21:00, sala 403-1, quinzenal I</t>
  </si>
  <si>
    <t>DA2BC1519SA</t>
  </si>
  <si>
    <t>Circuitos Elétricos e Fotônica A2-diurno (Santo André)</t>
  </si>
  <si>
    <t>terca das 08:00 às 10:00, sala 404-1, quinzenal I</t>
  </si>
  <si>
    <t>NA2BC1519SA</t>
  </si>
  <si>
    <t>Circuitos Elétricos e Fotônica A2-Noturno (Santo André)</t>
  </si>
  <si>
    <t>terca das 19:00 às 21:00, sala 410-1, quinzenal I</t>
  </si>
  <si>
    <t>DB1BC1519SA</t>
  </si>
  <si>
    <t>Circuitos Elétricos e Fotônica B1-diurno (Santo André)</t>
  </si>
  <si>
    <t xml:space="preserve">terca das 10:00 às 12:00, sala S - 311-3, quinzenal II, quinta das 08:00 às 10:00, sala S - 311-3, semanal </t>
  </si>
  <si>
    <t>terca das 10:00 às 12:00, sala 403-1, quinzenal I</t>
  </si>
  <si>
    <t>NB1BC1519SA</t>
  </si>
  <si>
    <t>Circuitos Elétricos e Fotônica B1-Noturno (Santo André)</t>
  </si>
  <si>
    <t xml:space="preserve">terca das 21:00 às 23:00, sala S - 311-3, quinzenal II, quinta das 19:00 às 21:00, sala S - 311-3, semanal </t>
  </si>
  <si>
    <t>terca das 21:00 às 23:00, sala 403-1, quinzenal I</t>
  </si>
  <si>
    <t>DB2BC1519SA</t>
  </si>
  <si>
    <t>Circuitos Elétricos e Fotônica B2-diurno (Santo André)</t>
  </si>
  <si>
    <t>terca das 10:00 às 12:00, sala 410-1, quinzenal I</t>
  </si>
  <si>
    <t>NB2BC1519SA</t>
  </si>
  <si>
    <t>Circuitos Elétricos e Fotônica B2-Noturno (Santo André)</t>
  </si>
  <si>
    <t>terca das 21:00 às 23:00, sala 404-1, quinzenal I</t>
  </si>
  <si>
    <t>ENGENHARIA DE ENERGIA</t>
  </si>
  <si>
    <t>DAEN2705SA</t>
  </si>
  <si>
    <t>EN2705</t>
  </si>
  <si>
    <t>Circuitos Elétricos II</t>
  </si>
  <si>
    <t>Circuitos Elétricos II A-diurno (Santo André)</t>
  </si>
  <si>
    <t>mantida sem alterações</t>
  </si>
  <si>
    <t>terca das 13:00 às 16:00, sala S - 301-2, quinzenal II, quinta das 14:00 às 16:00, sala S - 301-2, quinzenal II</t>
  </si>
  <si>
    <t>terca das 13:00 às 16:00, sala 407-1, quinzenal I, quinta das 14:00 às 16:00, sala 407-1, quinzenal I</t>
  </si>
  <si>
    <t>DAEN3707SA</t>
  </si>
  <si>
    <t>EN3707</t>
  </si>
  <si>
    <t>Circuitos Hidráulicos e Pneumáticos</t>
  </si>
  <si>
    <t>Circuitos Hidráulicos e Pneumáticos A-diurno (Santo André)</t>
  </si>
  <si>
    <t>terca das 08:00 às 10:00, sala S - 305-1, semanal , quinta das 10:00 às 12:00, sala S - 305-1, quinzenal II</t>
  </si>
  <si>
    <t>quinta das 10:00 às 12:00, sala 408-1, quinzenal I</t>
  </si>
  <si>
    <t>NAEN3707SA</t>
  </si>
  <si>
    <t>Circuitos Hidráulicos e Pneumáticos A-Noturno (Santo André)</t>
  </si>
  <si>
    <t>Ampliar vagas</t>
  </si>
  <si>
    <t>OK - AMPLIADO 32</t>
  </si>
  <si>
    <t>terca das 21:00 às 23:00, sala S - 306-1, semanal , quinta das 19:00 às 21:00, sala S - 306-1, quinzenal II</t>
  </si>
  <si>
    <t>quinta das 19:00 às 21:00, sala 408-1, quinzenal I</t>
  </si>
  <si>
    <t>DANH1004SA</t>
  </si>
  <si>
    <t>NH1004</t>
  </si>
  <si>
    <t>Citogenética Básica</t>
  </si>
  <si>
    <t>Citogenética Básica A-diurno (Santo André)</t>
  </si>
  <si>
    <t xml:space="preserve">segunda das 14:00 às 17:00, sala S - 306-3, semanal </t>
  </si>
  <si>
    <t xml:space="preserve">quarta das 14:00 às 16:00, sala 402-3, semanal </t>
  </si>
  <si>
    <t>DABC1515SA</t>
  </si>
  <si>
    <t>BC1515</t>
  </si>
  <si>
    <t>Computação Gráfica</t>
  </si>
  <si>
    <t>Computação Gráfica A-diurno (Santo André)</t>
  </si>
  <si>
    <t xml:space="preserve">quarta das 08:00 às 10:00, sala 409-2, semanal , sexta das 10:00 às 12:00, sala 409-2, semanal </t>
  </si>
  <si>
    <t>NABC1515SA</t>
  </si>
  <si>
    <t>Computação Gráfica A-Noturno (Santo André)</t>
  </si>
  <si>
    <t>Ampliar vagas para 47 (overbooking)</t>
  </si>
  <si>
    <t>OK - AMPLIADO PARA 47</t>
  </si>
  <si>
    <t xml:space="preserve">quarta das 19:00 às 21:00, sala 408-2, semanal , sexta das 21:00 às 23:00, sala 408-2, semanal </t>
  </si>
  <si>
    <t>DA1BC0506SA</t>
  </si>
  <si>
    <t>BC0506</t>
  </si>
  <si>
    <t>Comunicação e Redes</t>
  </si>
  <si>
    <t>Comunicação e Redes A1-diurno (Santo André)</t>
  </si>
  <si>
    <t>Redistribuir alunos para outra turma em mesmo horário</t>
  </si>
  <si>
    <t>TRANSFERIR 7 ALUNOS PARA  A2</t>
  </si>
  <si>
    <t>terca das 10:00 às 12:00, sala A - 101-0, semanal , sexta das 10:00 às 12:00, sala A - 101-0, quinzenal I</t>
  </si>
  <si>
    <t>NA1BC0506SA</t>
  </si>
  <si>
    <t>Comunicação e Redes A1-Noturno (Santo André)</t>
  </si>
  <si>
    <t>terca das 21:00 às 23:00, sala A - 101-0, semanal , sexta das 21:00 às 23:00, sala A - 101-0, quinzenal I</t>
  </si>
  <si>
    <t>DA2BC0506SA</t>
  </si>
  <si>
    <t>Comunicação e Redes A2-diurno (Santo André)</t>
  </si>
  <si>
    <t>terca das 10:00 às 12:00, sala A - 102-0, semanal , sexta das 10:00 às 12:00, sala A - 102-0, quinzenal I</t>
  </si>
  <si>
    <t>NA2BC0506SA</t>
  </si>
  <si>
    <t>Comunicação e Redes A2-Noturno (Santo André)</t>
  </si>
  <si>
    <t>OK - TURMA CANCELADA - transferir 10 alunos turma A1</t>
  </si>
  <si>
    <t>terca das 21:00 às 23:00, sala A - 102-0, semanal , sexta das 21:00 às 23:00, sala A - 102-0, quinzenal I</t>
  </si>
  <si>
    <t>DA3BC0506SA</t>
  </si>
  <si>
    <t>Comunicação e Redes A3-diurno (Santo André)</t>
  </si>
  <si>
    <t>terca das 10:00 às 12:00, sala A - 108-0, semanal , sexta das 10:00 às 12:00, sala A - 108-0, quinzenal I</t>
  </si>
  <si>
    <t>DABC0506SB</t>
  </si>
  <si>
    <t>Comunicação e Redes A-diurno (São Bernardo do Campo)</t>
  </si>
  <si>
    <t>terca das 10:00 às 12:00, sala A2-S201-SB, semanal , sexta das 10:00 às 12:00, sala A2-S201-SB, quinzenal I</t>
  </si>
  <si>
    <t>NABC0506SB</t>
  </si>
  <si>
    <t>Comunicação e Redes A-Noturno (São Bernardo do Campo)</t>
  </si>
  <si>
    <t>terca das 21:00 às 23:00, sala A1-S206-SB, semanal , sexta das 21:00 às 23:00, sala A1-S206-SB, quinzenal I</t>
  </si>
  <si>
    <t>DB1BC0506SA</t>
  </si>
  <si>
    <t>Comunicação e Redes B1-diurno (Santo André)</t>
  </si>
  <si>
    <t>terca das 08:00 às 10:00, sala A - 104-0, semanal , sexta das 08:00 às 10:00, sala A - 104-0, quinzenal I</t>
  </si>
  <si>
    <t>NB1BC0506SA</t>
  </si>
  <si>
    <t>Comunicação e Redes B1-Noturno (Santo André)</t>
  </si>
  <si>
    <t>terca das 19:00 às 21:00, sala A - 103-0, semanal , sexta das 19:00 às 21:00, sala A - 103-0, quinzenal I</t>
  </si>
  <si>
    <t>DB2BC0506SA</t>
  </si>
  <si>
    <t>Comunicação e Redes B2-diurno (Santo André)</t>
  </si>
  <si>
    <t>TRANSFERIR  17 ALUNOS PARA  A2
CORTAR 2</t>
  </si>
  <si>
    <t>terca das 08:00 às 10:00, sala A - 105-0, semanal , sexta das 08:00 às 10:00, sala A - 105-0, quinzenal I</t>
  </si>
  <si>
    <t>NB2BC0506SA</t>
  </si>
  <si>
    <t>Comunicação e Redes B2-Noturno (Santo André)</t>
  </si>
  <si>
    <t>terca das 19:00 às 21:00, sala A - 104-0, semanal , sexta das 19:00 às 21:00, sala A - 104-0, quinzenal I</t>
  </si>
  <si>
    <t>NB3BC0506SA</t>
  </si>
  <si>
    <t>Comunicação e Redes B3-Noturno (Santo André)</t>
  </si>
  <si>
    <t xml:space="preserve">TRANSFERIR 
70 ALUNOS PARA  B2
38  ALUNOS PARA B1
</t>
  </si>
  <si>
    <t>terca das 19:00 às 21:00, sala A - 105-0, semanal , sexta das 19:00 às 21:00, sala A - 105-0, quinzenal I</t>
  </si>
  <si>
    <t>ENGENHARIA DE INFORMAÇÃO</t>
  </si>
  <si>
    <t>DAEN2620SA</t>
  </si>
  <si>
    <t>EN2620</t>
  </si>
  <si>
    <t>Comunicações Móveis</t>
  </si>
  <si>
    <t>Comunicações Móveis A-diurno (Santo André)</t>
  </si>
  <si>
    <t>terca das 08:00 às 10:00, sala S - 210-0, semanal , quinta das 10:00 às 12:00, sala S - 210-0, quinzenal I</t>
  </si>
  <si>
    <t>quinta das 10:00 às 12:00, sala 403-1, quinzenal II</t>
  </si>
  <si>
    <t>NAEN2620SA</t>
  </si>
  <si>
    <t>Comunicações Móveis A-Noturno (Santo André)</t>
  </si>
  <si>
    <t>terca das 19:00 às 21:00, sala S - 210-0, semanal , quinta das 21:00 às 23:00, sala S - 210-0, quinzenal I</t>
  </si>
  <si>
    <t>quinta das 21:00 às 23:00, sala 403-1, quinzenal II</t>
  </si>
  <si>
    <t>DAEN3722SA</t>
  </si>
  <si>
    <t>EN3722</t>
  </si>
  <si>
    <t>Confiabilidade de Componentes e Sistemas</t>
  </si>
  <si>
    <t>Confiabilidade de Componentes e Sistemas A-diurno (Santo André)</t>
  </si>
  <si>
    <t xml:space="preserve">segunda das 14:00 às 17:00, sala S - 302-1, semanal </t>
  </si>
  <si>
    <t>NAEN3722SA</t>
  </si>
  <si>
    <t>Confiabilidade de Componentes e Sistemas A-Noturno (Santo André)</t>
  </si>
  <si>
    <t>Ampliar vagas até a capacidade da sala</t>
  </si>
  <si>
    <t>ampliado - nova sala 301-1</t>
  </si>
  <si>
    <t xml:space="preserve">segunda das 18:00 às 21:00, sala S - 302-2, semanal </t>
  </si>
  <si>
    <t>DABH1300SB</t>
  </si>
  <si>
    <t>BH1300</t>
  </si>
  <si>
    <t>Conflitos Sociais</t>
  </si>
  <si>
    <t>Conflitos Sociais A-diurno (São Bernardo do Campo)</t>
  </si>
  <si>
    <t xml:space="preserve">quarta das 08:00 às 12:00, sala A2-S302-SB, semanal </t>
  </si>
  <si>
    <t>NABH1300SB</t>
  </si>
  <si>
    <t>Conflitos Sociais A-Noturno (São Bernardo do Campo)</t>
  </si>
  <si>
    <t>44 vagas</t>
  </si>
  <si>
    <t>ampliado</t>
  </si>
  <si>
    <t xml:space="preserve">segunda das 19:00 às 23:00, sala A2-S302-SB, semanal </t>
  </si>
  <si>
    <t>BACHARELADO EM FÍSICA</t>
  </si>
  <si>
    <t>DANHZ3088-15SA</t>
  </si>
  <si>
    <t>NHZ3088-15</t>
  </si>
  <si>
    <t>Consolidação de Conceitos e Métodos de Fenômenos Eletromagnéticos</t>
  </si>
  <si>
    <t>Consolidação de Conceitos e Métodos de Fenômenos Eletromagnéticos A-diurno (Santo André)</t>
  </si>
  <si>
    <t xml:space="preserve">terca das 08:00 às 10:00, sala S - 002-0, semanal </t>
  </si>
  <si>
    <t>NANHZ3088-15SA</t>
  </si>
  <si>
    <t>Consolidação de Conceitos e Métodos de Fenômenos Eletromagnéticos A-Noturno (Santo André)</t>
  </si>
  <si>
    <t xml:space="preserve">terca das 19:00 às 21:00, sala S - 002-0, semanal </t>
  </si>
  <si>
    <t>DBNHZ3088-15SA</t>
  </si>
  <si>
    <t>Consolidação de Conceitos e Métodos de Fenômenos Eletromagnéticos B-diurno (Santo André)</t>
  </si>
  <si>
    <t xml:space="preserve">terca das 10:00 às 12:00, sala S - 002-0, semanal </t>
  </si>
  <si>
    <t>NBNHZ3088-15SA</t>
  </si>
  <si>
    <t>Consolidação de Conceitos e Métodos de Fenômenos Eletromagnéticos B-Noturno (Santo André)</t>
  </si>
  <si>
    <t xml:space="preserve">terca das 21:00 às 23:00, sala S - 002-0, semanal </t>
  </si>
  <si>
    <t>DCNHZ3088-15SA</t>
  </si>
  <si>
    <t>Consolidação de Conceitos e Métodos de Fenômenos Eletromagnéticos C-diurno (Santo André)</t>
  </si>
  <si>
    <t xml:space="preserve">terca das 17:00 às 19:00, sala S - 002-0, semanal </t>
  </si>
  <si>
    <t>DAEN3125SA</t>
  </si>
  <si>
    <t>EN3125</t>
  </si>
  <si>
    <t>Contaminação e Remediação de Solos</t>
  </si>
  <si>
    <t>Contaminação e Remediação de Solos A-diurno (Santo André)</t>
  </si>
  <si>
    <t xml:space="preserve">quarta das 10:00 às 13:00, sala S - 302-1, semanal </t>
  </si>
  <si>
    <t>NAEN3125SA</t>
  </si>
  <si>
    <t>Contaminação e Remediação de Solos A-Noturno (Santo André)</t>
  </si>
  <si>
    <t>OK - AMPLIADO 65</t>
  </si>
  <si>
    <t xml:space="preserve">quarta das 18:00 às 21:00, sala S - 302-1, semanal </t>
  </si>
  <si>
    <t>DAEN3710SA</t>
  </si>
  <si>
    <t>EN3710</t>
  </si>
  <si>
    <t>Controle Não-Linear</t>
  </si>
  <si>
    <t>Controle Não-Linear A-diurno (Santo André)</t>
  </si>
  <si>
    <t>segunda das 10:00 às 12:00, sala S - 306-1, semanal , quarta das 08:00 às 10:00, sala S - 306-1, quinzenal II</t>
  </si>
  <si>
    <t>quarta das 08:00 às 10:00, sala 408-1, quinzenal I</t>
  </si>
  <si>
    <t>DAEN3709SA</t>
  </si>
  <si>
    <t>EN3709</t>
  </si>
  <si>
    <t>Controle Robusto Multivariável</t>
  </si>
  <si>
    <t>Controle Robusto Multivariável A-diurno (Santo André)</t>
  </si>
  <si>
    <t>terca das 16:00 às 18:00, sala S - 305-1, semanal , quinta das 14:00 às 16:00, sala S - 305-1, quinzenal II</t>
  </si>
  <si>
    <t>quinta das 14:00 às 16:00, sala 408-1, quinzenal I</t>
  </si>
  <si>
    <t>DAEN2532SB</t>
  </si>
  <si>
    <t>EN2532</t>
  </si>
  <si>
    <t>Custos</t>
  </si>
  <si>
    <t>Custos A-diurno (São Bernardo do Campo)</t>
  </si>
  <si>
    <t xml:space="preserve">segunda das 10:00 às 12:00, sala A2-S202-SB, semanal , terca das 08:00 às 12:00, sala A2-S202-SB, semanal </t>
  </si>
  <si>
    <t>DABH0102SB</t>
  </si>
  <si>
    <t>BH0102</t>
  </si>
  <si>
    <t>Desenvolvimento e Sustentabilidade</t>
  </si>
  <si>
    <t>Desenvolvimento e Sustentabilidade A-diurno (São Bernardo do Campo)</t>
  </si>
  <si>
    <t xml:space="preserve">terca das 10:00 às 12:00, sala A2-S104-SB, semanal , quinta das 08:00 às 10:00, sala A2-S104-SB, semanal </t>
  </si>
  <si>
    <t>NABH0102SB</t>
  </si>
  <si>
    <t>Desenvolvimento e Sustentabilidade A-Noturno (São Bernardo do Campo)</t>
  </si>
  <si>
    <t xml:space="preserve">terca das 21:00 às 23:00, sala A2-S104-SB, semanal , quinta das 19:00 às 21:00, sala A2-S104-SB, semanal </t>
  </si>
  <si>
    <t>NB1BH0102SB</t>
  </si>
  <si>
    <t>Desenvolvimento e Sustentabilidade B1-Noturno (São Bernardo do Campo)</t>
  </si>
  <si>
    <t>TURMA NOVA</t>
  </si>
  <si>
    <t xml:space="preserve">terca das 19:00 às 21:00,  semanal , quinta das 21:00 às 23:00,  semanal </t>
  </si>
  <si>
    <t>DBBH0102SB</t>
  </si>
  <si>
    <t>Desenvolvimento e Sustentabilidade B-diurno (São Bernardo do Campo)</t>
  </si>
  <si>
    <t xml:space="preserve">terca das 08:00 às 10:00, sala A2-S103-SB, semanal , quinta das 10:00 às 12:00, sala A2-S103-SB, semanal </t>
  </si>
  <si>
    <t>NBBH0102SB</t>
  </si>
  <si>
    <t>Desenvolvimento e Sustentabilidade B-Noturno (São Bernardo do Campo)</t>
  </si>
  <si>
    <t>Abrir nova turma</t>
  </si>
  <si>
    <t>Estes dados devem sem informados na aba "DISCIPLINAS NOVAS A SEREM OFERTADAS": horário, nº de vagas, laboratório (se for o caso) e nome dos docentes</t>
  </si>
  <si>
    <t>OK - TURMA ABERTA / 2ª E 5ª SALA A2-S102-SB</t>
  </si>
  <si>
    <t xml:space="preserve">terca das 19:00 às 21:00, sala A2-S103-SB, semanal , quinta das 21:00 às 23:00, sala A2-S103-SB, semanal </t>
  </si>
  <si>
    <t>BACHARELADO EM PLANEJAMENTO TERRITORIAL</t>
  </si>
  <si>
    <t>DACS3401SB</t>
  </si>
  <si>
    <t>CS3401</t>
  </si>
  <si>
    <t>Desenvolvimento Humano e Pobreza Urbana</t>
  </si>
  <si>
    <t>Desenvolvimento Humano e Pobreza Urbana A-diurno (São Bernardo do Campo)</t>
  </si>
  <si>
    <t>Limitada do BPT , manter alunos com opção pelo curso</t>
  </si>
  <si>
    <t>OK - AMPLIADO 40</t>
  </si>
  <si>
    <t xml:space="preserve">segunda das 14:00 às 16:00, sala A2-S309-SB, semanal , quarta das 14:00 às 16:00, sala A2-S309-SB, semanal </t>
  </si>
  <si>
    <t>NAEN2520SB</t>
  </si>
  <si>
    <t>EN2520</t>
  </si>
  <si>
    <t>Desenvolvimento Integrado do Produto</t>
  </si>
  <si>
    <t>Desenvolvimento Integrado do Produto A-Noturno (São Bernardo do Campo)</t>
  </si>
  <si>
    <t xml:space="preserve">sexta das 19:00 às 23:00, sala A2-S208-SB, semanal </t>
  </si>
  <si>
    <t>ENGENHARIA DE MATERIAIS</t>
  </si>
  <si>
    <t>NAEN3809SA</t>
  </si>
  <si>
    <t>EN3809</t>
  </si>
  <si>
    <t>Diagramas de Fase</t>
  </si>
  <si>
    <t>Diagramas de Fase A-Noturno (Santo André)</t>
  </si>
  <si>
    <t>ampliar vagas</t>
  </si>
  <si>
    <t xml:space="preserve">segunda das 21:00 às 23:00, sala S - 302-2, semanal , quinta das 19:00 às 21:00, sala S - 302-2, semanal </t>
  </si>
  <si>
    <t>LICENCIATURA EM FÍSICA</t>
  </si>
  <si>
    <t>DABC1627SA</t>
  </si>
  <si>
    <t>BC1627</t>
  </si>
  <si>
    <t>Didática</t>
  </si>
  <si>
    <t>Didática A-diurno (Santo André)</t>
  </si>
  <si>
    <t>40 vagas</t>
  </si>
  <si>
    <t xml:space="preserve">segunda das 14:00 às 16:00, sala S - 307-3, semanal , quarta das 16:00 às 18:00, sala S - 307-3, semanal </t>
  </si>
  <si>
    <t>DABC1627SB</t>
  </si>
  <si>
    <t>Didática A-diurno (São Bernardo do Campo)</t>
  </si>
  <si>
    <t xml:space="preserve">sexta das 08:00 às 12:00, sala A1-S102-SB, semanal </t>
  </si>
  <si>
    <t>LICENCIATURA EM CIÊNCIAS BIOLÓGICAS</t>
  </si>
  <si>
    <t>NABC1627SA</t>
  </si>
  <si>
    <t>Didática A-Noturno (Santo André)</t>
  </si>
  <si>
    <t xml:space="preserve">segunda das 19:00 às 21:00, sala S - 305-3, semanal , quarta das 21:00 às 23:00, sala S - 305-3, semanal </t>
  </si>
  <si>
    <t>NABC1627SB</t>
  </si>
  <si>
    <t>Didática A-Noturno (São Bernardo do Campo)</t>
  </si>
  <si>
    <t xml:space="preserve">quarta das 19:00 às 23:00, sala A1-S103-SB, semanal </t>
  </si>
  <si>
    <t>LICENCIATURA EM MATEMÁTICA</t>
  </si>
  <si>
    <t>DBBC1627SA</t>
  </si>
  <si>
    <t>Didática B-diurno (Santo André)</t>
  </si>
  <si>
    <t xml:space="preserve">segunda das 08:00 às 10:00, sala S503, semanal , quarta das 10:00 às 12:00, sala S503, semanal </t>
  </si>
  <si>
    <t>NBBC1627SA</t>
  </si>
  <si>
    <t>Didática B-Noturno (Santo André)</t>
  </si>
  <si>
    <t xml:space="preserve">terca das 19:00 às 21:00, sala S - 307-3, semanal , quinta das 21:00 às 23:00, sala S - 307-3, semanal </t>
  </si>
  <si>
    <t>BACHARELADO EM RELAÇÕES INTERNACIONAIS</t>
  </si>
  <si>
    <t>DACS3303SB</t>
  </si>
  <si>
    <t>CS3303</t>
  </si>
  <si>
    <t>Dinâmica dos Investimentos Produtivos Internacionais</t>
  </si>
  <si>
    <t>Dinâmica dos Investimentos Produtivos Internacionais A-diurno (São Bernardo do Campo)</t>
  </si>
  <si>
    <t xml:space="preserve">segunda das 10:00 às 12:00, sala A2-S307-SB, semanal , sexta das 08:00 às 10:00, sala A2-S307-SB, semanal </t>
  </si>
  <si>
    <t>NACS3303SB</t>
  </si>
  <si>
    <t>Dinâmica dos Investimentos Produtivos Internacionais A-Noturno (São Bernardo do Campo)</t>
  </si>
  <si>
    <t xml:space="preserve">segunda das 21:00 às 23:00, sala A2-S307-SB, semanal , sexta das 19:00 às 21:00, sala A2-S307-SB, semanal </t>
  </si>
  <si>
    <t>DAEN2219SA</t>
  </si>
  <si>
    <t>EN2219</t>
  </si>
  <si>
    <t>Dinâmica e Controle de Veículos Espaciais</t>
  </si>
  <si>
    <t>Dinâmica e Controle de Veículos Espaciais A-diurno (Santo André)</t>
  </si>
  <si>
    <t xml:space="preserve">terca das 16:00 às 18:00, sala S - 307-1, semanal , quinta das 14:00 às 16:00, sala S - 307-1, semanal </t>
  </si>
  <si>
    <t>DAEN2223SB</t>
  </si>
  <si>
    <t>EN2223</t>
  </si>
  <si>
    <t>Dinâmica I</t>
  </si>
  <si>
    <t>Dinâmica I A-diurno (São Bernardo do Campo)</t>
  </si>
  <si>
    <t xml:space="preserve">segunda das 10:00 às 12:00, sala A2-S305-SB, semanal , quinta das 08:00 às 10:00, sala A2-S305-SB, semanal </t>
  </si>
  <si>
    <t>DAEN3202SB</t>
  </si>
  <si>
    <t>EN3202</t>
  </si>
  <si>
    <t>Dinâmica Orbital</t>
  </si>
  <si>
    <t>Dinâmica Orbital A-diurno (São Bernardo do Campo)</t>
  </si>
  <si>
    <t xml:space="preserve">quinta das 14:00 às 17:00, sala A2-S306-SB, semanal </t>
  </si>
  <si>
    <t>NA1BH1136SB</t>
  </si>
  <si>
    <t>BH1136</t>
  </si>
  <si>
    <t>Econometria III</t>
  </si>
  <si>
    <t>Econometria III A1-Noturno (São Bernardo do Campo)</t>
  </si>
  <si>
    <t xml:space="preserve">terca das 19:00 às 21:00, sala A1-S201-SB, semanal </t>
  </si>
  <si>
    <t xml:space="preserve">quinta das 21:00 às 23:00, sala A1-L102-SB, semanal </t>
  </si>
  <si>
    <t>DABH1136SB</t>
  </si>
  <si>
    <t>Econometria III A-diurno (São Bernardo do Campo)</t>
  </si>
  <si>
    <t xml:space="preserve">terca das 08:00 às 10:00, sala A2-S203-SB, semanal </t>
  </si>
  <si>
    <t xml:space="preserve">quinta das 10:00 às 12:00, sala A1-L101-SB, semanal </t>
  </si>
  <si>
    <t>NABH1136SB</t>
  </si>
  <si>
    <t>Econometria III A-Noturno (São Bernardo do Campo)</t>
  </si>
  <si>
    <t>Abrir nova turma de laboratório - ampliar vagas em teoria</t>
  </si>
  <si>
    <t>"A turma de Econometria III do noturno precisaria um laboratório no mesmo horário."</t>
  </si>
  <si>
    <t xml:space="preserve">OK - TURMA ABERTA - TEORIA ALTERADA PARA A SALA A1-S201-SB E NOVA TURMA DE LAB. A1-L102-SB </t>
  </si>
  <si>
    <t xml:space="preserve">terca das 19:00 às 21:00, sala A2-S203-SB, semanal </t>
  </si>
  <si>
    <t xml:space="preserve">quinta das 21:00 às 23:00, sala A1-L101-SB, semanal </t>
  </si>
  <si>
    <t>DABH1137SB</t>
  </si>
  <si>
    <t>BH1137</t>
  </si>
  <si>
    <t>Economia Brasileira Contemporânea III</t>
  </si>
  <si>
    <t>Economia Brasileira Contemporânea III A-diurno (São Bernardo do Campo)</t>
  </si>
  <si>
    <t xml:space="preserve">sexta das 09:00 às 12:00, sala A2-S203-SB, semanal </t>
  </si>
  <si>
    <t>NABH1137SB</t>
  </si>
  <si>
    <t>Economia Brasileira Contemporânea III A-Noturno (São Bernardo do Campo)</t>
  </si>
  <si>
    <t xml:space="preserve">sexta das 19:00 às 22:00, sala A2-S106-SB, semanal </t>
  </si>
  <si>
    <t>NAEN2424SA</t>
  </si>
  <si>
    <t>EN2424</t>
  </si>
  <si>
    <t>Economia da Energia</t>
  </si>
  <si>
    <t>Economia da Energia A-Noturno (Santo André)</t>
  </si>
  <si>
    <t xml:space="preserve">sexta das 21:00 às 23:00, sala S - 301-2, semanal </t>
  </si>
  <si>
    <t>DABH1120SB</t>
  </si>
  <si>
    <t>BH1120</t>
  </si>
  <si>
    <t>Economia e Meio Ambiente</t>
  </si>
  <si>
    <t>Economia e Meio Ambiente A-diurno (São Bernardo do Campo)</t>
  </si>
  <si>
    <t xml:space="preserve">segunda das 10:00 às 12:00, sala A1-S205-SB, quinzenal I, sexta das 10:00 às 12:00, sala A1-S205-SB, semanal </t>
  </si>
  <si>
    <t>NABH1120SB</t>
  </si>
  <si>
    <t>Economia e Meio Ambiente A-Noturno (São Bernardo do Campo)</t>
  </si>
  <si>
    <t xml:space="preserve">segunda das 21:00 às 23:00, sala A1-S205-SB, quinzenal I, sexta das 21:00 às 23:00, sala A1-S205-SB, semanal </t>
  </si>
  <si>
    <t>NBBH1120SB</t>
  </si>
  <si>
    <t>Economia e Meio Ambiente B-Noturno (São Bernardo do Campo)</t>
  </si>
  <si>
    <t>OK - AMPLIADO 90 / NOVA SALA 2ª A1-S201-SB E 6ª A1-S206-SB</t>
  </si>
  <si>
    <t xml:space="preserve">segunda das 21:00 às 23:00, sala A2-S204-SB, quinzenal II, sexta das 19:00 às 21:00, sala A2-S204-SB, semanal </t>
  </si>
  <si>
    <t>DABH1115SB</t>
  </si>
  <si>
    <t>BH1115</t>
  </si>
  <si>
    <t>Economia Internacional II</t>
  </si>
  <si>
    <t>Economia Internacional II A-diurno (São Bernardo do Campo)</t>
  </si>
  <si>
    <t xml:space="preserve">segunda das 10:00 às 12:00, sala A2-S203-SB, semanal , quinta das 08:00 às 10:00, sala A2-S203-SB, semanal </t>
  </si>
  <si>
    <t>NABH1115SB</t>
  </si>
  <si>
    <t>Economia Internacional II A-Noturno (São Bernardo do Campo)</t>
  </si>
  <si>
    <t xml:space="preserve">segunda das 21:00 às 23:00, sala A2-S201-SB, semanal , quinta das 19:00 às 21:00, sala A2-S201-SB, semanal </t>
  </si>
  <si>
    <t>DANH4105SA</t>
  </si>
  <si>
    <t>NH4105</t>
  </si>
  <si>
    <t>Educação à Distância e Novas Tecnologias</t>
  </si>
  <si>
    <t>Educação à Distância e Novas Tecnologias A-diurno (Santo André)</t>
  </si>
  <si>
    <t xml:space="preserve">terca das 10:00 às 11:30, sala S504, semanal , quinta das 08:30 às 10:00, sala S504, semanal </t>
  </si>
  <si>
    <t>NANH4105SA</t>
  </si>
  <si>
    <t>Educação à Distância e Novas Tecnologias A-Noturno (Santo André)</t>
  </si>
  <si>
    <t xml:space="preserve">terca das 21:00 às 22:30, sala S504, semanal , quinta das 19:30 às 21:00, sala S504, semanal </t>
  </si>
  <si>
    <t>NABC1630SA</t>
  </si>
  <si>
    <t>BC1630</t>
  </si>
  <si>
    <t>Educação Ambiental</t>
  </si>
  <si>
    <t>Educação Ambiental A-Noturno (Santo André)</t>
  </si>
  <si>
    <t xml:space="preserve">quinta das 19:00 às 23:00, sala S - 305-3, semanal </t>
  </si>
  <si>
    <t>DABC1602SA</t>
  </si>
  <si>
    <t>BC1602</t>
  </si>
  <si>
    <t>Educação Científica, Sociedade e Cultura</t>
  </si>
  <si>
    <t>Educação Científica, Sociedade e Cultura A-diurno (Santo André)</t>
  </si>
  <si>
    <t xml:space="preserve">segunda das 10:00 às 12:00, sala S - 309-2, semanal , quarta das 08:00 às 10:00, sala S - 309-2, semanal </t>
  </si>
  <si>
    <t>LICENCIATURA EM QUÍMICA</t>
  </si>
  <si>
    <t>NABC1602SA</t>
  </si>
  <si>
    <t>Educação Científica, Sociedade e Cultura A-Noturno (Santo André)</t>
  </si>
  <si>
    <t>OK - AMPLIADO 40 / NOVA SALA 307-3</t>
  </si>
  <si>
    <t xml:space="preserve">segunda das 21:00 às 23:00, sala S - 310-1, semanal , quarta das 19:00 às 21:00, sala S - 310-1, semanal </t>
  </si>
  <si>
    <t>DAEN2521SB</t>
  </si>
  <si>
    <t>EN2521</t>
  </si>
  <si>
    <t>Elaboração, Análise e Avaliação de Projetos</t>
  </si>
  <si>
    <t>Elaboração, Análise e Avaliação de Projetos A-diurno (São Bernardo do Campo)</t>
  </si>
  <si>
    <t xml:space="preserve">sexta das 08:00 às 12:00, sala A2-S202-SB, semanal </t>
  </si>
  <si>
    <t>BACHARELADO EM QUÍMICA</t>
  </si>
  <si>
    <t>DANH3101SA</t>
  </si>
  <si>
    <t>NH3101</t>
  </si>
  <si>
    <t>Eletroanalítica e Técnicas de Separação</t>
  </si>
  <si>
    <t>Eletroanalítica e Técnicas de Separação A-diurno (Santo André)</t>
  </si>
  <si>
    <t xml:space="preserve">segunda das 10:00 às 12:00, sala S - 303-3, semanal </t>
  </si>
  <si>
    <t xml:space="preserve">sexta das 08:00 às 12:00, sala 406-3, semanal </t>
  </si>
  <si>
    <t>NANH3101SA</t>
  </si>
  <si>
    <t>Eletroanalítica e Técnicas de Separação A-Noturno (Santo André)</t>
  </si>
  <si>
    <t xml:space="preserve">segunda das 21:00 às 23:00, sala S - 303-3, semanal </t>
  </si>
  <si>
    <t xml:space="preserve">sexta das 19:00 às 23:00, sala 406-3, semanal </t>
  </si>
  <si>
    <t>DA1EN2720SA</t>
  </si>
  <si>
    <t>EN2720</t>
  </si>
  <si>
    <t>Eletrônica Analógica Aplicada</t>
  </si>
  <si>
    <t>Eletrônica Analógica Aplicada A1-diurno (Santo André)</t>
  </si>
  <si>
    <t xml:space="preserve">quinta das 10:00 às 13:00, sala S - 311-2, semanal </t>
  </si>
  <si>
    <t xml:space="preserve">terca das 08:00 às 10:00, sala 405-1, semanal </t>
  </si>
  <si>
    <t>NA1EN2720SA</t>
  </si>
  <si>
    <t>Eletrônica Analógica Aplicada A1-Noturno (Santo André)</t>
  </si>
  <si>
    <t xml:space="preserve">quinta das 18:00 às 21:00, sala L604, semanal </t>
  </si>
  <si>
    <t xml:space="preserve">terca das 21:00 às 23:00, sala 405-1, semanal </t>
  </si>
  <si>
    <t>DA2EN2720SA</t>
  </si>
  <si>
    <t>Eletrônica Analógica Aplicada A2-diurno (Santo André)</t>
  </si>
  <si>
    <t xml:space="preserve">terca das 08:00 às 10:00, sala 407-1, semanal </t>
  </si>
  <si>
    <t>NA2EN2720SA</t>
  </si>
  <si>
    <t>Eletrônica Analógica Aplicada A2-Noturno (Santo André)</t>
  </si>
  <si>
    <t xml:space="preserve">terca das 21:00 às 23:00, sala 407-1, semanal </t>
  </si>
  <si>
    <t>NBEN2720SA</t>
  </si>
  <si>
    <t>Eletrônica Analógica Aplicada B-Noturno (Santo André)</t>
  </si>
  <si>
    <t>OK - AMPLIADO 33</t>
  </si>
  <si>
    <t xml:space="preserve">segunda das 19:00 às 21:00, sala S - 305-1, quinzenal I, quinta das 18:00 às 21:00, sala S - 305-1, semanal </t>
  </si>
  <si>
    <t>segunda das 19:00 às 21:00, sala 410-1, quinzenal II</t>
  </si>
  <si>
    <t>DAEN2605SA</t>
  </si>
  <si>
    <t>EN2605</t>
  </si>
  <si>
    <t>Eletrônica Digital</t>
  </si>
  <si>
    <t>Eletrônica Digital A-diurno (Santo André)</t>
  </si>
  <si>
    <t xml:space="preserve">segunda das 10:00 às 12:00, sala L604, semanal , quarta das 08:00 às 10:00, sala L604, semanal </t>
  </si>
  <si>
    <t xml:space="preserve">sexta das 10:00 às 12:00, sala 405-1, semanal </t>
  </si>
  <si>
    <t>NAEN2605SA</t>
  </si>
  <si>
    <t>Eletrônica Digital A-Noturno (Santo André)</t>
  </si>
  <si>
    <t xml:space="preserve">segunda das 19:00 às 21:00, sala L604, semanal , quarta das 21:00 às 23:00, sala L604, semanal </t>
  </si>
  <si>
    <t xml:space="preserve">sexta das 19:00 às 21:00, sala 405-1, semanal </t>
  </si>
  <si>
    <t>DBEN2605SA</t>
  </si>
  <si>
    <t>Eletrônica Digital B-diurno (Santo André)</t>
  </si>
  <si>
    <t>segunda das 10:00 às 12:00, sala S - 305-1, semanal , quarta das 10:00 às 12:00, sala S - 305-1, semanal , sexta das 08:00 às 10:00, sala S - 305-1, quinzenal I</t>
  </si>
  <si>
    <t>sexta das 08:00 às 10:00, sala 410-1, quinzenal II</t>
  </si>
  <si>
    <t>NBEN2605SA</t>
  </si>
  <si>
    <t>Eletrônica Digital B-Noturno (Santo André)</t>
  </si>
  <si>
    <t>segunda das 21:00 às 23:00, sala S - 305-1, semanal , quarta das 21:00 às 23:00, sala S - 302-2, semanal , sexta das 19:00 às 21:00, sala S - 302-2, quinzenal I</t>
  </si>
  <si>
    <t>sexta das 19:00 às 21:00, sala 410-1, quinzenal II</t>
  </si>
  <si>
    <t>DAEN3535SB</t>
  </si>
  <si>
    <t>EN3535</t>
  </si>
  <si>
    <t>Empreendedorismo</t>
  </si>
  <si>
    <t>Empreendedorismo A-diurno (São Bernardo do Campo)</t>
  </si>
  <si>
    <t xml:space="preserve">terca das 14:00 às 16:00, sala A2-S202-SB, semanal , quinta das 14:00 às 16:00, sala A2-S202-SB, semanal </t>
  </si>
  <si>
    <t>NAEN3431SA</t>
  </si>
  <si>
    <t>EN3431</t>
  </si>
  <si>
    <t>Energia de Sistemas Solares Térmicos</t>
  </si>
  <si>
    <t>Energia de Sistemas Solares Térmicos A-Noturno (Santo André)</t>
  </si>
  <si>
    <t xml:space="preserve">sexta das 19:00 às 21:00, sala S - 301-2, semanal </t>
  </si>
  <si>
    <t>NAEN2425SA</t>
  </si>
  <si>
    <t>EN2425</t>
  </si>
  <si>
    <t>Energia, Meio Ambiente e Sociedade</t>
  </si>
  <si>
    <t>Energia, Meio Ambiente e Sociedade A-Noturno (Santo André)</t>
  </si>
  <si>
    <t xml:space="preserve">segunda das 21:00 às 23:00, sala S - 301-2, semanal , quarta das 19:00 às 21:00, sala S - 301-2, semanal </t>
  </si>
  <si>
    <t>NA1BC0207SB</t>
  </si>
  <si>
    <t>BC0207</t>
  </si>
  <si>
    <t>Energia: Origens, Conversão e Uso</t>
  </si>
  <si>
    <t>Energia: Origens, Conversão e Uso A1-Noturno (São Bernardo do Campo)</t>
  </si>
  <si>
    <t xml:space="preserve">segunda das 19:00 às 21:00, sala A2-S104-SB, semanal </t>
  </si>
  <si>
    <t>NA2BC0207SB</t>
  </si>
  <si>
    <t>Energia: Origens, Conversão e Uso A2-Noturno (São Bernardo do Campo)</t>
  </si>
  <si>
    <t xml:space="preserve">segunda das 19:00 às 21:00, sala A2-S103-SB, semanal </t>
  </si>
  <si>
    <t>NA3BC0207SB</t>
  </si>
  <si>
    <t>Energia: Origens, Conversão e Uso A3-Noturno (São Bernardo do Campo)</t>
  </si>
  <si>
    <t xml:space="preserve">segunda das 19:00 às 21:00, sala A2-S101-SB, semanal </t>
  </si>
  <si>
    <t>DABC0207SA</t>
  </si>
  <si>
    <t>Energia: Origens, Conversão e Uso A-diurno (Santo André)</t>
  </si>
  <si>
    <t xml:space="preserve">segunda das 14:00 às 16:00, sala S - 213-0, semanal </t>
  </si>
  <si>
    <t>DABC0207SB</t>
  </si>
  <si>
    <t>Energia: Origens, Conversão e Uso A-diurno (São Bernardo do Campo)</t>
  </si>
  <si>
    <t xml:space="preserve">segunda das 10:00 às 12:00, sala A2-S104-SB, semanal </t>
  </si>
  <si>
    <t>NB1BC0207SB</t>
  </si>
  <si>
    <t>Energia: Origens, Conversão e Uso B1-Noturno (São Bernardo do Campo)</t>
  </si>
  <si>
    <t>redistribuir alunos para  a turma do BCH - B2 noturno</t>
  </si>
  <si>
    <t xml:space="preserve">segunda das 21:00 às 23:00, sala A2-S101-SB, semanal </t>
  </si>
  <si>
    <t>NB2BC0207SB</t>
  </si>
  <si>
    <t>Energia: Origens, Conversão e Uso B2-Noturno (São Bernardo do Campo)</t>
  </si>
  <si>
    <t>Absorver o excedente da B1  Noturno do BC&amp;T</t>
  </si>
  <si>
    <t xml:space="preserve">segunda das 21:00 às 23:00, sala A2-S104-SB, semanal </t>
  </si>
  <si>
    <t>NAEN3477SA</t>
  </si>
  <si>
    <t>EN3477</t>
  </si>
  <si>
    <t>Engenharia de Biocombustíveis II</t>
  </si>
  <si>
    <t>Engenharia de Biocombustíveis II A-Noturno (Santo André)</t>
  </si>
  <si>
    <t xml:space="preserve">terca das 19:00 às 21:00, sala S - 307-2, semanal , quinta das 21:00 às 23:00, sala S - 307-2, semanal </t>
  </si>
  <si>
    <t>DAEN2328SA</t>
  </si>
  <si>
    <t>EN2328</t>
  </si>
  <si>
    <t>Engenharia de Reabilitação e Biofeedback</t>
  </si>
  <si>
    <t>Engenharia de Reabilitação e Biofeedback A-diurno (Santo André)</t>
  </si>
  <si>
    <t>terca das 10:00 às 12:00, sala S - 303-2, semanal , quinta das 08:00 às 10:00, sala S - 303-2, quinzenal II</t>
  </si>
  <si>
    <t>quinta das 08:00 às 10:00, sala 503-1, quinzenal I</t>
  </si>
  <si>
    <t>NAEN2328SA</t>
  </si>
  <si>
    <t>Engenharia de Reabilitação e Biofeedback A-Noturno (Santo André)</t>
  </si>
  <si>
    <t>terca das 19:00 às 21:00, sala S - 303-2, semanal , quinta das 21:00 às 23:00, sala S - 303-2, quinzenal II</t>
  </si>
  <si>
    <t>quinta das 21:00 às 23:00, sala 503-1, quinzenal I</t>
  </si>
  <si>
    <t>DABC1713SA</t>
  </si>
  <si>
    <t>BC1713</t>
  </si>
  <si>
    <t>Engenharia Econômica</t>
  </si>
  <si>
    <t>Engenharia Econômica A-diurno (Santo André)</t>
  </si>
  <si>
    <t xml:space="preserve">segunda das 10:00 às 13:00, sala S - 211-0, semanal </t>
  </si>
  <si>
    <t>DABC1713SB</t>
  </si>
  <si>
    <t>Engenharia Econômica A-diurno (São Bernardo do Campo)</t>
  </si>
  <si>
    <t xml:space="preserve">segunda das 10:00 às 13:00, sala A2-S301-SB, semanal </t>
  </si>
  <si>
    <t>NABC1713SA</t>
  </si>
  <si>
    <t>Engenharia Econômica A-Noturno (Santo André)</t>
  </si>
  <si>
    <t xml:space="preserve">quarta das 18:00 às 21:00, sala S - 212-0, semanal </t>
  </si>
  <si>
    <t>NAEN3524SB</t>
  </si>
  <si>
    <t>EN3524</t>
  </si>
  <si>
    <t>Engenharia Humana</t>
  </si>
  <si>
    <t>Engenharia Humana A-Noturno (São Bernardo do Campo)</t>
  </si>
  <si>
    <t xml:space="preserve">terca das 19:00 às 23:00, sala A2-S202-SB, semanal </t>
  </si>
  <si>
    <t>DAEN1002SA</t>
  </si>
  <si>
    <t>EN1002</t>
  </si>
  <si>
    <t>Engenharia Unificada I</t>
  </si>
  <si>
    <t>Engenharia Unificada I A-diurno (Santo André)</t>
  </si>
  <si>
    <t xml:space="preserve">terca das 10:00 às 13:00, sala 502-1, semanal </t>
  </si>
  <si>
    <t>NAEN1002SA</t>
  </si>
  <si>
    <t>Engenharia Unificada I A-Noturno (Santo André)</t>
  </si>
  <si>
    <t xml:space="preserve">quinta das 18:00 às 21:00, sala 502-1, semanal </t>
  </si>
  <si>
    <t>DBEN1002SA</t>
  </si>
  <si>
    <t>Engenharia Unificada I B-diurno (Santo André)</t>
  </si>
  <si>
    <t xml:space="preserve">terca das 14:00 às 17:00, sala 502-1, semanal </t>
  </si>
  <si>
    <t>DCEN1002SA</t>
  </si>
  <si>
    <t>Engenharia Unificada I C-diurno (Santo André)</t>
  </si>
  <si>
    <t xml:space="preserve">quinta das 10:00 às 13:00, sala 502-1, semanal </t>
  </si>
  <si>
    <t>DDEN1002SA</t>
  </si>
  <si>
    <t>Engenharia Unificada I D-diurno (Santo André)</t>
  </si>
  <si>
    <t xml:space="preserve">quinta das 14:00 às 17:00, sala 502-1, semanal </t>
  </si>
  <si>
    <t>DEEN1002SA</t>
  </si>
  <si>
    <t>Engenharia Unificada I E-diurno (Santo André)</t>
  </si>
  <si>
    <t xml:space="preserve">quinta das 14:00 às 17:00, sala 504-1, semanal </t>
  </si>
  <si>
    <t>NA1EN1004SA</t>
  </si>
  <si>
    <t>EN1004</t>
  </si>
  <si>
    <t>Engenharia Unificada II</t>
  </si>
  <si>
    <t>Engenharia Unificada II A1-Noturno (Santo André)</t>
  </si>
  <si>
    <t xml:space="preserve">quarta das 18:00 às 21:00, sala 406-2, semanal </t>
  </si>
  <si>
    <t>NA2EN1004SA</t>
  </si>
  <si>
    <t>Engenharia Unificada II A2-Noturno (Santo André)</t>
  </si>
  <si>
    <t xml:space="preserve">quarta das 18:00 às 21:00, sala 502-1, semanal </t>
  </si>
  <si>
    <t>DAEN1004SA</t>
  </si>
  <si>
    <t>Engenharia Unificada II A-diurno (Santo André)</t>
  </si>
  <si>
    <t xml:space="preserve">quarta das 10:00 às 13:00, sala 406-2, semanal </t>
  </si>
  <si>
    <t>NAEN1004SB</t>
  </si>
  <si>
    <t>Engenharia Unificada II A-Noturno (São Bernardo do Campo)</t>
  </si>
  <si>
    <t xml:space="preserve">quarta das 18:00 às 21:00, sala A1-L306-SB, semanal </t>
  </si>
  <si>
    <t>DBEN1004SA</t>
  </si>
  <si>
    <t>Engenharia Unificada II B-diurno (Santo André)</t>
  </si>
  <si>
    <t xml:space="preserve">quarta das 14:00 às 17:00, sala 406-2, semanal </t>
  </si>
  <si>
    <t>NBEN1004SA</t>
  </si>
  <si>
    <t>Engenharia Unificada II B-Noturno (Santo André)</t>
  </si>
  <si>
    <t xml:space="preserve">sexta das 18:00 às 21:00, sala 406-2, semanal </t>
  </si>
  <si>
    <t>DCEN1004SA</t>
  </si>
  <si>
    <t>Engenharia Unificada II C-diurno (Santo André)</t>
  </si>
  <si>
    <t xml:space="preserve">sexta das 10:00 às 13:00, sala 406-2, semanal </t>
  </si>
  <si>
    <t>DDEN1004SA</t>
  </si>
  <si>
    <t>Engenharia Unificada II D-diurno (Santo André)</t>
  </si>
  <si>
    <t xml:space="preserve">sexta das 14:00 às 17:00, sala 406-2, semanal </t>
  </si>
  <si>
    <t>NAEN3332SA</t>
  </si>
  <si>
    <t>EN3332</t>
  </si>
  <si>
    <t>Ergonomia</t>
  </si>
  <si>
    <t>Ergonomia A-Noturno (Santo André)</t>
  </si>
  <si>
    <t xml:space="preserve">segunda das 19:00 às 21:00, sala S - 008-0, semanal , quarta das 21:00 às 23:00, sala S - 008-0, semanal </t>
  </si>
  <si>
    <t>DABC1107SA</t>
  </si>
  <si>
    <t>BC1107</t>
  </si>
  <si>
    <t>Espectroscopia</t>
  </si>
  <si>
    <t>Espectroscopia A-diurno (Santo André)</t>
  </si>
  <si>
    <t xml:space="preserve">terca das 08:00 às 10:00, sala S - 303-3, semanal , quinta das 10:00 às 12:00, sala S - 303-3, semanal </t>
  </si>
  <si>
    <t xml:space="preserve">quinta das 08:00 às 10:00, sala 406-3, semanal </t>
  </si>
  <si>
    <t>NABC1107SA</t>
  </si>
  <si>
    <t>Espectroscopia A-Noturno (Santo André)</t>
  </si>
  <si>
    <t xml:space="preserve">terca das 19:00 às 21:00, sala S - 303-3, semanal , quinta das 21:00 às 23:00, sala S - 303-3, semanal </t>
  </si>
  <si>
    <t xml:space="preserve">quinta das 19:00 às 21:00, sala 406-3, semanal </t>
  </si>
  <si>
    <t>DAEN2232SA</t>
  </si>
  <si>
    <t>EN2232</t>
  </si>
  <si>
    <t>Estabilidade e Controle de Aeronaves</t>
  </si>
  <si>
    <t>Estabilidade e Controle de Aeronaves A-diurno (Santo André)</t>
  </si>
  <si>
    <t xml:space="preserve">terca das 14:00 às 16:00, sala S - 307-1, semanal , quinta das 16:00 às 18:00, sala S - 307-1, semanal </t>
  </si>
  <si>
    <t>DABH1123SB</t>
  </si>
  <si>
    <t>BH1123</t>
  </si>
  <si>
    <t>Estado e Desenvolvimento Econômico no Brasil Contemporâneo</t>
  </si>
  <si>
    <t>Estado e Desenvolvimento Econômico no Brasil Contemporâneo A-diurno (São Bernardo do Campo)</t>
  </si>
  <si>
    <t xml:space="preserve">terca das 10:00 às 12:00, sala A1-S205-SB, semanal , quinta das 08:00 às 10:00, sala A1-S205-SB, semanal </t>
  </si>
  <si>
    <t>NABH1123SB</t>
  </si>
  <si>
    <t>Estado e Desenvolvimento Econômico no Brasil Contemporâneo A-Noturno (São Bernardo do Campo)</t>
  </si>
  <si>
    <t>OK - AMPLIADO 90 / NOVA SALA A2-S101-SB</t>
  </si>
  <si>
    <t xml:space="preserve">terca das 21:00 às 23:00, sala A2-S308-SB, semanal , quinta das 19:00 às 21:00, sala A2-S308-SB, semanal </t>
  </si>
  <si>
    <t>DABH0101SB</t>
  </si>
  <si>
    <t>BH0101</t>
  </si>
  <si>
    <t>Estado e Relações de Poder</t>
  </si>
  <si>
    <t>Estado e Relações de Poder A-diurno (São Bernardo do Campo)</t>
  </si>
  <si>
    <t xml:space="preserve">terca das 08:00 às 10:00, sala B-A004-SB, semanal , quinta das 10:00 às 12:00, sala B-A004-SB, semanal </t>
  </si>
  <si>
    <t>NABH0101SB</t>
  </si>
  <si>
    <t>Estado e Relações de Poder A-Noturno (São Bernardo do Campo)</t>
  </si>
  <si>
    <t xml:space="preserve">terca das 19:00 às 21:00, sala B-A004-SB, semanal , quinta das 21:00 às 23:00, sala B-A004-SB, semanal </t>
  </si>
  <si>
    <t>DBBH0101SB</t>
  </si>
  <si>
    <t>Estado e Relações de Poder B-diurno (São Bernardo do Campo)</t>
  </si>
  <si>
    <t xml:space="preserve">terca das 10:00 às 12:00, sala A1-S204-SB, semanal , quinta das 08:00 às 10:00, sala A1-S204-SB, semanal </t>
  </si>
  <si>
    <t>NBBH0101SB</t>
  </si>
  <si>
    <t>Estado e Relações de Poder B-Noturno (São Bernardo do Campo)</t>
  </si>
  <si>
    <t xml:space="preserve">terca das 21:00 às 23:00, sala A1-S204-SB, semanal , quinta das 19:00 às 21:00, sala A1-S204-SB, semanal </t>
  </si>
  <si>
    <t>BACHARELADO EM FILOSOFIA</t>
  </si>
  <si>
    <t>DABH1214SB</t>
  </si>
  <si>
    <t>BH1214</t>
  </si>
  <si>
    <t>Estética: Perspectivas Contemporâneas</t>
  </si>
  <si>
    <t>Estética: Perspectivas Contemporâneas A-diurno (São Bernardo do Campo)</t>
  </si>
  <si>
    <t xml:space="preserve">terca das 08:00 às 12:00, sala A1-S101-SB, semanal </t>
  </si>
  <si>
    <t>NABH1214SB</t>
  </si>
  <si>
    <t>Estética: Perspectivas Contemporâneas A-Noturno (São Bernardo do Campo)</t>
  </si>
  <si>
    <t xml:space="preserve">quarta das 19:00 às 23:00, sala A1-S101-SB, semanal </t>
  </si>
  <si>
    <t>DA1BC0102SA</t>
  </si>
  <si>
    <t>BC0102</t>
  </si>
  <si>
    <t>Estrutura da Matéria</t>
  </si>
  <si>
    <t>Estrutura da Matéria A1-diurno (Santo André)</t>
  </si>
  <si>
    <t>terca das 08:00 às 10:00, sala S - 204-0, semanal , sexta das 08:00 às 10:00, sala S - 204-0, quinzenal II</t>
  </si>
  <si>
    <t>DA1BC0102SB</t>
  </si>
  <si>
    <t>Estrutura da Matéria A1-diurno (São Bernardo do Campo)</t>
  </si>
  <si>
    <t>terca das 08:00 às 10:00, sala A2-S102-SB, semanal , sexta das 08:00 às 10:00, sala A2-S102-SB, quinzenal II</t>
  </si>
  <si>
    <t>NA1BC0102SA</t>
  </si>
  <si>
    <t>Estrutura da Matéria A1-Noturno (Santo André)</t>
  </si>
  <si>
    <t>ALTERADO VAGAS DE INGRESSANTES PARA 90</t>
  </si>
  <si>
    <t>terca das 19:00 às 21:00, sala S - 204-0, semanal , sexta das 19:00 às 21:00, sala S - 204-0, quinzenal II</t>
  </si>
  <si>
    <t>NA1BC0102SB</t>
  </si>
  <si>
    <t>Estrutura da Matéria A1-Noturno (São Bernardo do Campo)</t>
  </si>
  <si>
    <t>terca das 19:00 às 21:00, sala A2-S201-SB, semanal , sexta das 19:00 às 21:00, sala A2-S201-SB, quinzenal II</t>
  </si>
  <si>
    <t>DA2BC0102SA</t>
  </si>
  <si>
    <t>Estrutura da Matéria A2-diurno (Santo André)</t>
  </si>
  <si>
    <t>terca das 08:00 às 10:00, sala S - 205-0, semanal , sexta das 08:00 às 10:00, sala S - 205-0, quinzenal II</t>
  </si>
  <si>
    <t>DA2BC0102SB</t>
  </si>
  <si>
    <t>Estrutura da Matéria A2-diurno (São Bernardo do Campo)</t>
  </si>
  <si>
    <t>terca das 08:00 às 10:00, sala A2-S105-SB, semanal , sexta das 08:00 às 10:00, sala A2-S105-SB, quinzenal II</t>
  </si>
  <si>
    <t>NA2BC0102SA</t>
  </si>
  <si>
    <t>Estrutura da Matéria A2-Noturno (Santo André)</t>
  </si>
  <si>
    <t>terca das 19:00 às 21:00, sala S - 205-0, semanal , sexta das 19:00 às 21:00, sala S - 205-0, quinzenal II</t>
  </si>
  <si>
    <t>NA2BC0102SB</t>
  </si>
  <si>
    <t>Estrutura da Matéria A2-Noturno (São Bernardo do Campo)</t>
  </si>
  <si>
    <t>terca das 19:00 às 21:00, sala A2-S105-SB, semanal , sexta das 19:00 às 21:00, sala A2-S105-SB, quinzenal II</t>
  </si>
  <si>
    <t>DA3BC0102SA</t>
  </si>
  <si>
    <t>Estrutura da Matéria A3-diurno (Santo André)</t>
  </si>
  <si>
    <t>terca das 08:00 às 10:00, sala S - 206-0, semanal , sexta das 08:00 às 10:00, sala S - 206-0, quinzenal II</t>
  </si>
  <si>
    <t>NA3BC0102SA</t>
  </si>
  <si>
    <t>Estrutura da Matéria A3-Noturno (Santo André)</t>
  </si>
  <si>
    <t>ALTERADO VAGAS DE INGRESSANTES PARA 89</t>
  </si>
  <si>
    <t>terca das 19:00 às 21:00, sala S - 206-0, semanal , sexta das 19:00 às 21:00, sala S - 206-0, quinzenal II</t>
  </si>
  <si>
    <t>DB1BC0102SA</t>
  </si>
  <si>
    <t>Estrutura da Matéria B1-diurno (Santo André)</t>
  </si>
  <si>
    <t>terca das 10:00 às 12:00, sala S - 208-0, semanal , sexta das 10:00 às 12:00, sala S - 208-0, quinzenal II</t>
  </si>
  <si>
    <t>NB1BC0102SA</t>
  </si>
  <si>
    <t>Estrutura da Matéria B1-Noturno (Santo André)</t>
  </si>
  <si>
    <t>terca das 21:00 às 23:00, sala S - 208-0, semanal , sexta das 21:00 às 23:00, sala S - 208-0, quinzenal II</t>
  </si>
  <si>
    <t>DB2BC0102SA</t>
  </si>
  <si>
    <t>Estrutura da Matéria B2-diurno (Santo André)</t>
  </si>
  <si>
    <t>terca das 10:00 às 12:00, sala S - 213-0, semanal , sexta das 10:00 às 12:00, sala S - 213-0, quinzenal II</t>
  </si>
  <si>
    <t>NB2BC0102SA</t>
  </si>
  <si>
    <t>Estrutura da Matéria B2-Noturno (Santo André)</t>
  </si>
  <si>
    <t>terca das 21:00 às 23:00, sala S - 213-0, semanal , sexta das 21:00 às 23:00, sala S - 213-0, quinzenal II</t>
  </si>
  <si>
    <t>DB3BC0102SA</t>
  </si>
  <si>
    <t>Estrutura da Matéria B3-diurno (Santo André)</t>
  </si>
  <si>
    <t>terca das 10:00 às 12:00, sala S - 214-0, semanal , sexta das 10:00 às 12:00, sala S - 214-0, quinzenal II</t>
  </si>
  <si>
    <t>NB3BC0102SA</t>
  </si>
  <si>
    <t>Estrutura da Matéria B3-Noturno (Santo André)</t>
  </si>
  <si>
    <t>terca das 21:00 às 23:00, sala S - 214-0, semanal , sexta das 21:00 às 23:00, sala S - 214-0, quinzenal II</t>
  </si>
  <si>
    <t>DBBC0102SB</t>
  </si>
  <si>
    <t>Estrutura da Matéria B-diurno (São Bernardo do Campo)</t>
  </si>
  <si>
    <t>terca das 10:00 às 12:00, sala A2-S101-SB, semanal , sexta das 10:00 às 12:00, sala A2-S101-SB, quinzenal II</t>
  </si>
  <si>
    <t>NBBC0102SB</t>
  </si>
  <si>
    <t>Estrutura da Matéria B-Noturno (São Bernardo do Campo)</t>
  </si>
  <si>
    <t>terca das 21:00 às 23:00, sala A2-S105-SB, semanal , sexta das 21:00 às 23:00, sala A2-S105-SB, quinzenal II</t>
  </si>
  <si>
    <t>DABC0602SA</t>
  </si>
  <si>
    <t>BC0602</t>
  </si>
  <si>
    <t>Estrutura e Dinâmica Social</t>
  </si>
  <si>
    <t>Estrutura e Dinâmica Social A-diurno (Santo André)</t>
  </si>
  <si>
    <t xml:space="preserve">segunda das 10:00 às 12:00, sala S - 302-3, quinzenal I, quarta das 08:00 às 10:00, sala S - 302-3, semanal </t>
  </si>
  <si>
    <t>DABC0602SB</t>
  </si>
  <si>
    <t>Estrutura e Dinâmica Social A-diurno (São Bernardo do Campo)</t>
  </si>
  <si>
    <t xml:space="preserve">segunda das 10:00 às 12:00, sala A2-S204-SB, quinzenal I, quarta das 08:00 às 10:00, sala A2-S204-SB, semanal </t>
  </si>
  <si>
    <t>NABC0602SA</t>
  </si>
  <si>
    <t>Estrutura e Dinâmica Social A-Noturno (Santo André)</t>
  </si>
  <si>
    <t xml:space="preserve">segunda das 21:00 às 23:00, sala S - 302-3, quinzenal I, quarta das 19:00 às 21:00, sala S - 302-3, semanal </t>
  </si>
  <si>
    <t>NABC0602SB</t>
  </si>
  <si>
    <t>Estrutura e Dinâmica Social A-Noturno (São Bernardo do Campo)</t>
  </si>
  <si>
    <t xml:space="preserve">segunda das 21:00 às 23:00, sala A2-S301-SB, quinzenal I, quarta das 19:00 às 21:00, sala A2-S301-SB, semanal </t>
  </si>
  <si>
    <t>DBBC0602SA</t>
  </si>
  <si>
    <t>Estrutura e Dinâmica Social B-diurno (Santo André)</t>
  </si>
  <si>
    <t xml:space="preserve">segunda das 08:00 às 10:00, sala S - 302-3, quinzenal I, quarta das 10:00 às 12:00, sala S - 302-3, semanal </t>
  </si>
  <si>
    <t>NBBC0602SA</t>
  </si>
  <si>
    <t>Estrutura e Dinâmica Social B-Noturno (Santo André)</t>
  </si>
  <si>
    <t xml:space="preserve">segunda das 19:00 às 21:00, sala S - 207-0, quinzenal I, quarta das 21:00 às 23:00, sala S - 207-0, semanal </t>
  </si>
  <si>
    <t>DABH1204SB</t>
  </si>
  <si>
    <t>BH1204</t>
  </si>
  <si>
    <t>Ética: perspectivas contemporâneas</t>
  </si>
  <si>
    <t>Ética: perspectivas contemporâneas A-diurno (São Bernardo do Campo)</t>
  </si>
  <si>
    <t xml:space="preserve">sexta das 14:00 às 18:00, sala A1-S101-SB, semanal </t>
  </si>
  <si>
    <t>NABH1204SB</t>
  </si>
  <si>
    <t>Ética: perspectivas contemporâneas A-Noturno (São Bernardo do Campo)</t>
  </si>
  <si>
    <t xml:space="preserve">quinta das 19:00 às 23:00, sala A1-S101-SB, semanal </t>
  </si>
  <si>
    <t>NANH2431SA</t>
  </si>
  <si>
    <t>NH2431</t>
  </si>
  <si>
    <t>Evolução da Fìsica</t>
  </si>
  <si>
    <t>Evolução da Fìsica A-Noturno (Santo André)</t>
  </si>
  <si>
    <t>OK - AMPLIADO 45</t>
  </si>
  <si>
    <t xml:space="preserve">quinta das 19:00 às 23:00, sala S - 308-3, semanal </t>
  </si>
  <si>
    <t>DANH5111SB</t>
  </si>
  <si>
    <t>NH5111</t>
  </si>
  <si>
    <t>Existencialismo</t>
  </si>
  <si>
    <t>Existencialismo A-diurno (São Bernardo do Campo)</t>
  </si>
  <si>
    <t xml:space="preserve">sexta das 08:00 às 12:00, sala A1-S103-SB, semanal </t>
  </si>
  <si>
    <t>DANH3109SA</t>
  </si>
  <si>
    <t>NH3109</t>
  </si>
  <si>
    <t>Experimentação e Ensino de Química</t>
  </si>
  <si>
    <t>Experimentação e Ensino de Química A-diurno (Santo André)</t>
  </si>
  <si>
    <t xml:space="preserve">terca das 15:00 às 18:00, sala L606, semanal </t>
  </si>
  <si>
    <t>NANH3109SA</t>
  </si>
  <si>
    <t>Experimentação e Ensino de Química A-Noturno (Santo André)</t>
  </si>
  <si>
    <t xml:space="preserve">terca das 19:00 às 22:00, sala L606, semanal </t>
  </si>
  <si>
    <t>DA1BC0209SA</t>
  </si>
  <si>
    <t>BC0209</t>
  </si>
  <si>
    <t>Fenômenos Eletromagnéticos</t>
  </si>
  <si>
    <t>Fenômenos Eletromagnéticos A1-diurno (Santo André)</t>
  </si>
  <si>
    <t xml:space="preserve">terca das 08:00 às 10:00, sala A - 101-0, semanal , quinta das 10:00 às 12:00, sala A - 101-0, semanal </t>
  </si>
  <si>
    <t>quinta das 08:00 às 10:00, sala L701, quinzenal I</t>
  </si>
  <si>
    <t>DA1BC0209SB</t>
  </si>
  <si>
    <t>Fenômenos Eletromagnéticos A1-diurno (São Bernardo do Campo)</t>
  </si>
  <si>
    <t xml:space="preserve">terca das 08:00 às 10:00, sala A2-S101-SB, semanal , quinta das 10:00 às 12:00, sala A2-S101-SB, semanal </t>
  </si>
  <si>
    <t>quinta das 08:00 às 10:00, sala A1-L303-SB, quinzenal I</t>
  </si>
  <si>
    <t>NA1BC0209SA</t>
  </si>
  <si>
    <t>Fenômenos Eletromagnéticos A1-Noturno (Santo André)</t>
  </si>
  <si>
    <t xml:space="preserve">terca das 19:00 às 21:00, sala A - 101-0, semanal , quinta das 21:00 às 23:00, sala A - 101-0, semanal </t>
  </si>
  <si>
    <t>quinta das 19:00 às 21:00, sala L701, quinzenal I</t>
  </si>
  <si>
    <t>NA1BC0209SB</t>
  </si>
  <si>
    <t>Fenômenos Eletromagnéticos A1-Noturno (São Bernardo do Campo)</t>
  </si>
  <si>
    <t xml:space="preserve">terca das 19:00 às 21:00, sala A2-S101-SB, semanal , quinta das 21:00 às 23:00, sala A2-S101-SB, semanal </t>
  </si>
  <si>
    <t>quinta das 19:00 às 21:00, sala A1-L303-SB, quinzenal I</t>
  </si>
  <si>
    <t>DA2BC0209SA</t>
  </si>
  <si>
    <t>Fenômenos Eletromagnéticos A2-diurno (Santo André)</t>
  </si>
  <si>
    <t>quinta das 08:00 às 10:00, sala L701, quinzenal II</t>
  </si>
  <si>
    <t>DA2BC0209SB</t>
  </si>
  <si>
    <t>Fenômenos Eletromagnéticos A2-diurno (São Bernardo do Campo)</t>
  </si>
  <si>
    <t>quinta das 08:00 às 10:00, sala A1-L303-SB, quinzenal II</t>
  </si>
  <si>
    <t>NA2BC0209SA</t>
  </si>
  <si>
    <t>Fenômenos Eletromagnéticos A2-Noturno (Santo André)</t>
  </si>
  <si>
    <t>quinta das 19:00 às 21:00, sala L701, quinzenal II</t>
  </si>
  <si>
    <t>NA2BC0209SB</t>
  </si>
  <si>
    <t>Fenômenos Eletromagnéticos A2-Noturno (São Bernardo do Campo)</t>
  </si>
  <si>
    <t>quinta das 19:00 às 21:00, sala A1-L303-SB, quinzenal II</t>
  </si>
  <si>
    <t>DA3BC0209SA</t>
  </si>
  <si>
    <t>Fenômenos Eletromagnéticos A3-diurno (Santo André)</t>
  </si>
  <si>
    <t>quinta das 08:00 às 10:00, sala L702, quinzenal I</t>
  </si>
  <si>
    <t>DA3BC0209SB</t>
  </si>
  <si>
    <t>Fenômenos Eletromagnéticos A3-diurno (São Bernardo do Campo)</t>
  </si>
  <si>
    <t>quinta das 08:00 às 10:00, sala A1-L304-SB, quinzenal I</t>
  </si>
  <si>
    <t>NA3BC0209SA</t>
  </si>
  <si>
    <t>Fenômenos Eletromagnéticos A3-Noturno (Santo André)</t>
  </si>
  <si>
    <t>quinta das 19:00 às 21:00, sala L702, quinzenal I</t>
  </si>
  <si>
    <t>NA3BC0209SB</t>
  </si>
  <si>
    <t>Fenômenos Eletromagnéticos A3-Noturno (São Bernardo do Campo)</t>
  </si>
  <si>
    <t>quinta das 19:00 às 21:00, sala A1-L304-SB, quinzenal I</t>
  </si>
  <si>
    <t>DA4BC0209SA</t>
  </si>
  <si>
    <t>Fenômenos Eletromagnéticos A4-diurno (Santo André)</t>
  </si>
  <si>
    <t xml:space="preserve">terca das 08:00 às 10:00, sala A - 102-0, semanal , quinta das 10:00 às 12:00, sala A - 102-0, semanal </t>
  </si>
  <si>
    <t>quinta das 08:00 às 10:00, sala L702, quinzenal II</t>
  </si>
  <si>
    <t>NA4BC0209SA</t>
  </si>
  <si>
    <t>Fenômenos Eletromagnéticos A4-Noturno (Santo André)</t>
  </si>
  <si>
    <t xml:space="preserve">terca das 19:00 às 21:00, sala A - 102-0, semanal , quinta das 21:00 às 23:00, sala A - 102-0, semanal </t>
  </si>
  <si>
    <t>quinta das 19:00 às 21:00, sala L702, quinzenal II</t>
  </si>
  <si>
    <t>DA5BC0209SA</t>
  </si>
  <si>
    <t>Fenômenos Eletromagnéticos A5-diurno (Santo André)</t>
  </si>
  <si>
    <t>quinta das 08:00 às 10:00, sala L705, quinzenal I</t>
  </si>
  <si>
    <t>NA5BC0209SA</t>
  </si>
  <si>
    <t>Fenômenos Eletromagnéticos A5-Noturno (Santo André)</t>
  </si>
  <si>
    <t>quinta das 19:00 às 21:00, sala L705, quinzenal I</t>
  </si>
  <si>
    <t>DA6BC0209SA</t>
  </si>
  <si>
    <t>Fenômenos Eletromagnéticos A6-diurno (Santo André)</t>
  </si>
  <si>
    <t>quinta das 08:00 às 10:00, sala L705, quinzenal II</t>
  </si>
  <si>
    <t>NA6BC0209SA</t>
  </si>
  <si>
    <t>Fenômenos Eletromagnéticos A6-Noturno (Santo André)</t>
  </si>
  <si>
    <t>quinta das 19:00 às 21:00, sala L705, quinzenal II</t>
  </si>
  <si>
    <t>DB1BC0209SA</t>
  </si>
  <si>
    <t>Fenômenos Eletromagnéticos B1-diurno (Santo André)</t>
  </si>
  <si>
    <t xml:space="preserve">terca das 10:00 às 12:00, sala A - 103-0, semanal , quinta das 08:00 às 10:00, sala A - 103-0, semanal </t>
  </si>
  <si>
    <t>quinta das 10:00 às 12:00, sala L701, quinzenal I</t>
  </si>
  <si>
    <t>DB1BC0209SB</t>
  </si>
  <si>
    <t>Fenômenos Eletromagnéticos B1-diurno (São Bernardo do Campo)</t>
  </si>
  <si>
    <t xml:space="preserve">terca das 10:00 às 12:00, sala A2-S102-SB, semanal , quinta das 08:00 às 10:00, sala A2-S102-SB, semanal </t>
  </si>
  <si>
    <t>quinta das 10:00 às 12:00, sala A1-L303-SB, quinzenal I</t>
  </si>
  <si>
    <t>NB1BC0209SA</t>
  </si>
  <si>
    <t>Fenômenos Eletromagnéticos B1-Noturno (Santo André)</t>
  </si>
  <si>
    <t xml:space="preserve">terca das 21:00 às 23:00, sala A - 103-0, semanal , quinta das 19:00 às 21:00, sala A - 103-0, semanal </t>
  </si>
  <si>
    <t>quinta das 21:00 às 23:00, sala L701, quinzenal I</t>
  </si>
  <si>
    <t>NB1BC0209SB</t>
  </si>
  <si>
    <t>Fenômenos Eletromagnéticos B1-Noturno (São Bernardo do Campo)</t>
  </si>
  <si>
    <t xml:space="preserve">terca das 21:00 às 23:00, sala A2-S102-SB, semanal , quinta das 19:00 às 21:00, sala A2-S102-SB, semanal </t>
  </si>
  <si>
    <t>quinta das 21:00 às 23:00, sala A1-L303-SB, quinzenal I</t>
  </si>
  <si>
    <t>DB2BC0209SA</t>
  </si>
  <si>
    <t>Fenômenos Eletromagnéticos B2-diurno (Santo André)</t>
  </si>
  <si>
    <t>quinta das 10:00 às 12:00, sala L701, quinzenal II</t>
  </si>
  <si>
    <t>DB2BC0209SB</t>
  </si>
  <si>
    <t>Fenômenos Eletromagnéticos B2-diurno (São Bernardo do Campo)</t>
  </si>
  <si>
    <t>OK - TURMA CANCELADA - cortar - nãso é possivel a transferêcnia devido quinzenalidade</t>
  </si>
  <si>
    <t>quinta das 10:00 às 12:00, sala A1-L303-SB, quinzenal II</t>
  </si>
  <si>
    <t>NB2BC0209SA</t>
  </si>
  <si>
    <t>Fenômenos Eletromagnéticos B2-Noturno (Santo André)</t>
  </si>
  <si>
    <t>quinta das 21:00 às 23:00, sala L701, quinzenal II</t>
  </si>
  <si>
    <t>NB2BC0209SB</t>
  </si>
  <si>
    <t>Fenômenos Eletromagnéticos B2-Noturno (São Bernardo do Campo)</t>
  </si>
  <si>
    <t>quinta das 21:00 às 23:00, sala A1-L303-SB, quinzenal II</t>
  </si>
  <si>
    <t>DB3BC0209SA</t>
  </si>
  <si>
    <t>Fenômenos Eletromagnéticos B3-diurno (Santo André)</t>
  </si>
  <si>
    <t>quinta das 10:00 às 12:00, sala L702, quinzenal I</t>
  </si>
  <si>
    <t>DB3BC0209SB</t>
  </si>
  <si>
    <t>Fenômenos Eletromagnéticos B3-diurno (São Bernardo do Campo)</t>
  </si>
  <si>
    <t>quinta das 10:00 às 12:00, sala A1-L304-SB, quinzenal I</t>
  </si>
  <si>
    <t>NB3BC0209SA</t>
  </si>
  <si>
    <t>Fenômenos Eletromagnéticos B3-Noturno (Santo André)</t>
  </si>
  <si>
    <t>quinta das 21:00 às 23:00, sala L702, quinzenal I</t>
  </si>
  <si>
    <t>NB3BC0209SB</t>
  </si>
  <si>
    <t>Fenômenos Eletromagnéticos B3-Noturno (São Bernardo do Campo)</t>
  </si>
  <si>
    <t>quinta das 21:00 às 23:00, sala A1-L304-SB, quinzenal I</t>
  </si>
  <si>
    <t>DB4BC0209SA</t>
  </si>
  <si>
    <t>Fenômenos Eletromagnéticos B4-diurno (Santo André)</t>
  </si>
  <si>
    <t xml:space="preserve">terca das 10:00 às 12:00, sala A - 104-0, semanal , quinta das 08:00 às 10:00, sala A - 104-0, semanal </t>
  </si>
  <si>
    <t>quinta das 10:00 às 12:00, sala L702, quinzenal II</t>
  </si>
  <si>
    <t>NB4BC0209SA</t>
  </si>
  <si>
    <t>Fenômenos Eletromagnéticos B4-Noturno (Santo André)</t>
  </si>
  <si>
    <t xml:space="preserve">terca das 21:00 às 23:00, sala A - 104-0, semanal , quinta das 19:00 às 21:00, sala A - 104-0, semanal </t>
  </si>
  <si>
    <t>quinta das 21:00 às 23:00, sala L702, quinzenal II</t>
  </si>
  <si>
    <t>DB5BC0209SA</t>
  </si>
  <si>
    <t>Fenômenos Eletromagnéticos B5-diurno (Santo André)</t>
  </si>
  <si>
    <t>quinta das 10:00 às 12:00, sala L705, quinzenal I</t>
  </si>
  <si>
    <t>NB5BC0209SA</t>
  </si>
  <si>
    <t>Fenômenos Eletromagnéticos B5-Noturno (Santo André)</t>
  </si>
  <si>
    <t>quinta das 21:00 às 23:00, sala L705, quinzenal I</t>
  </si>
  <si>
    <t>DB6BC0209SA</t>
  </si>
  <si>
    <t>Fenômenos Eletromagnéticos B6-diurno (Santo André)</t>
  </si>
  <si>
    <t>quinta das 10:00 às 12:00, sala L705, quinzenal II</t>
  </si>
  <si>
    <t>NB6BC0209SA</t>
  </si>
  <si>
    <t>Fenômenos Eletromagnéticos B6-Noturno (Santo André)</t>
  </si>
  <si>
    <t>quinta das 21:00 às 23:00, sala L705, quinzenal II</t>
  </si>
  <si>
    <t>NS10BC0209SA</t>
  </si>
  <si>
    <t>Fenômenos Eletromagnéticos S10-Noturno (Santo André)</t>
  </si>
  <si>
    <t xml:space="preserve">terca das 21:00 às 23:00, sala S - 305-3, semanal </t>
  </si>
  <si>
    <t>NS11BC0209SA</t>
  </si>
  <si>
    <t>Fenômenos Eletromagnéticos S11-Noturno (Santo André)</t>
  </si>
  <si>
    <t>NS12BC0209SA</t>
  </si>
  <si>
    <t>Fenômenos Eletromagnéticos S12-Noturno (Santo André)</t>
  </si>
  <si>
    <t>DS1BC0209SA</t>
  </si>
  <si>
    <t>Fenômenos Eletromagnéticos S1-diurno (Santo André)</t>
  </si>
  <si>
    <t xml:space="preserve">terca das 08:00 às 10:00, sala S - 305-3, semanal </t>
  </si>
  <si>
    <t>DS1BC0209SB</t>
  </si>
  <si>
    <t>Fenômenos Eletromagnéticos S1-diurno (São Bernardo do Campo)</t>
  </si>
  <si>
    <t>OK - TURMA CANCELADA - cortar</t>
  </si>
  <si>
    <t xml:space="preserve">terca das 08:00 às 10:00, sala S009, semanal </t>
  </si>
  <si>
    <t>DS2BC0209SA</t>
  </si>
  <si>
    <t>Fenômenos Eletromagnéticos S2-diurno (Santo André)</t>
  </si>
  <si>
    <t>DS2BC0209SB</t>
  </si>
  <si>
    <t>Fenômenos Eletromagnéticos S2-diurno (São Bernardo do Campo)</t>
  </si>
  <si>
    <t>DS3BC0209SA</t>
  </si>
  <si>
    <t>Fenômenos Eletromagnéticos S3-diurno (Santo André)</t>
  </si>
  <si>
    <t>NS3BC0209SB</t>
  </si>
  <si>
    <t>Fenômenos Eletromagnéticos S3-Noturno (São Bernardo do Campo)</t>
  </si>
  <si>
    <t xml:space="preserve">terca das 19:00 às 21:00, sala S009, semanal </t>
  </si>
  <si>
    <t>DS4BC0209SA</t>
  </si>
  <si>
    <t>Fenômenos Eletromagnéticos S4-diurno (Santo André)</t>
  </si>
  <si>
    <t xml:space="preserve">terca das 10:00 às 12:00, sala S - 305-3, semanal </t>
  </si>
  <si>
    <t>NS4BC0209SB</t>
  </si>
  <si>
    <t>Fenômenos Eletromagnéticos S4-Noturno (São Bernardo do Campo)</t>
  </si>
  <si>
    <t>DS5BC0209SA</t>
  </si>
  <si>
    <t>Fenômenos Eletromagnéticos S5-diurno (Santo André)</t>
  </si>
  <si>
    <t>DS6BC0209SA</t>
  </si>
  <si>
    <t>Fenômenos Eletromagnéticos S6-diurno (Santo André)</t>
  </si>
  <si>
    <t>NS7BC0209SA</t>
  </si>
  <si>
    <t>Fenômenos Eletromagnéticos S7-Noturno (Santo André)</t>
  </si>
  <si>
    <t xml:space="preserve">terca das 19:00 às 21:00, sala S - 305-3, semanal </t>
  </si>
  <si>
    <t>NS8BC0209SA</t>
  </si>
  <si>
    <t>Fenômenos Eletromagnéticos S8-Noturno (Santo André)</t>
  </si>
  <si>
    <t>NS9BC0209SA</t>
  </si>
  <si>
    <t>Fenômenos Eletromagnéticos S9-Noturno (Santo André)</t>
  </si>
  <si>
    <t>DABH1206SB</t>
  </si>
  <si>
    <t>BH1206</t>
  </si>
  <si>
    <t>Filosofia da Linguagem</t>
  </si>
  <si>
    <t>Filosofia da Linguagem A-diurno (São Bernardo do Campo)</t>
  </si>
  <si>
    <t xml:space="preserve">quinta das 08:00 às 12:00, sala A1-S103-SB, semanal </t>
  </si>
  <si>
    <t>NABH1206SB</t>
  </si>
  <si>
    <t>Filosofia da Linguagem A-Noturno (São Bernardo do Campo)</t>
  </si>
  <si>
    <t xml:space="preserve">terca das 19:00 às 23:00, sala A1-S103-SB, semanal </t>
  </si>
  <si>
    <t>DANH5121SB</t>
  </si>
  <si>
    <t>NH5121</t>
  </si>
  <si>
    <t>Filosofia da Mente</t>
  </si>
  <si>
    <t>Filosofia da Mente A-diurno (São Bernardo do Campo)</t>
  </si>
  <si>
    <t>ampliado - nova sala A2-S203-SB</t>
  </si>
  <si>
    <t xml:space="preserve">quarta das 14:00 às 18:00, sala A1-S102-SB, semanal </t>
  </si>
  <si>
    <t>NANH5121SB</t>
  </si>
  <si>
    <t>Filosofia da Mente A-Noturno (São Bernardo do Campo)</t>
  </si>
  <si>
    <t xml:space="preserve">terca das 19:00 às 23:00, sala A1-S102-SB, semanal </t>
  </si>
  <si>
    <t>DABH1221SB</t>
  </si>
  <si>
    <t>BH1221</t>
  </si>
  <si>
    <t>Filosofia do Ensino de Filosofia</t>
  </si>
  <si>
    <t>Filosofia do Ensino de Filosofia A-diurno (São Bernardo do Campo)</t>
  </si>
  <si>
    <t xml:space="preserve">terca das 08:00 às 12:00, sala A1-S102-SB, semanal </t>
  </si>
  <si>
    <t>NABH1221SB</t>
  </si>
  <si>
    <t>Filosofia do Ensino de Filosofia A-Noturno (São Bernardo do Campo)</t>
  </si>
  <si>
    <t xml:space="preserve">quinta das 19:00 às 23:00, sala A1-S102-SB, semanal </t>
  </si>
  <si>
    <t>DABH1216SB</t>
  </si>
  <si>
    <t>BH1216</t>
  </si>
  <si>
    <t>Filosofia no Brasil e na América Latina</t>
  </si>
  <si>
    <t>Filosofia no Brasil e na América Latina A-diurno (São Bernardo do Campo)</t>
  </si>
  <si>
    <t xml:space="preserve">quarta das 08:00 às 12:00, sala A1-S101-SB, semanal </t>
  </si>
  <si>
    <t>NABH1216SB</t>
  </si>
  <si>
    <t>Filosofia no Brasil e na América Latina A-Noturno (São Bernardo do Campo)</t>
  </si>
  <si>
    <t xml:space="preserve">segunda das 19:00 às 23:00, sala A1-S101-SB, semanal </t>
  </si>
  <si>
    <t>DABH1208SB</t>
  </si>
  <si>
    <t>BH1208</t>
  </si>
  <si>
    <t>Filosofia Política: perspectivas contemporâneas</t>
  </si>
  <si>
    <t>Filosofia Política: perspectivas contemporâneas A-diurno (São Bernardo do Campo)</t>
  </si>
  <si>
    <t xml:space="preserve">terca das 08:00 às 12:00, sala A1-S103-SB, semanal </t>
  </si>
  <si>
    <t>NABH1208SB</t>
  </si>
  <si>
    <t>Filosofia Política: perspectivas contemporâneas A-Noturno (São Bernardo do Campo)</t>
  </si>
  <si>
    <t xml:space="preserve">segunda das 19:00 às 23:00, sala A1-S103-SB, semanal </t>
  </si>
  <si>
    <t>DABH1138SB</t>
  </si>
  <si>
    <t>BH1138</t>
  </si>
  <si>
    <t>Finanças Corporativas</t>
  </si>
  <si>
    <t>Finanças Corporativas A-diurno (São Bernardo do Campo)</t>
  </si>
  <si>
    <t xml:space="preserve">quarta das 08:00 às 12:00, sala A2-S203-SB, semanal </t>
  </si>
  <si>
    <t>NABH1138SB</t>
  </si>
  <si>
    <t>Finanças Corporativas A-Noturno (São Bernardo do Campo)</t>
  </si>
  <si>
    <t xml:space="preserve">quarta das 19:00 às 23:00, sala A2-S106-SB, semanal </t>
  </si>
  <si>
    <t>DACS3205SB</t>
  </si>
  <si>
    <t>CS3205</t>
  </si>
  <si>
    <t>Finanças I (Apreçamento de Ativos)</t>
  </si>
  <si>
    <t>Finanças I (Apreçamento de Ativos) A-diurno (São Bernardo do Campo)</t>
  </si>
  <si>
    <t xml:space="preserve">segunda das 08:00 às 10:00, sala A2-S203-SB, semanal , terca das 10:00 às 12:00, sala A2-S203-SB, semanal </t>
  </si>
  <si>
    <t>NACS3205SB</t>
  </si>
  <si>
    <t>Finanças I (Apreçamento de Ativos) A-Noturno (São Bernardo do Campo)</t>
  </si>
  <si>
    <t xml:space="preserve">segunda das 19:00 às 21:00, sala A1-S201-SB, semanal , terca das 21:00 às 23:00, sala A1-S201-SB, semanal </t>
  </si>
  <si>
    <t>DANH2043SA</t>
  </si>
  <si>
    <t>NH2043</t>
  </si>
  <si>
    <t>Física Computacional</t>
  </si>
  <si>
    <t>Física Computacional A-diurno (Santo André)</t>
  </si>
  <si>
    <t xml:space="preserve">terca das 14:00 às 16:00, sala 404-2, semanal , quinta das 16:00 às 18:00, sala 404-2, semanal </t>
  </si>
  <si>
    <t>DANH2231SA</t>
  </si>
  <si>
    <t>NH2231</t>
  </si>
  <si>
    <t>Física de Semicondutores</t>
  </si>
  <si>
    <t>Física de Semicondutores A-diurno (Santo André)</t>
  </si>
  <si>
    <t>segunda das 16:00 às 18:00, sala S - 309-3, semanal , quarta das 14:00 às 16:00, sala S - 309-3, quinzenal I</t>
  </si>
  <si>
    <t>quarta das 14:00 às 16:00, sala 401-3, quinzenal II</t>
  </si>
  <si>
    <t>DABC1319SA</t>
  </si>
  <si>
    <t>BC1319</t>
  </si>
  <si>
    <t>Física do Contínuo</t>
  </si>
  <si>
    <t>Física do Contínuo A-diurno (Santo André)</t>
  </si>
  <si>
    <t>segunda das 08:00 às 10:00, sala S - 309-3, semanal , quarta das 10:00 às 12:00, sala S - 309-3, quinzenal I</t>
  </si>
  <si>
    <t>quarta das 10:00 às 12:00, sala 403-3, quinzenal II</t>
  </si>
  <si>
    <t>NABC1319SA</t>
  </si>
  <si>
    <t>Física do Contínuo A-Noturno (Santo André)</t>
  </si>
  <si>
    <t xml:space="preserve">Disciplina conta com laboratório, não pode ter o número de vagas aumentada. </t>
  </si>
  <si>
    <t>segunda das 21:00 às 23:00, sala S - 309-3, semanal , quarta das 19:00 às 21:00, sala S - 309-3, quinzenal I</t>
  </si>
  <si>
    <t>quarta das 19:00 às 21:00, sala 403-3, quinzenal II</t>
  </si>
  <si>
    <t>DANH4198SA</t>
  </si>
  <si>
    <t>NH4198</t>
  </si>
  <si>
    <t>Física Térmica</t>
  </si>
  <si>
    <t>Física Térmica A-diurno (Santo André)</t>
  </si>
  <si>
    <t xml:space="preserve">segunda das 10:00 às 12:00, sala S - 307-3, semanal , quarta das 08:00 às 10:00, sala S - 307-3, semanal </t>
  </si>
  <si>
    <t>NANH4198SA</t>
  </si>
  <si>
    <t>Física Térmica A-Noturno (Santo André)</t>
  </si>
  <si>
    <t xml:space="preserve">segunda das 21:00 às 23:00, sala S - 309-2, semanal , quarta das 21:00 às 23:00, sala S - 309-2, semanal </t>
  </si>
  <si>
    <t>DANH3004SA</t>
  </si>
  <si>
    <t>NH3004</t>
  </si>
  <si>
    <t>Físico-Química Experimental</t>
  </si>
  <si>
    <t>Físico-Química Experimental A-diurno (Santo André)</t>
  </si>
  <si>
    <t xml:space="preserve">quarta das 08:00 às 12:00, sala 408-3, semanal , sabado das 08:00 às 10:00, sala 408-3, semanal </t>
  </si>
  <si>
    <t>NANH3004SA</t>
  </si>
  <si>
    <t>Físico-Química Experimental A-Noturno (Santo André)</t>
  </si>
  <si>
    <t xml:space="preserve">quarta das 19:00 às 23:00, sala 408-3, semanal , sabado das 10:00 às 12:00, sala 408-3, semanal </t>
  </si>
  <si>
    <t>DAEN2420SA</t>
  </si>
  <si>
    <t>EN2420</t>
  </si>
  <si>
    <t>Fontes Não-Renováveis de Energia</t>
  </si>
  <si>
    <t>Fontes Não-Renováveis de Energia A-diurno (Santo André)</t>
  </si>
  <si>
    <t xml:space="preserve">segunda das 08:00 às 10:00, sala S - 301-2, semanal , quarta das 10:00 às 12:00, sala S - 301-2, semanal </t>
  </si>
  <si>
    <t>DACS4112SB</t>
  </si>
  <si>
    <t>CS4113</t>
  </si>
  <si>
    <t>Formação das Políticas Educacionais no Brasil</t>
  </si>
  <si>
    <t>Formação das Políticas Educacionais no Brasil A-diurno (São Bernardo do Campo)</t>
  </si>
  <si>
    <t>turma nova</t>
  </si>
  <si>
    <t xml:space="preserve">terça das 14:00 às 18:00, semanal </t>
  </si>
  <si>
    <t>NACS4112SB</t>
  </si>
  <si>
    <t>CS4112</t>
  </si>
  <si>
    <t>Formação das Políticas Educacionais no Brasil A-Noturno (São Bernardo do Campo)</t>
  </si>
  <si>
    <t>OK - TURMA ABERTA, 40 VAGAS / Quarta das 14:00 às 18:00 - SALA A2-S304-SB</t>
  </si>
  <si>
    <t xml:space="preserve">quarta das 19:00 às 23:00, sala A2-S304-SB, semanal </t>
  </si>
  <si>
    <t>DABH1332SB</t>
  </si>
  <si>
    <t>BH1332</t>
  </si>
  <si>
    <t>Formação Histórica da América Latina</t>
  </si>
  <si>
    <t>Formação Histórica da América Latina A-diurno (São Bernardo do Campo)</t>
  </si>
  <si>
    <t xml:space="preserve">segunda das 08:00 às 10:00, sala A2-S308-SB, semanal , quarta das 10:00 às 12:00, sala A2-S308-SB, semanal </t>
  </si>
  <si>
    <t>NABH1332SB</t>
  </si>
  <si>
    <t>Formação Histórica da América Latina A-Noturno (São Bernardo do Campo)</t>
  </si>
  <si>
    <t xml:space="preserve">segunda das 19:00 às 21:00, sala A2-S308-SB, semanal , quarta das 21:00 às 23:00, sala A2-S308-SB, semanal </t>
  </si>
  <si>
    <t>DABC1417SA</t>
  </si>
  <si>
    <t>BC1417</t>
  </si>
  <si>
    <t>Funções Complexas e Transformadas Integrais</t>
  </si>
  <si>
    <t>Funções Complexas e Transformadas Integrais A-diurno (Santo André)</t>
  </si>
  <si>
    <t xml:space="preserve">terca das 08:00 às 10:00, sala S - 310-3, semanal , sexta das 10:00 às 12:00, sala S - 310-3, semanal </t>
  </si>
  <si>
    <t>NABC1417SA</t>
  </si>
  <si>
    <t>Funções Complexas e Transformadas Integrais A-Noturno (Santo André)</t>
  </si>
  <si>
    <t xml:space="preserve">terca das 21:00 às 23:00, sala S - 310-3, semanal , sexta das 19:00 às 21:00, sala S - 310-3, semanal </t>
  </si>
  <si>
    <t>DABC0402SA</t>
  </si>
  <si>
    <t>BC0402</t>
  </si>
  <si>
    <t>Funções de Uma Variável</t>
  </si>
  <si>
    <t>Funções de Uma Variável A-diurno (Santo André)</t>
  </si>
  <si>
    <t xml:space="preserve">quarta das 14:00 às 16:00, sala A - 106-0, semanal , sexta das 16:00 às 18:00, sala A - 106-0, semanal </t>
  </si>
  <si>
    <t>DABC0402SB</t>
  </si>
  <si>
    <t>Funções de Uma Variável A-diurno (São Bernardo do Campo)</t>
  </si>
  <si>
    <t xml:space="preserve">quarta das 14:00 às 16:00, sala A1-S201-SB, semanal , sexta das 16:00 às 18:00, sala A1-S201-SB, semanal </t>
  </si>
  <si>
    <t>NABC0402SA</t>
  </si>
  <si>
    <t>Funções de Uma Variável A-Noturno (Santo André)</t>
  </si>
  <si>
    <t xml:space="preserve">quarta das 19:00 às 21:00, sala A - 106-0, semanal , sexta das 21:00 às 23:00, sala A - 106-0, semanal </t>
  </si>
  <si>
    <t>NABC0402SB</t>
  </si>
  <si>
    <t>Funções de Uma Variável A-Noturno (São Bernardo do Campo)</t>
  </si>
  <si>
    <t xml:space="preserve">quarta das 19:00 às 21:00, sala A1-S201-SB, semanal , sexta das 21:00 às 23:00, sala A1-S201-SB, semanal </t>
  </si>
  <si>
    <t>DABC0407SA</t>
  </si>
  <si>
    <t>BC0407</t>
  </si>
  <si>
    <t>Funções de Várias Variáveis</t>
  </si>
  <si>
    <t>Funções de Várias Variáveis A-diurno (Santo André)</t>
  </si>
  <si>
    <t>ok - ampliado 121 - vagas - sala  211-0</t>
  </si>
  <si>
    <t xml:space="preserve">quarta das 14:00 às 16:00, sala A - 107-0, semanal , sexta das 16:00 às 18:00, sala A - 107-0, semanal </t>
  </si>
  <si>
    <t>DABC0407SB</t>
  </si>
  <si>
    <t>Funções de Várias Variáveis A-diurno (São Bernardo do Campo)</t>
  </si>
  <si>
    <t xml:space="preserve">quarta das 14:00 às 16:00, sala A1-S202-SB, semanal , sexta das 16:00 às 18:00, sala A1-S202-SB, semanal </t>
  </si>
  <si>
    <t>NABC0407SA</t>
  </si>
  <si>
    <t>Funções de Várias Variáveis A-Noturno (Santo André)</t>
  </si>
  <si>
    <t xml:space="preserve">quarta das 19:00 às 21:00, sala A - 107-0, semanal , sexta das 21:00 às 23:00, sala A - 107-0, semanal </t>
  </si>
  <si>
    <t>NABC0407SB</t>
  </si>
  <si>
    <t>Funções de Várias Variáveis A-Noturno (São Bernardo do Campo)</t>
  </si>
  <si>
    <t xml:space="preserve">quarta das 19:00 às 21:00, sala A2-S201-SB, semanal , sexta das 21:00 às 23:00, sala A2-S201-SB, semanal </t>
  </si>
  <si>
    <t>NB1BC0407SB</t>
  </si>
  <si>
    <t>Funções de Várias Variáveis B1-Noturno (São Bernardo do Campo)</t>
  </si>
  <si>
    <t xml:space="preserve">quarta das 21:00 às 23:00, semanal , sexta das 19:00 às 21:00, semanal </t>
  </si>
  <si>
    <t>NBBC0407SA</t>
  </si>
  <si>
    <t>Funções de Várias Variáveis B-Noturno (Santo André)</t>
  </si>
  <si>
    <t>ok ampliado para 126 vagas - sala S 212</t>
  </si>
  <si>
    <t xml:space="preserve">quarta das 21:00 às 23:00, sala A - 106-0, semanal , sexta das 19:00 às 21:00, sala A - 106-0, semanal </t>
  </si>
  <si>
    <t>NBBC0407SB</t>
  </si>
  <si>
    <t>Funções de Várias Variáveis B-Noturno (São Bernardo do Campo)</t>
  </si>
  <si>
    <t>OK - turma aberta com 60 vagas - transferir 59 alunos para B1</t>
  </si>
  <si>
    <t xml:space="preserve">quarta das 21:00 às 23:00, sala A2-S102-SB, semanal , sexta das 19:00 às 21:00, sala A2-S102-SB, semanal </t>
  </si>
  <si>
    <t>DANH3601SA</t>
  </si>
  <si>
    <t>NH3601</t>
  </si>
  <si>
    <t>Funções e Reações Orgânicas</t>
  </si>
  <si>
    <t>Funções e Reações Orgânicas A-diurno (Santo André)</t>
  </si>
  <si>
    <t xml:space="preserve">terca das 10:00 às 12:00, sala S - 006-0, semanal , quinta das 08:00 às 10:00, sala S - 006-0, semanal </t>
  </si>
  <si>
    <t>NANH3601SA</t>
  </si>
  <si>
    <t>Funções e Reações Orgânicas A-Noturno (Santo André)</t>
  </si>
  <si>
    <t xml:space="preserve">terca das 21:00 às 23:00, sala S - 006-0, semanal , quinta das 19:00 às 21:00, sala S - 006-0, semanal </t>
  </si>
  <si>
    <t>DANH2801SA</t>
  </si>
  <si>
    <t>NH2801</t>
  </si>
  <si>
    <t>Fundamentos da Eletrostática</t>
  </si>
  <si>
    <t>Fundamentos da Eletrostática A-diurno (Santo André)</t>
  </si>
  <si>
    <t xml:space="preserve">terca das 10:00 às 12:00, sala S - 310-3, semanal , quinta das 08:00 às 10:00, sala S - 310-3, semanal </t>
  </si>
  <si>
    <t>NANH2801SA</t>
  </si>
  <si>
    <t>Fundamentos da Eletrostática A-Noturno (Santo André)</t>
  </si>
  <si>
    <t xml:space="preserve">terca das 19:00 às 21:00, sala S - 310-3, semanal , quinta das 21:00 às 23:00, sala S - 310-3, semanal </t>
  </si>
  <si>
    <t>DANH2133SA</t>
  </si>
  <si>
    <t>NH2133</t>
  </si>
  <si>
    <t>Fundamentos da Relatividade Geral</t>
  </si>
  <si>
    <t>Fundamentos da Relatividade Geral A-diurno (Santo André)</t>
  </si>
  <si>
    <t xml:space="preserve">quarta das 16:00 às 18:00, sala S - 309-3, semanal , sexta das 16:00 às 18:00, sala S - 309-3, semanal </t>
  </si>
  <si>
    <t>DAMC8102SA</t>
  </si>
  <si>
    <t>Fundamentos de Álgebra</t>
  </si>
  <si>
    <t>Fundamentos de Álgebra A-diurno (Santo André)</t>
  </si>
  <si>
    <t xml:space="preserve">segunda das 08:00 às 10:00, sala A - 110-0, semanal , quarta das 10:00 às 12:00, sala A - 110-0, semanal </t>
  </si>
  <si>
    <t>NAMC8102SA</t>
  </si>
  <si>
    <t>MC8102</t>
  </si>
  <si>
    <t>Fundamentos de Álgebra A-Noturno (Santo André)</t>
  </si>
  <si>
    <t xml:space="preserve">segunda das 19:00 às 21:00, sala A - 110-0, semanal , quarta das 21:00 às 23:00, sala A - 110-0, semanal </t>
  </si>
  <si>
    <t>DAESZE067-14SA</t>
  </si>
  <si>
    <t>ESZE067-14</t>
  </si>
  <si>
    <t>Fundamentos de Conversão de Energia Elétrica</t>
  </si>
  <si>
    <t>Fundamentos de Conversão de Energia Elétrica A-diurno (Santo André)</t>
  </si>
  <si>
    <t xml:space="preserve">segunda das 17:00 às 19:00, sala S - 308-1, semanal , quarta das 17:00 às 19:00, sala S - 308-1, semanal </t>
  </si>
  <si>
    <t>DABC1416SA</t>
  </si>
  <si>
    <t>BC1416</t>
  </si>
  <si>
    <t>Fundamentos de Desenho e Projeto</t>
  </si>
  <si>
    <t>Fundamentos de Desenho e Projeto A-diurno (Santo André)</t>
  </si>
  <si>
    <t>terca das 08:00 às 10:00, sala S - 309-1, quinzenal II, quinta das 10:00 às 12:00, sala S - 309-1, quinzenal II</t>
  </si>
  <si>
    <t>terca das 08:00 às 10:00, sala 404-2, quinzenal I, quinta das 10:00 às 12:00, sala L502, quinzenal I</t>
  </si>
  <si>
    <t>DABC1416SB</t>
  </si>
  <si>
    <t>Fundamentos de Desenho e Projeto A-diurno (São Bernardo do Campo)</t>
  </si>
  <si>
    <t>terca das 14:00 às 16:00, sala A2-S309-SB, quinzenal II, quinta das 16:00 às 18:00, sala A2-S309-SB, quinzenal II</t>
  </si>
  <si>
    <t>terca das 14:00 às 16:00, sala A1-L101-SB, quinzenal I, quinta das 16:00 às 18:00, sala A1-L101-SB, quinzenal I</t>
  </si>
  <si>
    <t>NABC1416SA</t>
  </si>
  <si>
    <t>Fundamentos de Desenho e Projeto A-Noturno (Santo André)</t>
  </si>
  <si>
    <t>terca das 19:00 às 21:00, sala S - 304-2, quinzenal II, quinta das 21:00 às 23:00, sala S - 304-2, quinzenal II</t>
  </si>
  <si>
    <t>terca das 19:00 às 21:00, sala 403-2, quinzenal I, quinta das 21:00 às 23:00, sala L502, quinzenal I</t>
  </si>
  <si>
    <t>DBBC1416SA</t>
  </si>
  <si>
    <t>Fundamentos de Desenho e Projeto B-diurno (Santo André)</t>
  </si>
  <si>
    <t>terca das 10:00 às 12:00, sala S - 309-1, quinzenal II, quinta das 08:00 às 10:00, sala S - 309-1, quinzenal II</t>
  </si>
  <si>
    <t>terca das 10:00 às 12:00, sala 403-2, quinzenal I, quinta das 08:00 às 10:00, sala L502, quinzenal I</t>
  </si>
  <si>
    <t>NBBC1416SA</t>
  </si>
  <si>
    <t>Fundamentos de Desenho e Projeto B-Noturno (Santo André)</t>
  </si>
  <si>
    <t>terca das 21:00 às 23:00, sala S - 303-2, quinzenal II, quinta das 19:00 às 21:00, sala S - 303-2, quinzenal II</t>
  </si>
  <si>
    <t>terca das 21:00 às 23:00, sala 406-2, quinzenal I, quinta das 19:00 às 21:00, sala L502, quinzenal I</t>
  </si>
  <si>
    <t>DCBC1416SA</t>
  </si>
  <si>
    <t>Fundamentos de Desenho e Projeto C-diurno (Santo André)</t>
  </si>
  <si>
    <t>terca das 14:00 às 16:00, sala S - 309-1, quinzenal II, quinta das 16:00 às 18:00, sala S - 309-1, quinzenal II</t>
  </si>
  <si>
    <t>terca das 14:00 às 16:00, sala L502, quinzenal I, quinta das 16:00 às 18:00, sala L502, quinzenal I</t>
  </si>
  <si>
    <t>DDBC1416SA</t>
  </si>
  <si>
    <t>Fundamentos de Desenho e Projeto D-diurno (Santo André)</t>
  </si>
  <si>
    <t>terca das 16:00 às 18:00, sala S - 309-1, quinzenal II, quinta das 14:00 às 16:00, sala S - 309-1, quinzenal II</t>
  </si>
  <si>
    <t>terca das 16:00 às 18:00, sala L503, quinzenal I, quinta das 14:00 às 16:00, sala L503, quinzenal I</t>
  </si>
  <si>
    <t>NA1EN2405SA</t>
  </si>
  <si>
    <t>EN2405</t>
  </si>
  <si>
    <t>Fundamentos de Máquinas Elétricas</t>
  </si>
  <si>
    <t>Fundamentos de Máquinas Elétricas A1-Noturno (Santo André)</t>
  </si>
  <si>
    <t xml:space="preserve">terca das 19:00 às 21:00, sala S - 301-2, semanal </t>
  </si>
  <si>
    <t xml:space="preserve">quinta das 19:00 às 21:00, sala 402-1, semanal </t>
  </si>
  <si>
    <t>NA2EN2405SA</t>
  </si>
  <si>
    <t>Fundamentos de Máquinas Elétricas A2-Noturno (Santo André)</t>
  </si>
  <si>
    <t xml:space="preserve">quinta das 21:00 às 23:00, sala 402-1, semanal </t>
  </si>
  <si>
    <t>DABC1323SA</t>
  </si>
  <si>
    <t>BC1323</t>
  </si>
  <si>
    <t>Genética Molecular</t>
  </si>
  <si>
    <t>Genética Molecular A-diurno (Santo André)</t>
  </si>
  <si>
    <t xml:space="preserve">sexta das 08:00 às 10:00, sala S - 306-3, semanal </t>
  </si>
  <si>
    <t xml:space="preserve">sexta das 10:00 às 12:00, sala 404-3, semanal </t>
  </si>
  <si>
    <t>NABC1323SA</t>
  </si>
  <si>
    <t>Genética Molecular A-Noturno (Santo André)</t>
  </si>
  <si>
    <t xml:space="preserve">sexta das 19:00 às 21:00, sala S - 306-3, semanal </t>
  </si>
  <si>
    <t xml:space="preserve">sexta das 21:00 às 23:00, sala 404-3, semanal </t>
  </si>
  <si>
    <t>DABH1333SB</t>
  </si>
  <si>
    <t>BH1333</t>
  </si>
  <si>
    <t>Geografia Política</t>
  </si>
  <si>
    <t>Geografia Política A-diurno (São Bernardo do Campo)</t>
  </si>
  <si>
    <t xml:space="preserve">quarta das 08:00 às 10:00, sala A2-S307-SB, semanal , sexta das 08:00 às 10:00, sala A2-S308-SB, semanal </t>
  </si>
  <si>
    <t>NABH1333SB</t>
  </si>
  <si>
    <t>Geografia Política A-Noturno (São Bernardo do Campo)</t>
  </si>
  <si>
    <t xml:space="preserve">quarta das 19:00 às 21:00, sala A2-S307-SB, semanal , sexta das 21:00 às 23:00, sala A2-S307-SB, semanal </t>
  </si>
  <si>
    <t>DAMC2103SA</t>
  </si>
  <si>
    <t>MC2103</t>
  </si>
  <si>
    <t>Geometria Diferencial II</t>
  </si>
  <si>
    <t>Geometria Diferencial II A-diurno (Santo André)</t>
  </si>
  <si>
    <t xml:space="preserve">segunda das 08:00 às 10:00, sala S - 306-2, semanal , quinta das 10:00 às 12:00, sala S - 306-2, semanal </t>
  </si>
  <si>
    <t>NAMC2103SA</t>
  </si>
  <si>
    <t>Geometria Diferencial II A-Noturno (Santo André)</t>
  </si>
  <si>
    <t xml:space="preserve">segunda das 19:00 às 21:00, sala S - 305-2, semanal , quinta das 21:00 às 23:00, sala S - 305-2, semanal </t>
  </si>
  <si>
    <t>DAEN3108SA</t>
  </si>
  <si>
    <t>EN3108</t>
  </si>
  <si>
    <t>Geomorfologia Descritiva</t>
  </si>
  <si>
    <t>Geomorfologia Descritiva A-diurno (Santo André)</t>
  </si>
  <si>
    <t>OK - AMPLIADO 77 / NOVA SALA 214-0</t>
  </si>
  <si>
    <t xml:space="preserve">segunda das 14:00 às 18:00, sala S - 301-1, semanal </t>
  </si>
  <si>
    <t>NAEN3108SA</t>
  </si>
  <si>
    <t>Geomorfologia Descritiva A-Noturno (Santo André)</t>
  </si>
  <si>
    <t>OK - AMPLIADO 79 / NOVA SALA 214-0</t>
  </si>
  <si>
    <t xml:space="preserve">segunda das 19:00 às 23:00, sala S - 301-1, semanal </t>
  </si>
  <si>
    <t>DAEN2528SB</t>
  </si>
  <si>
    <t>EN2528</t>
  </si>
  <si>
    <t>Gerência de Ativos</t>
  </si>
  <si>
    <t>Gerência de Ativos A-diurno (São Bernardo do Campo)</t>
  </si>
  <si>
    <t xml:space="preserve">quinta das 10:00 às 12:00, sala A2-S202-SB, semanal </t>
  </si>
  <si>
    <t>NAEN2528SB</t>
  </si>
  <si>
    <t>Gerência de Ativos A-Noturno (São Bernardo do Campo)</t>
  </si>
  <si>
    <t xml:space="preserve">quinta das 21:00 às 23:00, sala A2-S208-SB, semanal </t>
  </si>
  <si>
    <t>DAEN2511SB</t>
  </si>
  <si>
    <t>EN2511</t>
  </si>
  <si>
    <t>Gestão de Operações</t>
  </si>
  <si>
    <t>Gestão de Operações A-diurno (São Bernardo do Campo)</t>
  </si>
  <si>
    <t xml:space="preserve">quarta das 08:00 às 12:00, sala A2-S208-SB, semanal </t>
  </si>
  <si>
    <t>NAEN2511SB</t>
  </si>
  <si>
    <t>Gestão de Operações A-Noturno (São Bernardo do Campo)</t>
  </si>
  <si>
    <t xml:space="preserve">terca das 19:00 às 23:00, sala A2-S208-SB, semanal </t>
  </si>
  <si>
    <t>DABH1103SB</t>
  </si>
  <si>
    <t>BH1103</t>
  </si>
  <si>
    <t>Governo, Burocracia e Administração Pública</t>
  </si>
  <si>
    <t>Governo, Burocracia e Administração Pública A-diurno (São Bernardo do Campo)</t>
  </si>
  <si>
    <t>OK - AMPLIADO 48 / NOVA SALA A2-S306-SB</t>
  </si>
  <si>
    <t xml:space="preserve">segunda das 08:00 às 12:00, sala A2-S302-SB, semanal </t>
  </si>
  <si>
    <t>NABH1103SB</t>
  </si>
  <si>
    <t>Governo, Burocracia e Administração Pública A-Noturno (São Bernardo do Campo)</t>
  </si>
  <si>
    <t xml:space="preserve">quarta das 19:00 às 23:00, sala A2-S302-SB, semanal </t>
  </si>
  <si>
    <t>DAEN2109SA</t>
  </si>
  <si>
    <t>EN2109</t>
  </si>
  <si>
    <t>Hidrologia</t>
  </si>
  <si>
    <t>Hidrologia A-diurno (Santo André)</t>
  </si>
  <si>
    <t xml:space="preserve">segunda das 08:00 às 10:00, sala S - 212-0, semanal , quarta das 10:00 às 12:00, sala S - 212-0, semanal </t>
  </si>
  <si>
    <t>NAEN2109SA</t>
  </si>
  <si>
    <t>Hidrologia A-Noturno (Santo André)</t>
  </si>
  <si>
    <t xml:space="preserve">segunda das 19:00 às 21:00, sala S - 212-0, semanal , quarta das 21:00 às 23:00, sala S - 212-0, semanal </t>
  </si>
  <si>
    <t>DABH1348SB</t>
  </si>
  <si>
    <t>BH1348</t>
  </si>
  <si>
    <t>História da Cidade e do Urbanismo</t>
  </si>
  <si>
    <t>História da Cidade e do Urbanismo A-diurno (São Bernardo do Campo)</t>
  </si>
  <si>
    <t xml:space="preserve">terca das 10:00 às 12:00, sala A2-S309-SB, semanal , quinta das 08:00 às 10:00, sala A2-S309-SB, semanal </t>
  </si>
  <si>
    <t>NABH1348SB</t>
  </si>
  <si>
    <t>História da Cidade e do Urbanismo A-Noturno (São Bernardo do Campo)</t>
  </si>
  <si>
    <t xml:space="preserve">terca das 21:00 às 23:00, sala A2-S309-SB, semanal , quinta das 19:00 às 21:00, sala A2-S309-SB, semanal </t>
  </si>
  <si>
    <t>NA1NH4106SA</t>
  </si>
  <si>
    <t>NH4106</t>
  </si>
  <si>
    <t>História da Ciência e Ensino</t>
  </si>
  <si>
    <t>História da Ciência e Ensino A1-Noturno (Santo André)</t>
  </si>
  <si>
    <t xml:space="preserve">turma nova </t>
  </si>
  <si>
    <t xml:space="preserve">terca das 19:00 às 21:00, sala S - 306-2, semanal </t>
  </si>
  <si>
    <t>DANH4106SA</t>
  </si>
  <si>
    <t>História da Ciência e Ensino A-diurno (Santo André)</t>
  </si>
  <si>
    <t xml:space="preserve">terca das 10:00 às 12:00, sala S - 307-3, semanal </t>
  </si>
  <si>
    <t>NANH4106SA</t>
  </si>
  <si>
    <t>História da Ciência e Ensino A-Noturno (Santo André)</t>
  </si>
  <si>
    <t>procurar sala para segunda turma / prof da segunda turma: LUCIO CAMPOS COSTA</t>
  </si>
  <si>
    <t>OK - TURMA ABERTA, 40 VAGAS / Terca das 19:00 às 21:00 - SALA 306-2</t>
  </si>
  <si>
    <t xml:space="preserve">terca das 19:00 às 21:00, sala S - 309-2, semanal </t>
  </si>
  <si>
    <t>DABH1309SB</t>
  </si>
  <si>
    <t>BH1309</t>
  </si>
  <si>
    <t>História da Filosofia Medieval: Patrística e Escolástica</t>
  </si>
  <si>
    <t>História da Filosofia Medieval: Patrística e Escolástica A-diurno (São Bernardo do Campo)</t>
  </si>
  <si>
    <t xml:space="preserve">segunda das 08:00 às 12:00, sala A1-S101-SB, semanal </t>
  </si>
  <si>
    <t>NABH1309SB</t>
  </si>
  <si>
    <t>História da Filosofia Medieval: Patrística e Escolástica A-Noturno (São Bernardo do Campo)</t>
  </si>
  <si>
    <t xml:space="preserve">terca das 19:00 às 23:00, sala A1-S101-SB, semanal </t>
  </si>
  <si>
    <t>DABH1310SB</t>
  </si>
  <si>
    <t>BH1310</t>
  </si>
  <si>
    <t>História da Filosofia Moderna: o Iluminismo e seus desdobramentos</t>
  </si>
  <si>
    <t>História da Filosofia Moderna: o Iluminismo e seus desdobramentos A-diurno (São Bernardo do Campo)</t>
  </si>
  <si>
    <t xml:space="preserve">quinta das 08:00 às 12:00, sala A1-S101-SB, semanal </t>
  </si>
  <si>
    <t>NABH1310SB</t>
  </si>
  <si>
    <t>História da Filosofia Moderna: o Iluminismo e seus desdobramentos A-Noturno (São Bernardo do Campo)</t>
  </si>
  <si>
    <t xml:space="preserve">sexta das 19:00 às 23:00, sala A1-S101-SB, semanal </t>
  </si>
  <si>
    <t>NAMC8311SA</t>
  </si>
  <si>
    <t>MC8311</t>
  </si>
  <si>
    <t>História da Matemática</t>
  </si>
  <si>
    <t>História da Matemática A-Noturno (Santo André)</t>
  </si>
  <si>
    <t xml:space="preserve">segunda das 21:00 às 23:00, sala A - 110-0, semanal , quarta das 19:00 às 21:00, sala A - 110-0, semanal </t>
  </si>
  <si>
    <t>DABH1404SB</t>
  </si>
  <si>
    <t>Historiografia e História das Ciências</t>
  </si>
  <si>
    <t>Historiografia e História das Ciências A-diurno (São Bernardo do Campo)</t>
  </si>
  <si>
    <t xml:space="preserve">quarta das 08:00 às 12:00, sala A1-S103-SB, semanal </t>
  </si>
  <si>
    <t>NABH1404SB</t>
  </si>
  <si>
    <t>BH1404</t>
  </si>
  <si>
    <t>Historiografia e História das Ciências A-Noturno (São Bernardo do Campo)</t>
  </si>
  <si>
    <t xml:space="preserve">sexta das 19:00 às 23:00, sala A1-S103-SB, semanal </t>
  </si>
  <si>
    <t>DABH0302SB</t>
  </si>
  <si>
    <t>BH0302</t>
  </si>
  <si>
    <t>Identidade e Cultura</t>
  </si>
  <si>
    <t>Identidade e Cultura A-diurno (São Bernardo do Campo)</t>
  </si>
  <si>
    <t xml:space="preserve">terca das 08:00 às 10:00, semanal , quinta das 10:00 às 12:00, semanal </t>
  </si>
  <si>
    <t>DABHQ0302-14SB</t>
  </si>
  <si>
    <t>BHQ0302-14</t>
  </si>
  <si>
    <t xml:space="preserve">segunda das 08:00 às 10:00, sala B-A004-SB, quinzenal II, quarta das 08:00 às 10:00, sala B-A004-SB, semanal </t>
  </si>
  <si>
    <t>NABH0302SB</t>
  </si>
  <si>
    <t>Identidade e Cultura A-Noturno (São Bernardo do Campo)</t>
  </si>
  <si>
    <t xml:space="preserve">terca das 19:00 às 21:00, semanal , quinta das 21:00 às 23:00, semanal </t>
  </si>
  <si>
    <t>NABHQ0302-14SB</t>
  </si>
  <si>
    <t xml:space="preserve">segunda das 19:00 às 21:00, sala B-A004-SB, quinzenal II, quarta das 19:00 às 21:00, sala B-A004-SB, semanal </t>
  </si>
  <si>
    <t>DB1BH0302SB</t>
  </si>
  <si>
    <t>Identidade e Cultura B1-diurno (São Bernardo do Campo)</t>
  </si>
  <si>
    <t xml:space="preserve">terca das 10:00 às 12:00, semanal , quinta das 08:00 às 10:00, semanal </t>
  </si>
  <si>
    <t>DBBH0302SB</t>
  </si>
  <si>
    <t>Identidade e Cultura B-diurno (São Bernardo do Campo)</t>
  </si>
  <si>
    <t>OK - TURMA ABERTA COM O CÓDIGO BH0302 - 3ª E 5ª - SALA A1-S201-SB</t>
  </si>
  <si>
    <t>DBBHQ0302-14SB</t>
  </si>
  <si>
    <t xml:space="preserve">segunda das 10:00 às 12:00, sala B-A004-SB, quinzenal II, quarta das 10:00 às 12:00, sala B-A004-SB, semanal </t>
  </si>
  <si>
    <t>NBBHQ0302-14SB</t>
  </si>
  <si>
    <t>Identidade e Cultura B-Noturno (São Bernardo do Campo)</t>
  </si>
  <si>
    <t xml:space="preserve">segunda das 21:00 às 23:00, sala A1-S204-SB, quinzenal II, quarta das 21:00 às 23:00, sala A1-S204-SB, semanal </t>
  </si>
  <si>
    <t>NBBH0302SB</t>
  </si>
  <si>
    <t xml:space="preserve">terca das 21:00 às 23:00, semanal , quinta das 19:00 às 21:00, semanal </t>
  </si>
  <si>
    <t>DAEN2514SB</t>
  </si>
  <si>
    <t>EN2514</t>
  </si>
  <si>
    <t>Inovação Tecnológica</t>
  </si>
  <si>
    <t>Inovação Tecnológica A-diurno (São Bernardo do Campo)</t>
  </si>
  <si>
    <t xml:space="preserve">segunda das 08:00 às 12:00, sala A2-S208-SB, semanal </t>
  </si>
  <si>
    <t>NAEN2514SB</t>
  </si>
  <si>
    <t>Inovação Tecnológica A-Noturno (São Bernardo do Campo)</t>
  </si>
  <si>
    <t xml:space="preserve">quarta das 19:00 às 23:00, sala A2-S208-SB, semanal </t>
  </si>
  <si>
    <t>DAEN2403SA</t>
  </si>
  <si>
    <t>EN2403</t>
  </si>
  <si>
    <t>Instalações Elétricas I</t>
  </si>
  <si>
    <t>Instalações Elétricas I A-diurno (Santo André)</t>
  </si>
  <si>
    <t>segunda das 08:00 às 10:00, sala S - 306-1, semanal , quarta das 10:00 às 12:00, sala S - 306-1, quinzenal II</t>
  </si>
  <si>
    <t>quarta das 10:00 às 12:00, sala 407-1, quinzenal I</t>
  </si>
  <si>
    <t>DAEN3336SA</t>
  </si>
  <si>
    <t>EN3336</t>
  </si>
  <si>
    <t>Instalações Hospitalares</t>
  </si>
  <si>
    <t>Instalações Hospitalares A-diurno (Santo André)</t>
  </si>
  <si>
    <t xml:space="preserve">terca das 17:00 às 19:00, sala S - 008-0, semanal , quinta das 17:00 às 19:00, sala S - 008-0, semanal </t>
  </si>
  <si>
    <t>DAEN2331SA</t>
  </si>
  <si>
    <t>EN2331</t>
  </si>
  <si>
    <t>Instrumentação Biomédica Avançada</t>
  </si>
  <si>
    <t>Instrumentação Biomédica Avançada A-diurno (Santo André)</t>
  </si>
  <si>
    <t xml:space="preserve">terca das 08:00 às 10:00, sala S - 303-1, semanal </t>
  </si>
  <si>
    <t xml:space="preserve">quinta das 10:00 às 13:00, sala 503-1, semanal </t>
  </si>
  <si>
    <t>NAEN2331SA</t>
  </si>
  <si>
    <t>Instrumentação Biomédica Avançada A-Noturno (Santo André)</t>
  </si>
  <si>
    <t xml:space="preserve">terca das 21:00 às 23:00, sala S - 303-1, semanal </t>
  </si>
  <si>
    <t xml:space="preserve">quinta das 18:00 às 21:00, sala 503-1, semanal </t>
  </si>
  <si>
    <t>DA1BC1507SA</t>
  </si>
  <si>
    <t>Instrumentação e Controle</t>
  </si>
  <si>
    <t>Instrumentação e Controle A1-diurno (Santo André)</t>
  </si>
  <si>
    <t xml:space="preserve">segunda das 08:00 às 10:00, sala A - 104-0, quinzenal II, quarta das 10:00 às 12:00, sala A - 104-0, semanal </t>
  </si>
  <si>
    <t>segunda das 08:00 às 10:00, sala 407-1, quinzenal I</t>
  </si>
  <si>
    <t>NA1BC1507SA</t>
  </si>
  <si>
    <t>Instrumentação e Controle A1-Noturno (Santo André)</t>
  </si>
  <si>
    <t xml:space="preserve">segunda das 19:00 às 21:00, sala S - 311-2, quinzenal I, quarta das 21:00 às 23:00, sala S - 311-2, semanal </t>
  </si>
  <si>
    <t>segunda das 19:00 às 21:00, sala 405-1, quinzenal I</t>
  </si>
  <si>
    <t>DA2BC1507SA</t>
  </si>
  <si>
    <t>Instrumentação e Controle A2-diurno (Santo André)</t>
  </si>
  <si>
    <t>segunda das 08:00 às 10:00, sala 405-1, quinzenal I</t>
  </si>
  <si>
    <t>NA2BC1507SA</t>
  </si>
  <si>
    <t>Instrumentação e Controle A2-Noturno (Santo André)</t>
  </si>
  <si>
    <t xml:space="preserve">segunda das 19:00 às 21:00, sala S - 311-2, quinzenal II, quarta das 21:00 às 23:00, sala S - 311-2, semanal </t>
  </si>
  <si>
    <t>segunda das 19:00 às 21:00, sala 407-1, quinzenal I</t>
  </si>
  <si>
    <t>DABC1507SB</t>
  </si>
  <si>
    <t>Instrumentação e Controle A-diurno (São Bernardo do Campo)</t>
  </si>
  <si>
    <t xml:space="preserve">segunda das 08:00 às 10:00, sala A1-S202-SB, quinzenal II, quarta das 10:00 às 12:00, sala A1-S202-SB, semanal </t>
  </si>
  <si>
    <t>segunda das 08:00 às 10:00, sala A1-L306-SB, quinzenal I</t>
  </si>
  <si>
    <t>DBBC1507SB</t>
  </si>
  <si>
    <t>Instrumentação e Controle B-diurno (São Bernardo do Campo)</t>
  </si>
  <si>
    <t xml:space="preserve">segunda das 10:00 às 12:00, sala A2-S206-SB, quinzenal II, quarta das 08:00 às 10:00, sala A2-S206-SB, semanal </t>
  </si>
  <si>
    <t>segunda das 10:00 às 12:00, sala A1-L306-SB, quinzenal I</t>
  </si>
  <si>
    <t>DAMC3311SA</t>
  </si>
  <si>
    <t>MC3311</t>
  </si>
  <si>
    <t>Inteligência Artificial</t>
  </si>
  <si>
    <t>Inteligência Artificial A-diurno (Santo André)</t>
  </si>
  <si>
    <t>Ampliar vagas para 70 – Reservar L407-2 – procurar nova sala (overbooking no Lab)</t>
  </si>
  <si>
    <t>AMPLIADO - NOVO LAB 407-2 nova sala 302-1</t>
  </si>
  <si>
    <t>quinta das 14:00 às 16:00, sala S - 301-3, semanal , sexta das 08:00 às 10:00, sala S - 301-3, quinzenal I</t>
  </si>
  <si>
    <t>sexta das 08:00 às 10:00, sala 409-2, quinzenal II</t>
  </si>
  <si>
    <t>NAMC3311SA</t>
  </si>
  <si>
    <t>Inteligência Artificial A-Noturno (Santo André)</t>
  </si>
  <si>
    <t>ampliado novo lab 407-2</t>
  </si>
  <si>
    <t>sexta das 19:00 às 21:00, sala S - 301-3, semanal , sabado das 08:00 às 10:00, sala S - 301-3, quinzenal I</t>
  </si>
  <si>
    <t>sabado das 08:00 às 10:00, sala 409-2, quinzenal II</t>
  </si>
  <si>
    <t>DABC0104SA</t>
  </si>
  <si>
    <t>BC0104</t>
  </si>
  <si>
    <t>Interações Atômicas e Moleculares</t>
  </si>
  <si>
    <t>Interações Atômicas e Moleculares A-diurno (Santo André)</t>
  </si>
  <si>
    <t xml:space="preserve">terca das 14:00 às 16:00, sala A - 106-0, quinzenal II, quinta das 16:00 às 18:00, sala A - 106-0, semanal </t>
  </si>
  <si>
    <t>DABC0104SB</t>
  </si>
  <si>
    <t>Interações Atômicas e Moleculares A-diurno (São Bernardo do Campo)</t>
  </si>
  <si>
    <t xml:space="preserve">terca das 14:00 às 16:00, sala A1-S201-SB, quinzenal II, quinta das 16:00 às 18:00, sala A1-S201-SB, semanal </t>
  </si>
  <si>
    <t>NABC0104SA</t>
  </si>
  <si>
    <t>Interações Atômicas e Moleculares A-Noturno (Santo André)</t>
  </si>
  <si>
    <t xml:space="preserve">terca das 19:00 às 21:00, sala A - 106-0, quinzenal II, quinta das 21:00 às 23:00, sala A - 106-0, semanal </t>
  </si>
  <si>
    <t>NABC0104SB</t>
  </si>
  <si>
    <t>Interações Atômicas e Moleculares A-Noturno (São Bernardo do Campo)</t>
  </si>
  <si>
    <t xml:space="preserve">terca das 19:00 às 21:00, sala A1-S202-SB, quinzenal II, quinta das 21:00 às 23:00, sala A1-S202-SB, semanal </t>
  </si>
  <si>
    <t>DBBC0104SA</t>
  </si>
  <si>
    <t>Interações Atômicas e Moleculares B-diurno (Santo André)</t>
  </si>
  <si>
    <t xml:space="preserve">terca das 16:00 às 18:00, sala A - 107-0, quinzenal II, quinta das 14:00 às 16:00, sala A - 107-0, semanal </t>
  </si>
  <si>
    <t>NBBC0104SA</t>
  </si>
  <si>
    <t>Interações Atômicas e Moleculares B-Noturno (Santo André)</t>
  </si>
  <si>
    <t xml:space="preserve">terca das 21:00 às 23:00, sala A - 107-0, quinzenal II, quinta das 19:00 às 21:00, sala A - 107-0, semanal </t>
  </si>
  <si>
    <t>DABHQ0303-14SB</t>
  </si>
  <si>
    <t>BHQ0303-14</t>
  </si>
  <si>
    <t>Interpretações do Brasil</t>
  </si>
  <si>
    <t>Interpretações do Brasil A-diurno (São Bernardo do Campo)</t>
  </si>
  <si>
    <t xml:space="preserve">terca das 10:00 às 12:00, sala B-A004-SB, semanal , sexta das 08:00 às 10:00, sala B-A004-SB, semanal </t>
  </si>
  <si>
    <t>NABHQ0303-14SB</t>
  </si>
  <si>
    <t>Interpretações do Brasil A-Noturno (São Bernardo do Campo)</t>
  </si>
  <si>
    <t xml:space="preserve">terca das 21:00 às 23:00, sala B-A004-SB, semanal , sexta das 19:00 às 21:00, sala B-A004-SB, semanal </t>
  </si>
  <si>
    <t>DBBHQ0303-14SB</t>
  </si>
  <si>
    <t>Interpretações do Brasil B-diurno (São Bernardo do Campo)</t>
  </si>
  <si>
    <t xml:space="preserve">terca das 08:00 às 10:00, sala A1-S204-SB, semanal , sexta das 10:00 às 12:00, sala A1-S204-SB, semanal </t>
  </si>
  <si>
    <t>NBBHQ0303-14SB</t>
  </si>
  <si>
    <t>Interpretações do Brasil B-Noturno (São Bernardo do Campo)</t>
  </si>
  <si>
    <t xml:space="preserve">terca das 19:00 às 21:00, sala A1-S204-SB, semanal , sexta das 19:00 às 21:00, sala A1-S204-SB, semanal </t>
  </si>
  <si>
    <t>DABC1334SB</t>
  </si>
  <si>
    <t>BC1334</t>
  </si>
  <si>
    <t>Introdução à Física Médica</t>
  </si>
  <si>
    <t>Introdução à Física Médica A-diurno (São Bernardo do Campo)</t>
  </si>
  <si>
    <t xml:space="preserve">quarta das 14:00 às 16:00, sala A2-S205-SB, semanal , sexta das 14:00 às 16:00, sala A2-S205-SB, semanal </t>
  </si>
  <si>
    <t>NABC1334SA</t>
  </si>
  <si>
    <t>Introdução à Física Médica A-Noturno (Santo André)</t>
  </si>
  <si>
    <t>esta turma deverá ser aberta em mesmo dia e horário no Campus SBC</t>
  </si>
  <si>
    <t>cancelado</t>
  </si>
  <si>
    <t xml:space="preserve">quarta das 17:00 às 19:00, sala S - 008-0, semanal , sexta das 19:00 às 21:00, sala S - 008-0, semanal </t>
  </si>
  <si>
    <t>NABC1334SB</t>
  </si>
  <si>
    <t>Introdução à Física Médica A-Noturno (São Bernardo do Campo)</t>
  </si>
  <si>
    <t xml:space="preserve">quarta das 17:00 às 19:00, sala A2-S-302-SB, semanal , sexta das 19:00 às 21:00, salaA2-S-302-SB-0, semanal </t>
  </si>
  <si>
    <t>DABC1203SA</t>
  </si>
  <si>
    <t>BC1203</t>
  </si>
  <si>
    <t>Introdução à Física Nuclear</t>
  </si>
  <si>
    <t>Introdução à Física Nuclear A-diurno (Santo André)</t>
  </si>
  <si>
    <t xml:space="preserve">terca das 16:00 às 18:00, sala S - 310-3, semanal , quinta das 14:00 às 16:00, sala S - 310-3, semanal </t>
  </si>
  <si>
    <t>DABC1414SA</t>
  </si>
  <si>
    <t>BC1414</t>
  </si>
  <si>
    <t>Introdução à Modelagem e Processos Estocásticos</t>
  </si>
  <si>
    <t>Introdução à Modelagem e Processos Estocásticos A-diurno (Santo André)</t>
  </si>
  <si>
    <t xml:space="preserve">quarta das 16:00 às 18:00, sala S502, semanal , sexta das 16:00 às 18:00, sala S502, semanal </t>
  </si>
  <si>
    <t>NABC1414SA</t>
  </si>
  <si>
    <t>Introdução à Modelagem e Processos Estocásticos A-Noturno (Santo André)</t>
  </si>
  <si>
    <t xml:space="preserve">quarta das 19:00 às 21:00, sala S502, semanal , sexta das 21:00 às 23:00, sala S502, semanal </t>
  </si>
  <si>
    <t>DABC1008SA</t>
  </si>
  <si>
    <t>BC1008</t>
  </si>
  <si>
    <t>Introdução à Neurociência</t>
  </si>
  <si>
    <t>Introdução à Neurociência A-diurno (Santo André)</t>
  </si>
  <si>
    <t>OK - AMPLIADO 88 / NOVA SALA 113-0</t>
  </si>
  <si>
    <t xml:space="preserve">segunda das 14:00 às 16:00, sala S - 304-2, semanal , quinta das 16:00 às 18:00, sala S - 304-2, semanal </t>
  </si>
  <si>
    <t>DABC1004SB</t>
  </si>
  <si>
    <t>BC1004</t>
  </si>
  <si>
    <t>Introdução à Neurociência Computacional</t>
  </si>
  <si>
    <t>Introdução à Neurociência Computacional A-diurno (São Bernardo do Campo)</t>
  </si>
  <si>
    <t xml:space="preserve">quarta das 08:00 às 10:00, sala A1-L102-SB, semanal , sexta das 10:00 às 12:00, sala A1-L102-SB, semanal </t>
  </si>
  <si>
    <t>NABC1004SB</t>
  </si>
  <si>
    <t>Introdução à Neurociência Computacional A-Noturno (São Bernardo do Campo)</t>
  </si>
  <si>
    <t xml:space="preserve">quarta das 19:00 às 21:00, sala A1-L102-SB, semanal , sexta das 21:00 às 23:00, sala A1-L102-SB, semanal </t>
  </si>
  <si>
    <t>DA1BC0406SA</t>
  </si>
  <si>
    <t>BC0406</t>
  </si>
  <si>
    <t>Introdução à Probabilidade e à Estatística</t>
  </si>
  <si>
    <t>Introdução à Probabilidade e à Estatística A1-diurno (Santo André)</t>
  </si>
  <si>
    <t>segunda das 08:00 às 10:00, sala A - 101-0, semanal , sexta das 10:00 às 12:00, sala A - 101-0, quinzenal II</t>
  </si>
  <si>
    <t>NA1BC0406SA</t>
  </si>
  <si>
    <t>Introdução à Probabilidade e à Estatística A1-Noturno (Santo André)</t>
  </si>
  <si>
    <t>OK -MANTIDA COMO ORIGINALMENTE OFERTADA</t>
  </si>
  <si>
    <t>segunda das 19:00 às 21:00, sala A - 101-0, semanal , sexta das 21:00 às 23:00, sala A - 101-0, quinzenal II</t>
  </si>
  <si>
    <t>DA2BC0406SA</t>
  </si>
  <si>
    <t>Introdução à Probabilidade e à Estatística A2-diurno (Santo André)</t>
  </si>
  <si>
    <t>segunda das 08:00 às 10:00, sala A - 102-0, semanal , sexta das 10:00 às 12:00, sala A - 102-0, quinzenal II</t>
  </si>
  <si>
    <t>NA2BC0406SA</t>
  </si>
  <si>
    <t>Introdução à Probabilidade e à Estatística A2-Noturno (Santo André)</t>
  </si>
  <si>
    <t>segunda das 19:00 às 21:00, sala A - 102-0, semanal , sexta das 21:00 às 23:00, sala A - 102-0, quinzenal II</t>
  </si>
  <si>
    <t>DA3BC0406SA</t>
  </si>
  <si>
    <t>Introdução à Probabilidade e à Estatística A3-diurno (Santo André)</t>
  </si>
  <si>
    <t>segunda das 08:00 às 10:00, sala A - 108-0, semanal , sexta das 10:00 às 12:00, sala A - 108-0, quinzenal II</t>
  </si>
  <si>
    <t>NA3BC0406SA</t>
  </si>
  <si>
    <t>Introdução à Probabilidade e à Estatística A3-Noturno (Santo André)</t>
  </si>
  <si>
    <t>segunda das 19:00 às 21:00, sala A - 108-0, semanal , sexta das 21:00 às 23:00, sala A - 108-0, quinzenal II</t>
  </si>
  <si>
    <t>DABC0406SB</t>
  </si>
  <si>
    <t>Introdução à Probabilidade e à Estatística A-diurno (São Bernardo do Campo)</t>
  </si>
  <si>
    <t>segunda das 08:00 às 10:00, sala A2-S102-SB, semanal , sexta das 10:00 às 12:00, sala A2-S102-SB, quinzenal II</t>
  </si>
  <si>
    <t>NABC0406SB</t>
  </si>
  <si>
    <t>Introdução à Probabilidade e à Estatística A-Noturno (São Bernardo do Campo)</t>
  </si>
  <si>
    <t>segunda das 19:00 às 21:00, sala A1-S206-SB, semanal , sexta das 21:00 às 23:00, sala A1-S206-SB, quinzenal II</t>
  </si>
  <si>
    <t>DB1BC0406SA</t>
  </si>
  <si>
    <t>Introdução à Probabilidade e à Estatística B1-diurno (Santo André)</t>
  </si>
  <si>
    <t>segunda das 10:00 às 12:00, sala A - 104-0, semanal , sexta das 08:00 às 10:00, sala A - 104-0, quinzenal II</t>
  </si>
  <si>
    <t>NB1BC0406SA</t>
  </si>
  <si>
    <t>Introdução à Probabilidade e à Estatística B1-Noturno (Santo André)</t>
  </si>
  <si>
    <t>segunda das 21:00 às 23:00, sala A - 104-0, semanal , sexta das 19:00 às 21:00, sala A - 104-0, quinzenal II</t>
  </si>
  <si>
    <t>DB2BC0406SA</t>
  </si>
  <si>
    <t>Introdução à Probabilidade e à Estatística B2-diurno (Santo André)</t>
  </si>
  <si>
    <t>segunda das 10:00 às 12:00, sala A - 105-0, semanal , sexta das 08:00 às 10:00, sala A - 105-0, quinzenal II</t>
  </si>
  <si>
    <t>NB2BC0406SA</t>
  </si>
  <si>
    <t>Introdução à Probabilidade e à Estatística B2-Noturno (Santo André)</t>
  </si>
  <si>
    <t>segunda das 21:00 às 23:00, sala A - 107-0, semanal , sexta das 19:00 às 21:00, sala A - 107-0, quinzenal II</t>
  </si>
  <si>
    <t>DBBC0406SB</t>
  </si>
  <si>
    <t>Introdução à Probabilidade e à Estatística B-diurno (São Bernardo do Campo)</t>
  </si>
  <si>
    <t>segunda das 17:00 às 19:00, sala A2-S106-SB, semanal , sexta das 17:00 às 19:00, sala A2-S106-SB, quinzenal II</t>
  </si>
  <si>
    <t>DCBC0406SB</t>
  </si>
  <si>
    <t>Introdução à Probabilidade e à Estatística C-diurno (São Bernardo do Campo)</t>
  </si>
  <si>
    <t>segunda das 14:00 às 16:00, sala A2-S106-SB, semanal , sexta das 14:00 às 16:00, sala A2-S106-SB, quinzenal II</t>
  </si>
  <si>
    <t>DANH3204SA</t>
  </si>
  <si>
    <t>NH3204</t>
  </si>
  <si>
    <t>Introdução a Processos Industriais Biotecnológicos</t>
  </si>
  <si>
    <t>Introdução a Processos Industriais Biotecnológicos A-diurno (Santo André)</t>
  </si>
  <si>
    <t xml:space="preserve">quarta das 08:00 às 10:00, sala S - 006-0, semanal </t>
  </si>
  <si>
    <t>NANH3204SA</t>
  </si>
  <si>
    <t>Introdução a Processos Industriais Biotecnológicos A-Noturno (Santo André)</t>
  </si>
  <si>
    <t xml:space="preserve">quarta das 19:00 às 21:00, sala S - 006-0, semanal </t>
  </si>
  <si>
    <t>NAMCZA032-14SA</t>
  </si>
  <si>
    <t>MCZA032-14</t>
  </si>
  <si>
    <t>Introdução à Programação de Jogos</t>
  </si>
  <si>
    <t>Introdução à Programação de Jogos A-Noturno (Santo André)</t>
  </si>
  <si>
    <t>Ampliar vagas para 35</t>
  </si>
  <si>
    <t>OK - AMPLIADO 35</t>
  </si>
  <si>
    <t xml:space="preserve">segunda das 21:00 às 23:00, sala 408-2, semanal , terca das 21:00 às 23:00, sala 408-2, semanal </t>
  </si>
  <si>
    <t>NBMCZA032-14SA</t>
  </si>
  <si>
    <t>Introdução à Programação de Jogos B-Noturno (Santo André)</t>
  </si>
  <si>
    <t>Ampliar vagas para 53 – Reservar L407-2 (overbooking)</t>
  </si>
  <si>
    <t>não é possivel atender a troca, pois há conflito com algoritmos e Estrutura de dados no lab 407-2 às quintas-feiras - ampliado para 35</t>
  </si>
  <si>
    <t xml:space="preserve">terca das 19:00 às 21:00, sala 408-2, semanal , quinta das 21:00 às 23:00, sala 408-2, semanal </t>
  </si>
  <si>
    <t>DAMC8106SB</t>
  </si>
  <si>
    <t>MC8106</t>
  </si>
  <si>
    <t>Introdução à Psicolinguística</t>
  </si>
  <si>
    <t>Introdução à Psicolinguística A-diurno (São Bernardo do Campo)</t>
  </si>
  <si>
    <t xml:space="preserve">segunda das 08:00 às 12:00, sala A1-S105-SB, semanal </t>
  </si>
  <si>
    <t>NAMC8106SB</t>
  </si>
  <si>
    <t>Introdução à Psicolinguística A-Noturno (São Bernardo do Campo)</t>
  </si>
  <si>
    <t>OK - AMPLIADO 60 / NOVA SALA  A2-S203-SB</t>
  </si>
  <si>
    <t xml:space="preserve">sabado das 08:00 às 12:00, sala A1-S105-SB, semanal </t>
  </si>
  <si>
    <t>DAEN2536SB</t>
  </si>
  <si>
    <t>EN2536</t>
  </si>
  <si>
    <t>Introdução aos Processos de Fabricação Metal - Mecânico</t>
  </si>
  <si>
    <t>Introdução aos Processos de Fabricação Metal - Mecânico A-diurno (São Bernardo do Campo)</t>
  </si>
  <si>
    <t xml:space="preserve">terca das 08:00 às 12:00, sala A2-S208-SB, semanal , quinta das 08:00 às 10:00, sala A2-S208-SB, semanal </t>
  </si>
  <si>
    <t>DAEN2422SA</t>
  </si>
  <si>
    <t>EN2422</t>
  </si>
  <si>
    <t>Introdução aos Sistemas Elétricos de Potência</t>
  </si>
  <si>
    <t>Introdução aos Sistemas Elétricos de Potência A-diurno (Santo André)</t>
  </si>
  <si>
    <t xml:space="preserve">segunda das 14:00 às 16:00, sala S - 307-2, semanal , quarta das 14:00 às 16:00, sala S - 307-2, semanal </t>
  </si>
  <si>
    <t>DABC1710SA</t>
  </si>
  <si>
    <t>BC1710</t>
  </si>
  <si>
    <t>Introdução às Engenharias</t>
  </si>
  <si>
    <t>Introdução às Engenharias A-diurno (Santo André)</t>
  </si>
  <si>
    <t xml:space="preserve">terca das 10:00 às 12:00, sala S - 212-0, semanal </t>
  </si>
  <si>
    <t>DABC1710SB</t>
  </si>
  <si>
    <t>Introdução às Engenharias A-diurno (São Bernardo do Campo)</t>
  </si>
  <si>
    <t xml:space="preserve">quarta das 14:00 às 16:00, sala A2-S106-SB, semanal </t>
  </si>
  <si>
    <t>NABC1710SA</t>
  </si>
  <si>
    <t>Introdução às Engenharias A-Noturno (Santo André)</t>
  </si>
  <si>
    <t>100 vagas</t>
  </si>
  <si>
    <t>OK - AMPLIADO 100 / NOVA SALA 108-0</t>
  </si>
  <si>
    <t xml:space="preserve">terca das 19:00 às 21:00, sala A - 113-0, semanal </t>
  </si>
  <si>
    <t>DA1BC0405SA</t>
  </si>
  <si>
    <t>BC0405</t>
  </si>
  <si>
    <t>Introdução às Equações Diferenciais Ordinárias</t>
  </si>
  <si>
    <t>Introdução às Equações Diferenciais Ordinárias A1-diurno (Santo André)</t>
  </si>
  <si>
    <t>ok- ampliado para 128 vagas sala S211-1</t>
  </si>
  <si>
    <t xml:space="preserve">quarta das 10:00 às 12:00, sala A - 101-0, semanal , sexta das 08:00 às 10:00, sala A - 101-0, semanal </t>
  </si>
  <si>
    <t>NA1BC0405SA</t>
  </si>
  <si>
    <t>Introdução às Equações Diferenciais Ordinárias A1-Noturno (Santo André)</t>
  </si>
  <si>
    <t xml:space="preserve">quarta das 21:00 às 23:00, sala A - 101-0, semanal , sexta das 19:00 às 21:00, sala A - 101-0, semanal </t>
  </si>
  <si>
    <t>DA2BC0405SA</t>
  </si>
  <si>
    <t>Introdução às Equações Diferenciais Ordinárias A2-diurno (Santo André)</t>
  </si>
  <si>
    <t>ok ampliado - 106 vagas nova sala A 101-0</t>
  </si>
  <si>
    <t xml:space="preserve">quarta das 10:00 às 12:00, sala A - 102-0, semanal , sexta das 08:00 às 10:00, sala A - 102-0, semanal </t>
  </si>
  <si>
    <t>NA2BC0405SA</t>
  </si>
  <si>
    <t>Introdução às Equações Diferenciais Ordinárias A2-Noturno (Santo André)</t>
  </si>
  <si>
    <t xml:space="preserve">quarta das 21:00 às 23:00, sala A - 102-0, semanal , sexta das 19:00 às 21:00, sala A - 102-0, semanal </t>
  </si>
  <si>
    <t>NA3BC0405SA</t>
  </si>
  <si>
    <t>Introdução às Equações Diferenciais Ordinárias A3-Noturno (Santo André)</t>
  </si>
  <si>
    <t xml:space="preserve">quarta das 21:00 às 23:00,  semanal , sexta das 19:00 às 21:00,semanal </t>
  </si>
  <si>
    <t>DABC0405SB</t>
  </si>
  <si>
    <t>Introdução às Equações Diferenciais Ordinárias A-diurno (São Bernardo do Campo)</t>
  </si>
  <si>
    <t xml:space="preserve">quarta das 10:00 às 12:00, sala A2-S101-SB, semanal , sexta das 08:00 às 10:00, sala A2-S101-SB, semanal </t>
  </si>
  <si>
    <t>NABC0405SB</t>
  </si>
  <si>
    <t>Introdução às Equações Diferenciais Ordinárias A-Noturno (São Bernardo do Campo)</t>
  </si>
  <si>
    <t xml:space="preserve">quarta das 21:00 às 23:00, sala A2-S101-SB, semanal , sexta das 19:00 às 21:00, sala A2-S101-SB, semanal </t>
  </si>
  <si>
    <t>DB1BC0405SA</t>
  </si>
  <si>
    <t>Introdução às Equações Diferenciais Ordinárias B1-diurno (Santo André)</t>
  </si>
  <si>
    <t xml:space="preserve">quarta das 08:00 às 10:00, sala A - 103-0, semanal , sexta das 10:00 às 12:00, sala A - 103-0, semanal </t>
  </si>
  <si>
    <t>NB1BC0405SA</t>
  </si>
  <si>
    <t>Introdução às Equações Diferenciais Ordinárias B1-Noturno (Santo André)</t>
  </si>
  <si>
    <t>ok nova turma aberta</t>
  </si>
  <si>
    <t xml:space="preserve">quarta das 19:00 às 21:00, sala A - 103-0, semanal , sexta das 21:00 às 23:00, sala A - 103-0, semanal </t>
  </si>
  <si>
    <t>DB2BC0405SA</t>
  </si>
  <si>
    <t>Introdução às Equações Diferenciais Ordinárias B2-diurno (Santo André)</t>
  </si>
  <si>
    <t>ok ampliado 126 vagas - nova sala S212-0</t>
  </si>
  <si>
    <t xml:space="preserve">quarta das 08:00 às 10:00, sala A - 104-0, semanal , sexta das 10:00 às 12:00, sala A - 104-0, semanal </t>
  </si>
  <si>
    <t>NB2BC0405SA</t>
  </si>
  <si>
    <t>Introdução às Equações Diferenciais Ordinárias B2-Noturno (Santo André)</t>
  </si>
  <si>
    <t xml:space="preserve">quarta das 19:00 às 21:00, sala A - 104-0, semanal , sexta das 21:00 às 23:00, sala A - 104-0, semanal </t>
  </si>
  <si>
    <t>NB3BC0405SA</t>
  </si>
  <si>
    <t>Introdução às Equações Diferenciais Ordinárias B3-Noturno (Santo André)</t>
  </si>
  <si>
    <t xml:space="preserve">quarta das 19:00 às 21:00,  semanal , sexta das 21:00 às 23:00, semanal </t>
  </si>
  <si>
    <t>DBBC0405SB</t>
  </si>
  <si>
    <t>Introdução às Equações Diferenciais Ordinárias B-diurno (São Bernardo do Campo)</t>
  </si>
  <si>
    <t xml:space="preserve">quarta das 08:00 às 10:00, sala A2-S105-SB, semanal , sexta das 10:00 às 12:00, sala A2-S105-SB, semanal </t>
  </si>
  <si>
    <t>NBBC0405SB</t>
  </si>
  <si>
    <t>Introdução às Equações Diferenciais Ordinárias B-Noturno (São Bernardo do Campo)</t>
  </si>
  <si>
    <t xml:space="preserve">quarta das 19:00 às 21:00, sala A1-S202-SB, semanal , sexta das 21:00 às 23:00, sala A1-S202-SB, semanal </t>
  </si>
  <si>
    <t>NABH1100SA</t>
  </si>
  <si>
    <t>BH1100</t>
  </si>
  <si>
    <t>Introdução às Políticas Públicas</t>
  </si>
  <si>
    <t>Introdução às Políticas Públicas A-Noturno (Santo André)</t>
  </si>
  <si>
    <t>OK - AMPLIADO 51</t>
  </si>
  <si>
    <t xml:space="preserve">quarta das 14:00 às 18:00, sala S - 209-0, semanal </t>
  </si>
  <si>
    <t>DABC1314SA</t>
  </si>
  <si>
    <t>BC1314</t>
  </si>
  <si>
    <t>Laboratório de Física Básica II</t>
  </si>
  <si>
    <t>Laboratório de Física Básica II A-diurno (Santo André)</t>
  </si>
  <si>
    <t>OK</t>
  </si>
  <si>
    <t xml:space="preserve">quinta das 10:00 às 13:00, sala 401-3, semanal </t>
  </si>
  <si>
    <t>NABC1314SA</t>
  </si>
  <si>
    <t>Laboratório de Física Básica II A-Noturno (Santo André)</t>
  </si>
  <si>
    <t xml:space="preserve">quinta das 18:00 às 21:00, sala 401-3, semanal </t>
  </si>
  <si>
    <t>NAEN2231SA</t>
  </si>
  <si>
    <t>EN2231</t>
  </si>
  <si>
    <t>Laboratório de Guiagem, Navegação e Controle</t>
  </si>
  <si>
    <t>Laboratório de Guiagem, Navegação e Controle A-Noturno (Santo André)</t>
  </si>
  <si>
    <t xml:space="preserve">terca das 19:00 às 21:00, sala 504-1, semanal , sexta das 21:00 às 23:00, sala 504-1, semanal </t>
  </si>
  <si>
    <t>DAEN3546SB</t>
  </si>
  <si>
    <t>EN3546</t>
  </si>
  <si>
    <t>Lógica em Sistemas de Gestão</t>
  </si>
  <si>
    <t>Lógica em Sistemas de Gestão A-diurno (São Bernardo do Campo)</t>
  </si>
  <si>
    <t xml:space="preserve">terca das 16:00 às 18:00, sala A1-S206-SB, semanal </t>
  </si>
  <si>
    <t>NAEN3546SB</t>
  </si>
  <si>
    <t>Lógica em Sistemas de Gestão A-Noturno (São Bernardo do Campo)</t>
  </si>
  <si>
    <t xml:space="preserve">terca das 19:00 às 21:00, sala A1-S206-SB, semanal </t>
  </si>
  <si>
    <t>DABH1134SB</t>
  </si>
  <si>
    <t>BH1134</t>
  </si>
  <si>
    <t>Macroeconomia II</t>
  </si>
  <si>
    <t>Macroeconomia II A-diurno (São Bernardo do Campo)</t>
  </si>
  <si>
    <t xml:space="preserve">segunda das 10:00 às 12:00, sala A1-S205-SB, quinzenal II, quarta das 08:00 às 10:00, sala A1-S205-SB, semanal </t>
  </si>
  <si>
    <t>NABH1134SB</t>
  </si>
  <si>
    <t>Macroeconomia II A-Noturno (São Bernardo do Campo)</t>
  </si>
  <si>
    <t xml:space="preserve">segunda das 21:00 às 23:00, sala A1-S205-SB, quinzenal II, quarta das 19:00 às 21:00, sala A1-S205-SB, semanal </t>
  </si>
  <si>
    <t>DAEN2711SA</t>
  </si>
  <si>
    <t>EN2711</t>
  </si>
  <si>
    <t>Máquinas Elétricas</t>
  </si>
  <si>
    <t>Máquinas Elétricas A-diurno (Santo André)</t>
  </si>
  <si>
    <t>terca das 15:00 às 18:00, sala S - 307-2, quinzenal I, quinta das 16:00 às 18:00, sala S - 307-2, quinzenal I</t>
  </si>
  <si>
    <t>terca das 15:00 às 18:00, sala 402-1, quinzenal II, quinta das 16:00 às 18:00, sala 402-1, quinzenal II</t>
  </si>
  <si>
    <t>NAEN2711SA</t>
  </si>
  <si>
    <t>Máquinas Elétricas A-Noturno (Santo André)</t>
  </si>
  <si>
    <t xml:space="preserve">quarta das 21:00 às 23:00, sala S - 209-0, quinzenal I, sexta das 18:00 às 21:00, sala S - 209-0, semanal </t>
  </si>
  <si>
    <t>quarta das 21:00 às 23:00, sala 402-1, quinzenal II</t>
  </si>
  <si>
    <t>DABC1437SA</t>
  </si>
  <si>
    <t>BC1437</t>
  </si>
  <si>
    <t>Matemática Discreta</t>
  </si>
  <si>
    <t>Matemática Discreta A-diurno (Santo André)</t>
  </si>
  <si>
    <t xml:space="preserve">quarta das 08:00 às 10:00, sala S - 301-3, semanal , sexta das 10:00 às 12:00, sala S - 301-3, semanal </t>
  </si>
  <si>
    <t>NABC1437SA</t>
  </si>
  <si>
    <t>Matemática Discreta A-Noturno (Santo André)</t>
  </si>
  <si>
    <t>Ampliar vagas para 67 – procurar nova sala</t>
  </si>
  <si>
    <t>ampliado - nova sala L604 - bloco B</t>
  </si>
  <si>
    <t xml:space="preserve">quarta das 19:00 às 21:00, sala S - 301-3, semanal , sexta das 21:00 às 23:00, sala S - 301-3, semanal </t>
  </si>
  <si>
    <t>DA1EN2813SA</t>
  </si>
  <si>
    <t>EN2813</t>
  </si>
  <si>
    <t>Materiais Cerâmicos</t>
  </si>
  <si>
    <t>Materiais Cerâmicos A1-diurno (Santo André)</t>
  </si>
  <si>
    <t>2a feira 8:00-10:00, sala 311-1, 4a feira 10:00-12:00, sala 311-1, quinzena I</t>
  </si>
  <si>
    <t>4a feira 10:00-12:00, lab 505-1, quinzena II</t>
  </si>
  <si>
    <t>NA1EN2813SA</t>
  </si>
  <si>
    <t>Materiais Cerâmicos A1-Noturno (Santo André)</t>
  </si>
  <si>
    <t>abrir nova turma de laboratório - ampliar vagas em teoria</t>
  </si>
  <si>
    <t>2a feira 19:00-21:00, sala 311-1, 4a feira 21:00-23:00, sala 311-1, quinzena I</t>
  </si>
  <si>
    <t>4a feira 21:00-23:00, lab 505-1, quinzena II</t>
  </si>
  <si>
    <t>DAEN2813SA</t>
  </si>
  <si>
    <t>Materiais Cerâmicos A-diurno (Santo André)</t>
  </si>
  <si>
    <t>aberto turma nova</t>
  </si>
  <si>
    <t>segunda das 08:00 às 10:00, sala S - 311-1, semanal , quarta das 10:00 às 12:00, sala S - 311-1, quinzenal II</t>
  </si>
  <si>
    <t>quarta das 10:00 às 12:00, sala 505-1, quinzenal I</t>
  </si>
  <si>
    <t>NAEN2813SA</t>
  </si>
  <si>
    <t>Materiais Cerâmicos A-Noturno (Santo André)</t>
  </si>
  <si>
    <t>segunda das 19:00 às 21:00, sala S - 311-1, semanal , quarta das 21:00 às 23:00, sala S - 311-1, quinzenal II</t>
  </si>
  <si>
    <t>quarta das 21:00 às 23:00, sala 505-1, quinzenal I</t>
  </si>
  <si>
    <t>DA1EN2814SA</t>
  </si>
  <si>
    <t>EN2814</t>
  </si>
  <si>
    <t>Materiais Compósitos</t>
  </si>
  <si>
    <t>Materiais Compósitos A1-diurno (Santo André)</t>
  </si>
  <si>
    <t>2a feira 10:00-12:00,sala 311-1, quinzena I, 5a feira 8:00-10:00, sala 311-1</t>
  </si>
  <si>
    <t>2a feira 10:00-12:00, lab 507-1, quinzena II</t>
  </si>
  <si>
    <t>NA1EN2814SA</t>
  </si>
  <si>
    <t>Materiais Compósitos A1-Noturno (Santo André)</t>
  </si>
  <si>
    <t>2a feira 21:00-23:00,sala 311-1, quinzena I, 5a feira 19:00-21:00, sala 311-1</t>
  </si>
  <si>
    <t>2a feira 21:00-23:00, lab 507-1, quinzena II</t>
  </si>
  <si>
    <t>DAEN2814SA</t>
  </si>
  <si>
    <t>Materiais Compósitos A-diurno (Santo André)</t>
  </si>
  <si>
    <t xml:space="preserve">segunda das 10:00 às 12:00, sala S - 311-1, quinzenal II, quinta das 08:00 às 10:00, sala S - 311-1, semanal </t>
  </si>
  <si>
    <t>segunda das 10:00 às 12:00, sala 507-1, quinzenal I</t>
  </si>
  <si>
    <t>NAEN2814SA</t>
  </si>
  <si>
    <t>Materiais Compósitos A-Noturno (Santo André)</t>
  </si>
  <si>
    <t xml:space="preserve">segunda das 21:00 às 23:00, sala S - 311-1, quinzenal II, quinta das 19:00 às 21:00, sala S - 311-1, semanal </t>
  </si>
  <si>
    <t>segunda das 21:00 às 23:00, sala 507-1, quinzenal I</t>
  </si>
  <si>
    <t>DAEN2230SB</t>
  </si>
  <si>
    <t>EN2230</t>
  </si>
  <si>
    <t>Materiais Compósitos e Aplicações Estruturais</t>
  </si>
  <si>
    <t>Materiais Compósitos e Aplicações Estruturais A-diurno (São Bernardo do Campo)</t>
  </si>
  <si>
    <t>ok ampliado - nova sala A2-S204-SB</t>
  </si>
  <si>
    <t xml:space="preserve">terca das 16:00 às 18:00, sala A2-S305-SB, semanal , quinta das 14:00 às 16:00, sala A2-S305-SB, semanal </t>
  </si>
  <si>
    <t>DABC1105SA</t>
  </si>
  <si>
    <t>BC1105</t>
  </si>
  <si>
    <t>Materiais e Suas Propriedades</t>
  </si>
  <si>
    <t>Materiais e Suas Propriedades A-diurno (Santo André)</t>
  </si>
  <si>
    <t>60 vagas</t>
  </si>
  <si>
    <t>OK - AMPLIADO 60 / TEM LABORATÓRIO</t>
  </si>
  <si>
    <t xml:space="preserve">terca das 10:00 às 12:00, sala S - 302-1, quinzenal II, quinta das 08:00 às 10:00, sala S - 302-1, semanal </t>
  </si>
  <si>
    <t>terca das 10:00 às 12:00, sala L702, quinzenal I</t>
  </si>
  <si>
    <t>DABC1105SB</t>
  </si>
  <si>
    <t>Materiais e Suas Propriedades A-diurno (São Bernardo do Campo)</t>
  </si>
  <si>
    <t xml:space="preserve">terca das 14:00 às 16:00, sala A2-S206-SB, quinzenal II, quinta das 16:00 às 18:00, sala A2-S206-SB, semanal </t>
  </si>
  <si>
    <t>terca das 14:00 às 16:00, sala A1-L306-SB, quinzenal I</t>
  </si>
  <si>
    <t>NABC1105SA</t>
  </si>
  <si>
    <t>Materiais e Suas Propriedades A-Noturno (Santo André)</t>
  </si>
  <si>
    <t xml:space="preserve">terca das 19:00 às 21:00, sala S - 302-1, quinzenal II, quinta das 21:00 às 23:00, sala S - 302-1, semanal </t>
  </si>
  <si>
    <t>terca das 19:00 às 21:00, sala L702, quinzenal I</t>
  </si>
  <si>
    <t>DBBC1105SA</t>
  </si>
  <si>
    <t>Materiais e Suas Propriedades B-diurno (Santo André)</t>
  </si>
  <si>
    <t xml:space="preserve">terca das 08:00 às 10:00, sala S - 302-1, quinzenal II, quinta das 10:00 às 12:00, sala S - 302-1, semanal </t>
  </si>
  <si>
    <t>terca das 08:00 às 10:00, sala L702, quinzenal I</t>
  </si>
  <si>
    <t>NBBC1105SA</t>
  </si>
  <si>
    <t>Materiais e Suas Propriedades B-Noturno (Santo André)</t>
  </si>
  <si>
    <t xml:space="preserve">terca das 21:00 às 23:00, sala S - 302-1, quinzenal II, quinta das 19:00 às 21:00, sala S - 302-1, semanal </t>
  </si>
  <si>
    <t>terca das 21:00 às 23:00, sala L702, quinzenal I</t>
  </si>
  <si>
    <t>DCBC1105SA</t>
  </si>
  <si>
    <t>Materiais e Suas Propriedades C-diurno (Santo André)</t>
  </si>
  <si>
    <t xml:space="preserve">terca das 16:00 às 18:00, sala S - 302-2, quinzenal II, quinta das 14:00 às 16:00, sala S - 302-2, semanal </t>
  </si>
  <si>
    <t>terca das 16:00 às 18:00, sala L702, quinzenal I</t>
  </si>
  <si>
    <t>DA1EN2811SA</t>
  </si>
  <si>
    <t>EN2811</t>
  </si>
  <si>
    <t>Materiais Metálicos</t>
  </si>
  <si>
    <t>Materiais Metálicos A1-diurno (Santo André)</t>
  </si>
  <si>
    <t>3a feira 8:00-10:00, sala 311-1, 5a feira 10:00-12:00, sala 311-1, quinzena II</t>
  </si>
  <si>
    <t>5a feira 10:00-12:00, lab 505-1, quinzena I</t>
  </si>
  <si>
    <t>NA1EN2811SA</t>
  </si>
  <si>
    <t>Materiais Metálicos A1-Noturno (Santo André)</t>
  </si>
  <si>
    <t>3a feira 19:00-21:00, sala 311-1, 5a feira 21:00-23:00, sala 311-1, quinzena I</t>
  </si>
  <si>
    <t>5a feira 21:00-23:00, lab 505-1, quinzena II</t>
  </si>
  <si>
    <t>DAEN2811SA</t>
  </si>
  <si>
    <t>Materiais Metálicos A-diurno (Santo André)</t>
  </si>
  <si>
    <t>terca das 08:00 às 10:00, sala S - 311-1, semanal , quinta das 10:00 às 12:00, sala S - 311-1, quinzenal I</t>
  </si>
  <si>
    <t>quinta das 10:00 às 12:00, sala 505-1, quinzenal I</t>
  </si>
  <si>
    <t>NAEN2811SA</t>
  </si>
  <si>
    <t>Materiais Metálicos A-Noturno (Santo André)</t>
  </si>
  <si>
    <t>terca das 19:00 às 21:00, sala S - 311-1, semanal , quinta das 21:00 às 23:00, sala S - 311-1, quinzenal II</t>
  </si>
  <si>
    <t>quinta das 21:00 às 23:00, sala 505-1, quinzenal I</t>
  </si>
  <si>
    <t>DA1EN2812SA</t>
  </si>
  <si>
    <t>EN2812</t>
  </si>
  <si>
    <t>Materiais Poliméricos</t>
  </si>
  <si>
    <t>Materiais Poliméricos A1-diurno (Santo André)</t>
  </si>
  <si>
    <t>3a feira 10:00-12:00, sala 311-1, 6a feira 8:00-10:00, sala 311-1, quinzena I</t>
  </si>
  <si>
    <t>6a feira 8:00-10:00, lab 507-1, quinzena II</t>
  </si>
  <si>
    <t>NA1EN2812SA</t>
  </si>
  <si>
    <t>Materiais Poliméricos A1-Noturno (Santo André)</t>
  </si>
  <si>
    <t>3a feira 21:00-23:00, sala 311-1, 6a feira 19:00-21:00, sala 311-1, quinzena I</t>
  </si>
  <si>
    <t>6a feira 19:00-21:00, lab 507-1, quinzena II</t>
  </si>
  <si>
    <t>DAEN2812SA</t>
  </si>
  <si>
    <t>Materiais Poliméricos A-diurno (Santo André)</t>
  </si>
  <si>
    <t>terca das 10:00 às 12:00, sala S - 311-1, semanal , sexta das 08:00 às 10:00, sala S - 311-1, quinzenal II</t>
  </si>
  <si>
    <t>sexta das 08:00 às 10:00, sala 507-1, quinzenal I</t>
  </si>
  <si>
    <t>NAEN2812SA</t>
  </si>
  <si>
    <t>Materiais Poliméricos A-Noturno (Santo André)</t>
  </si>
  <si>
    <t>terca das 21:00 às 23:00, sala S - 311-1, semanal , sexta das 19:00 às 21:00, sala S - 311-1, quinzenal II</t>
  </si>
  <si>
    <t>sexta das 19:00 às 21:00, sala 507-1, quinzenal I</t>
  </si>
  <si>
    <t>DANH2903SA</t>
  </si>
  <si>
    <t>Mecânica Analítica II</t>
  </si>
  <si>
    <t>Mecânica Analítica II A-diurno (Santo André)</t>
  </si>
  <si>
    <t xml:space="preserve">terca das 10:00 às 12:00, sala S - 309-3, semanal , quinta das 08:00 às 10:00, sala S - 309-3, semanal </t>
  </si>
  <si>
    <t>NANH2903SA</t>
  </si>
  <si>
    <t>NH2903</t>
  </si>
  <si>
    <t>Mecânica Analítica II A-Noturno (Santo André)</t>
  </si>
  <si>
    <t xml:space="preserve">terca das 19:00 às 21:00, sala S - 309-3, semanal , quinta das 21:00 às 23:00, sala S - 309-3, semanal </t>
  </si>
  <si>
    <t>DANH2703SA</t>
  </si>
  <si>
    <t>NH2703</t>
  </si>
  <si>
    <t>Mecânica Clássica</t>
  </si>
  <si>
    <t>Mecânica Clássica A-diurno (Santo André)</t>
  </si>
  <si>
    <t xml:space="preserve">segunda das 10:00 às 12:00, sala S - 310-3, semanal , quarta das 08:00 às 10:00, sala S - 310-3, semanal </t>
  </si>
  <si>
    <t>NANH2703SA</t>
  </si>
  <si>
    <t>Mecânica Clássica A-Noturno (Santo André)</t>
  </si>
  <si>
    <t xml:space="preserve">segunda das 19:00 às 21:00, sala S - 310-3, semanal , quarta das 21:00 às 23:00, sala S - 310-3, semanal </t>
  </si>
  <si>
    <t>DAEN2228SB</t>
  </si>
  <si>
    <t>EN2228</t>
  </si>
  <si>
    <t>Mecânica dos Fluidos Avançada</t>
  </si>
  <si>
    <t>Mecânica dos Fluidos Avançada A-diurno (São Bernardo do Campo)</t>
  </si>
  <si>
    <t>ok ampliado</t>
  </si>
  <si>
    <t xml:space="preserve">terca das 14:00 às 16:00, sala A2-S305-SB, semanal , quinta das 16:00 às 18:00, sala A2-S305-SB, semanal </t>
  </si>
  <si>
    <t xml:space="preserve">sexta das 14:00 às 16:00, sala A1-L303-SB, semanal </t>
  </si>
  <si>
    <t>NAEN2228SB</t>
  </si>
  <si>
    <t>Mecânica dos Fluidos Avançada A-Noturno (São Bernardo do Campo)</t>
  </si>
  <si>
    <t xml:space="preserve">terca das 19:00 às 21:00, sala A2-S305-SB, semanal , quinta das 21:00 às 23:00, sala A2-S305-SB, semanal </t>
  </si>
  <si>
    <t xml:space="preserve">sexta das 19:00 às 21:00, sala A1-L303-SB, semanal </t>
  </si>
  <si>
    <t>DABC1103SA</t>
  </si>
  <si>
    <t>BC1103</t>
  </si>
  <si>
    <t>Mecânica dos Fluidos I</t>
  </si>
  <si>
    <t>Mecânica dos Fluidos I A-diurno (Santo André)</t>
  </si>
  <si>
    <t xml:space="preserve">quarta das 08:00 às 10:00, sala S - 211-0, semanal , sexta das 10:00 às 12:00, sala S - 211-0, semanal </t>
  </si>
  <si>
    <t>NABC1103SA</t>
  </si>
  <si>
    <t>Mecânica dos Fluidos I A-Noturno (Santo André)</t>
  </si>
  <si>
    <t xml:space="preserve">quarta das 19:00 às 21:00, sala S - 211-0, semanal , sexta das 21:00 às 23:00, sala S - 211-0, semanal </t>
  </si>
  <si>
    <t>NABC1103SB</t>
  </si>
  <si>
    <t>Mecânica dos Fluidos I A-Noturno (São Bernardo do Campo)</t>
  </si>
  <si>
    <t xml:space="preserve">quarta das 21:00 às 23:00, sala A2-S103-SB, semanal , sexta das 19:00 às 21:00, sala A2-S103-SB, semanal </t>
  </si>
  <si>
    <t>DABC1104SA</t>
  </si>
  <si>
    <t>BC1104</t>
  </si>
  <si>
    <t>Mecânica dos Sólidos</t>
  </si>
  <si>
    <t>Mecânica dos Sólidos A-diurno (Santo André)</t>
  </si>
  <si>
    <t xml:space="preserve">quarta das 08:00 às 10:00, sala S - 212-0, semanal , sexta das 10:00 às 12:00, sala S - 212-0, semanal </t>
  </si>
  <si>
    <t>NABC1104SA</t>
  </si>
  <si>
    <t>Mecânica dos Sólidos A-Noturno (Santo André)</t>
  </si>
  <si>
    <t xml:space="preserve">quarta das 21:00 às 23:00, sala A - 105-0, semanal , sexta das 19:00 às 21:00, sala A - 113-0, semanal </t>
  </si>
  <si>
    <t>NABC1104SB</t>
  </si>
  <si>
    <t>Mecânica dos Sólidos A-Noturno (São Bernardo do Campo)</t>
  </si>
  <si>
    <t xml:space="preserve">quarta das 19:00 às 21:00, sala A2-S203-SB, semanal , sexta das 21:00 às 23:00, sala A2-S203-SB, semanal </t>
  </si>
  <si>
    <t>DABH1403SB</t>
  </si>
  <si>
    <t>BH1403</t>
  </si>
  <si>
    <t>Metodologia</t>
  </si>
  <si>
    <t>Metodologia A-diurno (São Bernardo do Campo)</t>
  </si>
  <si>
    <t xml:space="preserve">terca das 10:00 às 12:00, sala A2-S204-SB, semanal , quinta das 08:00 às 10:00, sala A2-S204-SB, semanal </t>
  </si>
  <si>
    <t>NABH1403SB</t>
  </si>
  <si>
    <t>Metodologia A-Noturno (São Bernardo do Campo)</t>
  </si>
  <si>
    <t xml:space="preserve">terca das 21:00 às 23:00, sala A1-S205-SB, semanal , quinta das 19:00 às 21:00, sala A1-S205-SB, semanal </t>
  </si>
  <si>
    <t>DAEN2224SA</t>
  </si>
  <si>
    <t>EN2224</t>
  </si>
  <si>
    <t>Métodos Computacionais para Análise Estrutural</t>
  </si>
  <si>
    <t>Métodos Computacionais para Análise Estrutural A-diurno (Santo André)</t>
  </si>
  <si>
    <t>segunda das 08:00 às 10:00, sala S - 307-1, semanal , quarta das 10:00 às 12:00, sala S - 307-1, quinzenal II</t>
  </si>
  <si>
    <t>quarta das 10:00 às 12:00, sala 504-1, quinzenal I</t>
  </si>
  <si>
    <t>DANH2030SA</t>
  </si>
  <si>
    <t>NH2030</t>
  </si>
  <si>
    <t>Métodos da Mecânica Quântica</t>
  </si>
  <si>
    <t>Métodos da Mecânica Quântica A-diurno (Santo André)</t>
  </si>
  <si>
    <t xml:space="preserve">terca das 08:00 às 10:00, sala S - 309-3, semanal , quinta das 10:00 às 12:00, sala S - 309-3, semanal </t>
  </si>
  <si>
    <t>DABH1350SB</t>
  </si>
  <si>
    <t>BH1350</t>
  </si>
  <si>
    <t>Métodos e Técnicas de Análise de Informação para o Planejamento</t>
  </si>
  <si>
    <t>Métodos e Técnicas de Análise de Informação para o Planejamento A-diurno (São Bernardo do Campo)</t>
  </si>
  <si>
    <t xml:space="preserve">terca das 08:00 às 10:00, sala A2-L002-SB, semanal , quinta das 10:00 às 12:00, sala A2-L002-SB, semanal </t>
  </si>
  <si>
    <t>NABH1350SB</t>
  </si>
  <si>
    <t>Métodos e Técnicas de Análise de Informação para o Planejamento A-Noturno (São Bernardo do Campo)</t>
  </si>
  <si>
    <t xml:space="preserve">terca das 19:00 às 21:00, sala A2-L002-SB, semanal , quinta das 21:00 às 23:00, sala A2-L002-SB, semanal </t>
  </si>
  <si>
    <t>DA1BC1707SA</t>
  </si>
  <si>
    <t>BC1707</t>
  </si>
  <si>
    <t>Métodos Experimentais em Engenharia</t>
  </si>
  <si>
    <t>Métodos Experimentais em Engenharia A1-diurno (Santo André)</t>
  </si>
  <si>
    <t xml:space="preserve">terca das 10:00 às 13:00,semanal </t>
  </si>
  <si>
    <t>DABC1707SA</t>
  </si>
  <si>
    <t>Métodos Experimentais em Engenharia A-diurno (Santo André)</t>
  </si>
  <si>
    <t xml:space="preserve">terca das 10:00 às 13:00, sala L706, semanal </t>
  </si>
  <si>
    <t>NABC1707SA</t>
  </si>
  <si>
    <t>Métodos Experimentais em Engenharia A-Noturno (Santo André)</t>
  </si>
  <si>
    <t xml:space="preserve">terca das 18:00 às 21:00, sala L701, semanal </t>
  </si>
  <si>
    <t>DBBC1707SA</t>
  </si>
  <si>
    <t>Métodos Experimentais em Engenharia B-diurno (Santo André)</t>
  </si>
  <si>
    <t xml:space="preserve">terca das 14:00 às 17:00, sala L701, semanal </t>
  </si>
  <si>
    <t>NBBC1707SA</t>
  </si>
  <si>
    <t>Métodos Experimentais em Engenharia B-Noturno (Santo André)</t>
  </si>
  <si>
    <t xml:space="preserve">quinta das 18:00 às 21:00, sala L706, semanal </t>
  </si>
  <si>
    <t>DCBC1707SA</t>
  </si>
  <si>
    <t>Métodos Experimentais em Engenharia C-diurno (Santo André)</t>
  </si>
  <si>
    <t xml:space="preserve">quinta das 14:00 às 17:00, sala L706, semanal </t>
  </si>
  <si>
    <t>DDBC1707SA</t>
  </si>
  <si>
    <t>Métodos Experimentais em Engenharia D-diurno (Santo André)</t>
  </si>
  <si>
    <t xml:space="preserve">quinta das 10:00 às 13:00, sala L706, semanal </t>
  </si>
  <si>
    <t>DE1BC1707SA</t>
  </si>
  <si>
    <t>Métodos Experimentais em Engenharia E1-diurno (Santo André)</t>
  </si>
  <si>
    <t xml:space="preserve">quarta das 14:00 às 17:00, sala L701, semanal </t>
  </si>
  <si>
    <t>DE2BC1707SA</t>
  </si>
  <si>
    <t>Métodos Experimentais em Engenharia E2-diurno (Santo André)</t>
  </si>
  <si>
    <t xml:space="preserve">quarta das 14:00 às 17:00, sala L702, semanal </t>
  </si>
  <si>
    <t>DAEN2318SB</t>
  </si>
  <si>
    <t>EN2318</t>
  </si>
  <si>
    <t>Métodos Matemáticos Aplicados a Sistemas Biomédicos</t>
  </si>
  <si>
    <t>Métodos Matemáticos Aplicados a Sistemas Biomédicos A-diurno (São Bernardo do Campo)</t>
  </si>
  <si>
    <t xml:space="preserve">segunda das 10:00 às 12:00, sala A2-S205-SB, semanal , quarta das 08:00 às 10:00, sala A2-S205-SB, semanal , sexta das 10:00 às 12:00, sala A2-S205-SB, semanal </t>
  </si>
  <si>
    <t>NAEN2318SB</t>
  </si>
  <si>
    <t>Métodos Matemáticos Aplicados a Sistemas Biomédicos A-Noturno (São Bernardo do Campo)</t>
  </si>
  <si>
    <t xml:space="preserve">segunda das 21:00 às 23:00, sala A2-S205-SB, semanal , quarta das 19:00 às 21:00, sala A2-S205-SB, semanal , sexta das 21:00 às 23:00, sala A2-S205-SB, semanal </t>
  </si>
  <si>
    <t>DABH1133SB</t>
  </si>
  <si>
    <t>BH1133</t>
  </si>
  <si>
    <t>Microeconomia II</t>
  </si>
  <si>
    <t>Microeconomia II A-diurno (São Bernardo do Campo)</t>
  </si>
  <si>
    <t xml:space="preserve">terca das 08:00 às 10:00, sala A2-S204-SB, semanal , quinta das 10:00 às 12:00, sala A2-S204-SB, semanal </t>
  </si>
  <si>
    <t>NABH1133SB</t>
  </si>
  <si>
    <t>Microeconomia II A-Noturno (São Bernardo do Campo)</t>
  </si>
  <si>
    <t xml:space="preserve">terca das 19:00 às 21:00, sala A1-S205-SB, semanal , quinta das 21:00 às 23:00, sala A1-S205-SB, semanal </t>
  </si>
  <si>
    <t>NANH2332SA</t>
  </si>
  <si>
    <t>NH2332</t>
  </si>
  <si>
    <t>Microscopia Eletrônica</t>
  </si>
  <si>
    <t>Microscopia Eletrônica A-Noturno (Santo André)</t>
  </si>
  <si>
    <t xml:space="preserve">quarta das 21:00 às 23:00, sala S - 309-3, semanal </t>
  </si>
  <si>
    <t xml:space="preserve">segunda das 19:00 às 21:00, sala 401-3, semanal </t>
  </si>
  <si>
    <t>DAEN2322SB</t>
  </si>
  <si>
    <t>EN2322</t>
  </si>
  <si>
    <t>Modelagem e Simulação de Sistemas Biomédicos</t>
  </si>
  <si>
    <t>Modelagem e Simulação de Sistemas Biomédicos A-diurno (São Bernardo do Campo)</t>
  </si>
  <si>
    <t xml:space="preserve">segunda das 08:00 às 10:00, sala A2-L003-SB, semanal , quarta das 10:00 às 12:00, sala A2-L003-SB, semanal </t>
  </si>
  <si>
    <t>NAEN2322SB</t>
  </si>
  <si>
    <t>Modelagem e Simulação de Sistemas Biomédicos A-Noturno (São Bernardo do Campo)</t>
  </si>
  <si>
    <t xml:space="preserve">segunda das 19:00 às 21:00, sala A2-L003-SB, semanal , quarta das 21:00 às 23:00, sala A2-L003-SB, semanal </t>
  </si>
  <si>
    <t>DAEN3556SB</t>
  </si>
  <si>
    <t>EN3556</t>
  </si>
  <si>
    <t>Modelos e Ferramentas de Gestão Ambiental</t>
  </si>
  <si>
    <t>Modelos e Ferramentas de Gestão Ambiental A-diurno (São Bernardo do Campo)</t>
  </si>
  <si>
    <t xml:space="preserve">quarta das 10:00 às 13:00, sala A1-S206-SB, semanal </t>
  </si>
  <si>
    <t>NAEN3556SB</t>
  </si>
  <si>
    <t>Modelos e Ferramentas de Gestão Ambiental A-Noturno (São Bernardo do Campo)</t>
  </si>
  <si>
    <t xml:space="preserve">segunda das 18:00 às 21:00, sala A2-S208-SB, semanal </t>
  </si>
  <si>
    <t>DABH1330SB</t>
  </si>
  <si>
    <t>BH1330</t>
  </si>
  <si>
    <t>Modelos Econômicos e Análise das Dinâmicas Territoriais</t>
  </si>
  <si>
    <t>Modelos Econômicos e Análise das Dinâmicas Territoriais A-diurno (São Bernardo do Campo)</t>
  </si>
  <si>
    <t xml:space="preserve">segunda das 08:00 às 10:00, sala A2-S205-SB, semanal , terca das 10:00 às 12:00, sala A2-S205-SB, semanal </t>
  </si>
  <si>
    <t>NABH1330SB</t>
  </si>
  <si>
    <t>Modelos Econômicos e Análise das Dinâmicas Territoriais A-Noturno (São Bernardo do Campo)</t>
  </si>
  <si>
    <t xml:space="preserve">segunda das 19:00 às 21:00, sala A2-S204-SB, semanal , terca das 21:00 às 23:00, sala A2-S204-SB, semanal </t>
  </si>
  <si>
    <t>DAEN3549SB</t>
  </si>
  <si>
    <t>EN3549</t>
  </si>
  <si>
    <t>Negociação e Solução de Conflitos Organizacionais</t>
  </si>
  <si>
    <t>Negociação e Solução de Conflitos Organizacionais A-diurno (São Bernardo do Campo)</t>
  </si>
  <si>
    <t xml:space="preserve">sabado das 08:00 às 12:00, sala A2-S202-SB, semanal </t>
  </si>
  <si>
    <t>DABC1306SA</t>
  </si>
  <si>
    <t>BC1306</t>
  </si>
  <si>
    <t>Noções de Astronomia e Cosmologia</t>
  </si>
  <si>
    <t>Noções de Astronomia e Cosmologia A-diurno (Santo André)</t>
  </si>
  <si>
    <t xml:space="preserve">segunda das 16:00 às 18:00, sala S - 308-3, semanal , quarta das 14:00 às 16:00, sala S - 308-3, semanal </t>
  </si>
  <si>
    <t>NABC1306SA</t>
  </si>
  <si>
    <t>Noções de Astronomia e Cosmologia A-Noturno (Santo André)</t>
  </si>
  <si>
    <t xml:space="preserve">terca das 21:00 às 23:00, sala S - 308-3, semanal , sexta das 19:00 às 21:00, sala S - 308-3, semanal </t>
  </si>
  <si>
    <t>DABH1355SB</t>
  </si>
  <si>
    <t>BH1355</t>
  </si>
  <si>
    <t>Oficina de Planejamento Urbano</t>
  </si>
  <si>
    <t>Oficina de Planejamento Urbano A-diurno (São Bernardo do Campo)</t>
  </si>
  <si>
    <t xml:space="preserve">terca das 08:00 às 12:00, sala A2-S311-SB, semanal </t>
  </si>
  <si>
    <t>NABH1355SB</t>
  </si>
  <si>
    <t>Oficina de Planejamento Urbano A-Noturno (São Bernardo do Campo)</t>
  </si>
  <si>
    <t xml:space="preserve">quinta das 19:00 às 23:00, sala A2-S311-SB, semanal </t>
  </si>
  <si>
    <t>NAEN2409SA</t>
  </si>
  <si>
    <t>EN2409</t>
  </si>
  <si>
    <t>Operação de Sistemas Elétricos de Potência</t>
  </si>
  <si>
    <t>Operação de Sistemas Elétricos de Potência A-Noturno (Santo André)</t>
  </si>
  <si>
    <t xml:space="preserve">segunda das 21:00 às 23:00, sala S - 307-2, semanal , quarta das 19:00 às 21:00, sala S - 307-2, semanal </t>
  </si>
  <si>
    <t>NAEN3421SA</t>
  </si>
  <si>
    <t>EN3421</t>
  </si>
  <si>
    <t>Operações e Equipamentos Industriais I</t>
  </si>
  <si>
    <t>Operações e Equipamentos Industriais I A-Noturno (Santo André)</t>
  </si>
  <si>
    <t xml:space="preserve">segunda das 21:00 às 23:00, sala S - 308-1, semanal , quarta das 19:00 às 21:00, sala S - 308-1, semanal </t>
  </si>
  <si>
    <t>NAEN3422SA</t>
  </si>
  <si>
    <t>EN3422</t>
  </si>
  <si>
    <t>Operações e Equipamentos Industriais II</t>
  </si>
  <si>
    <t>Operações e Equipamentos Industriais II A-Noturno (Santo André)</t>
  </si>
  <si>
    <t xml:space="preserve">segunda das 19:00 às 21:00, sala S - 308-1, semanal , quarta das 21:00 às 23:00, sala S - 308-1, semanal </t>
  </si>
  <si>
    <t>DANH3106SA</t>
  </si>
  <si>
    <t>Operações Unitárias II</t>
  </si>
  <si>
    <t>Operações Unitárias II A-diurno (Santo André)</t>
  </si>
  <si>
    <t>cancelada</t>
  </si>
  <si>
    <t xml:space="preserve">segunda das 08:00 às 10:00, sala L604, semanal , terca das 10:00 às 12:00, sala L604, semanal </t>
  </si>
  <si>
    <t>NANH3106SA</t>
  </si>
  <si>
    <t>NH3106</t>
  </si>
  <si>
    <t>Operações Unitárias II A-Noturno (Santo André)</t>
  </si>
  <si>
    <t xml:space="preserve">segunda das 19:00 às 21:00, sala S - 209-0, semanal , terca das 21:00 às 23:00, sala S - 209-0, semanal </t>
  </si>
  <si>
    <t>DAEN3717SA</t>
  </si>
  <si>
    <t>EN3717</t>
  </si>
  <si>
    <t>Optoeletrônica</t>
  </si>
  <si>
    <t>Optoeletrônica A-diurno (Santo André)</t>
  </si>
  <si>
    <t>terca das 14:00 às 16:00, sala S - 306-1, semanal , quinta das 16:00 às 18:00, sala S - 306-1, quinzenal II</t>
  </si>
  <si>
    <t>quinta das 16:00 às 18:00, sala 406-1, quinzenal I</t>
  </si>
  <si>
    <t>NAEN3717SA</t>
  </si>
  <si>
    <t>Optoeletrônica A-Noturno (Santo André)</t>
  </si>
  <si>
    <t>terca das 19:00 às 21:00, sala S - 305-1, semanal , quinta das 21:00 às 23:00, sala S - 305-1, quinzenal II</t>
  </si>
  <si>
    <t>quinta das 21:00 às 23:00, sala 406-1, quinzenal I</t>
  </si>
  <si>
    <t>DA1BC0304SA</t>
  </si>
  <si>
    <t>BC0304</t>
  </si>
  <si>
    <t>Origem da Vida e Diversidade dos Seres Vivos</t>
  </si>
  <si>
    <t>Origem da Vida e Diversidade dos Seres Vivos A1-diurno (Santo André)</t>
  </si>
  <si>
    <t>quarta das 10:00 às 12:00, sala S - 204-0, semanal , sexta das 08:00 às 10:00, sala S - 204-0, quinzenal I</t>
  </si>
  <si>
    <t>DA1BC0304SB</t>
  </si>
  <si>
    <t>Origem da Vida e Diversidade dos Seres Vivos A1-diurno (São Bernardo do Campo)</t>
  </si>
  <si>
    <t>quarta das 10:00 às 12:00, sala A2-S105-SB, semanal , sexta das 08:00 às 10:00, sala A2-S105-SB, quinzenal I</t>
  </si>
  <si>
    <t>NA1BC0304SA</t>
  </si>
  <si>
    <t>Origem da Vida e Diversidade dos Seres Vivos A1-Noturno (Santo André)</t>
  </si>
  <si>
    <t>ALRERADO VAGAS DE INGRESSANTES PARA 90</t>
  </si>
  <si>
    <t>quarta das 21:00 às 23:00, sala S - 204-0, semanal , sexta das 19:00 às 21:00, sala S - 204-0, quinzenal I</t>
  </si>
  <si>
    <t>NA1BC0304SB</t>
  </si>
  <si>
    <t>Origem da Vida e Diversidade dos Seres Vivos A1-Noturno (São Bernardo do Campo)</t>
  </si>
  <si>
    <t>quarta das 21:00 às 23:00, sala A2-S105-SB, semanal , sexta das 19:00 às 21:00, sala A2-S105-SB, quinzenal I</t>
  </si>
  <si>
    <t>DA2BC0304SA</t>
  </si>
  <si>
    <t>Origem da Vida e Diversidade dos Seres Vivos A2-diurno (Santo André)</t>
  </si>
  <si>
    <t>quarta das 10:00 às 12:00, sala S - 205-0, semanal , sexta das 08:00 às 10:00, sala S - 205-0, quinzenal I</t>
  </si>
  <si>
    <t>DA2BC0304SB</t>
  </si>
  <si>
    <t>Origem da Vida e Diversidade dos Seres Vivos A2-diurno (São Bernardo do Campo)</t>
  </si>
  <si>
    <t>quarta das 10:00 às 12:00, sala A2-S102-SB, semanal , sexta das 08:00 às 10:00, sala A2-S102-SB, quinzenal I</t>
  </si>
  <si>
    <t>NA2BC0304SA</t>
  </si>
  <si>
    <t>Origem da Vida e Diversidade dos Seres Vivos A2-Noturno (Santo André)</t>
  </si>
  <si>
    <t>quarta das 21:00 às 23:00, sala S - 205-0, semanal , sexta das 19:00 às 21:00, sala S - 205-0, quinzenal I</t>
  </si>
  <si>
    <t>NA2BC0304SB</t>
  </si>
  <si>
    <t>Origem da Vida e Diversidade dos Seres Vivos A2-Noturno (São Bernardo do Campo)</t>
  </si>
  <si>
    <t>quarta das 21:00 às 23:00, sala A2-S201-SB, semanal , sexta das 19:00 às 21:00, sala A2-S201-SB, quinzenal I</t>
  </si>
  <si>
    <t>DA3BC0304SA</t>
  </si>
  <si>
    <t>Origem da Vida e Diversidade dos Seres Vivos A3-diurno (Santo André)</t>
  </si>
  <si>
    <t>quarta das 10:00 às 12:00, sala S - 206-0, semanal , sexta das 08:00 às 10:00, sala S - 206-0, quinzenal I</t>
  </si>
  <si>
    <t>NA3BC0304SA</t>
  </si>
  <si>
    <t>Origem da Vida e Diversidade dos Seres Vivos A3-Noturno (Santo André)</t>
  </si>
  <si>
    <t>ALRERADO VAGAS DE INGRESSANTES PARA 89</t>
  </si>
  <si>
    <t>quarta das 21:00 às 23:00, sala S - 206-0, semanal , sexta das 19:00 às 21:00, sala S - 206-0, quinzenal I</t>
  </si>
  <si>
    <t>DB1BC0304SA</t>
  </si>
  <si>
    <t>Origem da Vida e Diversidade dos Seres Vivos B1-diurno (Santo André)</t>
  </si>
  <si>
    <t>quarta das 08:00 às 10:00, sala S - 208-0, semanal , sexta das 10:00 às 12:00, sala S - 208-0, quinzenal I</t>
  </si>
  <si>
    <t>NB1BC0304SA</t>
  </si>
  <si>
    <t>Origem da Vida e Diversidade dos Seres Vivos B1-Noturno (Santo André)</t>
  </si>
  <si>
    <t>quarta das 19:00 às 21:00, sala S - 208-0, semanal , sexta das 21:00 às 23:00, sala S - 208-0, quinzenal I</t>
  </si>
  <si>
    <t>DB2BC0304SA</t>
  </si>
  <si>
    <t>Origem da Vida e Diversidade dos Seres Vivos B2-diurno (Santo André)</t>
  </si>
  <si>
    <t>quarta das 08:00 às 10:00, sala S - 213-0, semanal , sexta das 10:00 às 12:00, sala S - 213-0, quinzenal I</t>
  </si>
  <si>
    <t>NB2BC0304SA</t>
  </si>
  <si>
    <t>Origem da Vida e Diversidade dos Seres Vivos B2-Noturno (Santo André)</t>
  </si>
  <si>
    <t>quarta das 19:00 às 21:00, sala S - 213-0, semanal , sexta das 21:00 às 23:00, sala S - 213-0, quinzenal I</t>
  </si>
  <si>
    <t>DB3BC0304SA</t>
  </si>
  <si>
    <t>Origem da Vida e Diversidade dos Seres Vivos B3-diurno (Santo André)</t>
  </si>
  <si>
    <t>quarta das 08:00 às 10:00, sala S - 214-0, semanal , sexta das 10:00 às 12:00, sala S - 214-0, quinzenal I</t>
  </si>
  <si>
    <t>NB3BC0304SA</t>
  </si>
  <si>
    <t>Origem da Vida e Diversidade dos Seres Vivos B3-Noturno (Santo André)</t>
  </si>
  <si>
    <t>quarta das 19:00 às 21:00, sala S - 214-0, semanal , sexta das 21:00 às 23:00, sala S - 214-0, quinzenal I</t>
  </si>
  <si>
    <t>DBBC0304SB</t>
  </si>
  <si>
    <t>Origem da Vida e Diversidade dos Seres Vivos B-diurno (São Bernardo do Campo)</t>
  </si>
  <si>
    <t>quarta das 08:00 às 10:00, sala A2-S102-SB, semanal , sexta das 10:00 às 12:00, sala A2-S102-SB, quinzenal I</t>
  </si>
  <si>
    <t>NBBC0304SB</t>
  </si>
  <si>
    <t>Origem da Vida e Diversidade dos Seres Vivos B-Noturno (São Bernardo do Campo)</t>
  </si>
  <si>
    <t>quarta das 19:00 às 21:00, sala A2-S105-SB, semanal , sexta das 21:00 às 23:00, sala A2-S105-SB, quinzenal I</t>
  </si>
  <si>
    <t>DAMC8001SB</t>
  </si>
  <si>
    <t>MC8001</t>
  </si>
  <si>
    <t>Patologias do Sistema Nervoso Central</t>
  </si>
  <si>
    <t>Patologias do Sistema Nervoso Central A-diurno (São Bernardo do Campo)</t>
  </si>
  <si>
    <t xml:space="preserve">quarta das 10:00 às 12:00, sala A1-S105-SB, semanal , sexta das 08:00 às 10:00, sala A1-S105-SB, semanal </t>
  </si>
  <si>
    <t>NAMC8001SB</t>
  </si>
  <si>
    <t>Patologias do Sistema Nervoso Central A-Noturno (São Bernardo do Campo)</t>
  </si>
  <si>
    <t xml:space="preserve">quarta das 21:00 às 23:00, sala A1-S105-SB, semanal , sexta das 19:00 às 21:00, sala A1-S105-SB, semanal </t>
  </si>
  <si>
    <t>DACS3410SB</t>
  </si>
  <si>
    <t>CS3410</t>
  </si>
  <si>
    <t>Patrimônio Cultural e Paisagem</t>
  </si>
  <si>
    <t>Patrimônio Cultural e Paisagem A-diurno (São Bernardo do Campo)</t>
  </si>
  <si>
    <t xml:space="preserve">segunda das 08:00 às 12:00, sala A2-S311-SB, semanal </t>
  </si>
  <si>
    <t>NACS3410SB</t>
  </si>
  <si>
    <t>Patrimônio Cultural e Paisagem A-Noturno (São Bernardo do Campo)</t>
  </si>
  <si>
    <t xml:space="preserve">segunda das 19:00 às 23:00, sala A2-S311-SB, semanal </t>
  </si>
  <si>
    <t>DABH0103SB</t>
  </si>
  <si>
    <t>BH0103</t>
  </si>
  <si>
    <t>Pensamento Econômico</t>
  </si>
  <si>
    <t>Pensamento Econômico A-diurno (São Bernardo do Campo)</t>
  </si>
  <si>
    <t xml:space="preserve">quarta das 10:00 às 12:00, sala A2-S104-SB, semanal , sexta das 08:00 às 10:00, sala A2-S104-SB, semanal </t>
  </si>
  <si>
    <t>NABH0103SB</t>
  </si>
  <si>
    <t>Pensamento Econômico A-Noturno (São Bernardo do Campo)</t>
  </si>
  <si>
    <t xml:space="preserve">quarta das 21:00 às 23:00, sala A2-S104-SB, semanal , sexta das 19:00 às 21:00, sala A2-S104-SB, semanal </t>
  </si>
  <si>
    <t>DBBH0103SB</t>
  </si>
  <si>
    <t>Pensamento Econômico B-diurno (São Bernardo do Campo)</t>
  </si>
  <si>
    <t xml:space="preserve">quarta das 08:00 às 10:00, sala A2-S103-SB, semanal , sexta das 10:00 às 12:00, sala A2-S103-SB, semanal </t>
  </si>
  <si>
    <t>NBBH0103SB</t>
  </si>
  <si>
    <t>Pensamento Econômico B-Noturno (São Bernardo do Campo)</t>
  </si>
  <si>
    <t xml:space="preserve">quarta das 19:00 às 21:00, sala A2-S103-SB, semanal , sexta das 21:00 às 23:00, sala A2-S103-SB, semanal </t>
  </si>
  <si>
    <t>DACS3101SB</t>
  </si>
  <si>
    <t>CS3101</t>
  </si>
  <si>
    <t>Pensamento Latino-Americano e Políticas de CTI</t>
  </si>
  <si>
    <t>Pensamento Latino-Americano e Políticas de CTI A-diurno (São Bernardo do Campo)</t>
  </si>
  <si>
    <t xml:space="preserve">sexta das 08:00 às 12:00, sala A2-S304-SB, semanal </t>
  </si>
  <si>
    <t>DAMC8300SB</t>
  </si>
  <si>
    <t>MC8300</t>
  </si>
  <si>
    <t>Pesquisa e Comunicação Científica</t>
  </si>
  <si>
    <t>Pesquisa e Comunicação Científica A-diurno (São Bernardo do Campo)</t>
  </si>
  <si>
    <t>OK - AMPLIADO 47 / NOVA SALA A2-S206-SB</t>
  </si>
  <si>
    <t xml:space="preserve">terca das 10:00 às 12:00, sala A1-S105-SB, semanal </t>
  </si>
  <si>
    <t>NAMC8300SB</t>
  </si>
  <si>
    <t>Pesquisa e Comunicação Científica A-Noturno (São Bernardo do Campo)</t>
  </si>
  <si>
    <t>OK - AMPLIADO 80 / NOVA SALA A1-S202-SB</t>
  </si>
  <si>
    <t xml:space="preserve">segunda das 21:00 às 23:00, sala A1-S105-SB, semanal </t>
  </si>
  <si>
    <t>DAEN2531SB</t>
  </si>
  <si>
    <t>EN2531</t>
  </si>
  <si>
    <t>Pesquisa Operacional</t>
  </si>
  <si>
    <t>Pesquisa Operacional A-diurno (São Bernardo do Campo)</t>
  </si>
  <si>
    <t xml:space="preserve">segunda das 08:00 às 10:00, sala A2-S202-SB, semanal , quarta das 08:00 às 12:00, sala A2-S202-SB, semanal </t>
  </si>
  <si>
    <t>DABH1356SB</t>
  </si>
  <si>
    <t>BH1356</t>
  </si>
  <si>
    <t>Planejamento e Política Ambiental</t>
  </si>
  <si>
    <t>Planejamento e Política Ambiental A-diurno (São Bernardo do Campo)</t>
  </si>
  <si>
    <t xml:space="preserve">sexta das 08:00 às 12:00, sala A2-S001-SB, semanal </t>
  </si>
  <si>
    <t>NABH1356SB</t>
  </si>
  <si>
    <t>Planejamento e Política Ambiental A-Noturno (São Bernardo do Campo)</t>
  </si>
  <si>
    <t xml:space="preserve">quarta das 19:00 às 23:00, sala A2-S001-SB, semanal </t>
  </si>
  <si>
    <t>DABH1357SB</t>
  </si>
  <si>
    <t>BH1357</t>
  </si>
  <si>
    <t>Planejamento e Política Regional</t>
  </si>
  <si>
    <t>Planejamento e Política Regional A-diurno (São Bernardo do Campo)</t>
  </si>
  <si>
    <t xml:space="preserve">quarta das 08:00 às 12:00, sala A2-S311-SB, semanal </t>
  </si>
  <si>
    <t>NABH1357SB</t>
  </si>
  <si>
    <t>Planejamento e Política Regional A-Noturno (São Bernardo do Campo)</t>
  </si>
  <si>
    <t xml:space="preserve">sexta das 19:00 às 23:00, sala A2-S311-SB, semanal </t>
  </si>
  <si>
    <t>DABH1359SB</t>
  </si>
  <si>
    <t>BH1359</t>
  </si>
  <si>
    <t>Política Metropolitana</t>
  </si>
  <si>
    <t>Política Metropolitana A-diurno (São Bernardo do Campo)</t>
  </si>
  <si>
    <t xml:space="preserve">quinta das 08:00 às 12:00, sala A2-S311-SB, semanal </t>
  </si>
  <si>
    <t>NABH1359SB</t>
  </si>
  <si>
    <t>Política Metropolitana A-Noturno (São Bernardo do Campo)</t>
  </si>
  <si>
    <t>OK - AMPLIADO 30</t>
  </si>
  <si>
    <t xml:space="preserve">terca das 19:00 às 23:00, sala A2-S311-SB, semanal </t>
  </si>
  <si>
    <t>DABH1128SB</t>
  </si>
  <si>
    <t>BH1128</t>
  </si>
  <si>
    <t>Políticas Públicas Sul-Americanas</t>
  </si>
  <si>
    <t>Políticas Públicas Sul-Americanas A-diurno (São Bernardo do Campo)</t>
  </si>
  <si>
    <t xml:space="preserve">terca das 10:00 às 12:00, sala A2-S304-SB, semanal , quinta das 08:00 às 10:00, sala A2-S304-SB, semanal </t>
  </si>
  <si>
    <t>NABH1128SB</t>
  </si>
  <si>
    <t>Políticas Públicas Sul-Americanas A-Noturno (São Bernardo do Campo)</t>
  </si>
  <si>
    <t xml:space="preserve">terca das 21:00 às 23:00, sala A2-S304-SB, semanal , quinta das 19:00 às 21:00, sala A2-S304-SB, semanal </t>
  </si>
  <si>
    <t>DAMCZA038-14SA</t>
  </si>
  <si>
    <t>MCZA038-14</t>
  </si>
  <si>
    <t>Prática Avançada de Programação A</t>
  </si>
  <si>
    <t>Prática Avançada de Programação A A-diurno (Santo André)</t>
  </si>
  <si>
    <t>Outros: mudar reserva para L409-2</t>
  </si>
  <si>
    <t>alterado somente na sexta feira para o lab 409-2</t>
  </si>
  <si>
    <t xml:space="preserve">terca das 10:00 às 12:00, sala 407-2, semanal , sexta das 08:00 às 10:00, sala 407-2, semanal </t>
  </si>
  <si>
    <t>NAMCZA038-14SA</t>
  </si>
  <si>
    <t>Prática Avançada de Programação A A-Noturno (Santo André)</t>
  </si>
  <si>
    <t>ALTERADO PARA LAB. 409-2</t>
  </si>
  <si>
    <t xml:space="preserve">quinta das 19:00 às 21:00, sala 407-2, semanal , sexta das 19:00 às 21:00, sala 407-2, semanal </t>
  </si>
  <si>
    <t>DABH1224SB</t>
  </si>
  <si>
    <t>BH1224</t>
  </si>
  <si>
    <t>Prática de Ensino de Filosofia III</t>
  </si>
  <si>
    <t>Prática de Ensino de Filosofia III A-diurno (São Bernardo do Campo)</t>
  </si>
  <si>
    <t xml:space="preserve">segunda das 08:00 às 11:00, sala A1-S102-SB, semanal </t>
  </si>
  <si>
    <t>NABH1224SB</t>
  </si>
  <si>
    <t>Prática de Ensino de Filosofia III A-Noturno (São Bernardo do Campo)</t>
  </si>
  <si>
    <t xml:space="preserve">quarta das 18:00 às 21:00, sala A1-S102-SB, semanal </t>
  </si>
  <si>
    <t>DABC1305SA</t>
  </si>
  <si>
    <t>BC1305</t>
  </si>
  <si>
    <t>Práticas de Ecologia</t>
  </si>
  <si>
    <t>Práticas de Ecologia A-diurno (Santo André)</t>
  </si>
  <si>
    <t xml:space="preserve">segunda das 08:00 às 12:00, sala L502, semanal </t>
  </si>
  <si>
    <t>NABC1305SA</t>
  </si>
  <si>
    <t>Práticas de Ecologia A-Noturno (Santo André)</t>
  </si>
  <si>
    <t xml:space="preserve">segunda das 19:00 às 23:00, sala L502, semanal </t>
  </si>
  <si>
    <t>DANH4101SA</t>
  </si>
  <si>
    <t>NH4101</t>
  </si>
  <si>
    <t>Práticas de Ensino de Biologia I</t>
  </si>
  <si>
    <t>Práticas de Ensino de Biologia I A-diurno (Santo André)</t>
  </si>
  <si>
    <t xml:space="preserve">terca das 09:00 às 12:00, sala S - 304-3, semanal </t>
  </si>
  <si>
    <t>NANH4101SA</t>
  </si>
  <si>
    <t>Práticas de Ensino de Biologia I A-Noturno (Santo André)</t>
  </si>
  <si>
    <t xml:space="preserve">terca das 19:00 às 22:00, sala S - 304-3, semanal </t>
  </si>
  <si>
    <t>DANH4102SA</t>
  </si>
  <si>
    <t>NH4102</t>
  </si>
  <si>
    <t>Práticas de Ensino de Física I</t>
  </si>
  <si>
    <t>Práticas de Ensino de Física I A-diurno (Santo André)</t>
  </si>
  <si>
    <t xml:space="preserve">sexta das 09:00 às 12:00, sala 403-3, semanal </t>
  </si>
  <si>
    <t>NANH4102SA</t>
  </si>
  <si>
    <t>Práticas de Ensino de Física I A-Noturno (Santo André)</t>
  </si>
  <si>
    <t xml:space="preserve">sexta das 19:00 às 22:00, sala 403-3, semanal </t>
  </si>
  <si>
    <t>DAMC8105SA</t>
  </si>
  <si>
    <t>MC8105</t>
  </si>
  <si>
    <t>Práticas de Ensino de Matemática I</t>
  </si>
  <si>
    <t>Práticas de Ensino de Matemática I A-diurno (Santo André)</t>
  </si>
  <si>
    <t xml:space="preserve">terca das 10:00 às 11:30, sala 401-2, semanal , quinta das 08:30 às 10:00, sala 401-2, semanal </t>
  </si>
  <si>
    <t>NAMC8105SA</t>
  </si>
  <si>
    <t>Práticas de Ensino de Matemática I A-Noturno (Santo André)</t>
  </si>
  <si>
    <t xml:space="preserve">terca das 21:00 às 22:30, sala 401-2, semanal , quinta das 19:30 às 21:00, sala 401-2, semanal </t>
  </si>
  <si>
    <t>DANH4103SA</t>
  </si>
  <si>
    <t>NH4103</t>
  </si>
  <si>
    <t>Práticas de Ensino de Química I</t>
  </si>
  <si>
    <t>Práticas de Ensino de Química I A-diurno (Santo André)</t>
  </si>
  <si>
    <t xml:space="preserve">quinta das 09:00 às 12:00, sala S - 310-1, semanal </t>
  </si>
  <si>
    <t>NANH4103SA</t>
  </si>
  <si>
    <t>Práticas de Ensino de Química I A-Noturno (Santo André)</t>
  </si>
  <si>
    <t>OK - AMPLIADO 29</t>
  </si>
  <si>
    <t xml:space="preserve">quinta das 19:00 às 22:00, sala S - 310-1, semanal </t>
  </si>
  <si>
    <t>DANH3104SA</t>
  </si>
  <si>
    <t>NH3104</t>
  </si>
  <si>
    <t>Práticas de Química Verde</t>
  </si>
  <si>
    <t>Práticas de Química Verde A-diurno (Santo André)</t>
  </si>
  <si>
    <t>Ampliar vagas para 30 alunos e cortar alunos excedentes</t>
  </si>
  <si>
    <t xml:space="preserve">quarta das 14:00 às 18:00, sala 406-3, semanal </t>
  </si>
  <si>
    <t>DAEN2608SA</t>
  </si>
  <si>
    <t>EN2608</t>
  </si>
  <si>
    <t>Princípios de Comunicação</t>
  </si>
  <si>
    <t>Princípios de Comunicação A-diurno (Santo André)</t>
  </si>
  <si>
    <t>segunda das 08:00 às 10:00, sala S - 210-0, semanal , quarta das 10:00 às 12:00, sala S - 210-0, quinzenal I</t>
  </si>
  <si>
    <t>quarta das 10:00 às 12:00, sala 405-1, quinzenal II</t>
  </si>
  <si>
    <t>NAEN2608SA</t>
  </si>
  <si>
    <t>Princípios de Comunicação A-Noturno (Santo André)</t>
  </si>
  <si>
    <t>segunda das 21:00 às 23:00, sala S - 210-0, semanal , quarta das 19:00 às 21:00, sala S - 210-0, quinzenal I</t>
  </si>
  <si>
    <t>quarta das 19:00 às 21:00, sala 405-1, quinzenal II</t>
  </si>
  <si>
    <t>DABC1330SA</t>
  </si>
  <si>
    <t>BC1330</t>
  </si>
  <si>
    <t>Princípios de Termodinâmica</t>
  </si>
  <si>
    <t>Princípios de Termodinâmica A-diurno (Santo André)</t>
  </si>
  <si>
    <t xml:space="preserve">terca das 16:00 às 18:00, sala S - 309-3, semanal , quinta das 14:00 às 16:00, sala S - 309-3, semanal </t>
  </si>
  <si>
    <t>DA1BC0505SA</t>
  </si>
  <si>
    <t>BC0505</t>
  </si>
  <si>
    <t>Processamento da Informação</t>
  </si>
  <si>
    <t>Processamento da Informação A1-diurno (Santo André)</t>
  </si>
  <si>
    <t>quinta das 14:00 às 16:00, sala A - 105-0, semanal , sexta das 14:00 às 16:00, sala A - 105-0, quinzenal II</t>
  </si>
  <si>
    <t xml:space="preserve">terca das 16:00 às 18:00, sala L502, semanal </t>
  </si>
  <si>
    <t>DA1BC0505SB</t>
  </si>
  <si>
    <t>Processamento da Informação A1-diurno (São Bernardo do Campo)</t>
  </si>
  <si>
    <t>quinta das 14:00 às 16:00, sala A2-S201-SB, semanal , sexta das 14:00 às 16:00, sala A2-S201-SB, quinzenal II</t>
  </si>
  <si>
    <t xml:space="preserve">terca das 16:00 às 18:00, sala A1-L101-SB, semanal </t>
  </si>
  <si>
    <t>NA1BC0505SA</t>
  </si>
  <si>
    <t>Processamento da Informação A1-Noturno (Santo André)</t>
  </si>
  <si>
    <t>quinta das 19:00 às 21:00, sala A - 105-0, semanal , sexta das 19:00 às 21:00, sala A - 105-0, quinzenal II</t>
  </si>
  <si>
    <t xml:space="preserve">terca das 21:00 às 23:00, sala L506, semanal </t>
  </si>
  <si>
    <t>NA1BC0505SB</t>
  </si>
  <si>
    <t>Processamento da Informação A1-Noturno (São Bernardo do Campo)</t>
  </si>
  <si>
    <t>quinta das 19:00 às 21:00, sala A2-S205-SB, semanal , sexta das 19:00 às 21:00, sala A2-S205-SB, quinzenal II</t>
  </si>
  <si>
    <t xml:space="preserve">terca das 19:00 às 21:00, sala A1-L002-SB, semanal </t>
  </si>
  <si>
    <t>DA2BC0505SA</t>
  </si>
  <si>
    <t>Processamento da Informação A2-diurno (Santo André)</t>
  </si>
  <si>
    <t xml:space="preserve">terca das 16:00 às 18:00, sala L504, semanal </t>
  </si>
  <si>
    <t>DA2BC0505SB</t>
  </si>
  <si>
    <t>Processamento da Informação A2-diurno (São Bernardo do Campo)</t>
  </si>
  <si>
    <t>quinta das 14:00 às 16:00, sala A2-S105-SB, semanal , sexta das 14:00 às 16:00, sala A2-S105-SB, quinzenal II</t>
  </si>
  <si>
    <t xml:space="preserve">terca das 16:00 às 18:00, sala A1-L102-SB, semanal </t>
  </si>
  <si>
    <t>NA2BC0505SA</t>
  </si>
  <si>
    <t>Processamento da Informação A2-Noturno (Santo André)</t>
  </si>
  <si>
    <t xml:space="preserve">terca das 21:00 às 23:00, sala 407-2, semanal </t>
  </si>
  <si>
    <t>NA2BC0505SB</t>
  </si>
  <si>
    <t>Processamento da Informação A2-Noturno (São Bernardo do Campo)</t>
  </si>
  <si>
    <t>quinta das 19:00 às 21:00, sala A2-S301-SB, semanal , sexta das 19:00 às 21:00, sala A2-S301-SB, quinzenal II</t>
  </si>
  <si>
    <t xml:space="preserve">terca das 19:00 às 21:00, sala A1-L001-SB, semanal </t>
  </si>
  <si>
    <t>DA3BC0505SA</t>
  </si>
  <si>
    <t>Processamento da Informação A3-diurno (Santo André)</t>
  </si>
  <si>
    <t xml:space="preserve">terca das 16:00 às 18:00, sala L505, semanal </t>
  </si>
  <si>
    <t>NA3BC0505SA</t>
  </si>
  <si>
    <t>Processamento da Informação A3-Noturno (Santo André)</t>
  </si>
  <si>
    <t xml:space="preserve">terca das 21:00 às 23:00, sala 403-2, semanal </t>
  </si>
  <si>
    <t>DS1BC0505SA</t>
  </si>
  <si>
    <t>Processamento da Informação S1-diurno (Santo André)</t>
  </si>
  <si>
    <t xml:space="preserve">quinta das 17:00 às 19:00, sala S - 305-3, semanal </t>
  </si>
  <si>
    <t>DS2BC0505SA</t>
  </si>
  <si>
    <t>Processamento da Informação S2-diurno (Santo André)</t>
  </si>
  <si>
    <t>TURMA ABERTA PARA DIVISÃO ALUNOS TURMA "S"</t>
  </si>
  <si>
    <t>DS3BC0505SA</t>
  </si>
  <si>
    <t>Processamento da Informação S3-diurno (Santo André)</t>
  </si>
  <si>
    <t>DS4BC0505SA</t>
  </si>
  <si>
    <t>Processamento da Informação S4-diurno (Santo André)</t>
  </si>
  <si>
    <t>DS5BC0505SA</t>
  </si>
  <si>
    <t>Processamento da Informação S5-diurno (Santo André)</t>
  </si>
  <si>
    <t>DSBC0505SA</t>
  </si>
  <si>
    <t>Processamento da Informação S-diurno (Santo André)</t>
  </si>
  <si>
    <t>DAEN3818SA</t>
  </si>
  <si>
    <t>EN3818</t>
  </si>
  <si>
    <t>Processamento de Cerâmicas</t>
  </si>
  <si>
    <t>Processamento de Cerâmicas A-diurno (Santo André)</t>
  </si>
  <si>
    <t>terca das 16:00 às 18:00, sala S - 311-1, semanal , quinta das 16:00 às 18:00, sala S - 311-1, quinzenal II</t>
  </si>
  <si>
    <t>quinta das 16:00 às 18:00, sala 505-1, quinzenal I</t>
  </si>
  <si>
    <t>DAEN3605SA</t>
  </si>
  <si>
    <t>EN3605</t>
  </si>
  <si>
    <t>Processamento de Informação em Línguas Naturais</t>
  </si>
  <si>
    <t>Processamento de Informação em Línguas Naturais A-diurno (Santo André)</t>
  </si>
  <si>
    <t>terca das 16:00 às 18:00, sala S - 210-0, semanal , quinta das 14:00 às 16:00, sala S - 210-0, quinzenal I</t>
  </si>
  <si>
    <t>quinta das 14:00 às 16:00, sala 401-1, quinzenal II</t>
  </si>
  <si>
    <t>DAEN2610SA</t>
  </si>
  <si>
    <t>EN2610</t>
  </si>
  <si>
    <t>Processamento Digital de Sinais</t>
  </si>
  <si>
    <t>Processamento Digital de Sinais A-diurno (Santo André)</t>
  </si>
  <si>
    <t xml:space="preserve">terca das 10:00 às 12:00, sala S - 311-2, semanal , quinta das 08:00 às 10:00, sala S - 311-2, semanal </t>
  </si>
  <si>
    <t>NAEN2610SA</t>
  </si>
  <si>
    <t>Processamento Digital de Sinais A-Noturno (Santo André)</t>
  </si>
  <si>
    <t xml:space="preserve">terca das 19:00 às 21:00, sala S - 311-2, semanal , quinta das 21:00 às 23:00, sala S - 311-2, semanal </t>
  </si>
  <si>
    <t>DBEN2610SA</t>
  </si>
  <si>
    <t>Processamento Digital de Sinais B-diurno (Santo André)</t>
  </si>
  <si>
    <t xml:space="preserve">segunda das 14:00 às 16:00, sala S - 302-2, semanal , quarta das 14:00 às 16:00, sala S - 302-2, semanal </t>
  </si>
  <si>
    <t>NBEN2610SA</t>
  </si>
  <si>
    <t>Processamento Digital de Sinais B-Noturno (Santo André)</t>
  </si>
  <si>
    <t xml:space="preserve">quarta das 19:00 às 21:00, sala S - 302-2, semanal , sexta das 21:00 às 23:00, sala S - 302-2, semanal </t>
  </si>
  <si>
    <t>NAEN3824SA</t>
  </si>
  <si>
    <t>EN3824</t>
  </si>
  <si>
    <t>Processamento e Conformação de Metais</t>
  </si>
  <si>
    <t>Processamento e Conformação de Metais A-Noturno (Santo André)</t>
  </si>
  <si>
    <t>terca das 21:00 às 23:00, sala S - 306-2, semanal , sexta das 19:00 às 21:00, sala S - 306-2, quinzenal II</t>
  </si>
  <si>
    <t>sexta das 19:00 às 21:00, sala 505-1, quinzenal I</t>
  </si>
  <si>
    <t>DAEN2622SA</t>
  </si>
  <si>
    <t>EN2622</t>
  </si>
  <si>
    <t>Programação de Software Embarcado</t>
  </si>
  <si>
    <t>Programação de Software Embarcado A-diurno (Santo André)</t>
  </si>
  <si>
    <t>até a capacidade do laboratório de informática
(407-2, se possível)</t>
  </si>
  <si>
    <t>OK - AMPLIADO 48 / NOVO LAB. 407-2 E NOVA SALA 301-2</t>
  </si>
  <si>
    <t xml:space="preserve">segunda das 10:00 às 12:00, sala S - 307-1, semanal </t>
  </si>
  <si>
    <t xml:space="preserve">quarta das 08:00 às 10:00, sala 401-1, semanal </t>
  </si>
  <si>
    <t>NAEN2622SA</t>
  </si>
  <si>
    <t>Programação de Software Embarcado A-Noturno (Santo André)</t>
  </si>
  <si>
    <t>OK - AMPLIADO 48 / NOVO LAB. 407-2</t>
  </si>
  <si>
    <t xml:space="preserve">segunda das 21:00 às 23:00, sala L604, semanal </t>
  </si>
  <si>
    <t xml:space="preserve">quarta das 19:00 às 21:00, sala 401-1, semanal </t>
  </si>
  <si>
    <t>DAMCZA033-14SA</t>
  </si>
  <si>
    <t>MCZA033-14</t>
  </si>
  <si>
    <t>Programação para Dispositivos Móveis</t>
  </si>
  <si>
    <t>Programação para Dispositivos Móveis A-diurno (Santo André)</t>
  </si>
  <si>
    <t xml:space="preserve">segunda das 10:00 às 12:00, sala 407-2, semanal , quinta das 08:00 às 10:00, sala 407-2, semanal </t>
  </si>
  <si>
    <t>DBMCZA033-14SA</t>
  </si>
  <si>
    <t>Programação para Dispositivos Móveis B-diurno (Santo André)</t>
  </si>
  <si>
    <t>Outros: reduzir vagas para 40 e mudar reserva de lab (reservar L409-2 ao invés do L407-2)</t>
  </si>
  <si>
    <t>REDUZIDO - NOVO LAB 409-2</t>
  </si>
  <si>
    <t xml:space="preserve">terca das 08:00 às 10:00, sala 407-2, semanal , quinta das 10:00 às 12:00, sala 407-2, semanal </t>
  </si>
  <si>
    <t>NA1MC0037SA</t>
  </si>
  <si>
    <t>MC0037</t>
  </si>
  <si>
    <t>Programação para Web</t>
  </si>
  <si>
    <t>Programação para Web A1-Noturno (Santo André)</t>
  </si>
  <si>
    <t xml:space="preserve">terca das 19:00 às 21:00, sala 404-2, semanal , quinta das 21:00 às 23:00, sala 404-2, semanal </t>
  </si>
  <si>
    <t>NAMC0037SA</t>
  </si>
  <si>
    <t>Programação para Web A-Noturno (Santo André)</t>
  </si>
  <si>
    <t>Outros: reduzir vagas para 40 e mudar reserva de lab (reservar L409-2 ao invés do L407-2). Também: abrir nova turma</t>
  </si>
  <si>
    <t xml:space="preserve">terca das 19:00 às 21:00, sala 407-2, semanal , quinta das 21:00 às 23:00, sala 407-2, semanal </t>
  </si>
  <si>
    <t>NAEN2225SA</t>
  </si>
  <si>
    <t>EN2225</t>
  </si>
  <si>
    <t>Projeto de Elementos Estruturais de Aeronaves I</t>
  </si>
  <si>
    <t>Projeto de Elementos Estruturais de Aeronaves I A-Noturno (Santo André)</t>
  </si>
  <si>
    <t>quarta das 19:00 às 21:00, sala L704, semanal , sexta das 19:00 às 21:00, sala L704, quinzenal II</t>
  </si>
  <si>
    <t>sexta das 19:00 às 21:00, sala 504-1, quinzenal I</t>
  </si>
  <si>
    <t>DA1BC0002SA</t>
  </si>
  <si>
    <t>BC0002</t>
  </si>
  <si>
    <t>Projeto Dirigido</t>
  </si>
  <si>
    <t>Projeto Dirigido A1-diurno (Santo André)</t>
  </si>
  <si>
    <t xml:space="preserve">quinta das 10:00 às 12:00, sala S - 204-0, semanal </t>
  </si>
  <si>
    <t>NA1BC0002SA</t>
  </si>
  <si>
    <t>Projeto Dirigido A1-Noturno (Santo André)</t>
  </si>
  <si>
    <t xml:space="preserve">quinta das 21:00 às 23:00, sala S - 204-0, semanal </t>
  </si>
  <si>
    <t>DA2BC0002SA</t>
  </si>
  <si>
    <t>Projeto Dirigido A2-diurno (Santo André)</t>
  </si>
  <si>
    <t xml:space="preserve">quinta das 10:00 às 12:00, sala S - 205-0, semanal </t>
  </si>
  <si>
    <t>NA2BC0002SA</t>
  </si>
  <si>
    <t>Projeto Dirigido A2-Noturno (Santo André)</t>
  </si>
  <si>
    <t xml:space="preserve">quinta das 21:00 às 23:00, sala S - 205-0, semanal </t>
  </si>
  <si>
    <t>DA3BC0002SA</t>
  </si>
  <si>
    <t>Projeto Dirigido A3-diurno (Santo André)</t>
  </si>
  <si>
    <t xml:space="preserve">quinta das 10:00 às 12:00, sala S - 206-0, semanal </t>
  </si>
  <si>
    <t>NA3BC0002SA</t>
  </si>
  <si>
    <t>Projeto Dirigido A3-Noturno (Santo André)</t>
  </si>
  <si>
    <t xml:space="preserve">quinta das 21:00 às 23:00, sala S - 206-0, semanal </t>
  </si>
  <si>
    <t>DABC0002SB</t>
  </si>
  <si>
    <t>Projeto Dirigido A-diurno (São Bernardo do Campo)</t>
  </si>
  <si>
    <t xml:space="preserve">quinta das 10:00 às 12:00, sala A1-S201-SB, semanal </t>
  </si>
  <si>
    <t>NABC0002SB</t>
  </si>
  <si>
    <t>Projeto Dirigido A-Noturno (São Bernardo do Campo)</t>
  </si>
  <si>
    <t xml:space="preserve">quinta das 21:00 às 23:00, sala A1-S201-SB, semanal </t>
  </si>
  <si>
    <t>DB1BC0002SA</t>
  </si>
  <si>
    <t>Projeto Dirigido B1-diurno (Santo André)</t>
  </si>
  <si>
    <t xml:space="preserve">quinta das 08:00 às 10:00, sala S - 207-0, semanal </t>
  </si>
  <si>
    <t>NB1BC0002SA</t>
  </si>
  <si>
    <t>Projeto Dirigido B1-Noturno (Santo André)</t>
  </si>
  <si>
    <t xml:space="preserve">quinta das 19:00 às 21:00, sala S - 207-0, semanal </t>
  </si>
  <si>
    <t>DB2BC0002SA</t>
  </si>
  <si>
    <t>Projeto Dirigido B2-diurno (Santo André)</t>
  </si>
  <si>
    <t xml:space="preserve">quinta das 08:00 às 10:00, sala S - 206-0, semanal </t>
  </si>
  <si>
    <t>NB2BC0002SA</t>
  </si>
  <si>
    <t>Projeto Dirigido B2-Noturno (Santo André)</t>
  </si>
  <si>
    <t xml:space="preserve">quinta das 19:00 às 21:00, sala S - 206-0, semanal </t>
  </si>
  <si>
    <t>DBBC0002SB</t>
  </si>
  <si>
    <t>Projeto Dirigido B-diurno (São Bernardo do Campo)</t>
  </si>
  <si>
    <t xml:space="preserve">quinta das 08:00 às 10:00, sala A1-S202-SB, semanal </t>
  </si>
  <si>
    <t>NBBC0002SB</t>
  </si>
  <si>
    <t>Projeto Dirigido B-Noturno (São Bernardo do Campo)</t>
  </si>
  <si>
    <t xml:space="preserve">quinta das 19:00 às 21:00, sala A1-S202-SB, semanal </t>
  </si>
  <si>
    <t>DC1BC0002SB</t>
  </si>
  <si>
    <t>Projeto Dirigido C1-diurno (São Bernardo do Campo)</t>
  </si>
  <si>
    <t xml:space="preserve">quinta das 17:00 às 19:00,  semanal </t>
  </si>
  <si>
    <t>DCBC0002SB</t>
  </si>
  <si>
    <t>Projeto Dirigido C-diurno (São Bernardo do Campo)</t>
  </si>
  <si>
    <t>OK - TURMA ABERTA / 5ª DAS 17-19 - SALA A1-S101-SB</t>
  </si>
  <si>
    <t xml:space="preserve">quinta das 17:00 às 19:00, sala A1-S204-SB, semanal </t>
  </si>
  <si>
    <t>DAEN3454SA</t>
  </si>
  <si>
    <t>EN3454</t>
  </si>
  <si>
    <t>Proteção de Sistemas Elétricos de Potência</t>
  </si>
  <si>
    <t>Proteção de Sistemas Elétricos de Potência A-diurno (Santo André)</t>
  </si>
  <si>
    <t xml:space="preserve">segunda das 17:00 às 19:00, sala S - 307-2, semanal , quarta das 17:00 às 19:00, sala S - 307-2, semanal </t>
  </si>
  <si>
    <t>DAMC7006SB</t>
  </si>
  <si>
    <t>MC7006</t>
  </si>
  <si>
    <t>Psicofarmacologia</t>
  </si>
  <si>
    <t>Psicofarmacologia A-diurno (São Bernardo do Campo)</t>
  </si>
  <si>
    <t xml:space="preserve">terca das 08:00 às 10:00, sala A1-S105-SB, semanal , quinta das 10:00 às 12:00, sala A1-S105-SB, semanal </t>
  </si>
  <si>
    <t>NAMC7006SB</t>
  </si>
  <si>
    <t>Psicofarmacologia A-Noturno (São Bernardo do Campo)</t>
  </si>
  <si>
    <t>OK - AMPLIADO 34</t>
  </si>
  <si>
    <t xml:space="preserve">segunda das 19:00 às 21:00, sala A1-S105-SB, semanal , quinta das 21:00 às 23:00, sala A1-S105-SB, semanal </t>
  </si>
  <si>
    <t>DABC1006SA</t>
  </si>
  <si>
    <t>BC1006</t>
  </si>
  <si>
    <t>Psicologia Cognitiva</t>
  </si>
  <si>
    <t>Psicologia Cognitiva A-diurno (Santo André)</t>
  </si>
  <si>
    <t>OK - AMPLIADO 62 / NOVA SALA 311-3</t>
  </si>
  <si>
    <t xml:space="preserve">segunda das 16:00 às 18:00, sala S - 304-2, semanal , quinta das 14:00 às 16:00, sala S - 304-2, semanal </t>
  </si>
  <si>
    <t>DAMC8100SB</t>
  </si>
  <si>
    <t>MC8100</t>
  </si>
  <si>
    <t>Psicologia Experimental</t>
  </si>
  <si>
    <t>Psicologia Experimental A-diurno (São Bernardo do Campo)</t>
  </si>
  <si>
    <t xml:space="preserve">quinta das 08:00 às 10:00, sala A1-S105-SB, semanal </t>
  </si>
  <si>
    <t xml:space="preserve">segunda das 08:00 às 12:00, sala A2-L002-SB, semanal </t>
  </si>
  <si>
    <t>NAMC8100SB</t>
  </si>
  <si>
    <t>Psicologia Experimental A-Noturno (São Bernardo do Campo)</t>
  </si>
  <si>
    <t xml:space="preserve">quinta das 19:00 às 21:00, sala A1-S105-SB, semanal </t>
  </si>
  <si>
    <t xml:space="preserve">terca das 19:00 às 23:00, sala A1-L306-SB, semanal </t>
  </si>
  <si>
    <t>DAEN3116SA</t>
  </si>
  <si>
    <t>EN3116</t>
  </si>
  <si>
    <t>Questões Ambientais Globais</t>
  </si>
  <si>
    <t>Questões Ambientais Globais A-diurno (Santo André)</t>
  </si>
  <si>
    <t xml:space="preserve">quinta das 10:00 às 12:00, sala S - 207-0, semanal </t>
  </si>
  <si>
    <t>DBEN3116SA</t>
  </si>
  <si>
    <t>Questões Ambientais Globais B-diurno (Santo André)</t>
  </si>
  <si>
    <t xml:space="preserve">quinta das 14:00 às 16:00, sala S - 207-0, semanal </t>
  </si>
  <si>
    <t>DABC1302SA</t>
  </si>
  <si>
    <t>BC1302</t>
  </si>
  <si>
    <t>Química dos Elementos</t>
  </si>
  <si>
    <t>Química dos Elementos A-diurno (Santo André)</t>
  </si>
  <si>
    <t xml:space="preserve">segunda das 08:00 às 10:00, sala S - 303-3, semanal , quarta das 10:00 às 12:00, sala S - 303-3, semanal </t>
  </si>
  <si>
    <t xml:space="preserve">segunda das 10:00 às 12:00, sala 406-3, semanal </t>
  </si>
  <si>
    <t>NABC1302SA</t>
  </si>
  <si>
    <t>Química dos Elementos A-Noturno (Santo André)</t>
  </si>
  <si>
    <t xml:space="preserve">segunda das 19:00 às 21:00, sala S - 303-3, semanal , quarta das 21:00 às 23:00, sala S - 303-3, semanal </t>
  </si>
  <si>
    <t xml:space="preserve">segunda das 21:00 às 23:00, sala 406-3, semanal </t>
  </si>
  <si>
    <t>DABC1005SA</t>
  </si>
  <si>
    <t>BC1005</t>
  </si>
  <si>
    <t>Recursos Hídricos</t>
  </si>
  <si>
    <t>Recursos Hídricos A-diurno (Santo André)</t>
  </si>
  <si>
    <t xml:space="preserve">quinta das 14:00 às 17:00, sala S - 302-3, semanal </t>
  </si>
  <si>
    <t>NABC1005SA</t>
  </si>
  <si>
    <t>Recursos Hídricos A-Noturno (Santo André)</t>
  </si>
  <si>
    <t xml:space="preserve">quinta das 18:00 às 21:00, sala S - 302-3, semanal </t>
  </si>
  <si>
    <t>DAEN3726SA</t>
  </si>
  <si>
    <t>EN3726</t>
  </si>
  <si>
    <t>Redes de Barramento de Campo</t>
  </si>
  <si>
    <t>Redes de Barramento de Campo A-diurno (Santo André)</t>
  </si>
  <si>
    <t xml:space="preserve">quarta das 14:00 às 17:00, sala S - 302-1, semanal </t>
  </si>
  <si>
    <t>DAEN3443SA</t>
  </si>
  <si>
    <t>EN3443</t>
  </si>
  <si>
    <t>Resíduos Nucleares</t>
  </si>
  <si>
    <t>Resíduos Nucleares A-diurno (Santo André)</t>
  </si>
  <si>
    <t xml:space="preserve">quarta das 16:00 às 19:00, sala S - 301-2, semanal </t>
  </si>
  <si>
    <t>DAEN3704SA</t>
  </si>
  <si>
    <t>EN3704</t>
  </si>
  <si>
    <t>Robôs Móveis Autônomos</t>
  </si>
  <si>
    <t>Robôs Móveis Autônomos A-diurno (Santo André)</t>
  </si>
  <si>
    <t>quarta das 08:00 às 10:00, sala S - 305-1, semanal , sexta das 10:00 às 12:00, sala S - 306-1, quinzenal I</t>
  </si>
  <si>
    <t>sexta das 10:00 às 12:00, sala 404-1, quinzenal II</t>
  </si>
  <si>
    <t>DABC1523SA</t>
  </si>
  <si>
    <t>BC1523</t>
  </si>
  <si>
    <t>Segurança de Dados</t>
  </si>
  <si>
    <t>Segurança de Dados A-diurno (Santo André)</t>
  </si>
  <si>
    <t xml:space="preserve">segunda das 08:00 às 10:00, sala S - 308-2, semanal </t>
  </si>
  <si>
    <t xml:space="preserve">quarta das 10:00 às 12:00, sala 409-2, semanal </t>
  </si>
  <si>
    <t>NABC1523SA</t>
  </si>
  <si>
    <t>Segurança de Dados A-Noturno (Santo André)</t>
  </si>
  <si>
    <t xml:space="preserve">segunda das 19:00 às 21:00, sala S - 308-2, semanal </t>
  </si>
  <si>
    <t xml:space="preserve">quarta das 21:00 às 23:00, sala 409-2, semanal </t>
  </si>
  <si>
    <t>DAEN2819SA</t>
  </si>
  <si>
    <t>EN2819</t>
  </si>
  <si>
    <t>Seleção de Materiais</t>
  </si>
  <si>
    <t>Seleção de Materiais A-diurno (Santo André)</t>
  </si>
  <si>
    <t xml:space="preserve">quarta das 08:00 às 10:00, sala S - 311-1, semanal , sexta das 10:00 às 12:00, sala S - 311-1, semanal </t>
  </si>
  <si>
    <t>NAEN2819SA</t>
  </si>
  <si>
    <t>Seleção de Materiais A-Noturno (Santo André)</t>
  </si>
  <si>
    <t>ampliar vagas - absorver excedente</t>
  </si>
  <si>
    <t xml:space="preserve">quarta das 19:00 às 21:00, sala S - 311-1, semanal , sexta das 21:00 às 23:00, sala S - 311-1, semanal </t>
  </si>
  <si>
    <t>DANH3205SA</t>
  </si>
  <si>
    <t>NH3205</t>
  </si>
  <si>
    <t>Seminários em Química II</t>
  </si>
  <si>
    <t>Seminários em Química II A-diurno (Santo André)</t>
  </si>
  <si>
    <t xml:space="preserve">terca das 10:00 às 12:00, sala S - 303-3, semanal </t>
  </si>
  <si>
    <t>NANH3205SA</t>
  </si>
  <si>
    <t>Seminários em Química II A-Noturno (Santo André)</t>
  </si>
  <si>
    <t xml:space="preserve">terca das 21:00 às 23:00, sala S - 303-3, semanal </t>
  </si>
  <si>
    <t>DAMC8099SB</t>
  </si>
  <si>
    <t>MC8099</t>
  </si>
  <si>
    <t>Sensação e Percepção</t>
  </si>
  <si>
    <t>Sensação e Percepção A-diurno (São Bernardo do Campo)</t>
  </si>
  <si>
    <t xml:space="preserve">quarta das 10:00 às 12:00, sala A1-S106-SB, semanal , sexta das 08:00 às 10:00, sala A1-S106-SB, semanal </t>
  </si>
  <si>
    <t>NAMC8099SB</t>
  </si>
  <si>
    <t>Sensação e Percepção A-Noturno (São Bernardo do Campo)</t>
  </si>
  <si>
    <t xml:space="preserve">quarta das 21:00 às 23:00, sala A1-S106-SB, semanal , sexta das 19:00 às 21:00, sala A1-S106-SB, semanal </t>
  </si>
  <si>
    <t>NAEN3525SB</t>
  </si>
  <si>
    <t>EN3525</t>
  </si>
  <si>
    <t>Simulação de Modelos de Gestão</t>
  </si>
  <si>
    <t>Simulação de Modelos de Gestão A-Noturno (São Bernardo do Campo)</t>
  </si>
  <si>
    <t xml:space="preserve">quarta das 19:00 às 23:00, sala A2-L002-SB, semanal </t>
  </si>
  <si>
    <t>NAEN3615SA</t>
  </si>
  <si>
    <t>EN3615</t>
  </si>
  <si>
    <t>Simulação de Sistemas de Comunicação</t>
  </si>
  <si>
    <t>Simulação de Sistemas de Comunicação A-Noturno (Santo André)</t>
  </si>
  <si>
    <t xml:space="preserve">terca das 21:00 às 23:00, sala S - 309-1, semanal </t>
  </si>
  <si>
    <t xml:space="preserve">quinta das 19:00 às 21:00, sala 401-1, semanal </t>
  </si>
  <si>
    <t>NAEN3816SA</t>
  </si>
  <si>
    <t>EN3816</t>
  </si>
  <si>
    <t>Simulação e Processamento de Polímeros</t>
  </si>
  <si>
    <t>Simulação e Processamento de Polímeros A-Noturno (Santo André)</t>
  </si>
  <si>
    <t>segunda das 19:00 às 21:00, sala S - 006-0, semanal , quarta das 21:00 às 23:00, sala S - 006-0, quinzenal II</t>
  </si>
  <si>
    <t>quarta das 21:00 às 23:00, sala 507-1, quinzenal I</t>
  </si>
  <si>
    <t>NAEN3815SA</t>
  </si>
  <si>
    <t>EN3815</t>
  </si>
  <si>
    <t>Síntese de Polímeros</t>
  </si>
  <si>
    <t>Síntese de Polímeros A-Noturno (Santo André)</t>
  </si>
  <si>
    <t>terca das 19:00 às 21:00, sala S - 008-0, semanal , quinta das 21:00 às 23:00, sala S - 008-0, quinzenal II</t>
  </si>
  <si>
    <t>quinta das 21:00 às 23:00, sala 507-1, quinzenal I</t>
  </si>
  <si>
    <t>DABH1154SB</t>
  </si>
  <si>
    <t>BH1154</t>
  </si>
  <si>
    <t>Sistema Financeiro Internacional: de Bretton Woods ao non-sistema</t>
  </si>
  <si>
    <t>Sistema Financeiro Internacional: de Bretton Woods ao non-sistema A-diurno (São Bernardo do Campo)</t>
  </si>
  <si>
    <t xml:space="preserve">terca das 08:00 às 10:00, sala A1-S205-SB, semanal , quinta das 10:00 às 12:00, sala A1-S205-SB, semanal </t>
  </si>
  <si>
    <t>NABH1154SB</t>
  </si>
  <si>
    <t>Sistema Financeiro Internacional: de Bretton Woods ao non-sistema A-Noturno (São Bernardo do Campo)</t>
  </si>
  <si>
    <t xml:space="preserve">terca das 19:00 às 21:00, sala A2-S307-SB, semanal , quinta das 21:00 às 23:00, sala A2-S307-SB, semanal </t>
  </si>
  <si>
    <t>DABC1324SA</t>
  </si>
  <si>
    <t>BC1324</t>
  </si>
  <si>
    <t>Sistemas Biológicos III</t>
  </si>
  <si>
    <t>Sistemas Biológicos III A-diurno (Santo André)</t>
  </si>
  <si>
    <t xml:space="preserve">segunda das 08:00 às 10:00, sala S - 306-3, semanal , quarta das 10:00 às 12:00, sala S - 306-3, semanal </t>
  </si>
  <si>
    <t xml:space="preserve">segunda das 10:00 às 12:00, sala 402-3, semanal </t>
  </si>
  <si>
    <t>NABC1324SA</t>
  </si>
  <si>
    <t>Sistemas Biológicos III A-Noturno (Santo André)</t>
  </si>
  <si>
    <t xml:space="preserve">segunda das 19:00 às 21:00, sala S - 306-3, semanal , quarta das 21:00 às 23:00, sala S - 306-3, semanal </t>
  </si>
  <si>
    <t xml:space="preserve">segunda das 21:00 às 23:00, sala 402-3, semanal </t>
  </si>
  <si>
    <t>NAEN2716SA</t>
  </si>
  <si>
    <t>EN2716</t>
  </si>
  <si>
    <t>Sistemas CAD/CAM</t>
  </si>
  <si>
    <t>Sistemas CAD/CAM A-Noturno (Santo André)</t>
  </si>
  <si>
    <t xml:space="preserve">segunda das 19:00 às 23:00, sala 401-1, semanal </t>
  </si>
  <si>
    <t>NBEN2716SA</t>
  </si>
  <si>
    <t>Sistemas CAD/CAM B-Noturno (Santo André)</t>
  </si>
  <si>
    <t xml:space="preserve">sexta das 19:00 às 23:00, sala 401-1, semanal </t>
  </si>
  <si>
    <t>DAEN2704SA</t>
  </si>
  <si>
    <t>EN2704</t>
  </si>
  <si>
    <t>Sistemas de Controle I</t>
  </si>
  <si>
    <t>Sistemas de Controle I A-diurno (Santo André)</t>
  </si>
  <si>
    <t>terca das 10:00 às 13:00, sala S - 305-1, semanal , sexta das 10:00 às 12:00, sala S - 305-1, quinzenal II</t>
  </si>
  <si>
    <t>sexta das 10:00 às 12:00, sala 408-1, quinzenal I</t>
  </si>
  <si>
    <t>NAEN2704SA</t>
  </si>
  <si>
    <t>Sistemas de Controle I A-Noturno (Santo André)</t>
  </si>
  <si>
    <t>terca das 18:00 às 21:00, sala S - 306-1, semanal , quinta das 21:00 às 23:00, sala S - 306-1, quinzenal II</t>
  </si>
  <si>
    <t>quinta das 21:00 às 23:00, sala 408-1, quinzenal I</t>
  </si>
  <si>
    <t>NAEN2710SA</t>
  </si>
  <si>
    <t>EN2710</t>
  </si>
  <si>
    <t>Sistemas de Controle II</t>
  </si>
  <si>
    <t>Sistemas de Controle II A-Noturno (Santo André)</t>
  </si>
  <si>
    <t xml:space="preserve">quarta das 18:00 às 21:00, sala S - 306-2, semanal </t>
  </si>
  <si>
    <t xml:space="preserve">terca das 21:00 às 23:00, sala 408-1, semanal </t>
  </si>
  <si>
    <t>DAEN2138SA</t>
  </si>
  <si>
    <t>EN2138</t>
  </si>
  <si>
    <t>Sistemas de Esgotos e Drenagem Urbana</t>
  </si>
  <si>
    <t>Sistemas de Esgotos e Drenagem Urbana A-diurno (Santo André)</t>
  </si>
  <si>
    <t xml:space="preserve">terca das 08:00 às 10:00, sala S - 301-1, semanal , quinta das 10:00 às 12:00, sala S - 301-1, semanal </t>
  </si>
  <si>
    <t>NAEN2138SA</t>
  </si>
  <si>
    <t>Sistemas de Esgotos e Drenagem Urbana A-Noturno (Santo André)</t>
  </si>
  <si>
    <t xml:space="preserve">terca das 19:00 às 21:00, sala S - 301-1, semanal , quinta das 21:00 às 23:00, sala S - 301-1, semanal </t>
  </si>
  <si>
    <t>NAEN2227SA</t>
  </si>
  <si>
    <t>EN2227</t>
  </si>
  <si>
    <t>Sistemas de Propulsão I</t>
  </si>
  <si>
    <t>Sistemas de Propulsão I A-Noturno (Santo André)</t>
  </si>
  <si>
    <t>segunda das 19:00 às 21:00, sala S - 306-2, semanal , quarta das 21:00 às 23:00, sala S - 306-2, quinzenal II</t>
  </si>
  <si>
    <t>quarta das 21:00 às 23:00, sala 504-1, quinzenal I</t>
  </si>
  <si>
    <t>DAEN2140SA</t>
  </si>
  <si>
    <t>EN2140</t>
  </si>
  <si>
    <t>Sistemas de Tratamento de Águas e Efluentes</t>
  </si>
  <si>
    <t>Sistemas de Tratamento de Águas e Efluentes A-diurno (Santo André)</t>
  </si>
  <si>
    <t xml:space="preserve">terca das 10:00 às 12:00, sala S - 301-1, semanal , quinta das 08:00 às 10:00, sala S - 301-1, semanal </t>
  </si>
  <si>
    <t>NAEN2140SA</t>
  </si>
  <si>
    <t>Sistemas de Tratamento de Águas e Efluentes A-Noturno (Santo André)</t>
  </si>
  <si>
    <t xml:space="preserve">terca das 21:00 às 23:00, sala S - 301-1, semanal , quinta das 19:00 às 21:00, sala S - 301-1, semanal </t>
  </si>
  <si>
    <t>NAEN2537SB</t>
  </si>
  <si>
    <t>EN2537</t>
  </si>
  <si>
    <t>Sistemas e Processos de Produção</t>
  </si>
  <si>
    <t>Sistemas e Processos de Produção A-Noturno (São Bernardo do Campo)</t>
  </si>
  <si>
    <t xml:space="preserve">segunda das 19:00 às 23:00, sala A2-S202-SB, semanal </t>
  </si>
  <si>
    <t>NAEN3465SA</t>
  </si>
  <si>
    <t>EN3465</t>
  </si>
  <si>
    <t>Sistemas Fluidomecânicos</t>
  </si>
  <si>
    <t>Sistemas Fluidomecânicos A-Noturno (Santo André)</t>
  </si>
  <si>
    <t>terca das 21:00 às 23:00, sala S - 308-1, quinzenal I, quinta das 19:00 às 21:00, sala S - 308-1, quinzenal I</t>
  </si>
  <si>
    <t>terca das 21:00 às 23:00, sala 504-1, quinzenal II, quinta das 19:00 às 21:00, sala L501, quinzenal II</t>
  </si>
  <si>
    <t>DAEN3619SA</t>
  </si>
  <si>
    <t>EN3619</t>
  </si>
  <si>
    <t>Sistemas Inteligentes</t>
  </si>
  <si>
    <t>Sistemas Inteligentes A-diurno (Santo André)</t>
  </si>
  <si>
    <t>terca das 14:00 às 16:00, sala S - 210-0, semanal , quinta das 16:00 às 18:00, sala S - 210-0, quinzenal II</t>
  </si>
  <si>
    <t>quinta das 16:00 às 18:00, sala 401-1, quinzenal I</t>
  </si>
  <si>
    <t>NAEN2617</t>
  </si>
  <si>
    <t>EN2617</t>
  </si>
  <si>
    <t>Sistemas Microprocessados</t>
  </si>
  <si>
    <t>Sistemas Microprocessados A-noturno (Santo André)</t>
  </si>
  <si>
    <t>turma nova (abrir somente na 2ª etapa - aguardando CLD)</t>
  </si>
  <si>
    <t>segunda-feira das 21:00 às 23:00</t>
  </si>
  <si>
    <t>NA1EN2426SA</t>
  </si>
  <si>
    <t>EN2426</t>
  </si>
  <si>
    <t>Sistemas Térmicos</t>
  </si>
  <si>
    <t>Sistemas Térmicos A1 Noturno (Santo André)</t>
  </si>
  <si>
    <t>terca das 21:00 às 23:00, sala S - 302-2, semanal, quinta das 19:00 às 21:00, sala S - 301-2, quinzenal I</t>
  </si>
  <si>
    <t xml:space="preserve"> quinta das 19:00 às 21:00, sala 402-2 quinzenal II</t>
  </si>
  <si>
    <t>NAEN2426SA</t>
  </si>
  <si>
    <t>Sistemas Térmicos A-Noturno (Santo André)</t>
  </si>
  <si>
    <t>Duplicar laboratório (quinta das 19-21h) e com aula teórica na terça das 21-23h para 60 alunos</t>
  </si>
  <si>
    <t>Precisa de laboratório de informática</t>
  </si>
  <si>
    <t>terca das 21:00 às 23:00, sala S - 307-2, quinzenal I, quinta das 19:00 às 21:00, sala S - 307-2, quinzenal I</t>
  </si>
  <si>
    <t>quinta das 19:00 às 21:00, sala 506/508-1, quinzenal II</t>
  </si>
  <si>
    <t>DABH1155SB</t>
  </si>
  <si>
    <t>BH1155</t>
  </si>
  <si>
    <t>Sociedade Civil Organizada Global</t>
  </si>
  <si>
    <t>Sociedade Civil Organizada Global A-diurno (São Bernardo do Campo)</t>
  </si>
  <si>
    <t xml:space="preserve">segunda das 08:00 às 10:00, sala A2-S307-SB, semanal , quarta das 10:00 às 12:00, sala A2-S307-SB, semanal </t>
  </si>
  <si>
    <t>NABH1155SB</t>
  </si>
  <si>
    <t>Sociedade Civil Organizada Global A-Noturno (São Bernardo do Campo)</t>
  </si>
  <si>
    <t xml:space="preserve">segunda das 19:00 às 21:00, sala A2-S307-SB, semanal , quarta das 21:00 às 23:00, sala A2-S307-SB, semanal </t>
  </si>
  <si>
    <t>NAEN3728SA</t>
  </si>
  <si>
    <t>EN3728</t>
  </si>
  <si>
    <t>Supervisão e Monitoramento de Processos Energéticos</t>
  </si>
  <si>
    <t>Supervisão e Monitoramento de Processos Energéticos A-Noturno (Santo André)</t>
  </si>
  <si>
    <t xml:space="preserve">terca das 19:00 às 21:00, sala S - 302-2, quinzenal II, quinta das 21:00 às 23:00, sala S - 302-2, semanal </t>
  </si>
  <si>
    <t>terca das 19:00 às 21:00, sala 408-1, quinzenal I</t>
  </si>
  <si>
    <t>DABH1341SB</t>
  </si>
  <si>
    <t>BH1341</t>
  </si>
  <si>
    <t>Surgimento da China como Potência Mundial</t>
  </si>
  <si>
    <t>Surgimento da China como Potência Mundial A-diurno (São Bernardo do Campo)</t>
  </si>
  <si>
    <t xml:space="preserve">terca das 10:00 às 12:00, sala A2-S307-SB, semanal , quinta das 08:00 às 10:00, sala A2-S307-SB, semanal </t>
  </si>
  <si>
    <t>NABH1341SB</t>
  </si>
  <si>
    <t>Surgimento da China como Potência Mundial A-Noturno (São Bernardo do Campo)</t>
  </si>
  <si>
    <t xml:space="preserve">terca das 21:00 às 23:00, sala A2-S307-SB, semanal , quinta das 19:00 às 21:00, sala A2-S307-SB, semanal </t>
  </si>
  <si>
    <t>NAEN3547SB</t>
  </si>
  <si>
    <t>EN3547</t>
  </si>
  <si>
    <t>Técnicas de Tomadas de Decisão Aplicáveis em Modelos de Dependência</t>
  </si>
  <si>
    <t>Técnicas de Tomadas de Decisão Aplicáveis em Modelos de Dependência A-Noturno (São Bernardo do Campo)</t>
  </si>
  <si>
    <t xml:space="preserve">sexta das 19:00 às 23:00, sala A2-S202-SB, semanal </t>
  </si>
  <si>
    <t>DABH1406SB</t>
  </si>
  <si>
    <t>BH1406</t>
  </si>
  <si>
    <t>Técnicas em Pesquisa</t>
  </si>
  <si>
    <t>Técnicas em Pesquisa A-diurno (São Bernardo do Campo)</t>
  </si>
  <si>
    <t xml:space="preserve">quinta das 14:00 às 16:00, sala A2-S203-SB, semanal </t>
  </si>
  <si>
    <t>DBBH1406SB</t>
  </si>
  <si>
    <t>Técnicas em Pesquisa B-diurno (São Bernardo do Campo)</t>
  </si>
  <si>
    <t xml:space="preserve">sabado das 10:00 às 12:00, sala A1-S205-SB, semanal </t>
  </si>
  <si>
    <t>DAEN3330SA</t>
  </si>
  <si>
    <t>EN3330</t>
  </si>
  <si>
    <t>Técnicas Modernas em Fotodiagnóstico</t>
  </si>
  <si>
    <t>Técnicas Modernas em Fotodiagnóstico A-diurno (Santo André)</t>
  </si>
  <si>
    <t xml:space="preserve">segunda das 10:00 às 12:00, sala S - 303-1, semanal </t>
  </si>
  <si>
    <t xml:space="preserve">quarta das 08:00 às 10:00, sala 503-1, semanal </t>
  </si>
  <si>
    <t>NAEN3330SA</t>
  </si>
  <si>
    <t>Técnicas Modernas em Fotodiagnóstico A-Noturno (Santo André)</t>
  </si>
  <si>
    <t xml:space="preserve">segunda das 21:00 às 23:00, sala S - 303-1, semanal </t>
  </si>
  <si>
    <t xml:space="preserve">quarta das 19:00 às 21:00, sala 503-1, semanal </t>
  </si>
  <si>
    <t>DAEN2515SB</t>
  </si>
  <si>
    <t>EN2515</t>
  </si>
  <si>
    <t>Tecnologia da Informação</t>
  </si>
  <si>
    <t>Tecnologia da Informação A-diurno (São Bernardo do Campo)</t>
  </si>
  <si>
    <t xml:space="preserve">quinta das 10:00 às 12:00, sala A2-S208-SB, semanal </t>
  </si>
  <si>
    <t>NAEN2515SB</t>
  </si>
  <si>
    <t>Tecnologia da Informação A-Noturno (São Bernardo do Campo)</t>
  </si>
  <si>
    <t xml:space="preserve">quinta das 19:00 às 21:00, sala A2-S208-SB, semanal </t>
  </si>
  <si>
    <t>DAEN2619SA</t>
  </si>
  <si>
    <t>EN2619</t>
  </si>
  <si>
    <t>Telefonia Fixa Moderna</t>
  </si>
  <si>
    <t>Telefonia Fixa Moderna A-diurno (Santo André)</t>
  </si>
  <si>
    <t>segunda das 08:00 às 10:00, sala S - 308-1, semanal , quarta das 10:00 às 12:00, sala S - 308-1, quinzenal I</t>
  </si>
  <si>
    <t>quarta das 10:00 às 12:00, sala 401-1, quinzenal II</t>
  </si>
  <si>
    <t>NAEN2619SA</t>
  </si>
  <si>
    <t>Telefonia Fixa Moderna A-Noturno (Santo André)</t>
  </si>
  <si>
    <t>segunda das 21:00 às 23:00, sala S - 306-1, semanal , quarta das 21:00 às 23:00, sala S - 306-1, quinzenal I</t>
  </si>
  <si>
    <t>quarta das 21:00 às 23:00, sala 401-1, quinzenal II</t>
  </si>
  <si>
    <t>NA1BH0201SB</t>
  </si>
  <si>
    <t>BH0201</t>
  </si>
  <si>
    <t>Temas e Problemas em Filosofia</t>
  </si>
  <si>
    <t>Temas e Problemas em Filosofia A1-Noturno (São Bernardo do Campo)</t>
  </si>
  <si>
    <t xml:space="preserve">segunda das 21:00 às 23:00, sala A1-S203-SB, semanal , quinta das 19:00 às 21:00, sala A1-S203-SB, semanal </t>
  </si>
  <si>
    <t>NA2BH0201SB</t>
  </si>
  <si>
    <t>Temas e Problemas em Filosofia A2-Noturno (São Bernardo do Campo)</t>
  </si>
  <si>
    <t xml:space="preserve">segunda das 21:00 às 23:00, sala A2-S106-SB, semanal , quinta das 19:00 às 21:00, sala A2-S106-SB, semanal </t>
  </si>
  <si>
    <t>DABH0201SB</t>
  </si>
  <si>
    <t>Temas e Problemas em Filosofia A-diurno (São Bernardo do Campo)</t>
  </si>
  <si>
    <t xml:space="preserve">segunda das 14:00 às 16:00, sala A1-S204-SB, semanal , quinta das 14:00 às 16:00, sala A1-S204-SB, semanal </t>
  </si>
  <si>
    <t>DBBH0201SB</t>
  </si>
  <si>
    <t>Temas e Problemas em Filosofia B-diurno (São Bernardo do Campo)</t>
  </si>
  <si>
    <t xml:space="preserve">segunda das 10:00 às 12:00, sala A1-S203-SB, semanal , quinta das 08:00 às 10:00, sala A1-S203-SB, semanal </t>
  </si>
  <si>
    <t>NBBH0201SB</t>
  </si>
  <si>
    <t>Temas e Problemas em Filosofia B-Noturno (São Bernardo do Campo)</t>
  </si>
  <si>
    <t xml:space="preserve">segunda das 19:00 às 21:00, sala A1-S203-SB, semanal , quinta das 21:00 às 23:00, sala A1-S203-SB, semanal </t>
  </si>
  <si>
    <t>DCBH0201SB</t>
  </si>
  <si>
    <t>Temas e Problemas em Filosofia C-diurno (São Bernardo do Campo)</t>
  </si>
  <si>
    <t xml:space="preserve">segunda das 08:00 às 10:00, sala A1-S203-SB, semanal , quinta das 10:00 às 12:00, sala A1-S203-SB, semanal </t>
  </si>
  <si>
    <t>DAEN2508SB</t>
  </si>
  <si>
    <t>EN2508</t>
  </si>
  <si>
    <t>Tempos, Métodos e Arranjos Físicos</t>
  </si>
  <si>
    <t>Tempos, Métodos e Arranjos Físicos A-diurno (São Bernardo do Campo)</t>
  </si>
  <si>
    <t xml:space="preserve">sexta das 08:00 às 12:00, sala A2-S208-SB, semanal </t>
  </si>
  <si>
    <t>DAMC8209SA</t>
  </si>
  <si>
    <t>MC8209</t>
  </si>
  <si>
    <t>Tendências em Educação Matemática</t>
  </si>
  <si>
    <t>Tendências em Educação Matemática A-diurno (Santo André)</t>
  </si>
  <si>
    <t xml:space="preserve">terca das 14:00 às 16:00, sala 401-2, semanal , quinta das 14:00 às 16:00, sala 401-2, semanal </t>
  </si>
  <si>
    <t>DABC1405SA</t>
  </si>
  <si>
    <t>BC1405</t>
  </si>
  <si>
    <t>Teoria Aritmética dos Números</t>
  </si>
  <si>
    <t>Teoria Aritmética dos Números A-diurno (Santo André)</t>
  </si>
  <si>
    <t xml:space="preserve">terca das 08:00 às 10:00, sala A - 110-0, semanal , quinta das 10:00 às 12:00, sala A - 110-0, semanal </t>
  </si>
  <si>
    <t>NABC1405SA</t>
  </si>
  <si>
    <t>Teoria Aritmética dos Números A-Noturno (Santo André)</t>
  </si>
  <si>
    <t xml:space="preserve">terca das 19:00 às 21:00, sala A - 110-0, semanal , quinta das 21:00 às 23:00, sala A - 110-0, semanal </t>
  </si>
  <si>
    <t>DAMC1104SA</t>
  </si>
  <si>
    <t>MC1104</t>
  </si>
  <si>
    <t>Teoria da Medida e Integração</t>
  </si>
  <si>
    <t>Teoria da Medida e Integração A-diurno (Santo André)</t>
  </si>
  <si>
    <t xml:space="preserve">quarta das 14:00 às 16:00, sala S502, semanal , sexta das 14:00 às 16:00, sala S502, semanal </t>
  </si>
  <si>
    <t>NAMC1104SA</t>
  </si>
  <si>
    <t>Teoria da Medida e Integração A-Noturno (Santo André)</t>
  </si>
  <si>
    <t xml:space="preserve">quarta das 21:00 às 23:00, sala S502, semanal , sexta das 19:00 às 21:00, sala S502, semanal </t>
  </si>
  <si>
    <t>NABC1220SA</t>
  </si>
  <si>
    <t>BC1220</t>
  </si>
  <si>
    <t>Teoria da Relatividade</t>
  </si>
  <si>
    <t>Teoria da Relatividade A-Noturno (Santo André)</t>
  </si>
  <si>
    <t xml:space="preserve">segunda das 21:00 às 23:00, sala S - 308-3, semanal , quarta das 19:00 às 21:00, sala S - 308-3, semanal </t>
  </si>
  <si>
    <t>DAEN3527SB</t>
  </si>
  <si>
    <t>EN3527</t>
  </si>
  <si>
    <t>Teoria das Decisões</t>
  </si>
  <si>
    <t>Teoria das Decisões A-diurno (São Bernardo do Campo)</t>
  </si>
  <si>
    <t xml:space="preserve">sexta das 14:00 às 16:00, sala A2-L002-SB, semanal </t>
  </si>
  <si>
    <t>NAEN3527SB</t>
  </si>
  <si>
    <t>Teoria das Decisões A-Noturno (São Bernardo do Campo)</t>
  </si>
  <si>
    <t xml:space="preserve">quinta das 19:00 às 21:00, sala A2-L002-SB, semanal </t>
  </si>
  <si>
    <t>DAEN2102SA</t>
  </si>
  <si>
    <t>EN2102</t>
  </si>
  <si>
    <t>Teoria do Planejamento Urbano e Ambiental</t>
  </si>
  <si>
    <t>Teoria do Planejamento Urbano e Ambiental A-diurno (Santo André)</t>
  </si>
  <si>
    <t>OK - AMPLIADO 63</t>
  </si>
  <si>
    <t xml:space="preserve">sexta das 09:00 às 12:00, sala S - 301-1, semanal </t>
  </si>
  <si>
    <t>NAEN2102SA</t>
  </si>
  <si>
    <t>Teoria do Planejamento Urbano e Ambiental A-Noturno (Santo André)</t>
  </si>
  <si>
    <t>OK - AMPLIADO 62</t>
  </si>
  <si>
    <t xml:space="preserve">sexta das 19:00 às 22:00, sala S - 301-1, semanal </t>
  </si>
  <si>
    <t>DAMC2206SA</t>
  </si>
  <si>
    <t>MC2206</t>
  </si>
  <si>
    <t>Teoria dos Jogos</t>
  </si>
  <si>
    <t>Teoria dos Jogos A-diurno (Santo André)</t>
  </si>
  <si>
    <t xml:space="preserve">quarta das 16:00 às 18:00, sala A - 101-0, semanal , sexta das 16:00 às 18:00, sala A - 101-0, semanal </t>
  </si>
  <si>
    <t>NABC1218SA</t>
  </si>
  <si>
    <t>BC1218</t>
  </si>
  <si>
    <t>Teoria Eletromagnética</t>
  </si>
  <si>
    <t>Teoria Eletromagnética A-Noturno (Santo André)</t>
  </si>
  <si>
    <t xml:space="preserve">segunda das 19:00 às 21:00, sala S - 309-2, semanal , quarta das 19:00 às 21:00, sala S - 309-2, semanal , quinta das 21:00 às 23:00, sala S - 309-2, semanal </t>
  </si>
  <si>
    <t>NA1BH0206SB</t>
  </si>
  <si>
    <t>BH0206</t>
  </si>
  <si>
    <t>Teorias da Justiça</t>
  </si>
  <si>
    <t>Teorias da Justiça A1-Noturno (São Bernardo do Campo)</t>
  </si>
  <si>
    <t xml:space="preserve">quarta das 19:00 às 21:00, sala A2-S104-SB, semanal , sexta das 21:00 às 23:00, sala A2-S104-SB, semanal </t>
  </si>
  <si>
    <t>NA2BH0206SB</t>
  </si>
  <si>
    <t>Teorias da Justiça A2-Noturno (São Bernardo do Campo)</t>
  </si>
  <si>
    <t>Transferir todos os alunos p/ A1 Noturno</t>
  </si>
  <si>
    <t xml:space="preserve">quarta das 19:00 às 21:00, sala A1-S203-SB, semanal , sexta das 21:00 às 23:00, sala A1-S203-SB, semanal </t>
  </si>
  <si>
    <t>DABH0206SB</t>
  </si>
  <si>
    <t>Teorias da Justiça A-diurno (São Bernardo do Campo)</t>
  </si>
  <si>
    <t xml:space="preserve">quarta das 14:00 às 16:00, sala A2-S104-SB, semanal , sexta das 14:00 às 16:00, sala A2-S104-SB, semanal </t>
  </si>
  <si>
    <t>DBBH0206SB</t>
  </si>
  <si>
    <t>Teorias da Justiça B-diurno (São Bernardo do Campo)</t>
  </si>
  <si>
    <t xml:space="preserve">quarta das 08:00 às 10:00, sala A2-S104-SB, semanal , sexta das 10:00 às 12:00, sala A2-S104-SB, semanal </t>
  </si>
  <si>
    <t>NBBH0206SB</t>
  </si>
  <si>
    <t>Teorias da Justiça B-Noturno (São Bernardo do Campo)</t>
  </si>
  <si>
    <t xml:space="preserve">quarta das 21:00 às 23:00, sala A1-S203-SB, semanal , sexta das 19:00 às 21:00, sala A1-S203-SB, semanal </t>
  </si>
  <si>
    <t>DCBH0206SB</t>
  </si>
  <si>
    <t>Teorias da Justiça C-diurno (São Bernardo do Campo)</t>
  </si>
  <si>
    <t xml:space="preserve">quarta das 10:00 às 12:00, sala A2-S103-SB, semanal , sexta das 08:00 às 10:00, sala A2-S103-SB, semanal </t>
  </si>
  <si>
    <t>DABC1309SA</t>
  </si>
  <si>
    <t>BC1309</t>
  </si>
  <si>
    <t>Termodinâmica Aplicada</t>
  </si>
  <si>
    <t>Termodinâmica Aplicada A-diurno (Santo André)</t>
  </si>
  <si>
    <t>OK - AMPLIADO 100 / NOVA SALA 2ª 103-0 E 4ª 105-0</t>
  </si>
  <si>
    <t xml:space="preserve">segunda das 10:00 às 12:00, sala A - 113-0, semanal , quarta das 08:00 às 10:00, sala A - 113-0, semanal </t>
  </si>
  <si>
    <t>NABC1309SA</t>
  </si>
  <si>
    <t>Termodinâmica Aplicada A-Noturno (Santo André)</t>
  </si>
  <si>
    <t xml:space="preserve">segunda das 19:00 às 21:00, sala A - 113-0, semanal , quarta das 21:00 às 23:00, sala A - 113-0, semanal </t>
  </si>
  <si>
    <t>NBBC1309SA</t>
  </si>
  <si>
    <t>Termodinâmica Aplicada B-Noturno (Santo André)</t>
  </si>
  <si>
    <t xml:space="preserve">segunda das 21:00 às 23:00, sala A - 113-0, semanal , quarta das 19:00 às 21:00, sala A - 113-0, semanal </t>
  </si>
  <si>
    <t>DAEN2427SA</t>
  </si>
  <si>
    <t>EN2427</t>
  </si>
  <si>
    <t>Termodinâmica Aplicada II</t>
  </si>
  <si>
    <t>Termodinâmica Aplicada II A-diurno (Santo André)</t>
  </si>
  <si>
    <t xml:space="preserve">terca das 08:00 às 10:00, sala S - 301-2, semanal , quinta das 10:00 às 12:00, sala S - 301-2, semanal </t>
  </si>
  <si>
    <t>DANH3602SA</t>
  </si>
  <si>
    <t>NH3602</t>
  </si>
  <si>
    <t>Termoquímica</t>
  </si>
  <si>
    <t>Termoquímica A-diurno (Santo André)</t>
  </si>
  <si>
    <t xml:space="preserve">terca das 08:00 às 10:00, sala S - 006-0, semanal , quinta das 10:00 às 12:00, sala S - 006-0, semanal </t>
  </si>
  <si>
    <t>NANH3602SA</t>
  </si>
  <si>
    <t>Termoquímica A-Noturno (Santo André)</t>
  </si>
  <si>
    <t xml:space="preserve">terca das 19:00 às 21:00, sala S - 006-0, semanal , quinta das 21:00 às 23:00, sala S - 006-0, semanal </t>
  </si>
  <si>
    <t>DANH1016SA</t>
  </si>
  <si>
    <t>NH1016</t>
  </si>
  <si>
    <t>Toxicologia</t>
  </si>
  <si>
    <t>Toxicologia A-diurno (Santo André)</t>
  </si>
  <si>
    <t xml:space="preserve">terca das 14:00 às 16:00, sala S - 306-3, semanal , quinta das 14:00 às 16:00, sala S - 306-3, semanal </t>
  </si>
  <si>
    <t xml:space="preserve">terca das 16:00 às 18:00, sala 402-3, semanal </t>
  </si>
  <si>
    <t>DANH1017SA</t>
  </si>
  <si>
    <t>NH1017</t>
  </si>
  <si>
    <t>Trabalho de Conclusão de Curso em Biologia</t>
  </si>
  <si>
    <t>Trabalho de Conclusão de Curso em Biologia A-diurno (Santo André)</t>
  </si>
  <si>
    <t xml:space="preserve">quinta das 10:00 às 12:00, sala S - 305-2, semanal </t>
  </si>
  <si>
    <t>NANH1017SA</t>
  </si>
  <si>
    <t>Trabalho de Conclusão de Curso em Biologia A-Noturno (Santo André)</t>
  </si>
  <si>
    <t xml:space="preserve">quinta das 19:00 às 21:00, sala S - 305-2, semanal </t>
  </si>
  <si>
    <t>DANH2000SA</t>
  </si>
  <si>
    <t>Trabalho de Conclusão de Curso em Física</t>
  </si>
  <si>
    <t>Trabalho de Conclusão de Curso em Física A-diurno (Santo André)</t>
  </si>
  <si>
    <t xml:space="preserve">sabado das 10:00 às 12:00, sala S - 310-3, semanal </t>
  </si>
  <si>
    <t>DAMC2110SA</t>
  </si>
  <si>
    <t>MC2110</t>
  </si>
  <si>
    <t>Trabalho de Conclusão de Curso em Matemática I</t>
  </si>
  <si>
    <t>Trabalho de Conclusão de Curso em Matemática I A-diurno (Santo André)</t>
  </si>
  <si>
    <t xml:space="preserve">sabado das 08:00 às 10:00, sala S - 302-2, semanal </t>
  </si>
  <si>
    <t>DAMC2111SA</t>
  </si>
  <si>
    <t>MC2111</t>
  </si>
  <si>
    <t>Trabalho de Conclusão de Curso em Matemática II</t>
  </si>
  <si>
    <t>Trabalho de Conclusão de Curso em Matemática II A-diurno (Santo André)</t>
  </si>
  <si>
    <t xml:space="preserve">sabado das 10:00 às 12:00, sala S - 302-2, semanal </t>
  </si>
  <si>
    <t>DAMCTB027-13SA</t>
  </si>
  <si>
    <t>MCTB027-13</t>
  </si>
  <si>
    <t>Trabalho de Conclusão de Curso em Matemática III</t>
  </si>
  <si>
    <t>Trabalho de Conclusão de Curso em Matemática III A-diurno (Santo André)</t>
  </si>
  <si>
    <t xml:space="preserve">sabado das 12:00 às 14:00, sala S - 302-2, semanal </t>
  </si>
  <si>
    <t>DACS3301SB</t>
  </si>
  <si>
    <t>CS3301</t>
  </si>
  <si>
    <t>Trajetória de Desenvolvimento de Países Exportadores de Petróleo</t>
  </si>
  <si>
    <t>Trajetória de Desenvolvimento de Países Exportadores de Petróleo A-diurno (São Bernardo do Campo)</t>
  </si>
  <si>
    <t xml:space="preserve">quarta das 08:00 às 10:00, sala A2-S308-SB, semanal , sexta das 10:00 às 12:00, sala A2-S308-SB, semanal </t>
  </si>
  <si>
    <t>NACS3301SB</t>
  </si>
  <si>
    <t>Trajetória de Desenvolvimento de Países Exportadores de Petróleo A-Noturno (São Bernardo do Campo)</t>
  </si>
  <si>
    <t xml:space="preserve">quarta das 19:00 às 21:00, sala A2-S308-SB, semanal , sexta das 21:00 às 23:00, sala A2-S308-SB, semanal </t>
  </si>
  <si>
    <t>DACS2118SB</t>
  </si>
  <si>
    <t>CS2118</t>
  </si>
  <si>
    <t>Trajetórias das Políticas de C.T.I no Brasil</t>
  </si>
  <si>
    <t>Trajetórias das Políticas de C.T.I no Brasil A-diurno (São Bernardo do Campo)</t>
  </si>
  <si>
    <t xml:space="preserve">terca das 08:00 às 10:00, sala A2-S304-SB, semanal , quinta das 10:00 às 12:00, sala A2-S304-SB, semanal </t>
  </si>
  <si>
    <t>NACS2118SB</t>
  </si>
  <si>
    <t>Trajetórias das Políticas de C.T.I no Brasil A-Noturno (São Bernardo do Campo)</t>
  </si>
  <si>
    <t>Disciplina compartilhada com BRI, obrigatória para ambos. Podemos usar sala do BRI? Ou alguma outra grande. Caso não seja possível, provavelmente teremos que duplicar a oferta</t>
  </si>
  <si>
    <t>OK - AMPLIADO 62 / NOVA SALA A2-S308-SB</t>
  </si>
  <si>
    <t xml:space="preserve">terca das 19:00 às 21:00, sala A2-S304-SB, semanal , quinta das 21:00 às 23:00, sala A2-S304-SB, semanal </t>
  </si>
  <si>
    <t>NAEN2229SA</t>
  </si>
  <si>
    <t>EN2229</t>
  </si>
  <si>
    <t>Transferência de Calor Aplicada a Sistemas Aeroespaciais</t>
  </si>
  <si>
    <t>Transferência de Calor Aplicada a Sistemas Aeroespaciais A-Noturno (Santo André)</t>
  </si>
  <si>
    <t>quarta das 21:00 às 23:00, sala S - 307-1, semanal , sexta das 19:00 às 21:00, sala S - 307-1, quinzenal II</t>
  </si>
  <si>
    <t>sexta das 21:00 às 23:00, sala 502-1, quinzenal I</t>
  </si>
  <si>
    <t>NAEN2411SA</t>
  </si>
  <si>
    <t>EN2411</t>
  </si>
  <si>
    <t>Transferência de Calor II</t>
  </si>
  <si>
    <t>Transferência de Calor II A-Noturno (Santo André)</t>
  </si>
  <si>
    <t xml:space="preserve">segunda das 19:00 às 21:00, sala S - 301-2, semanal , quarta das 21:00 às 23:00, sala S - 301-2, semanal </t>
  </si>
  <si>
    <t>NAEN3467SA</t>
  </si>
  <si>
    <t>EN3467</t>
  </si>
  <si>
    <t>Transferência de Calor Industrial</t>
  </si>
  <si>
    <t>Transferência de Calor Industrial A-Noturno (Santo André)</t>
  </si>
  <si>
    <t xml:space="preserve">segunda das 21:00 às 23:00, sala S - 209-0, semanal , quarta das 19:00 às 21:00, sala S - 209-0, semanal </t>
  </si>
  <si>
    <t>DAEN2103SA</t>
  </si>
  <si>
    <t>EN2103</t>
  </si>
  <si>
    <t>Transferência de Massa</t>
  </si>
  <si>
    <t>Transferência de Massa A-diurno (Santo André)</t>
  </si>
  <si>
    <t xml:space="preserve">segunda das 10:00 às 12:00, sala S - 311-2, semanal , quarta das 10:00 às 12:00, sala S - 311-2, semanal </t>
  </si>
  <si>
    <t>NAEN2103SA</t>
  </si>
  <si>
    <t>Transferência de Massa A-Noturno (Santo André)</t>
  </si>
  <si>
    <t xml:space="preserve">segunda das 21:00 às 23:00, sala S - 311-2, semanal , quarta das 19:00 às 21:00, sala S - 311-2, semanal </t>
  </si>
  <si>
    <t>DA1BC0307SA</t>
  </si>
  <si>
    <t>BC0307</t>
  </si>
  <si>
    <t>Transformações Químicas</t>
  </si>
  <si>
    <t>Transformações Químicas A1-diurno (Santo André)</t>
  </si>
  <si>
    <t>ok  AMPLIADO</t>
  </si>
  <si>
    <t>quarta das 16:00 às 18:00, sala A - 108-0, semanal , sexta das 14:00 às 16:00, sala A - 108-0, quinzenal I</t>
  </si>
  <si>
    <t xml:space="preserve">quarta das 14:00 às 16:00, sala L601/602, semanal </t>
  </si>
  <si>
    <t>DA1BC0307SB</t>
  </si>
  <si>
    <t>Transformações Químicas A1-diurno (São Bernardo do Campo)</t>
  </si>
  <si>
    <t>quarta das 16:00 às 18:00, sala A1-S202-SB, semanal , sexta das 14:00 às 16:00, sala A1-S202-SB, quinzenal I</t>
  </si>
  <si>
    <t xml:space="preserve">quarta das 14:00 às 16:00, sala A1-L301-SB, semanal </t>
  </si>
  <si>
    <t>NA1BC0307SA</t>
  </si>
  <si>
    <t>Transformações Químicas A1-Noturno (Santo André)</t>
  </si>
  <si>
    <t>quarta das 21:00 às 23:00, sala A - 108-0, semanal , sexta das 19:00 às 21:00, sala A - 108-0, quinzenal I</t>
  </si>
  <si>
    <t xml:space="preserve">quarta das 19:00 às 21:00, sala L601/602, semanal </t>
  </si>
  <si>
    <t>NA1BC0307SB</t>
  </si>
  <si>
    <t>Transformações Químicas A1-Noturno (São Bernardo do Campo)</t>
  </si>
  <si>
    <t>quarta das 21:00 às 23:00, sala A1-S202-SB, semanal , sexta das 19:00 às 21:00, sala A1-S202-SB, quinzenal I</t>
  </si>
  <si>
    <t xml:space="preserve">quarta das 19:00 às 21:00, sala A1-L301-SB, semanal </t>
  </si>
  <si>
    <t>DA2BC0307SA</t>
  </si>
  <si>
    <t>Transformações Químicas A2-diurno (Santo André)</t>
  </si>
  <si>
    <t xml:space="preserve">quarta das 14:00 às 16:00, sala L602, semanal </t>
  </si>
  <si>
    <t>DA2BC0307SB</t>
  </si>
  <si>
    <t>Transformações Químicas A2-diurno (São Bernardo do Campo)</t>
  </si>
  <si>
    <t xml:space="preserve">quarta das 14:00 às 16:00, sala A1-L302-SB, semanal </t>
  </si>
  <si>
    <t>NA2BC0307SA</t>
  </si>
  <si>
    <t>Transformações Químicas A2-Noturno (Santo André)</t>
  </si>
  <si>
    <t xml:space="preserve">quarta das 19:00 às 21:00, sala L602, semanal </t>
  </si>
  <si>
    <t>NA2BC0307SB</t>
  </si>
  <si>
    <t>Transformações Químicas A2-Noturno (São Bernardo do Campo)</t>
  </si>
  <si>
    <t xml:space="preserve">quarta das 19:00 às 21:00, sala A1-L302-SB, semanal </t>
  </si>
  <si>
    <t>DA3BC0307SA</t>
  </si>
  <si>
    <t>Transformações Químicas A3-diurno (Santo André)</t>
  </si>
  <si>
    <t xml:space="preserve">quarta das 14:00 às 16:00, sala L605, semanal </t>
  </si>
  <si>
    <t>DA3BC0307SB</t>
  </si>
  <si>
    <t>Transformações Químicas A3-diurno (São Bernardo do Campo)</t>
  </si>
  <si>
    <t xml:space="preserve">quarta das 14:00 às 16:00, sala A1-L305-SB, semanal </t>
  </si>
  <si>
    <t>NA3BC0307SA</t>
  </si>
  <si>
    <t>Transformações Químicas A3-Noturno (Santo André)</t>
  </si>
  <si>
    <t xml:space="preserve">quarta das 19:00 às 21:00, sala L605, semanal </t>
  </si>
  <si>
    <t>NA3BC0307SB</t>
  </si>
  <si>
    <t>Transformações Químicas A3-Noturno (São Bernardo do Campo)</t>
  </si>
  <si>
    <t xml:space="preserve">quarta das 19:00 às 21:00, sala A1-L305-SB, semanal </t>
  </si>
  <si>
    <t>NAEN2136SB</t>
  </si>
  <si>
    <t>EN2136</t>
  </si>
  <si>
    <t>Transportes e Mobilidade Urbana</t>
  </si>
  <si>
    <t>Transportes e Mobilidade Urbana A-Noturno (São Bernardo do Campo)</t>
  </si>
  <si>
    <t>mudar a sala com maior capacidade</t>
  </si>
  <si>
    <t>OK - AMPLIADO 44 / NOVA SALA A2-S206-SB</t>
  </si>
  <si>
    <t xml:space="preserve">quarta das 19:00 às 21:00, sala A2-S311-SB, semanal </t>
  </si>
  <si>
    <t>TOTAIS</t>
  </si>
  <si>
    <t>SEQ.</t>
  </si>
  <si>
    <t>NOME (SEM ACENTOS)</t>
  </si>
  <si>
    <t>Matr. SIAPE</t>
  </si>
  <si>
    <t>CARGO</t>
  </si>
  <si>
    <t>CENTRO</t>
  </si>
  <si>
    <t>Colunas1</t>
  </si>
  <si>
    <t>AFASTAMENTOS</t>
  </si>
  <si>
    <t>INÍCIO</t>
  </si>
  <si>
    <t>TÉRMINO</t>
  </si>
  <si>
    <t>TURMAS TEORIA</t>
  </si>
  <si>
    <t>CRÉDITOS TEORIA</t>
  </si>
  <si>
    <t>TURMAS PRÁTICA</t>
  </si>
  <si>
    <t>CRÉDITOS PRÁTICA</t>
  </si>
  <si>
    <t>TOTAL CRÉDITOS DOCENTE</t>
  </si>
  <si>
    <t>Cargo Administrativo</t>
  </si>
  <si>
    <t>redução de carga</t>
  </si>
  <si>
    <t>total</t>
  </si>
  <si>
    <t>?</t>
  </si>
  <si>
    <t>CELSO CHIKAHIRO NISHI</t>
  </si>
  <si>
    <t>PROFESSOR ADJUNTO - NÍVEL III</t>
  </si>
  <si>
    <t>CMCC</t>
  </si>
  <si>
    <t>AFASTADO</t>
  </si>
  <si>
    <r>
      <t>AFASTAMENTO INTERNACIONAL -</t>
    </r>
    <r>
      <rPr>
        <b/>
        <sz val="7"/>
        <color rgb="FFFF0000"/>
        <rFont val="Calibri"/>
        <family val="2"/>
        <scheme val="minor"/>
      </rPr>
      <t xml:space="preserve"> REALIZAÇÃO DE PÓS-DOUTORADO NA UNIVERSITY OF MARYLAND AT COLLEGE PARK. COLLEGE PARK - MARYLAND (EUA)</t>
    </r>
  </si>
  <si>
    <t>FABIANA SOARES SANTANA</t>
  </si>
  <si>
    <t>LICENÇA PARA TRATAR DE ASSUNTOS PARTICULARES</t>
  </si>
  <si>
    <t>GERARDO ALBERTO SILVA</t>
  </si>
  <si>
    <t>PROFESSOR ADJUNTO - NÍVEL I</t>
  </si>
  <si>
    <t>CECS</t>
  </si>
  <si>
    <r>
      <t xml:space="preserve">AFASTAMENTO INTERNACIONAL - </t>
    </r>
    <r>
      <rPr>
        <b/>
        <sz val="7"/>
        <color rgb="FFFF0000"/>
        <rFont val="Calibri"/>
        <family val="2"/>
        <scheme val="minor"/>
      </rPr>
      <t>MONTREAL (CANADÁ)</t>
    </r>
  </si>
  <si>
    <t>JOSE ALEX SANT ANNA</t>
  </si>
  <si>
    <t>PROFESSOR ASSOCIADO - NÍVEL I</t>
  </si>
  <si>
    <t>CEDIDO - MINISTÉRIO PÚBLICO FEDERAL - PGR - CAMPINAS</t>
  </si>
  <si>
    <t>MARCIO GUSTAVO DI VERNIERI CUPPARI</t>
  </si>
  <si>
    <t>EM EXERCÍCIO</t>
  </si>
  <si>
    <r>
      <t xml:space="preserve">AFASTAMENTO INTERNACIONAL - </t>
    </r>
    <r>
      <rPr>
        <sz val="7"/>
        <rFont val="Calibri"/>
        <family val="2"/>
        <scheme val="minor"/>
      </rPr>
      <t>PÓS-DOUTORADO NA ECOLE NATIONALE SUPÉRIEURE DE CHIMIE DE LILE / SEVILHA - ESPANHA</t>
    </r>
  </si>
  <si>
    <t>MONICA SCHRODER</t>
  </si>
  <si>
    <t>CEDIDO - MINISTÉRIO DE DESENVOLVIMENTO SOCIAL E COMBATE A FOME</t>
  </si>
  <si>
    <t>PAULO HENRIQUE DE MELLO SANT ANA</t>
  </si>
  <si>
    <r>
      <t>AFASTAMENTO INTERNACIONAL -</t>
    </r>
    <r>
      <rPr>
        <b/>
        <sz val="7"/>
        <color rgb="FFFF0000"/>
        <rFont val="Calibri"/>
        <family val="2"/>
        <scheme val="minor"/>
      </rPr>
      <t xml:space="preserve"> REALIZAÇÃO DE PÓS-DOUTORADO NA WEST VIRGINIA UNIVERSITY / EUA</t>
    </r>
  </si>
  <si>
    <t>SYDNEY FERREIRA SANTOS</t>
  </si>
  <si>
    <r>
      <t xml:space="preserve">AFASTAMENTO INTERNACIONAL - </t>
    </r>
    <r>
      <rPr>
        <b/>
        <sz val="7"/>
        <color rgb="FFFF0000"/>
        <rFont val="Calibri"/>
        <family val="2"/>
        <scheme val="minor"/>
      </rPr>
      <t>QUEBEC (CANADÁ)</t>
    </r>
  </si>
  <si>
    <t>ANA MARIA DIETRICH</t>
  </si>
  <si>
    <t>LICENÇA GESTANTE - PRORROGAÇÃO</t>
  </si>
  <si>
    <t>LUZIA NOMURA</t>
  </si>
  <si>
    <t>PROFESSOR ADJUNTO - NÍVEL II</t>
  </si>
  <si>
    <t>AFASTADO / EM EXCERCÍCIO</t>
  </si>
  <si>
    <t>LICENÇA PARA TRATAMENTO DE SAÚDE DO SERVIDOR</t>
  </si>
  <si>
    <t>ADALBERTO MANTOVANI MARTINIANO DE AZEVEDO</t>
  </si>
  <si>
    <t/>
  </si>
  <si>
    <t>Vice Coordenador do Curso de Pós-Graduação em Políticas Públicas</t>
  </si>
  <si>
    <t>ADELAIDE FALJONI ALARIO</t>
  </si>
  <si>
    <t>PROFESSOR TITULAR</t>
  </si>
  <si>
    <t>CCNH</t>
  </si>
  <si>
    <t>ADRIAN MARCEL ZALMANOVICI</t>
  </si>
  <si>
    <t>ADRIANA CAPUANO DE OLIVEIRA</t>
  </si>
  <si>
    <t>ADRIANO REINALDO VICOTO BENVENHO</t>
  </si>
  <si>
    <t>PROFESSOR ADJUNTO - NÍVEL IV</t>
  </si>
  <si>
    <t>Vice Coordenador do Curso de Graduação do Bacharelado em Física</t>
  </si>
  <si>
    <t>ADRIANO VIANA ENSINAS</t>
  </si>
  <si>
    <t>AGNALDO APARECIDO FRESCHI</t>
  </si>
  <si>
    <t>AHDA PIONKOSKI GRILO PAVANI</t>
  </si>
  <si>
    <t>ALAIN SEGUNDO POTTS</t>
  </si>
  <si>
    <t>PROFESSOR ADJUNTO-A - NÍVEL I</t>
  </si>
  <si>
    <t>ALBERTO JOSE OLAVARRIETA ARAB</t>
  </si>
  <si>
    <t>ALBERTO SANYUAN SUEN</t>
  </si>
  <si>
    <t>Vice Coodenador do Curso de Graduação do Bacharelado em Ciências Econômicas</t>
  </si>
  <si>
    <t>ALEJANDRO ANDRES ZUNIGA PAEZ</t>
  </si>
  <si>
    <t>ALESSANDRO JACQUES RIBEIRO</t>
  </si>
  <si>
    <t>Coordenador do Curso de Pós-Graduação em Ensino, Hist. e Filos. Ciên. E Matem.</t>
  </si>
  <si>
    <t>ALESSANDRO SILVA NASCIMENTO</t>
  </si>
  <si>
    <t>ALEX GOMES DIAS</t>
  </si>
  <si>
    <t>ALEXANDR KORNEV</t>
  </si>
  <si>
    <t>ALEXANDRE ACACIO DE ANDRADE</t>
  </si>
  <si>
    <t>ALEXANDRE HIROAKI KIHARA</t>
  </si>
  <si>
    <t>Pró-reitor Adjunto de Pós-graduação</t>
  </si>
  <si>
    <t>ALEXANDRE JOSE DE CASTRO LANFREDI</t>
  </si>
  <si>
    <t>ALEXANDRE NOMA</t>
  </si>
  <si>
    <t>ALEXANDRE REILY ROCHA</t>
  </si>
  <si>
    <t>ALEXANDRE ZATKOVSKIS CARVALHO</t>
  </si>
  <si>
    <t>ALEXEI MAGALHAES VENEZIANI</t>
  </si>
  <si>
    <t>Coordenador do Curso do Bacharelado em Matemática</t>
  </si>
  <si>
    <t>ALEXSANDRE FIGUEIREDO LAGO</t>
  </si>
  <si>
    <t>ALFEU JOAOZINHO SGUAREZI FILHO</t>
  </si>
  <si>
    <t>Coordenador do Curso de Pós-Graduação Em Engenharia Elétrica</t>
  </si>
  <si>
    <t>ALFREDO DEL SOLE LORDELO</t>
  </si>
  <si>
    <t>ALINE DE OLIVEIRA NEVES PANAZIO</t>
  </si>
  <si>
    <t>ALVARO BATISTA DIETRICH</t>
  </si>
  <si>
    <t>ALVARO TAKEO OMORI</t>
  </si>
  <si>
    <t>ALYSSON FABIO FERRARI</t>
  </si>
  <si>
    <t>Coordenador do Curso de Pós-Graduação em Física</t>
  </si>
  <si>
    <t>AMAURY KRUEL BUDRI</t>
  </si>
  <si>
    <t>ANA CAROLINA BOERO</t>
  </si>
  <si>
    <t>ANA CAROLINA QUIRINO SIMOES</t>
  </si>
  <si>
    <t>ANA CAROLINA SANTOS DE SOUZA GALVAO</t>
  </si>
  <si>
    <t>ANA CLAUDIA POLATO E FAVA</t>
  </si>
  <si>
    <t>ANA KEILA MOSCA PINEZI</t>
  </si>
  <si>
    <t>ANA MARIA PEREIRA NETO</t>
  </si>
  <si>
    <t>ANA MELVA CHAMPI FARFAN</t>
  </si>
  <si>
    <t>ANA PAULA DE MATTOS AREAS DAU</t>
  </si>
  <si>
    <t>ANA PAULA ROMANI</t>
  </si>
  <si>
    <t>Vice Coordenadora do Curso de Graduação em Engenharia Biomédica</t>
  </si>
  <si>
    <t>ANAPATRICIA DE OLIVEIRA MORALES VILHA</t>
  </si>
  <si>
    <t>Coordenadora da Agência de Inovação</t>
  </si>
  <si>
    <t>ANASTASIA GUIDI ITOKAZU</t>
  </si>
  <si>
    <t>ANDERSON DE ARAUJO</t>
  </si>
  <si>
    <t>ANDERSON ORZARI RIBEIRO</t>
  </si>
  <si>
    <t>ANDRE ETEROVIC</t>
  </si>
  <si>
    <t>ANDRE FENILI</t>
  </si>
  <si>
    <t>Coordenador do Curso de Pós-Graduação Em Engenharia Mecânica</t>
  </si>
  <si>
    <t>ANDRE GUILHERME RIBEIRO BALAN</t>
  </si>
  <si>
    <t>ANDRE GUSTAVO SCAGLIUSI LANDULFO</t>
  </si>
  <si>
    <t>ANDRE LUIZ BRANDAO</t>
  </si>
  <si>
    <t>ANDRE LUIZ MOLISANI</t>
  </si>
  <si>
    <t>ANDRE MASCIOLI CRAVO</t>
  </si>
  <si>
    <t>ANDRE PANIAGO LESSA</t>
  </si>
  <si>
    <t>ANDRE RICARDO OLIVEIRA DA FONSECA</t>
  </si>
  <si>
    <t>Vice Coordenador do PROFMAT - Mestrado profissional em Rede Nacional em Matemática</t>
  </si>
  <si>
    <t>ANDRE SARTO POLO</t>
  </si>
  <si>
    <t>ANDREA CECILIA DORION RODAS</t>
  </si>
  <si>
    <t>ANDREA DE OLIVEIRA CARDOSO</t>
  </si>
  <si>
    <t>Coordenadora do Curso de Pós-Graduação em Ciência e Tecnologia Ambiental</t>
  </si>
  <si>
    <t>ANDREA ONOFRE DE ARAUJO</t>
  </si>
  <si>
    <t>ANDREA PAULA DOS SANTOS OLIVEIRA KAMENSKY</t>
  </si>
  <si>
    <t>ANGELO DE SOUZA SANTOS</t>
  </si>
  <si>
    <t>ANGELO MARCOS QUEIROZ PRATES</t>
  </si>
  <si>
    <t>ANNE CRISTINE CHINELLATO</t>
  </si>
  <si>
    <t>ANNIBAL HETEM JUNIOR</t>
  </si>
  <si>
    <t>Diretor do Centro de Engenharia, Modelagem e Ciências Sociais Aplicadas (CECS)</t>
  </si>
  <si>
    <t>ANTONIO ALVARO RANHA NEVES</t>
  </si>
  <si>
    <t>ANTONIO CANDIDO FALEIROS</t>
  </si>
  <si>
    <t>ANTONIO GARRIDO GALLEGO</t>
  </si>
  <si>
    <t>ANTONIO GIL VICENTE DE BRUM</t>
  </si>
  <si>
    <t>ANTONIO MARCOS ROSEIRA</t>
  </si>
  <si>
    <t>ANTONIO SERGIO KIMUS BRAZ</t>
  </si>
  <si>
    <t>ANTONIO SERGIO MUNHOZ</t>
  </si>
  <si>
    <t>ARILSON DA SILVA FAVARETO</t>
  </si>
  <si>
    <t>Coordenador do Bacharelado em Ciência e Humanidade da UFABC</t>
  </si>
  <si>
    <t>ARMANDO CAPUTI</t>
  </si>
  <si>
    <t>ARNALDO RODRIGUES DOS SANTOS JUNIOR</t>
  </si>
  <si>
    <t>ARTUR FRANZ KEPPLER</t>
  </si>
  <si>
    <t>ARTUR ZIMERMAN</t>
  </si>
  <si>
    <t>BEATRIZ STRANSKY FERREIRA</t>
  </si>
  <si>
    <t>BRENO ARSIOLI MOURA</t>
  </si>
  <si>
    <t>BRUNO LEARTH SOARES</t>
  </si>
  <si>
    <t>PROFESSOR VISITANTE</t>
  </si>
  <si>
    <t>BRUNO LEMOS BATISTA</t>
  </si>
  <si>
    <t>BRUNO NADAI</t>
  </si>
  <si>
    <t>CAMILA CALDEIRA NUNES DIAS</t>
  </si>
  <si>
    <t>Coordenadora do Curso de Pós-Graduação em Ciências Humanas e Sociais</t>
  </si>
  <si>
    <t>CAMILO ANDREA ANGELUCCI</t>
  </si>
  <si>
    <t>CARLOS ALBERTO DA SILVA</t>
  </si>
  <si>
    <t>Coordenadora do Curso de Graduação de Licenciatura em Ciências Biológica</t>
  </si>
  <si>
    <t>CARLOS ALBERTO DOS REIS FILHO</t>
  </si>
  <si>
    <t>CARLOS ALBERTO KAMIENSKI</t>
  </si>
  <si>
    <t>Assessor de Relações Internacionais da UFABC</t>
  </si>
  <si>
    <t>CARLOS ALBERTO ROCHA PIMENTEL</t>
  </si>
  <si>
    <t>CARLOS DA SILVA DOS SANTOS</t>
  </si>
  <si>
    <t>CARLOS EDUARDO CAPOVILLA</t>
  </si>
  <si>
    <t>CARLOS RENATO HUAURA SOLORZANO</t>
  </si>
  <si>
    <t>CARLOS SUETOSHI MIYAZAWA</t>
  </si>
  <si>
    <t>PROFESSOR ASSOCIADO - NÍVEL II</t>
  </si>
  <si>
    <t>CARLOS TRIVENO RIOS</t>
  </si>
  <si>
    <t>CAROLINA CORREA DE CARVALHO</t>
  </si>
  <si>
    <t>CAROLINA MOUTINHO DUQUE DE PINHO</t>
  </si>
  <si>
    <t>CECILIA BERTONI MARTHA HADLER CHIRENTI</t>
  </si>
  <si>
    <t>CEDRIC ROCHA LEAO</t>
  </si>
  <si>
    <t>CELIO ADREGA DE MOURA JUNIOR</t>
  </si>
  <si>
    <t>CELSO SETSUO KURASHIMA</t>
  </si>
  <si>
    <t>CESAR AUGUSTO CARDOSO CAETANO</t>
  </si>
  <si>
    <t>CHARLES MORPHY DIAS DOS SANTOS</t>
  </si>
  <si>
    <t>CHRISTIANE BERTACHINI LOMBELLO</t>
  </si>
  <si>
    <t>CHRISTIANE RIBEIRO</t>
  </si>
  <si>
    <t>CIBELE BIONDO</t>
  </si>
  <si>
    <t>CICERO RIBEIRO DE LIMA</t>
  </si>
  <si>
    <t>CLAUDIA BOIAN</t>
  </si>
  <si>
    <t>CLAUDIA CELESTE CELESTINO DE PAULA SANTOS</t>
  </si>
  <si>
    <t>CLAUDIA FRANCISCA ESCOBAR DE PAIVA</t>
  </si>
  <si>
    <t>CLAUDINEI EDUARDO BIAZOLI JUNIOR</t>
  </si>
  <si>
    <t>CLAUDIO JOSE BORDIN JUNIOR</t>
  </si>
  <si>
    <t>CLAUDIO LUIS DE CAMARGO PENTEADO</t>
  </si>
  <si>
    <t>Vice Coordenador do Curso de Pós-Graduação em Ciências Humanas e Sociais</t>
  </si>
  <si>
    <t>CLAUDIO NOGUEIRA DE MENESES</t>
  </si>
  <si>
    <t>CRISTIAN FAVIO COLETTI</t>
  </si>
  <si>
    <t>CRISTIANE MARIA SATO</t>
  </si>
  <si>
    <t>CRISTIANE NEGREIROS ABBUD AYOUB</t>
  </si>
  <si>
    <t>CRISTIANE OTERO REIS SALUM</t>
  </si>
  <si>
    <t>CRISTIANO FIORILO DE MELO</t>
  </si>
  <si>
    <t>CRISTINA AUTUORI TOMAZETI</t>
  </si>
  <si>
    <t>Coordenadora do Curso de Graduação em Engenharia de Energia</t>
  </si>
  <si>
    <t>CRISTINA FROES DE BORJA REIS</t>
  </si>
  <si>
    <t>DACIO ROBERTO MATHEUS</t>
  </si>
  <si>
    <t>Vice-Reitor</t>
  </si>
  <si>
    <t>DALMO MANDELLI</t>
  </si>
  <si>
    <t>DANIEL CARNEIRO CARRETTIERO</t>
  </si>
  <si>
    <t>DANIEL MIRANDA MACHADO</t>
  </si>
  <si>
    <t>DANIEL MORGATO MARTIN</t>
  </si>
  <si>
    <t>DANIEL PANSARELLI</t>
  </si>
  <si>
    <t xml:space="preserve">Pró-reitor de Extensão </t>
  </si>
  <si>
    <t>DANIEL SCODELER RAIMUNDO</t>
  </si>
  <si>
    <t>DANIEL ZANETTI DE FLORIO</t>
  </si>
  <si>
    <t>DANIELE RIBEIRO DE ARAUJO</t>
  </si>
  <si>
    <t>Coordenador do Curso de Pós-Graduação em Biossistemas</t>
  </si>
  <si>
    <t>DANILO DA CRUZ CENTENO</t>
  </si>
  <si>
    <t>DANILO FREITAS RAMALHO DA SILVA</t>
  </si>
  <si>
    <t>DANILO JUSTINO CARASTAN</t>
  </si>
  <si>
    <t>Vice Coordenador do Curso de Graduação em Engenharia de Materiais</t>
  </si>
  <si>
    <t>DARLENE RAMOS DIAS</t>
  </si>
  <si>
    <t>DAVID CORREA MARTINS JUNIOR</t>
  </si>
  <si>
    <t>DEBORA MARIA ROSSI DE MEDEIROS</t>
  </si>
  <si>
    <t>DELMO ALVES DE MOURA</t>
  </si>
  <si>
    <t>DEMETRIO GASPARI CIRNE DE TOLEDO</t>
  </si>
  <si>
    <t>DEMETRIO JACKSON DOS SANTOS</t>
  </si>
  <si>
    <t>DENISE CONSONNI</t>
  </si>
  <si>
    <t>DENISE CRIADO PEREIRA DE SOUZA</t>
  </si>
  <si>
    <t>DENISE HIDEKO GOYA</t>
  </si>
  <si>
    <t>DERVAL DOS SANTOS ROSA</t>
  </si>
  <si>
    <t>DIANA SARITA HAMBURGER</t>
  </si>
  <si>
    <t>DIOGO COUTINHO SORIANO</t>
  </si>
  <si>
    <t>DIOGO LIBRANDI DA ROCHA</t>
  </si>
  <si>
    <t>DIOGO SANTANA MARTINS</t>
  </si>
  <si>
    <t>DMITRY VASILEVICH</t>
  </si>
  <si>
    <t>DOUGLAS ALVES CASSIANO</t>
  </si>
  <si>
    <t>EDER DE OLIVEIRA ABENSUR</t>
  </si>
  <si>
    <t>EDMARCIO ANTONIO BELATI</t>
  </si>
  <si>
    <t>Vice Coordenador do Curso de Pós-Graduação Em Engenharia Elétrica</t>
  </si>
  <si>
    <t>EDSON ALEX ARRAZOLA IRIARTE</t>
  </si>
  <si>
    <t>EDSON PINHEIRO PIMENTEL</t>
  </si>
  <si>
    <t>Diretor do Centro de Matemática, Computação e Cognição (CMCC)</t>
  </si>
  <si>
    <t>EDSON RYOJI OKAMOTO IWAKI</t>
  </si>
  <si>
    <t>EDUARDO DE MORAES GREGORES</t>
  </si>
  <si>
    <t>EDUARDO DOS SANTOS FERREIRA</t>
  </si>
  <si>
    <t>EDUARDO GUERON</t>
  </si>
  <si>
    <t>EDUARDO LEITE BORBA</t>
  </si>
  <si>
    <t>Coordenador do Curso de Pós-Graduação em Evolução e Diversidade</t>
  </si>
  <si>
    <t>EDUARDO LUCAS SUBTIL</t>
  </si>
  <si>
    <t>EDUARDO PERES NOVAIS DE SA</t>
  </si>
  <si>
    <t>ELIAS DAVID MORALES MARTINEZ</t>
  </si>
  <si>
    <t>ELIZABETE CAMPOS DE LIMA</t>
  </si>
  <si>
    <t>ELIZABETE CRISTINA COSTA RENDERS</t>
  </si>
  <si>
    <t>ELIZABETH TEODOROV</t>
  </si>
  <si>
    <t>ELMER ANTONIO RAMIREZ BARRETO</t>
  </si>
  <si>
    <t>ELVIRA RAFIKOVA</t>
  </si>
  <si>
    <t>Vice Coordenadora do Curso de Graduação em Eng. de Instrum. Autom. Robótica</t>
  </si>
  <si>
    <t>EMERSON RODRIGO DA SILVA</t>
  </si>
  <si>
    <t>EMERY CLEITON CABRAL CORREIA LINS</t>
  </si>
  <si>
    <t>Coordenador do Curso de Pós-Graduação em Engenharia Biomédica</t>
  </si>
  <si>
    <t>ERCILIO CARVALHO DA SILVA</t>
  </si>
  <si>
    <t>ERICK DARIO LEON BUENO DE CAMARGO</t>
  </si>
  <si>
    <t>ERIK GUSTAVO DEL CONTE</t>
  </si>
  <si>
    <t>ERIKA FERNANDA PRADOS</t>
  </si>
  <si>
    <t>EVANDIR MEGLIORINI</t>
  </si>
  <si>
    <t>EVER ALDO ARROYO MONTERO</t>
  </si>
  <si>
    <t>EVERALDO CARLOS VENANCIO</t>
  </si>
  <si>
    <t>EVONIR ALBRECHT</t>
  </si>
  <si>
    <t>FABIANA APARECIDA DE TOLEDO SILVA</t>
  </si>
  <si>
    <t>FABIANO GUSTAVO BRAGA BRITO</t>
  </si>
  <si>
    <t>FABIO FURLAN FERREIRA</t>
  </si>
  <si>
    <t>Coordenador do Curso de Pós-Graduação em Nanociências e Matrias Avançados</t>
  </si>
  <si>
    <t>FABIO MARQUES SIMOES DE SOUZA</t>
  </si>
  <si>
    <t>FABRICIO OLIVETTI DE FRANCA</t>
  </si>
  <si>
    <t>FANNY NASCIMENTO COSTA</t>
  </si>
  <si>
    <t>FEDERICO BERNARDINO MORANTE TRIGOSO</t>
  </si>
  <si>
    <t>FELIPE CHEN ABREGO</t>
  </si>
  <si>
    <t>FEODOR PISNITCHENKO</t>
  </si>
  <si>
    <t>FERNANDA DIAS DA SILVA</t>
  </si>
  <si>
    <t>FERNANDA FRANZOLIN</t>
  </si>
  <si>
    <t>FERNANDA GRAZIELLA CARDOSO</t>
  </si>
  <si>
    <t>FERNANDO CARLOS GIACOMELLI</t>
  </si>
  <si>
    <t>Vice Coordenador do Curso de Pós-Graduação em Biotecnociência</t>
  </si>
  <si>
    <t>FERNANDO COSTA MATTOS</t>
  </si>
  <si>
    <t>FERNANDO GASI</t>
  </si>
  <si>
    <t>FERNANDO HEERING BARTOLONI</t>
  </si>
  <si>
    <t>FERNANDO LUIS SEMIAO DA SILVA</t>
  </si>
  <si>
    <t>Vice Coordenador do Curso de Pós-Graduação em Física</t>
  </si>
  <si>
    <t>FERNANDO LUIZ CASSIO SILVA</t>
  </si>
  <si>
    <t>FERNANDO MADEIRA</t>
  </si>
  <si>
    <t>FERNANDO ROCHA NOGUEIRA</t>
  </si>
  <si>
    <t>FERNANDO SILVA DE MOURA</t>
  </si>
  <si>
    <t>FERNANDO TEUBL FERREIRA</t>
  </si>
  <si>
    <t>FERNANDO ZANIOLO GIBRAN</t>
  </si>
  <si>
    <t>FILIPE IEDA FAZANARO</t>
  </si>
  <si>
    <t>FLAMARION CALDEIRA RAMOS</t>
  </si>
  <si>
    <t>Coordenadora  do Curso de Graduação da Licenciatura em Filosofia</t>
  </si>
  <si>
    <t>FLAVIA DA FONSECA FEITOSA</t>
  </si>
  <si>
    <t>FLAVIO LEANDRO DE SOUZA</t>
  </si>
  <si>
    <t>FRANCISCO CARLOS NATHER</t>
  </si>
  <si>
    <t>FRANCISCO CESAR POLCINO MILIES</t>
  </si>
  <si>
    <t>FRANCISCO DE ASSIS COMARU</t>
  </si>
  <si>
    <t>FRANCISCO DE ASSIS ZAMPIROLLI</t>
  </si>
  <si>
    <t>FRANCISCO EUGENIO MENDONCA DA SILVEIRA</t>
  </si>
  <si>
    <t>FRANCISCO ISIDRO MASSETTO</t>
  </si>
  <si>
    <t>FRANCISCO JAVIER ROPERO PELAEZ</t>
  </si>
  <si>
    <t>FRANCISCO JOSE BRABO BEZERRA</t>
  </si>
  <si>
    <t>FRANCISCO JOSE FRAGA DA SILVA</t>
  </si>
  <si>
    <t>FULVIO ANDRES CALLEGARI</t>
  </si>
  <si>
    <t>FULVIO RIELI MENDES</t>
  </si>
  <si>
    <t>GABRIEL TEIXEIRA LANDI</t>
  </si>
  <si>
    <t>GABRIELA SPANGHERO LOTTA</t>
  </si>
  <si>
    <t>Coordenador do Curso de Graduação do Bacharelado em Políticas Públicas</t>
  </si>
  <si>
    <t>GERMAN CARLOS SANTOS QUISPE</t>
  </si>
  <si>
    <t>GERMAN LUGONES</t>
  </si>
  <si>
    <t>GERSON LUIZ MANTOVANI</t>
  </si>
  <si>
    <t>GILBERTO MARCOS ANTONIO RODRIGUES</t>
  </si>
  <si>
    <t>GILBERTO MARINGONI DE OLIVEIRA</t>
  </si>
  <si>
    <t>GILBERTO MARTINS</t>
  </si>
  <si>
    <t>Coordenador do Curso de Pós-Graduação em Energia</t>
  </si>
  <si>
    <t>GILSON LAMEIRA DE LIMA</t>
  </si>
  <si>
    <t>GIORGIO ROMANO SCHUTTE</t>
  </si>
  <si>
    <t>Coordenador do Curso de Bacharelado Relações Internacionais</t>
  </si>
  <si>
    <t>GISELE CRISTINA DUCATI</t>
  </si>
  <si>
    <t>GISELLE CERCHIARO</t>
  </si>
  <si>
    <t>Vice Coordenador do Curso de Graduação do Bacharelado em Química</t>
  </si>
  <si>
    <t>GISELLE RAMIREZ CANEDO</t>
  </si>
  <si>
    <t>GISELLE WATANABE CARAMELLO</t>
  </si>
  <si>
    <t>GIULLIANA MONDELLI</t>
  </si>
  <si>
    <t>GORDANA MANIC</t>
  </si>
  <si>
    <t>GRACIELA DE SOUZA OLIVER</t>
  </si>
  <si>
    <t>GRAZIELLA COLATO ANTONIO</t>
  </si>
  <si>
    <t>GUILHERME CANUTO DA SILVA</t>
  </si>
  <si>
    <t>GUILHERME CUNHA RIBEIRO</t>
  </si>
  <si>
    <t>Vice Coordenador do Curso de Pós-Graduação em Evolução e Diversidade</t>
  </si>
  <si>
    <t>GUILHERME DE OLIVEIRA LIMA CAGLIARI MARQUES</t>
  </si>
  <si>
    <t>GUIOU KOBAYASHI</t>
  </si>
  <si>
    <t>GUSTAVO MARTINI DALPIAN</t>
  </si>
  <si>
    <t xml:space="preserve">Pró-reitor de Pós-graduação </t>
  </si>
  <si>
    <t>GUSTAVO MICHEL MENDOZA LA TORRE</t>
  </si>
  <si>
    <t>GUSTAVO MORARI DO NASCIMENTO</t>
  </si>
  <si>
    <t>GUSTAVO MUNIZ DIAS</t>
  </si>
  <si>
    <t>Vice Coodenador do Curso de Graduação do Bacharelado em Ciências Biológicas</t>
  </si>
  <si>
    <t>GUSTAVO SOUSA PAVANI</t>
  </si>
  <si>
    <t>HANA PAULA MASUDA</t>
  </si>
  <si>
    <t>HARKI TANAKA</t>
  </si>
  <si>
    <t>Pró-reitor de Pesquisa</t>
  </si>
  <si>
    <t>HARLEN COSTA BATAGELO</t>
  </si>
  <si>
    <t>HAROLDO DE FARIA JUNIOR</t>
  </si>
  <si>
    <t>HELENA FRANCA</t>
  </si>
  <si>
    <t>HELOISA FRANCA MALTEZ</t>
  </si>
  <si>
    <t>HERCULANO DA SILVA MARTINHO</t>
  </si>
  <si>
    <t>Coordenadora Geral dos Laboratórios Multiusuários</t>
  </si>
  <si>
    <t>HUEDER PAULO MOISES DE OLIVEIRA</t>
  </si>
  <si>
    <t>HUGO BARBOSA SUFFREDINI</t>
  </si>
  <si>
    <t>Coordenador do Curso de Pós-Graduação em Ciência e Técnologia/Química</t>
  </si>
  <si>
    <t>HUMBERTO DE PAIVA JUNIOR</t>
  </si>
  <si>
    <t>Coordenador Pró-tempore o Curso de Graduação em Engenharia Ambiental e Urbana</t>
  </si>
  <si>
    <t>HUMBERTO NAOYUKI YOSHIMURA</t>
  </si>
  <si>
    <t>IGOR FUSER</t>
  </si>
  <si>
    <t>IGOR LEITE FREIRE</t>
  </si>
  <si>
    <t>ILKA TIEMY KATO PRATES</t>
  </si>
  <si>
    <t>ILMA APARECIDA MARQUES SILVA</t>
  </si>
  <si>
    <t>IRINEU ANTUNES JUNIOR</t>
  </si>
  <si>
    <t>ISELI LOURENCO NANTES</t>
  </si>
  <si>
    <t>ITANA STIUBIENER</t>
  </si>
  <si>
    <t>Vice Coodenador do Bacharelado em Ciência e Tecnologia da UFABC</t>
  </si>
  <si>
    <t>IVAN KAYGORODOV</t>
  </si>
  <si>
    <t>IVAN ROBERTO SANTANA CASELLA</t>
  </si>
  <si>
    <t>IVANISE GAUBEUR</t>
  </si>
  <si>
    <t>JABRA HABER</t>
  </si>
  <si>
    <t>Coordenador do Curso de Graduação em Engenharia de Gestão</t>
  </si>
  <si>
    <t>JAIR DONADELLI JUNIOR</t>
  </si>
  <si>
    <t>JANAINA DE SOUZA GARCIA</t>
  </si>
  <si>
    <t>Vice Coordenador do Curso de Pós-Graduação em Ciência e Técnologia/Química</t>
  </si>
  <si>
    <t>JEAN JACQUES BONVENT</t>
  </si>
  <si>
    <t>JEFERSON CASSIANO</t>
  </si>
  <si>
    <t>Coordenador Executivo da Iniciação Científica</t>
  </si>
  <si>
    <t>JEROEN JOHANNES KLINK</t>
  </si>
  <si>
    <t>Coordenador do Curso de Pós-Graduação em Planejamento e Gestão do Território</t>
  </si>
  <si>
    <t>JEROEN SCHOENMAKER</t>
  </si>
  <si>
    <t>JERONIMO CORDONI PELLEGRINI</t>
  </si>
  <si>
    <t>JESUS FRANKLIN ANDRADE ROMERO</t>
  </si>
  <si>
    <t>JESUS PASCUAL MENA CHALCO</t>
  </si>
  <si>
    <t>JEVERSON TEODORO ARANTES JUNIOR</t>
  </si>
  <si>
    <t>JIRI BORECKY</t>
  </si>
  <si>
    <t>JOAO BATISTA DE AGUIAR</t>
  </si>
  <si>
    <t>JOAO CARLOS DA MOTTA FERREIRA</t>
  </si>
  <si>
    <t>PROFESSOR ASSOCIADO - NÍVEL III</t>
  </si>
  <si>
    <t>JOAO HENRIQUE KLEINSCHMIDT</t>
  </si>
  <si>
    <t>Vice Coordenador do Curso de Pós-Graduação em Engenharia da Informação</t>
  </si>
  <si>
    <t>JOAO MANOEL LOSADA MOREIRA</t>
  </si>
  <si>
    <t>JOAO PAULO GOIS</t>
  </si>
  <si>
    <t>Vice Coordenador do Curso de Pós-Graduação Em Ciência da Computação</t>
  </si>
  <si>
    <t>JOAO PAULO PITELLI MANOEL</t>
  </si>
  <si>
    <t>JOAO RICARDO SATO</t>
  </si>
  <si>
    <t>JOAO RODRIGO SANTOS DA SILVA</t>
  </si>
  <si>
    <t>JORGE DIEGO MARCONI</t>
  </si>
  <si>
    <t>JORGE TOMIOKA</t>
  </si>
  <si>
    <t>Vice Coordenador do Curso de Graduação em Engenharia de Gestão</t>
  </si>
  <si>
    <t>JOSÉ ALBERTO TORRICO ALTUNA</t>
  </si>
  <si>
    <t>JOSE ANTONIO SOUZA</t>
  </si>
  <si>
    <t>JOSE ARTUR QUILICI GONZALEZ</t>
  </si>
  <si>
    <t>JOSE BLANES SALA</t>
  </si>
  <si>
    <t>Vice Coordenador do Curso de Bacharelado Relações Internacionais</t>
  </si>
  <si>
    <t>JOSE CARLOS MOREIRA</t>
  </si>
  <si>
    <t>JOSE CARLOS RODRIGUES SILVA</t>
  </si>
  <si>
    <t>JOSE FERNANDO QUEIRUGA REY</t>
  </si>
  <si>
    <t xml:space="preserve">Pró-reitor de Graduação </t>
  </si>
  <si>
    <t>JOSE HENRIQUE BASSI SOUZA SPERANCINI</t>
  </si>
  <si>
    <t>JOSE JAVIER SAEZ ACUNA</t>
  </si>
  <si>
    <t>JOSE KENICHI MIZUKOSHI</t>
  </si>
  <si>
    <t>Coordenador do MNPEF - Mestrado Nacional e Proficssional do Ensino de Física</t>
  </si>
  <si>
    <t>JOSE LUIS AZCUE PUMA</t>
  </si>
  <si>
    <t>JOSÉ MANOEL BALTHAZAR</t>
  </si>
  <si>
    <t>JOSE PAULO GUEDES PINTO</t>
  </si>
  <si>
    <t>JOSE ROBERTO TALAMO</t>
  </si>
  <si>
    <t>JOSE RUBENS MAIORINO</t>
  </si>
  <si>
    <t>JUAN PABLO JULCA AVILA</t>
  </si>
  <si>
    <t>JULIA BERTINO MOREIRA</t>
  </si>
  <si>
    <t>JULIANA CRISTINA BRAGA</t>
  </si>
  <si>
    <t>Coordenadora do Curso de Graduação do Bacharelado em Ciências da Computação</t>
  </si>
  <si>
    <t>JULIANA KELMY MACARIO DE FARIA DAGUANO</t>
  </si>
  <si>
    <t>Coordenador do Curso de Graduação em Engenharia Biomédica</t>
  </si>
  <si>
    <t>JULIANA MARCHI</t>
  </si>
  <si>
    <t>JULIANA MILITAO DA SILVA BERBERT</t>
  </si>
  <si>
    <t>JULIANA TOFANO DE CAMPOS LEITE</t>
  </si>
  <si>
    <t>Vice Coordenadora do Curso de Graduação em Engenharia de Energia</t>
  </si>
  <si>
    <t>JULIO CARLOS TEIXEIRA</t>
  </si>
  <si>
    <t>JULIO FRANCISCO BLUMETTI FACO</t>
  </si>
  <si>
    <t xml:space="preserve">Pró-Reitor de Administração </t>
  </si>
  <si>
    <t>KARINA PASSALACQUA MORELLI FRIN</t>
  </si>
  <si>
    <t>KARL PETER BURR</t>
  </si>
  <si>
    <t>Coordenador do Curso de Graduação em Engenharia Aeroespacial</t>
  </si>
  <si>
    <t>KARLA VITTORI</t>
  </si>
  <si>
    <t>KATIA CANIL</t>
  </si>
  <si>
    <t>KATIA FRANKLIN ALBERTIN TORRES</t>
  </si>
  <si>
    <t>KATYA MARGARETH AURANI</t>
  </si>
  <si>
    <t>KELLY ROSA BRAGHETTO</t>
  </si>
  <si>
    <t>KLAUS FREY</t>
  </si>
  <si>
    <t>Coordenador do Curso de Pós-Graduação em Políticas Públicas</t>
  </si>
  <si>
    <t>KLAUS WERNER CAPELLE</t>
  </si>
  <si>
    <t>Reitor</t>
  </si>
  <si>
    <t>LAURA PAULUCCI MARINHO</t>
  </si>
  <si>
    <t>LEANDRO BARONI</t>
  </si>
  <si>
    <t>LEONARDO DE OLIVE FERREIRA</t>
  </si>
  <si>
    <t>LEONARDO FREIRE DE MELLO</t>
  </si>
  <si>
    <t>LEONARDO JOSE STEIL</t>
  </si>
  <si>
    <t>LEONARDO RIBEIRO RODRIGUES</t>
  </si>
  <si>
    <t>LETICIA RODRIGUES BUENO</t>
  </si>
  <si>
    <t>Vice Coordenadora do Curso de Graduação do Bacharelado em Ciências da Computação</t>
  </si>
  <si>
    <t>LETICIE MENDONCA FERREIRA</t>
  </si>
  <si>
    <t>LORENZO BARAVALLE</t>
  </si>
  <si>
    <t>LUANA SUCUPIRA PEDROZA</t>
  </si>
  <si>
    <t>LUCELIA BORGES DA COSTA</t>
  </si>
  <si>
    <t>LUCIA HELENA GOMES COELHO</t>
  </si>
  <si>
    <t>LUCIA REGINA HORTA RODRIGUES FRANCO</t>
  </si>
  <si>
    <t>PROFESSOR ASSOCIADO - NÍVEL IV</t>
  </si>
  <si>
    <t>Pró-reitora Adjunta de Extensão</t>
  </si>
  <si>
    <t>LUCIANA CAMPOS PAULINO</t>
  </si>
  <si>
    <t>LUCIANA PEREIRA</t>
  </si>
  <si>
    <t>LUCIANA RODRIGUES FAGNONI COSTA TRAVASSOS</t>
  </si>
  <si>
    <t>LUCIANA ZATERKA</t>
  </si>
  <si>
    <t>LUCIANO PUZER</t>
  </si>
  <si>
    <t>LUCIANO SOARES DA CRUZ</t>
  </si>
  <si>
    <t>Coordenador do Curso de Graduação do Bacharelado em Física</t>
  </si>
  <si>
    <t>LUCIO CAMPOS COSTA</t>
  </si>
  <si>
    <t>LUCIO NAGIB BITTENCOURT</t>
  </si>
  <si>
    <t>LUIS ALBERTO MARTINEZ RIASCOS</t>
  </si>
  <si>
    <t>LUIS ARTURO PEREZ LOZADA</t>
  </si>
  <si>
    <t>LUIS PAULO BARBOUR SCOTT</t>
  </si>
  <si>
    <t>Coordenador do Curso de Pós-Graduação em Engenharia da Informação</t>
  </si>
  <si>
    <t>LUIS ROBERTO DE PAULA</t>
  </si>
  <si>
    <t>LUISA HELENA DOS SANTOS OLIVEIRA</t>
  </si>
  <si>
    <t>Vice Coordenadora Pró-tempore o Curso de Graduação em Engenharia Ambiental e Urbana</t>
  </si>
  <si>
    <t>LUIZ ALBERTO LUZ DE ALMEIDA</t>
  </si>
  <si>
    <t>LUIZ ANTONIO CELIBERTO JUNIOR</t>
  </si>
  <si>
    <t>LUIZ CARLOS DA SILVA ROZANTE</t>
  </si>
  <si>
    <t>LUIZ DE SIQUEIRA MARTINS FILHO</t>
  </si>
  <si>
    <t>LUIZ FERNANDO BARRERE MARTIN</t>
  </si>
  <si>
    <t>Vice-Coordenador  do Curso de Graduação do Bacharelado em Filosofia</t>
  </si>
  <si>
    <t>LUIZ FERNANDO GRESPAN SETZ</t>
  </si>
  <si>
    <t>LUIZ FRANCISCO MONTEIRO LEITE CISCATO</t>
  </si>
  <si>
    <t>LUIZ HENRIQUE BONANI DO NASCIMENTO</t>
  </si>
  <si>
    <t>LUIZ ROBERTO NUNES</t>
  </si>
  <si>
    <t>Vice Coordenador do Curso de Pós-Graduação em Biossistemas</t>
  </si>
  <si>
    <t>MAGNO ENRIQUE MENDOZA MEZA</t>
  </si>
  <si>
    <t>Vice Coordenador do Curso de Pós-Graduação Em Engenharia Mecânica</t>
  </si>
  <si>
    <t>MAISA HELENA ALTARUGIO</t>
  </si>
  <si>
    <t>Vice Coordenadora do Curso de Pós-Graduação em Ensino, Hist. e Filos. Ciên. E Matem.</t>
  </si>
  <si>
    <t>MANUEL RAMON SOUZA LUZ</t>
  </si>
  <si>
    <t>MANUELA GIBIM RODRIGUES</t>
  </si>
  <si>
    <t>MARA MARLY GOMES BARRETO</t>
  </si>
  <si>
    <t>MARAT RAFIKOV</t>
  </si>
  <si>
    <t>MARCELA BERMUDEZ ECHEVERRY</t>
  </si>
  <si>
    <t>MARCELA SORELLI CARNEIRO RAMOS</t>
  </si>
  <si>
    <t>Pró-reitora Adjunta de Pesquisa</t>
  </si>
  <si>
    <t>MARCELLA PECORA MILAZZOTTO</t>
  </si>
  <si>
    <t>Coordenadora do Curso de Pós-Graduação em Biotecnociência</t>
  </si>
  <si>
    <t>MARCELO AUGUSTO CHRISTOFFOLETE</t>
  </si>
  <si>
    <t>MARCELO AUGUSTO LEIGUI DE OLIVEIRA</t>
  </si>
  <si>
    <t>MARCELO BENDER PEROTONI</t>
  </si>
  <si>
    <t>MARCELO BUSSOTTI REYES</t>
  </si>
  <si>
    <t>Vice-Diretor do Centro de Matemática, Computação e Cognição (CMCC)</t>
  </si>
  <si>
    <t>MARCELO MODESTO DA SILVA</t>
  </si>
  <si>
    <t>Vice-Diretor do  Centro de Engenharia, Modelagem e Ciências Sociais Aplicadas (CECS)</t>
  </si>
  <si>
    <t>MARCELO OLIVEIRA DA COSTA PIRES</t>
  </si>
  <si>
    <t>Assessor Acadêmico da Pró-reitoria de Assuntos Comunitários e Politicas Afirmativas</t>
  </si>
  <si>
    <t>MARCELO SALVADOR CAETANO</t>
  </si>
  <si>
    <t>MARCELO ZANOTELLO</t>
  </si>
  <si>
    <t>MARCIA APARECIDA DA SILVA SPINACE</t>
  </si>
  <si>
    <t>MARCIA APARECIDA SPERANCA</t>
  </si>
  <si>
    <t>MARCIA HELENA ALVIM</t>
  </si>
  <si>
    <t>MARCIA MARIA PENTEADO MARCHESINI</t>
  </si>
  <si>
    <t>MARCIA TSUYAMA ESCOTE</t>
  </si>
  <si>
    <t>MARCIO DE SOUZA WERNECK</t>
  </si>
  <si>
    <t>MARCIO FABIANO DA SILVA</t>
  </si>
  <si>
    <t>MARCIO KATSUMI OIKAWA</t>
  </si>
  <si>
    <t>MARCIO SANTOS DA SILVA</t>
  </si>
  <si>
    <t>MARCO ANTONIO BUENO FILHO</t>
  </si>
  <si>
    <t>Coordenador do Curso de Graduação de Licenciatura em Química</t>
  </si>
  <si>
    <t>MARCOS DE ABREU AVILA</t>
  </si>
  <si>
    <t>MARCOS DUARTE</t>
  </si>
  <si>
    <t>MARCOS ROBERTO DA ROCHA GESUALDI</t>
  </si>
  <si>
    <t>MARCOS ROBERTO DA SILVA TAVARES</t>
  </si>
  <si>
    <t>MARCOS VINICIUS PO</t>
  </si>
  <si>
    <t>Vice Coordenador do Curso de Graduação do Bacharelado em Políticas Públicas</t>
  </si>
  <si>
    <t>MARCUS ANTONIO MENDONCA MARROCOS</t>
  </si>
  <si>
    <t>MARCUS VINICIUS SEGANTINI BONANÇA</t>
  </si>
  <si>
    <t>MARGARETHE STEINBERGER ELIAS BORN</t>
  </si>
  <si>
    <t>MARIA BEATRIZ FAGUNDES</t>
  </si>
  <si>
    <t>Coordenador do Curso de Graduação de Licenciatura em Física</t>
  </si>
  <si>
    <t>MARIA CAMILA ALMEIDA</t>
  </si>
  <si>
    <t>MARIA CANDIDA VARONE DE MORAIS CAPECCHI</t>
  </si>
  <si>
    <t>Vice Coordenador do Curso de Graduação de Licenciatura em Física</t>
  </si>
  <si>
    <t>MARIA CARAMEZ CARLOTTO</t>
  </si>
  <si>
    <t>MARIA CECILIA FRANCA DE PAULA SANTOS ZANARDI</t>
  </si>
  <si>
    <t>MARIA CECILIA LEONEL GOMES DOS REIS</t>
  </si>
  <si>
    <t>MARIA CLEOFE VALVERDE BRAMBILA</t>
  </si>
  <si>
    <t>MARIA CRISTINA CARLAN DA SILVA</t>
  </si>
  <si>
    <t>MARIA DAS GRACAS BRUNO MARIETTO</t>
  </si>
  <si>
    <t>MARIA DE LOURDES MERLINI GIULIANI</t>
  </si>
  <si>
    <t>MARIA DE LOURDES PEREIRA FONSECA</t>
  </si>
  <si>
    <t>MARIA GABRIELA SILVA MARTINS CUNHA MARINHO</t>
  </si>
  <si>
    <t>MARIA INES RIBAS RODRIGUES</t>
  </si>
  <si>
    <t>MARIA IZABEL DOS SANTOS GARCIA</t>
  </si>
  <si>
    <t>MARIA TERESA CARTHERY</t>
  </si>
  <si>
    <t>MARIANA MENCIO</t>
  </si>
  <si>
    <t>MARIANA RODRIGUES DA SILVEIRA</t>
  </si>
  <si>
    <t>Vice Coordenadora do Curso de Pós-Graduação em Matemática Aplicada</t>
  </si>
  <si>
    <t>MARIJANA BRTKA</t>
  </si>
  <si>
    <t>MARILIA MELLO PISANI</t>
  </si>
  <si>
    <t>MARINA SPARVOLI DE MEDEIROS</t>
  </si>
  <si>
    <t>MARINE DE SOUZA PEREIRA</t>
  </si>
  <si>
    <t>Vice Coordenadora  do Curso de Graduação da Licenciatura em Filosofia</t>
  </si>
  <si>
    <t>MARIO ALEXANDRE GAZZIRO</t>
  </si>
  <si>
    <t>MARIO MINAMI</t>
  </si>
  <si>
    <t>MARISELMA FERREIRA</t>
  </si>
  <si>
    <t>MAURICIO DOMINGUES COUTINHO NETO</t>
  </si>
  <si>
    <t>MAURICIO FIRMINO SILVA LIMA</t>
  </si>
  <si>
    <t>MAURICIO RICHARTZ</t>
  </si>
  <si>
    <t>MAURO COELHO DOS SANTOS</t>
  </si>
  <si>
    <t>MAURO ROGERIO COSENTINO</t>
  </si>
  <si>
    <t>MAXIMILIANO UJEVIC TONINO</t>
  </si>
  <si>
    <t>MEIRI APARECIDA GURGEL DE CAMPOS MIRANDA</t>
  </si>
  <si>
    <t>Vice Coordenadora do Curso de Graduação de Licenciatura em Ciências Biológica</t>
  </si>
  <si>
    <t>MELISSA CRISTINA PEREIRA GRACIOSA</t>
  </si>
  <si>
    <t>MICHEL OLIVEIRA DA SILVA DANTAS</t>
  </si>
  <si>
    <t>MICHELLE SATO FRIGO</t>
  </si>
  <si>
    <t>MIRELA INES DE SAIRRE</t>
  </si>
  <si>
    <t>MIRIAM MESQUITA SAMPAIO DE MADUREIRA</t>
  </si>
  <si>
    <t>MIRIAN PACHECO SILVA ALBRECHT</t>
  </si>
  <si>
    <t>MIRTHA LINA FERNANDEZ VENERO</t>
  </si>
  <si>
    <t>MONAEL PINHEIRO RIBEIRO</t>
  </si>
  <si>
    <t>MONICA YUKIE KUWAHARA</t>
  </si>
  <si>
    <t>MONIQUE HULSHOF</t>
  </si>
  <si>
    <t>MURILO BELLEZONI LOIOLA</t>
  </si>
  <si>
    <t>Vice Coordenador do Curso de Graduação em Engenharia da Informação</t>
  </si>
  <si>
    <t>MURYATAN SANTANA BARBOSA</t>
  </si>
  <si>
    <t>NASSER ALI DAGHASTANLI</t>
  </si>
  <si>
    <t>NATALIA PIRANI GHILARDI LOPES</t>
  </si>
  <si>
    <t>NATHALIA DE SETTA COSTA</t>
  </si>
  <si>
    <t>NEUSA SERRA</t>
  </si>
  <si>
    <t>NORBERTO ANIBAL MAIDANA</t>
  </si>
  <si>
    <t>NUNZIO MARCO TORRISI</t>
  </si>
  <si>
    <t>OLAVO LUPPI SILVA</t>
  </si>
  <si>
    <t>OLEXANDR ZHYDENKO</t>
  </si>
  <si>
    <t>OSMAR DOMINGUES</t>
  </si>
  <si>
    <t>OTTO MULLER PATRAO DE OLIVEIRA</t>
  </si>
  <si>
    <t>PABLO ALEJANDRO FIORITO</t>
  </si>
  <si>
    <t>PAI CHI NAN</t>
  </si>
  <si>
    <t>PARIS YEROS</t>
  </si>
  <si>
    <t>PATRICIA APARECIDA DA ANA</t>
  </si>
  <si>
    <t>PATRICIA BELFIORE FAVERO</t>
  </si>
  <si>
    <t>PATRICIA DA SILVA SESSA</t>
  </si>
  <si>
    <t>PATRICIA DANTONI ALNIS BEZERRA</t>
  </si>
  <si>
    <t>PATRICIA DEL NERO VELASCO</t>
  </si>
  <si>
    <t>PATRICIA TEIXEIRA LEITE ASANO</t>
  </si>
  <si>
    <t>PAULA ANDREA CADAVID SALAZAR</t>
  </si>
  <si>
    <t>PAULA AYAKO TIBA</t>
  </si>
  <si>
    <t>Coordenador do Curso de Graduação do Bacharelado em Neurociência</t>
  </si>
  <si>
    <t>PAULA HOMEM DE MELLO</t>
  </si>
  <si>
    <t>Vice-diretora do Centro de Ciências Naturais e Humanas (CCNH)</t>
  </si>
  <si>
    <t>PAULA PRISCILA BRAGA</t>
  </si>
  <si>
    <t>PAULO DE AVILA JUNIOR</t>
  </si>
  <si>
    <t>Vice Coordenador do Curso de Graduação de Licenciatura em Química</t>
  </si>
  <si>
    <t>PAULO TADEU DA SILVA</t>
  </si>
  <si>
    <t>Coordenador  do Curso de Graduação do Bacharelado em Filosofia</t>
  </si>
  <si>
    <t>PEDRO CARAJILESCOV</t>
  </si>
  <si>
    <t>PEDRO GALLI MERCADANTE</t>
  </si>
  <si>
    <t>PEDRO LAURIDSEN RIBEIRO</t>
  </si>
  <si>
    <t>PEDRO SERGIO PEREIRA LIMA</t>
  </si>
  <si>
    <t>PETER MAURICE ERNA CLAESSENS</t>
  </si>
  <si>
    <t>Vice Coordenador do Curso de Graduação do Bacharelado em Neurociência</t>
  </si>
  <si>
    <t>PIERRE MARIE JULIEN TISSEUR</t>
  </si>
  <si>
    <t>PIETER WILLEM WESTERA</t>
  </si>
  <si>
    <t>PIETRO CHIMENTI</t>
  </si>
  <si>
    <t>RAFAEL DE MATTOS GRISI</t>
  </si>
  <si>
    <t>Coordenador do PROFMAT - Mestrado profissional em Rede Nacional em Matemática</t>
  </si>
  <si>
    <t>RAFAEL RIBEIRO DIAS VILELA DE OLIVEIRA</t>
  </si>
  <si>
    <t>RAMON VICENTE GARCIA FERNANDEZ</t>
  </si>
  <si>
    <t>Coodenador do Curso de Graduação do Bacharelado em Ciências Econômica</t>
  </si>
  <si>
    <t>RAPHAEL YOKOINGAWA DE CAMARGO</t>
  </si>
  <si>
    <t>Coordenador do Curso de Pós-Graduação em Neurociência e Cognição</t>
  </si>
  <si>
    <t>RAQUEL DE ALMEIDA RIBEIRO</t>
  </si>
  <si>
    <t>RAQUEL VECCHIO FORNARI</t>
  </si>
  <si>
    <t>REGINA CELIA DOS REIS</t>
  </si>
  <si>
    <t>REGINA HELENA DE OLIVEIRA LINO FRANCHI</t>
  </si>
  <si>
    <t>REGINA KEIKO MURAKAMI</t>
  </si>
  <si>
    <t>REGINALDO KISHO FUKUCHI</t>
  </si>
  <si>
    <t>REINALDO LUIZ CAVASSO FILHO</t>
  </si>
  <si>
    <t>RENATA AYRES ROCHA</t>
  </si>
  <si>
    <t>Coordenador do Curso de Graduação em Engenharia de Materiais</t>
  </si>
  <si>
    <t>RENATA MARIA AUGUSTO DA COSTA</t>
  </si>
  <si>
    <t>RENATA SIMOES</t>
  </si>
  <si>
    <t>RENATO ALTOBELLI ANTUNES</t>
  </si>
  <si>
    <t>RENATO PENHA CAMATA</t>
  </si>
  <si>
    <t>RENATO RODRIGUES KINOUCHI</t>
  </si>
  <si>
    <t>REYNALDO PALACIOS BERECHE</t>
  </si>
  <si>
    <t>REYOLANDO MANOEL LOPES REBELLO DA FONSECA BRASIL</t>
  </si>
  <si>
    <t>RICARDO AUGUSTO LOMBELLO</t>
  </si>
  <si>
    <t>RICARDO BATISTA POLITI</t>
  </si>
  <si>
    <t>RICARDO BUSCARIOLLI PEREIRA</t>
  </si>
  <si>
    <t>RICARDO CANELOI DOS SANTOS</t>
  </si>
  <si>
    <t>RICARDO DE SOUSA MORETTI</t>
  </si>
  <si>
    <t>RICARDO GASPAR</t>
  </si>
  <si>
    <t>RICARDO ROCAMORA PASZKO</t>
  </si>
  <si>
    <t>RICARDO SUYAMA</t>
  </si>
  <si>
    <t>Coordenador do Curso de Graduação em Engenharia da Informação</t>
  </si>
  <si>
    <t>ROBERTO JACOBE RODRIGUES</t>
  </si>
  <si>
    <t>Coordenador do Curso de Graduação em Eng. de Instrum. Autom. Robótica</t>
  </si>
  <si>
    <t>ROBERTO LUIZ DA CUNHA BARROSO RAMOS</t>
  </si>
  <si>
    <t>ROBERTO MENEZES SERRA</t>
  </si>
  <si>
    <t>ROBERTO VENEGEROLES NASCIMENTO</t>
  </si>
  <si>
    <t>RODRIGO DE ALENCAR HAUSEN</t>
  </si>
  <si>
    <t>RODRIGO FRESNEDA</t>
  </si>
  <si>
    <t>Coordenador do Curso de Pós-Graduação em Matemática Aplicada</t>
  </si>
  <si>
    <t>RODRIGO LUIZ OLIVEIRA RODRIGUES CUNHA</t>
  </si>
  <si>
    <t>RODRIGO MAGHDISSIAN CORDEIRO</t>
  </si>
  <si>
    <t>RODRIGO REINA MUNOZ</t>
  </si>
  <si>
    <t>ROGERIO PERINO DE OLIVEIRA NEVES</t>
  </si>
  <si>
    <t>ROLDAO DA ROCHA JUNIOR</t>
  </si>
  <si>
    <t>RONALDO CRISTIANO PRATI</t>
  </si>
  <si>
    <t>Coordenador do Curso de Pós-Graduação Em Ciência da Computação</t>
  </si>
  <si>
    <t>RONE PETERSON GALVAO DE ANDRADE</t>
  </si>
  <si>
    <t>RONEI MIOTTO</t>
  </si>
  <si>
    <t>Diretor do Centro de Ciências Naturais e Humanas (CCNH)</t>
  </si>
  <si>
    <t>RONNY CALIXTO CARBONARI</t>
  </si>
  <si>
    <t>ROOSEVELT DROPPA JUNIOR</t>
  </si>
  <si>
    <t>ROQUE DA COSTA CAIERO</t>
  </si>
  <si>
    <t>ROSANA DENALDI</t>
  </si>
  <si>
    <t>Superintendente Interina de Obras</t>
  </si>
  <si>
    <t>ROSELI FREDERIGI BENASSI</t>
  </si>
  <si>
    <t>Vice Coordenadora do Curso de Pós-Graduação em Ciência e Tecnologia Ambiental</t>
  </si>
  <si>
    <t>ROVILSON MAFALDA</t>
  </si>
  <si>
    <t>RUTH FERREIRA GALDUROZ</t>
  </si>
  <si>
    <t>Coordenadora do Curso de Graduação de Licenciatura em Matemática</t>
  </si>
  <si>
    <t>SALOMÃO BARROS XIMENES</t>
  </si>
  <si>
    <t>SANDRA ANDREA CRUZ</t>
  </si>
  <si>
    <t>SANDRA IRENE MOMM</t>
  </si>
  <si>
    <t>Coordenadora  do Curso de Bacharelado Planejamento Territorial</t>
  </si>
  <si>
    <t>SANDRA MARIA ZAPATA YEPES</t>
  </si>
  <si>
    <t>SEGUNDO NILO MESTANZA MUNOZ</t>
  </si>
  <si>
    <t>SERGIO AMADEU DA SILVEIRA</t>
  </si>
  <si>
    <t>SERGIO BROCHSZTAIN</t>
  </si>
  <si>
    <t>SERGIO DAISHI SASAKI</t>
  </si>
  <si>
    <t>SERGIO HENRIQUE BEZERRA DE SOUSA LEAL</t>
  </si>
  <si>
    <t>SERGIO HENRIQUE FERREIRA DE OLIVEIRA</t>
  </si>
  <si>
    <t>SERGIO RICARDO LOURENCO</t>
  </si>
  <si>
    <t>Vice Coordenador do Curso de Pós-Graduação em Energia</t>
  </si>
  <si>
    <t>SERGIO RODRIGO MARCHIORI PRACA</t>
  </si>
  <si>
    <t>SIDNEY JARD DA SILVA</t>
  </si>
  <si>
    <t>SILVANA MARIA ZIONI</t>
  </si>
  <si>
    <t>Vice Coordenadora  do Curso de Bacharelado Planejamento Territorial</t>
  </si>
  <si>
    <t>SILVIA CRISTINA DOTTA</t>
  </si>
  <si>
    <t>SILVIA HELENA FACCIOLLA PASSARELLI</t>
  </si>
  <si>
    <t>Vice Coordenadora do Curso de Pós-Graduação em Planejamento e Gestão do Território</t>
  </si>
  <si>
    <t>SIMONE DINIZ</t>
  </si>
  <si>
    <t>SIMONE RODRIGUES DE FREITAS</t>
  </si>
  <si>
    <t>SINUE DAYAN BARBERO LODOVICI</t>
  </si>
  <si>
    <t>Vice Coordenador do Curso do Bacharelado em Matemática</t>
  </si>
  <si>
    <t>SONIA MARIA MALMONGE</t>
  </si>
  <si>
    <t>Vice Coordenadora do Curso de Pós-Graduação em Engenharia Biomédica</t>
  </si>
  <si>
    <t>STILANTE KOCH MANFRIN</t>
  </si>
  <si>
    <t>STYLIANOS DIMAS</t>
  </si>
  <si>
    <t>SUEL ERIC VIDOTTI</t>
  </si>
  <si>
    <t>SUNGKI JUNG</t>
  </si>
  <si>
    <t>TATIANA  PIETRO (PD)</t>
  </si>
  <si>
    <t>PÓS DOC</t>
  </si>
  <si>
    <t>TATIANA BERRINGER DE ASSUMPCAO</t>
  </si>
  <si>
    <t>TATIANA LIMA FERREIRA</t>
  </si>
  <si>
    <t>TATIANE ARAUJO DE JESUS</t>
  </si>
  <si>
    <t>THAIS MAIA ARAUJO</t>
  </si>
  <si>
    <t>THALES SOUSA</t>
  </si>
  <si>
    <t>THIAGO FONSECA MORELLO RAMALHO DA SILVA</t>
  </si>
  <si>
    <t>THOMAS LOGAN RITCHIE</t>
  </si>
  <si>
    <t>TIAGO RODRIGUES</t>
  </si>
  <si>
    <t>VALDECIR MARVULLE</t>
  </si>
  <si>
    <t>VALDEMIR MARTINS LIRA</t>
  </si>
  <si>
    <t>VALERIO RAMOS BATISTA</t>
  </si>
  <si>
    <t>VALERY SHCHESNOVICH</t>
  </si>
  <si>
    <t>VALTER VENTURA DA ROCHA POMAR</t>
  </si>
  <si>
    <t>VANDERLI CORREIA PRIETO</t>
  </si>
  <si>
    <t>VANESSA ELIAS DE OLIVEIRA</t>
  </si>
  <si>
    <t>Pró-reitora Adjunta de Graduação</t>
  </si>
  <si>
    <t>VANESSA KRUTH VERDADE</t>
  </si>
  <si>
    <t>VANESSA LUCENA EMPINOTTI</t>
  </si>
  <si>
    <t>VANI XAVIER DE OLIVEIRA JUNIOR</t>
  </si>
  <si>
    <t>Coordenador do Curso de Graduação do Bacharelado em Química</t>
  </si>
  <si>
    <t>VANIA TROMBINI HERNANDES</t>
  </si>
  <si>
    <t>VERA NAGAMUTA</t>
  </si>
  <si>
    <t>VICTOR AUGUSTO FERNANDES DE CAMPOS</t>
  </si>
  <si>
    <t>VILSON TONIN ZANCHIN</t>
  </si>
  <si>
    <t>VINICIUS CIFU LOPES</t>
  </si>
  <si>
    <t>VIRGINIA CARDIA CARDOSO</t>
  </si>
  <si>
    <t>Coodenadora Geral do Programa de Licenciatura / Vice Coordenadora do Curso de Graduação de Licenciatura em Matemática</t>
  </si>
  <si>
    <t>VITOR EDUARDO SCHINCARIOL</t>
  </si>
  <si>
    <t>VITOR EMANUEL MARCHETTI FERRAZ JUNIOR</t>
  </si>
  <si>
    <t xml:space="preserve">Pró-reitor de Planejamento e Desenvolvimento Institucional </t>
  </si>
  <si>
    <t>VIVIANE VIANA SILVA</t>
  </si>
  <si>
    <t>VIVILI MARIA SILVA GOMES</t>
  </si>
  <si>
    <t>VLADIMIR PERCHINE</t>
  </si>
  <si>
    <t>VLADISLAV KUPRIYANOV</t>
  </si>
  <si>
    <t>WAGNER ALVES CARVALHO</t>
  </si>
  <si>
    <t>Coordenador do Programa de Doutorado Acadêmico Industrial</t>
  </si>
  <si>
    <t>WAGNER SHIN NISHITANI</t>
  </si>
  <si>
    <t>WAGNER TANAKA BOTELHO</t>
  </si>
  <si>
    <t>WANIUS JOSE GARCIA DA SILVA</t>
  </si>
  <si>
    <t>WELINGTON VIEIRA ASSUNCAO</t>
  </si>
  <si>
    <t>WENDEL ANDRADE ALVES</t>
  </si>
  <si>
    <t>Vice Coordenador do Curso de Pós-Graduação em Nanociências e Matrias Avançados</t>
  </si>
  <si>
    <t>WESLEY GOIS</t>
  </si>
  <si>
    <t>Coodenador do Bacharelado em Ciência e Tecnologia da UFABC</t>
  </si>
  <si>
    <t>WILLIAM JOSE STEINLE</t>
  </si>
  <si>
    <t>YOSSI ZANA</t>
  </si>
  <si>
    <t>Vice Coordenador do Curso de Pós-Graduação em Neurociência e Cognição</t>
  </si>
  <si>
    <t>ZHANNA GENNADYEVNA KUZNETSOVA</t>
  </si>
  <si>
    <t>LUCAS DE ALMEIDA MIRANDA BARRETO</t>
  </si>
  <si>
    <t>não identificado</t>
  </si>
  <si>
    <t>OLYMPIO BARBANTI JUNIOR</t>
  </si>
  <si>
    <t>PAULA NABUCO</t>
  </si>
  <si>
    <t>WILSON MESQUISA DE ALMEIDA</t>
  </si>
  <si>
    <t>PROFESSOR BPP</t>
  </si>
  <si>
    <t>em contratação</t>
  </si>
  <si>
    <t>PROFESSOR ECONOMIA (EM CONTRATAÇÃO)</t>
  </si>
  <si>
    <t>PROFESSOR FILOSOFIA (EM CONTRTAÇÃO)</t>
  </si>
  <si>
    <t>Prof Visitante/Bioquímica 2 BCB</t>
  </si>
  <si>
    <t>Prof Visitante/Bioquímica 1 BCB</t>
  </si>
  <si>
    <t>Prof. Visitante 2 Química</t>
  </si>
  <si>
    <t>Prof. Visitante 1 Química</t>
  </si>
  <si>
    <t>professor Filosofia</t>
  </si>
  <si>
    <t>Patrícia Cunha</t>
  </si>
  <si>
    <t>Bruno Rocha</t>
  </si>
  <si>
    <t>Professor visitante Filosofia</t>
  </si>
  <si>
    <t>Professor Adjunto aprovado no concurso de Filosofia Antiga</t>
  </si>
  <si>
    <t>NOVO</t>
  </si>
  <si>
    <t>TOTAL</t>
  </si>
  <si>
    <t xml:space="preserve">TOTAL DOCENTES </t>
  </si>
  <si>
    <t>EM EFETIVO EXERCÍCIO</t>
  </si>
  <si>
    <t>AFASTADOS</t>
  </si>
  <si>
    <t>CÓDIGO</t>
  </si>
  <si>
    <t>DISICPLINA</t>
  </si>
  <si>
    <t>Nº DE TURMAS</t>
  </si>
  <si>
    <t>CREDITOS</t>
  </si>
  <si>
    <t>NOME</t>
  </si>
  <si>
    <t xml:space="preserve">CRÉDITOS </t>
  </si>
  <si>
    <t>DOCENTES</t>
  </si>
  <si>
    <t>CRÉDITOS POR CENTRO</t>
  </si>
  <si>
    <t>Disciplinas ofertadas</t>
  </si>
  <si>
    <t>centro</t>
  </si>
  <si>
    <t>Ativos (*)</t>
  </si>
  <si>
    <t>Afastados (**)</t>
  </si>
  <si>
    <t>redução</t>
  </si>
  <si>
    <t>média alocada p/centro</t>
  </si>
  <si>
    <t>Teoria alocada</t>
  </si>
  <si>
    <t>prática alocada</t>
  </si>
  <si>
    <t>meta (s/coord)</t>
  </si>
  <si>
    <t>meta (c/coord)</t>
  </si>
  <si>
    <t>total alocado</t>
  </si>
  <si>
    <t>diferença (s/coord)</t>
  </si>
  <si>
    <t>diferença (c/coord)</t>
  </si>
  <si>
    <t>coordenção</t>
  </si>
  <si>
    <t xml:space="preserve"> S/ COORD.</t>
  </si>
  <si>
    <t>C/ COORD.</t>
  </si>
  <si>
    <t>média de créditos por docente (s/coord)</t>
  </si>
  <si>
    <t>média de créditos por docente (c/coord)</t>
  </si>
  <si>
    <t>cruzamento dados docentes</t>
  </si>
  <si>
    <t>nº doc.</t>
  </si>
  <si>
    <t>créditos Teoria</t>
  </si>
  <si>
    <t>créditos prática</t>
  </si>
  <si>
    <t>PENDÊNCIAS 
créditos</t>
  </si>
  <si>
    <t>PENDÊNCIAS
turmas</t>
  </si>
  <si>
    <t>Teoria</t>
  </si>
  <si>
    <t>Prática</t>
  </si>
  <si>
    <t>falta alocar</t>
  </si>
  <si>
    <t>De acordo com cadastro de docentes enviado pelo RH em Janeiro/2014</t>
  </si>
  <si>
    <t xml:space="preserve"> (*) Ativos</t>
  </si>
  <si>
    <t xml:space="preserve">Foram considerados do docentes com licença médida, licença maternidade e afastamento com ônus limitado. </t>
  </si>
  <si>
    <t xml:space="preserve">(**) Afastados </t>
  </si>
  <si>
    <t>Foram considerados do docentes com licença  por interesses particulares, licença para acompanhamento de cônjuge e com cessão com ônus.</t>
  </si>
  <si>
    <t>x</t>
  </si>
  <si>
    <t>SOMASES('[turmas - docentes 2013.3-atual.xlsx]turmas 2013.3'!$M$12:$M$833;'[turmas - docentes 2013.3-atual.xlsx]turmas 2013.3'!$Q$12:$Q$833;$D$5;'[turmas - docentes 2013.3-atual.xlsx]turmas 2013.3'!$A$12:$A$833;$A6)+SOMASES('[turmas - docentes 2013.3-atual.xlsx]turmas 2013.3'!$N$12:$N$833;'[turmas - docentes 2013.3-atual.xlsx]turmas 2013.3'!$U$12:$U$833;'créditos por centro'!$D$5;'[turmas - docentes 2013.3-atual.xlsx]turmas 2013.3'!$A$12:$A$833;'créditos por centro'!$A6</t>
  </si>
  <si>
    <t>Distribuição dos créditos das disciplinas nos Centros - 2014.3</t>
  </si>
  <si>
    <t>código</t>
  </si>
  <si>
    <t>disciplina</t>
  </si>
  <si>
    <t>total créditos</t>
  </si>
  <si>
    <t>geral</t>
  </si>
  <si>
    <t>% CECS</t>
  </si>
  <si>
    <t>% CCNH</t>
  </si>
  <si>
    <t>% CMCC</t>
  </si>
  <si>
    <t>FALTA</t>
  </si>
  <si>
    <t>EN3448</t>
  </si>
  <si>
    <t>Acumuladores de Energia</t>
  </si>
  <si>
    <t>BH1304</t>
  </si>
  <si>
    <t>Administração Municipal e Desenvolvimento Local</t>
  </si>
  <si>
    <t>MC1101</t>
  </si>
  <si>
    <t>Álgebra Linear Avançada II</t>
  </si>
  <si>
    <t>EN2325</t>
  </si>
  <si>
    <t>Análise e Controle de Sistemas Mecânicos</t>
  </si>
  <si>
    <t>EN2421</t>
  </si>
  <si>
    <t>Análise Econômica de Projetos Energéticos</t>
  </si>
  <si>
    <t>EN3461</t>
  </si>
  <si>
    <t>Análise Estática em Sistemas Elétricos de Potência</t>
  </si>
  <si>
    <t>MC2102</t>
  </si>
  <si>
    <t>Análise no Rn II</t>
  </si>
  <si>
    <t>MC1201</t>
  </si>
  <si>
    <t>Análise Real II</t>
  </si>
  <si>
    <t>BH1343</t>
  </si>
  <si>
    <t>Arranjos Institucionais e Marco Regulatório do Território</t>
  </si>
  <si>
    <t>EN2319</t>
  </si>
  <si>
    <t>Bases Biológicas para Engenharia I</t>
  </si>
  <si>
    <t>BC1308</t>
  </si>
  <si>
    <t>Biofísica</t>
  </si>
  <si>
    <t>NH1803</t>
  </si>
  <si>
    <t>Biologia Animal II</t>
  </si>
  <si>
    <t>BC1307</t>
  </si>
  <si>
    <t>Biologia Celular</t>
  </si>
  <si>
    <t>NH1802</t>
  </si>
  <si>
    <t>Biologia Vegetal II</t>
  </si>
  <si>
    <t>BC1001</t>
  </si>
  <si>
    <t>Biomas Brasileiros</t>
  </si>
  <si>
    <t>EN3830</t>
  </si>
  <si>
    <t>Biomateriais</t>
  </si>
  <si>
    <t>BC1328</t>
  </si>
  <si>
    <t>Bioquimica Experimental</t>
  </si>
  <si>
    <t>BC1326</t>
  </si>
  <si>
    <t>Bioquímica Funcional</t>
  </si>
  <si>
    <t>EN2113</t>
  </si>
  <si>
    <t>Cartografia e Geoprocessamento</t>
  </si>
  <si>
    <t>EN3820</t>
  </si>
  <si>
    <t>Cerâmicas Especiais e Refratárias</t>
  </si>
  <si>
    <t>BH1107</t>
  </si>
  <si>
    <t>Cidadania, Direitos e Desigualdades</t>
  </si>
  <si>
    <t>EN2810</t>
  </si>
  <si>
    <t>Ciência dos Materiais</t>
  </si>
  <si>
    <t>BC1517</t>
  </si>
  <si>
    <t>Circuitos Digitais</t>
  </si>
  <si>
    <t>EN2703</t>
  </si>
  <si>
    <t>Circuitos Elétricos I</t>
  </si>
  <si>
    <t>EN3513</t>
  </si>
  <si>
    <t>Clima e Cultura Organizacional</t>
  </si>
  <si>
    <t>EN2127</t>
  </si>
  <si>
    <t>Climatologia</t>
  </si>
  <si>
    <t>EN2214</t>
  </si>
  <si>
    <t>Combustão I</t>
  </si>
  <si>
    <t>BC1506</t>
  </si>
  <si>
    <t>Computação Evolutiva e Conexionista</t>
  </si>
  <si>
    <t>EN2611</t>
  </si>
  <si>
    <t>Comunicação Digital</t>
  </si>
  <si>
    <t>EN2621</t>
  </si>
  <si>
    <t>Comunicações Multimídia</t>
  </si>
  <si>
    <t>CS3306</t>
  </si>
  <si>
    <t>Conflitos no Ciberespaço: Ativismo e Guerra nas Redes Cibernéticas</t>
  </si>
  <si>
    <t>BH1129</t>
  </si>
  <si>
    <t>Contabilidade Básica</t>
  </si>
  <si>
    <t>EN3711</t>
  </si>
  <si>
    <t>Controle Discreto</t>
  </si>
  <si>
    <t>BH1344</t>
  </si>
  <si>
    <t>Demografia</t>
  </si>
  <si>
    <t>NH3907</t>
  </si>
  <si>
    <t>Desenho e Projeto em Química</t>
  </si>
  <si>
    <t>MC8002</t>
  </si>
  <si>
    <t>Desenvolvimento e Degeneração do Sistema Nervoso</t>
  </si>
  <si>
    <t>BH1140</t>
  </si>
  <si>
    <t>Desenvolvimento Sócio-Econômico</t>
  </si>
  <si>
    <t>NH2042</t>
  </si>
  <si>
    <t>Dinâmica Não-Linear e Caos</t>
  </si>
  <si>
    <t>EN3124</t>
  </si>
  <si>
    <t>Ecologia do Ambiente Antropizado</t>
  </si>
  <si>
    <t>BH1110</t>
  </si>
  <si>
    <t>Econometria I</t>
  </si>
  <si>
    <t>BH1109</t>
  </si>
  <si>
    <t>Economia Brasileira Contemporânea I</t>
  </si>
  <si>
    <t>EN2418</t>
  </si>
  <si>
    <t>BH1346</t>
  </si>
  <si>
    <t>Economia do Território</t>
  </si>
  <si>
    <t>BH1119</t>
  </si>
  <si>
    <t>Economia do Trabalho</t>
  </si>
  <si>
    <t>BH1111</t>
  </si>
  <si>
    <t>Economia Industrial</t>
  </si>
  <si>
    <t>BH1117</t>
  </si>
  <si>
    <t>Economia Institucional I</t>
  </si>
  <si>
    <t>BH1139</t>
  </si>
  <si>
    <t>Economia Monetária</t>
  </si>
  <si>
    <t>BH1331</t>
  </si>
  <si>
    <t>Economia Política Internacional da Energia</t>
  </si>
  <si>
    <t>MC3103</t>
  </si>
  <si>
    <t>Empreendedorismo e Desenvolvimento de Negócios</t>
  </si>
  <si>
    <t>EN2416</t>
  </si>
  <si>
    <t>EN3340</t>
  </si>
  <si>
    <t>Engenharia Clínica I</t>
  </si>
  <si>
    <t>EN4413</t>
  </si>
  <si>
    <t>Engenharia de Perfuração</t>
  </si>
  <si>
    <t>EN3813</t>
  </si>
  <si>
    <t>Engenharia de Polímeros</t>
  </si>
  <si>
    <t>EN3426</t>
  </si>
  <si>
    <t>Engenharia de Sistemas Fotovoltaicos</t>
  </si>
  <si>
    <t>EN3327</t>
  </si>
  <si>
    <t>Engenharia de Tecidos</t>
  </si>
  <si>
    <t>EN2510</t>
  </si>
  <si>
    <t>Engenharia Logística</t>
  </si>
  <si>
    <t>EN3724</t>
  </si>
  <si>
    <t>Engenharia Óptica e Imagens</t>
  </si>
  <si>
    <t>MC8108</t>
  </si>
  <si>
    <t>Ergonomia Cognitiva</t>
  </si>
  <si>
    <t>EN2218</t>
  </si>
  <si>
    <t>Escoamento Compressível</t>
  </si>
  <si>
    <t>BH1124</t>
  </si>
  <si>
    <t>Estado e Sociedade Civil Organizada</t>
  </si>
  <si>
    <t>EN2802</t>
  </si>
  <si>
    <t xml:space="preserve">Estado Sólido  </t>
  </si>
  <si>
    <t>EN2534</t>
  </si>
  <si>
    <t>Estatística Aplicada a Sistemas de Gestão</t>
  </si>
  <si>
    <t>EN3519</t>
  </si>
  <si>
    <t>Estratégias de Comunicação Organizacional</t>
  </si>
  <si>
    <t>BH1347</t>
  </si>
  <si>
    <t>Estudos do Meio Físico</t>
  </si>
  <si>
    <t>BH1203</t>
  </si>
  <si>
    <t>Ética</t>
  </si>
  <si>
    <t>NH1007</t>
  </si>
  <si>
    <t>Etnofarmacologia</t>
  </si>
  <si>
    <t>BC1329</t>
  </si>
  <si>
    <t>Evolução</t>
  </si>
  <si>
    <t>BC1438</t>
  </si>
  <si>
    <t>Evolução dos Conceitos Matemáticos</t>
  </si>
  <si>
    <t>BH1126</t>
  </si>
  <si>
    <t>Federalismo e Políticas Públicas</t>
  </si>
  <si>
    <t>BC0208</t>
  </si>
  <si>
    <t>Fenômenos Mecânicos</t>
  </si>
  <si>
    <t>BC1317</t>
  </si>
  <si>
    <t>Fenômenos Ondulatórios</t>
  </si>
  <si>
    <t>BH1401</t>
  </si>
  <si>
    <t>Filosofia da Ciência: o debate Popper-Kuhn e seus desdobramentos</t>
  </si>
  <si>
    <t>BH1218</t>
  </si>
  <si>
    <t>Filosofia Política</t>
  </si>
  <si>
    <t>BC0103</t>
  </si>
  <si>
    <t>Física Quântica</t>
  </si>
  <si>
    <t>EN2419</t>
  </si>
  <si>
    <t>Fontes Renováveis de Energia</t>
  </si>
  <si>
    <t>BH1302</t>
  </si>
  <si>
    <t>Formação Histórica do Brasil</t>
  </si>
  <si>
    <t>BC1420</t>
  </si>
  <si>
    <t>Funções Especiais</t>
  </si>
  <si>
    <t>NH2802</t>
  </si>
  <si>
    <t>Fundamentos da Eletrodinâmica</t>
  </si>
  <si>
    <t>BC1332</t>
  </si>
  <si>
    <t>Fundamentos de Geologia para Engenharia</t>
  </si>
  <si>
    <t>EN2715</t>
  </si>
  <si>
    <t>Fundamentos de Robótica</t>
  </si>
  <si>
    <t>BC0404</t>
  </si>
  <si>
    <t>Geometria Analítica</t>
  </si>
  <si>
    <t>EN3545</t>
  </si>
  <si>
    <t>Gestão Estratégica e Organizacional</t>
  </si>
  <si>
    <t>BH1153</t>
  </si>
  <si>
    <t>Globalização e os Processos de Integração Regional</t>
  </si>
  <si>
    <t>EN3478</t>
  </si>
  <si>
    <t>Hidrogênio e Células a Combustível</t>
  </si>
  <si>
    <t>BH1311</t>
  </si>
  <si>
    <t>História da Filosofia Antiga: Aristóteles e o Aristotelismo</t>
  </si>
  <si>
    <t>BH1307</t>
  </si>
  <si>
    <t>História da Filosofia Contemporânea: o século XIX</t>
  </si>
  <si>
    <t>BH1306</t>
  </si>
  <si>
    <t>História da Filosofia Moderna: perspectivas racionalistas</t>
  </si>
  <si>
    <t>NH1009</t>
  </si>
  <si>
    <t>História das Idéias Biológicas</t>
  </si>
  <si>
    <t>BH1301</t>
  </si>
  <si>
    <t>História do Pensamento Econômico</t>
  </si>
  <si>
    <t>BH1336</t>
  </si>
  <si>
    <t>História e Análise da Política Externa Brasileira</t>
  </si>
  <si>
    <t>BH1303</t>
  </si>
  <si>
    <t>História Econômica Geral</t>
  </si>
  <si>
    <t>EN4417</t>
  </si>
  <si>
    <t>Impacto Ambiental e Social na Cadeia de Produção de Petróleo</t>
  </si>
  <si>
    <t>NH1010</t>
  </si>
  <si>
    <t>Imunologia</t>
  </si>
  <si>
    <t>CS3406</t>
  </si>
  <si>
    <t>Informática Aplicada ao Planejamento Territorial</t>
  </si>
  <si>
    <t>EN3618</t>
  </si>
  <si>
    <t>Informática Industrial</t>
  </si>
  <si>
    <t>BH1405</t>
  </si>
  <si>
    <t>Inovação nos Serviços Públicos</t>
  </si>
  <si>
    <t>EN3206</t>
  </si>
  <si>
    <t>Instrumentação e Sensores em Veículos Aeroespaciais</t>
  </si>
  <si>
    <t>EN2222</t>
  </si>
  <si>
    <t>Introdução à Astronáutica</t>
  </si>
  <si>
    <t>EN3337</t>
  </si>
  <si>
    <t>Introdução à Biotecnologia</t>
  </si>
  <si>
    <t>EN3305</t>
  </si>
  <si>
    <t>BH1101</t>
  </si>
  <si>
    <t>Introdução à Economia</t>
  </si>
  <si>
    <t>BC1712</t>
  </si>
  <si>
    <t>Introdução à Engenharia Biomédica</t>
  </si>
  <si>
    <t>MC8401</t>
  </si>
  <si>
    <t>Introdução à Filosofia da Mente</t>
  </si>
  <si>
    <t>NH2201</t>
  </si>
  <si>
    <t>Introdução à Física de Partículas Elementares</t>
  </si>
  <si>
    <t>BC1313</t>
  </si>
  <si>
    <t>EN2305</t>
  </si>
  <si>
    <t>Introdução a Materiais Biocompatíveis</t>
  </si>
  <si>
    <t>BH1125</t>
  </si>
  <si>
    <t>Introdução ao Direito Constitucional</t>
  </si>
  <si>
    <t>BH1228</t>
  </si>
  <si>
    <t>Introdução ao Estudo do Direito</t>
  </si>
  <si>
    <t>EN2406</t>
  </si>
  <si>
    <t>NH2704</t>
  </si>
  <si>
    <t>Laboratório de Física Moderna</t>
  </si>
  <si>
    <t>NH2230</t>
  </si>
  <si>
    <t>Laboratório de Propriedades Físicas de Materiais</t>
  </si>
  <si>
    <t>EN2323</t>
  </si>
  <si>
    <t>Legislação Relacionada à Saúde</t>
  </si>
  <si>
    <t>MC3106</t>
  </si>
  <si>
    <t>Linguagens Formais e Autômata</t>
  </si>
  <si>
    <t>BC1426</t>
  </si>
  <si>
    <t>Lógica Básica</t>
  </si>
  <si>
    <t>EN3723</t>
  </si>
  <si>
    <t>Lógica Programável</t>
  </si>
  <si>
    <t>BH1135</t>
  </si>
  <si>
    <t>Macroeconomia III</t>
  </si>
  <si>
    <t>EN3819</t>
  </si>
  <si>
    <t>Matérias Primas Cerâmicas</t>
  </si>
  <si>
    <t>EN2412</t>
  </si>
  <si>
    <t>Mecânica dos Fluidos II</t>
  </si>
  <si>
    <t>EN2217</t>
  </si>
  <si>
    <t>Mecânica dos Fluidos Viscosos</t>
  </si>
  <si>
    <t>NH4297</t>
  </si>
  <si>
    <t>Mecânica Geral</t>
  </si>
  <si>
    <t>NH2805</t>
  </si>
  <si>
    <t>Mecânica Quântica</t>
  </si>
  <si>
    <t>NH3701</t>
  </si>
  <si>
    <t>Mecanismos de Reações Orgânicas</t>
  </si>
  <si>
    <t>EN3821</t>
  </si>
  <si>
    <t>Metalurgia Física</t>
  </si>
  <si>
    <t>MC4001</t>
  </si>
  <si>
    <t>Métodos de Otimização</t>
  </si>
  <si>
    <t>BH1349</t>
  </si>
  <si>
    <t>Métodos de Planejamento</t>
  </si>
  <si>
    <t>EN2105</t>
  </si>
  <si>
    <t>Microbiologia Ambiental</t>
  </si>
  <si>
    <t>BC1409</t>
  </si>
  <si>
    <t>Modelagem de Sistemas Biológicos</t>
  </si>
  <si>
    <t>NH4906</t>
  </si>
  <si>
    <t>Morfofisiologia Evolutiva</t>
  </si>
  <si>
    <t>EN3829</t>
  </si>
  <si>
    <t>Nanocompósitos</t>
  </si>
  <si>
    <t>BC1613</t>
  </si>
  <si>
    <t>Nascimento e Desenvolvimento da Ciência Moderna</t>
  </si>
  <si>
    <t>BC0504</t>
  </si>
  <si>
    <t>Natureza da Informação</t>
  </si>
  <si>
    <t>BH1354</t>
  </si>
  <si>
    <t>Oficina de Planejamento Macro e Meso Regional</t>
  </si>
  <si>
    <t>EN2613</t>
  </si>
  <si>
    <t>Ondas Eletromagnéticas Aplicadas</t>
  </si>
  <si>
    <t>EN2530</t>
  </si>
  <si>
    <t>Organização do Trabalho</t>
  </si>
  <si>
    <t>MC3308</t>
  </si>
  <si>
    <t>Paradigmas de Programação</t>
  </si>
  <si>
    <t>BH0202</t>
  </si>
  <si>
    <t>Pensamento Crítico</t>
  </si>
  <si>
    <t>BH1358</t>
  </si>
  <si>
    <t>Planejamento e Política Rural</t>
  </si>
  <si>
    <t>NH5128</t>
  </si>
  <si>
    <t>Poder e Cultura na Sociedade da Informação</t>
  </si>
  <si>
    <t>BH1360</t>
  </si>
  <si>
    <t>Política Urbana</t>
  </si>
  <si>
    <t>BC1624</t>
  </si>
  <si>
    <t>Políticas Educacionais</t>
  </si>
  <si>
    <t>CS2104</t>
  </si>
  <si>
    <t>Políticas Sociais</t>
  </si>
  <si>
    <t>EN2115</t>
  </si>
  <si>
    <t>Poluição Atmosférica</t>
  </si>
  <si>
    <t>BH1222</t>
  </si>
  <si>
    <t>Prática de Ensino de Filosofia I</t>
  </si>
  <si>
    <t>BH1225</t>
  </si>
  <si>
    <t>Prática de Ensino de Filosofia IV</t>
  </si>
  <si>
    <t>NH4201</t>
  </si>
  <si>
    <t>Práticas de Ensino de Biologia II</t>
  </si>
  <si>
    <t>BC1625</t>
  </si>
  <si>
    <t>Práticas de Ensino de Ciências e Matemática no Ensino Fundamental</t>
  </si>
  <si>
    <t>NH4202</t>
  </si>
  <si>
    <t>Práticas de Ensino de Física II</t>
  </si>
  <si>
    <t>MC8206</t>
  </si>
  <si>
    <t>Práticas de Ensino de Matemática II</t>
  </si>
  <si>
    <t>NH4203</t>
  </si>
  <si>
    <t>Práticas de Ensino de Química II</t>
  </si>
  <si>
    <t>EN2333</t>
  </si>
  <si>
    <t>Princípios e Aplicações de Biomecânica</t>
  </si>
  <si>
    <t>MC1202</t>
  </si>
  <si>
    <t>Probabilidade</t>
  </si>
  <si>
    <t>BH1219</t>
  </si>
  <si>
    <t>Problemas Metafísicos: Perspectivas Modernas</t>
  </si>
  <si>
    <t>BH0203</t>
  </si>
  <si>
    <t>Problemas Metodológicos das Ciências Sociais</t>
  </si>
  <si>
    <t>EN3727</t>
  </si>
  <si>
    <t>Processadores Digitais em Controle e Automação</t>
  </si>
  <si>
    <t>MC8103</t>
  </si>
  <si>
    <t>Processamento de Sinais Neurais</t>
  </si>
  <si>
    <t>EN3326</t>
  </si>
  <si>
    <t>Processamento e Análise de Falhas em Biomateriais</t>
  </si>
  <si>
    <t>EN3325</t>
  </si>
  <si>
    <t>Processamento e Análise de Sinais Biomédicos</t>
  </si>
  <si>
    <t>BC1432</t>
  </si>
  <si>
    <t>Programação Matemática</t>
  </si>
  <si>
    <t>BC1501</t>
  </si>
  <si>
    <t>Programação Orientada a Objetos</t>
  </si>
  <si>
    <t>MC4002</t>
  </si>
  <si>
    <t>Programação Paralela</t>
  </si>
  <si>
    <t>MC7007</t>
  </si>
  <si>
    <t>Progressos e Métodos em Neurociência</t>
  </si>
  <si>
    <t>EN4230</t>
  </si>
  <si>
    <t>Projeto de Aeronaves I_x000D_</t>
  </si>
  <si>
    <t>EN3621</t>
  </si>
  <si>
    <t>Projeto de Filtros Digitais</t>
  </si>
  <si>
    <t>EN2513</t>
  </si>
  <si>
    <t>Propriedade Intelectual</t>
  </si>
  <si>
    <t>EN2817</t>
  </si>
  <si>
    <t>Propriedades Elétricas, Magnéticas e Ópticas</t>
  </si>
  <si>
    <t>EN2816</t>
  </si>
  <si>
    <t>Propriedades Mecânicas e Térmicas</t>
  </si>
  <si>
    <t>EN3466</t>
  </si>
  <si>
    <t>Qualidade da Energia Elétrica</t>
  </si>
  <si>
    <t>EN2516</t>
  </si>
  <si>
    <t>Qualidade em Sistemas</t>
  </si>
  <si>
    <t>NH4107</t>
  </si>
  <si>
    <t>Questões Atuais no Ensino de Ciências</t>
  </si>
  <si>
    <t>NH3812</t>
  </si>
  <si>
    <t>Química Ambiental</t>
  </si>
  <si>
    <t>BC1399</t>
  </si>
  <si>
    <t>Química Analítica Clássica I</t>
  </si>
  <si>
    <t>NH3598</t>
  </si>
  <si>
    <t>Química Analítica Instrumental</t>
  </si>
  <si>
    <t>NH3002</t>
  </si>
  <si>
    <t>Química Forense</t>
  </si>
  <si>
    <t>NH3902</t>
  </si>
  <si>
    <t>Química Orgânica Aplicada</t>
  </si>
  <si>
    <t>EN3805</t>
  </si>
  <si>
    <t>Reciclagem e Ambiente</t>
  </si>
  <si>
    <t>EN3608</t>
  </si>
  <si>
    <t>Redes de Alta Velocidade</t>
  </si>
  <si>
    <t>MC6006</t>
  </si>
  <si>
    <t>Redes sem Fio</t>
  </si>
  <si>
    <t>EN3457</t>
  </si>
  <si>
    <t>Regulação e Mercado de Energia Elétrica</t>
  </si>
  <si>
    <t>BH1339</t>
  </si>
  <si>
    <t>Segurança Internacional em Perspectiva Histórica e Desafios Contemporâneos</t>
  </si>
  <si>
    <t>EN3801</t>
  </si>
  <si>
    <t>Seminários em Materiais Avançados</t>
  </si>
  <si>
    <t>EN2712</t>
  </si>
  <si>
    <t>Sensores e Transdutores</t>
  </si>
  <si>
    <t>EN3107</t>
  </si>
  <si>
    <t>Sensoriamento Remoto</t>
  </si>
  <si>
    <t>BC1407</t>
  </si>
  <si>
    <t>Sequências e Séries</t>
  </si>
  <si>
    <t>BH1340</t>
  </si>
  <si>
    <t>Sistema ONU e os Desafios do Multilateralismo</t>
  </si>
  <si>
    <t>BC1321</t>
  </si>
  <si>
    <t>Sistemas Biológicos I</t>
  </si>
  <si>
    <t>BC1325</t>
  </si>
  <si>
    <t>Sistemas Biológicos IV</t>
  </si>
  <si>
    <t>EN3708</t>
  </si>
  <si>
    <t>Sistemas de Controle III</t>
  </si>
  <si>
    <t>MC3105</t>
  </si>
  <si>
    <t>Sistemas Distribuídos</t>
  </si>
  <si>
    <t>BC1518</t>
  </si>
  <si>
    <t>Sistemas Operacionais</t>
  </si>
  <si>
    <t>BH1362</t>
  </si>
  <si>
    <t>Sociologia dos Territórios</t>
  </si>
  <si>
    <t>EN2233</t>
  </si>
  <si>
    <t>Técnicas de Análise Estrutural e Projeto</t>
  </si>
  <si>
    <t>EN3420</t>
  </si>
  <si>
    <t>Tecnologia de Produção de Biodiesel</t>
  </si>
  <si>
    <t>NH2041</t>
  </si>
  <si>
    <t>Tecnologia do Vácuo e Criogenia</t>
  </si>
  <si>
    <t>NH5133</t>
  </si>
  <si>
    <t>Temas da Filosofia Antiga</t>
  </si>
  <si>
    <t>NH5134</t>
  </si>
  <si>
    <t>Temas da Filosofia Medieval</t>
  </si>
  <si>
    <t>BC1402</t>
  </si>
  <si>
    <t>Teoria Axiomática dos Conjuntos</t>
  </si>
  <si>
    <t>EN3721</t>
  </si>
  <si>
    <t>Teoria de Controle Ótimo</t>
  </si>
  <si>
    <t>BH1217</t>
  </si>
  <si>
    <t>Teoria do conhecimento: a epistemologia contemporânea</t>
  </si>
  <si>
    <t>(*)</t>
  </si>
  <si>
    <t>BC1429</t>
  </si>
  <si>
    <t>Teoria dos Grafos</t>
  </si>
  <si>
    <t>BH1156</t>
  </si>
  <si>
    <t>Teorias Contemporâneas de RI</t>
  </si>
  <si>
    <t>EN2815</t>
  </si>
  <si>
    <t>Termodinamica Estatistica de Materiais</t>
  </si>
  <si>
    <t>EN2809</t>
  </si>
  <si>
    <t>Tópicos Computacionais em Materiais</t>
  </si>
  <si>
    <t>EN3458</t>
  </si>
  <si>
    <t>Tópicos de Otimização em Sistemas Elétricos de Potência e Aplicações</t>
  </si>
  <si>
    <t>EN3123</t>
  </si>
  <si>
    <t>Tópicos Especiais em Engenharia Ambiental e Urbana</t>
  </si>
  <si>
    <t>EN2821</t>
  </si>
  <si>
    <t>Tópicos Experimentais em Materiais I</t>
  </si>
  <si>
    <t>MC1204</t>
  </si>
  <si>
    <t>Topologia I</t>
  </si>
  <si>
    <t>NH3201</t>
  </si>
  <si>
    <t>Trabalho de Conclusão de Curso em Química</t>
  </si>
  <si>
    <t>EN2410</t>
  </si>
  <si>
    <t>Transferência de Calor I</t>
  </si>
  <si>
    <t>BC0308</t>
  </si>
  <si>
    <t>Transformações Bioquímicas</t>
  </si>
  <si>
    <t>BC0306</t>
  </si>
  <si>
    <t>Transformações nos Seres Vivos e Ambiente</t>
  </si>
  <si>
    <t>BC1509</t>
  </si>
  <si>
    <t>Transformadas em Sinais e Sistemas Lineares</t>
  </si>
  <si>
    <t>EN2221</t>
  </si>
  <si>
    <t>Vibrações</t>
  </si>
  <si>
    <t>NH1018</t>
  </si>
  <si>
    <t>Virologia</t>
  </si>
  <si>
    <t>MC5006</t>
  </si>
  <si>
    <t>Web Semântica</t>
  </si>
  <si>
    <t>NH2902</t>
  </si>
  <si>
    <t>Mecânica Estatística</t>
  </si>
  <si>
    <t>Trabalho de Conclusão de Curso em física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</si>
</sst>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 ;[Red]\-0\ "/>
    <numFmt numFmtId="165" formatCode="0\ ;[Red]\-0\ "/>
  </numFmts>
  <fonts count="3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6"/>
      <name val="Calibri"/>
      <family val="2"/>
    </font>
    <font>
      <sz val="16"/>
      <name val="Calibri"/>
      <family val="2"/>
    </font>
    <font>
      <sz val="14"/>
      <name val="Calibri"/>
      <family val="2"/>
    </font>
    <font>
      <sz val="12"/>
      <name val="Calibri"/>
      <family val="2"/>
    </font>
    <font>
      <b/>
      <sz val="18"/>
      <name val="Calibri"/>
      <family val="2"/>
    </font>
    <font>
      <sz val="11"/>
      <color rgb="FF0070C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indexed="8"/>
      <name val="Calibri"/>
      <family val="2"/>
    </font>
    <font>
      <sz val="12"/>
      <color indexed="8"/>
      <name val="Calibri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7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6"/>
      <color rgb="FFFF0000"/>
      <name val="Calibri"/>
      <family val="2"/>
    </font>
    <font>
      <sz val="7"/>
      <name val="Calibri"/>
      <family val="2"/>
      <scheme val="minor"/>
    </font>
    <font>
      <sz val="1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6"/>
        <bgColor indexed="24"/>
      </patternFill>
    </fill>
    <fill>
      <patternFill patternType="solid">
        <fgColor indexed="47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theme="4" tint="0.39997558519241921"/>
        <bgColor indexed="6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3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6" tint="-0.249977111117893"/>
        <bgColor indexed="41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41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9"/>
      </left>
      <right style="thin">
        <color indexed="59"/>
      </right>
      <top style="medium">
        <color indexed="59"/>
      </top>
      <bottom style="medium">
        <color indexed="59"/>
      </bottom>
      <diagonal/>
    </border>
    <border>
      <left/>
      <right style="medium">
        <color indexed="59"/>
      </right>
      <top style="medium">
        <color indexed="59"/>
      </top>
      <bottom style="medium">
        <color indexed="5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59"/>
      </left>
      <right style="medium">
        <color indexed="59"/>
      </right>
      <top style="medium">
        <color indexed="59"/>
      </top>
      <bottom style="thin">
        <color indexed="59"/>
      </bottom>
      <diagonal/>
    </border>
    <border>
      <left style="medium">
        <color indexed="59"/>
      </left>
      <right/>
      <top style="medium">
        <color indexed="59"/>
      </top>
      <bottom style="thin">
        <color indexed="59"/>
      </bottom>
      <diagonal/>
    </border>
    <border>
      <left/>
      <right style="medium">
        <color indexed="59"/>
      </right>
      <top style="medium">
        <color indexed="59"/>
      </top>
      <bottom style="thin">
        <color indexed="59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59"/>
      </left>
      <right style="medium">
        <color indexed="59"/>
      </right>
      <top style="medium">
        <color indexed="59"/>
      </top>
      <bottom style="medium">
        <color indexed="59"/>
      </bottom>
      <diagonal/>
    </border>
    <border>
      <left style="thin">
        <color indexed="59"/>
      </left>
      <right style="thin">
        <color indexed="59"/>
      </right>
      <top style="medium">
        <color indexed="59"/>
      </top>
      <bottom style="medium">
        <color indexed="59"/>
      </bottom>
      <diagonal/>
    </border>
    <border>
      <left style="thin">
        <color indexed="59"/>
      </left>
      <right style="medium">
        <color indexed="59"/>
      </right>
      <top style="medium">
        <color indexed="59"/>
      </top>
      <bottom style="medium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59"/>
      </left>
      <right/>
      <top style="medium">
        <color indexed="59"/>
      </top>
      <bottom style="medium">
        <color indexed="59"/>
      </bottom>
      <diagonal/>
    </border>
    <border>
      <left/>
      <right style="thin">
        <color indexed="59"/>
      </right>
      <top style="medium">
        <color indexed="59"/>
      </top>
      <bottom style="medium">
        <color indexed="5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medium">
        <color indexed="59"/>
      </right>
      <top style="thin">
        <color indexed="59"/>
      </top>
      <bottom style="thin">
        <color indexed="59"/>
      </bottom>
      <diagonal/>
    </border>
    <border>
      <left style="medium">
        <color indexed="59"/>
      </left>
      <right style="medium">
        <color indexed="59"/>
      </right>
      <top style="thin">
        <color indexed="59"/>
      </top>
      <bottom style="medium">
        <color indexed="59"/>
      </bottom>
      <diagonal/>
    </border>
    <border>
      <left style="medium">
        <color indexed="59"/>
      </left>
      <right/>
      <top style="thin">
        <color indexed="59"/>
      </top>
      <bottom style="medium">
        <color indexed="59"/>
      </bottom>
      <diagonal/>
    </border>
    <border>
      <left/>
      <right style="medium">
        <color indexed="59"/>
      </right>
      <top style="thin">
        <color indexed="59"/>
      </top>
      <bottom style="medium">
        <color indexed="5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</borders>
  <cellStyleXfs count="6">
    <xf numFmtId="0" fontId="0" fillId="0" borderId="0"/>
    <xf numFmtId="0" fontId="3" fillId="0" borderId="0"/>
    <xf numFmtId="0" fontId="4" fillId="0" borderId="0"/>
    <xf numFmtId="0" fontId="9" fillId="0" borderId="0"/>
    <xf numFmtId="0" fontId="10" fillId="0" borderId="0"/>
    <xf numFmtId="0" fontId="26" fillId="0" borderId="0"/>
  </cellStyleXfs>
  <cellXfs count="270">
    <xf numFmtId="0" fontId="0" fillId="0" borderId="0" xfId="0"/>
    <xf numFmtId="0" fontId="4" fillId="0" borderId="0" xfId="2"/>
    <xf numFmtId="0" fontId="4" fillId="0" borderId="0" xfId="2" applyAlignment="1">
      <alignment wrapText="1"/>
    </xf>
    <xf numFmtId="1" fontId="4" fillId="0" borderId="0" xfId="2" applyNumberFormat="1" applyAlignment="1">
      <alignment wrapText="1"/>
    </xf>
    <xf numFmtId="0" fontId="12" fillId="0" borderId="0" xfId="2" applyFont="1" applyAlignment="1">
      <alignment horizontal="center" vertical="center"/>
    </xf>
    <xf numFmtId="0" fontId="12" fillId="0" borderId="0" xfId="2" applyFont="1" applyAlignment="1">
      <alignment horizontal="center" wrapText="1"/>
    </xf>
    <xf numFmtId="0" fontId="12" fillId="0" borderId="0" xfId="2" applyFont="1" applyAlignment="1">
      <alignment horizontal="center"/>
    </xf>
    <xf numFmtId="0" fontId="12" fillId="2" borderId="6" xfId="2" applyFont="1" applyFill="1" applyBorder="1" applyAlignment="1">
      <alignment horizontal="center" vertical="center"/>
    </xf>
    <xf numFmtId="2" fontId="12" fillId="0" borderId="0" xfId="2" applyNumberFormat="1" applyFont="1" applyFill="1" applyBorder="1" applyAlignment="1">
      <alignment horizontal="center" vertical="center"/>
    </xf>
    <xf numFmtId="2" fontId="12" fillId="0" borderId="0" xfId="2" applyNumberFormat="1" applyFont="1" applyFill="1" applyBorder="1" applyAlignment="1">
      <alignment horizontal="center"/>
    </xf>
    <xf numFmtId="0" fontId="12" fillId="0" borderId="0" xfId="2" applyFont="1" applyBorder="1" applyAlignment="1">
      <alignment vertical="center"/>
    </xf>
    <xf numFmtId="0" fontId="12" fillId="0" borderId="10" xfId="2" applyFont="1" applyBorder="1" applyAlignment="1">
      <alignment horizontal="center" vertical="center" wrapText="1"/>
    </xf>
    <xf numFmtId="0" fontId="12" fillId="0" borderId="11" xfId="2" applyFont="1" applyBorder="1" applyAlignment="1">
      <alignment horizontal="center" vertical="center" wrapText="1"/>
    </xf>
    <xf numFmtId="0" fontId="12" fillId="5" borderId="3" xfId="2" applyFont="1" applyFill="1" applyBorder="1" applyAlignment="1">
      <alignment horizontal="center" vertical="center"/>
    </xf>
    <xf numFmtId="1" fontId="12" fillId="5" borderId="15" xfId="2" applyNumberFormat="1" applyFont="1" applyFill="1" applyBorder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12" fillId="6" borderId="3" xfId="2" applyFont="1" applyFill="1" applyBorder="1" applyAlignment="1">
      <alignment horizontal="center" vertical="center"/>
    </xf>
    <xf numFmtId="1" fontId="12" fillId="6" borderId="15" xfId="2" applyNumberFormat="1" applyFont="1" applyFill="1" applyBorder="1" applyAlignment="1">
      <alignment horizontal="center" vertical="center"/>
    </xf>
    <xf numFmtId="0" fontId="12" fillId="7" borderId="3" xfId="2" applyFont="1" applyFill="1" applyBorder="1" applyAlignment="1">
      <alignment horizontal="center" vertical="center"/>
    </xf>
    <xf numFmtId="1" fontId="12" fillId="7" borderId="15" xfId="2" applyNumberFormat="1" applyFont="1" applyFill="1" applyBorder="1" applyAlignment="1">
      <alignment horizontal="center" vertical="center"/>
    </xf>
    <xf numFmtId="0" fontId="4" fillId="0" borderId="0" xfId="2" applyFont="1"/>
    <xf numFmtId="2" fontId="12" fillId="0" borderId="16" xfId="2" applyNumberFormat="1" applyFont="1" applyBorder="1" applyAlignment="1">
      <alignment horizontal="center" vertical="center"/>
    </xf>
    <xf numFmtId="1" fontId="12" fillId="0" borderId="17" xfId="2" applyNumberFormat="1" applyFont="1" applyBorder="1" applyAlignment="1">
      <alignment horizontal="center" vertical="center"/>
    </xf>
    <xf numFmtId="165" fontId="12" fillId="0" borderId="18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4" fillId="0" borderId="0" xfId="2" applyFont="1" applyAlignment="1">
      <alignment vertical="center" wrapText="1"/>
    </xf>
    <xf numFmtId="0" fontId="8" fillId="0" borderId="0" xfId="0" applyFont="1"/>
    <xf numFmtId="0" fontId="0" fillId="0" borderId="0" xfId="0" applyAlignment="1">
      <alignment horizontal="center"/>
    </xf>
    <xf numFmtId="0" fontId="17" fillId="0" borderId="0" xfId="0" applyFont="1"/>
    <xf numFmtId="0" fontId="19" fillId="0" borderId="0" xfId="1" applyFont="1" applyAlignment="1">
      <alignment vertical="center"/>
    </xf>
    <xf numFmtId="0" fontId="19" fillId="0" borderId="0" xfId="1" applyFont="1" applyAlignment="1">
      <alignment horizontal="center" vertical="center"/>
    </xf>
    <xf numFmtId="9" fontId="19" fillId="0" borderId="0" xfId="1" applyNumberFormat="1" applyFont="1" applyAlignment="1">
      <alignment horizontal="center" vertical="center"/>
    </xf>
    <xf numFmtId="0" fontId="4" fillId="0" borderId="0" xfId="2" applyFont="1" applyAlignment="1">
      <alignment horizontal="center"/>
    </xf>
    <xf numFmtId="0" fontId="20" fillId="10" borderId="5" xfId="1" applyFont="1" applyFill="1" applyBorder="1" applyAlignment="1">
      <alignment horizontal="center" vertical="center"/>
    </xf>
    <xf numFmtId="0" fontId="20" fillId="10" borderId="20" xfId="1" applyFont="1" applyFill="1" applyBorder="1" applyAlignment="1">
      <alignment horizontal="center" vertical="center"/>
    </xf>
    <xf numFmtId="9" fontId="20" fillId="10" borderId="20" xfId="1" applyNumberFormat="1" applyFont="1" applyFill="1" applyBorder="1" applyAlignment="1">
      <alignment horizontal="center" vertical="center"/>
    </xf>
    <xf numFmtId="0" fontId="20" fillId="10" borderId="21" xfId="1" applyFont="1" applyFill="1" applyBorder="1" applyAlignment="1">
      <alignment horizontal="center" vertical="center"/>
    </xf>
    <xf numFmtId="0" fontId="21" fillId="0" borderId="22" xfId="2" applyFont="1" applyBorder="1"/>
    <xf numFmtId="0" fontId="21" fillId="0" borderId="22" xfId="2" applyFont="1" applyBorder="1" applyAlignment="1">
      <alignment horizontal="center"/>
    </xf>
    <xf numFmtId="9" fontId="21" fillId="0" borderId="22" xfId="2" applyNumberFormat="1" applyFont="1" applyBorder="1" applyAlignment="1">
      <alignment horizontal="center"/>
    </xf>
    <xf numFmtId="0" fontId="22" fillId="0" borderId="0" xfId="2" applyFont="1"/>
    <xf numFmtId="0" fontId="23" fillId="0" borderId="22" xfId="2" applyFont="1" applyBorder="1" applyAlignment="1">
      <alignment horizontal="center"/>
    </xf>
    <xf numFmtId="9" fontId="22" fillId="0" borderId="0" xfId="2" applyNumberFormat="1" applyFont="1" applyAlignment="1">
      <alignment horizontal="center"/>
    </xf>
    <xf numFmtId="9" fontId="4" fillId="0" borderId="0" xfId="2" applyNumberFormat="1" applyAlignment="1">
      <alignment horizont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vertical="center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14" fontId="1" fillId="0" borderId="0" xfId="0" applyNumberFormat="1" applyFont="1" applyFill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0" xfId="0" applyFont="1" applyFill="1" applyAlignment="1">
      <alignment vertical="center"/>
    </xf>
    <xf numFmtId="0" fontId="25" fillId="12" borderId="0" xfId="0" applyFont="1" applyFill="1" applyAlignment="1">
      <alignment vertical="center"/>
    </xf>
    <xf numFmtId="0" fontId="25" fillId="12" borderId="0" xfId="0" applyFont="1" applyFill="1" applyAlignment="1">
      <alignment horizontal="right" vertical="center"/>
    </xf>
    <xf numFmtId="0" fontId="25" fillId="13" borderId="0" xfId="0" applyFont="1" applyFill="1" applyAlignment="1">
      <alignment vertical="center"/>
    </xf>
    <xf numFmtId="0" fontId="25" fillId="13" borderId="0" xfId="0" applyFont="1" applyFill="1" applyAlignment="1">
      <alignment horizontal="right" vertical="center"/>
    </xf>
    <xf numFmtId="0" fontId="25" fillId="14" borderId="0" xfId="0" applyFont="1" applyFill="1" applyAlignment="1">
      <alignment vertical="center"/>
    </xf>
    <xf numFmtId="0" fontId="25" fillId="14" borderId="0" xfId="0" applyFont="1" applyFill="1" applyAlignment="1">
      <alignment horizontal="right" vertical="center"/>
    </xf>
    <xf numFmtId="0" fontId="31" fillId="0" borderId="0" xfId="0" applyFont="1" applyFill="1" applyAlignment="1">
      <alignment vertical="center"/>
    </xf>
    <xf numFmtId="0" fontId="12" fillId="0" borderId="15" xfId="2" applyFont="1" applyBorder="1" applyAlignment="1">
      <alignment horizontal="center" vertical="center" wrapText="1"/>
    </xf>
    <xf numFmtId="0" fontId="12" fillId="0" borderId="3" xfId="2" applyFont="1" applyBorder="1" applyAlignment="1">
      <alignment vertical="center"/>
    </xf>
    <xf numFmtId="0" fontId="12" fillId="0" borderId="16" xfId="2" applyFont="1" applyBorder="1" applyAlignment="1">
      <alignment horizontal="center" vertical="center"/>
    </xf>
    <xf numFmtId="1" fontId="1" fillId="0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4" fontId="12" fillId="5" borderId="15" xfId="2" applyNumberFormat="1" applyFont="1" applyFill="1" applyBorder="1" applyAlignment="1">
      <alignment horizontal="center" vertical="center"/>
    </xf>
    <xf numFmtId="164" fontId="12" fillId="6" borderId="15" xfId="2" applyNumberFormat="1" applyFont="1" applyFill="1" applyBorder="1" applyAlignment="1">
      <alignment horizontal="center" vertical="center"/>
    </xf>
    <xf numFmtId="164" fontId="12" fillId="7" borderId="15" xfId="2" applyNumberFormat="1" applyFont="1" applyFill="1" applyBorder="1" applyAlignment="1">
      <alignment horizontal="center" vertical="center"/>
    </xf>
    <xf numFmtId="164" fontId="12" fillId="17" borderId="15" xfId="2" applyNumberFormat="1" applyFont="1" applyFill="1" applyBorder="1" applyAlignment="1">
      <alignment horizontal="center" vertical="center"/>
    </xf>
    <xf numFmtId="0" fontId="12" fillId="0" borderId="25" xfId="2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horizontal="left" vertical="center"/>
    </xf>
    <xf numFmtId="14" fontId="1" fillId="0" borderId="0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2" fillId="20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2" fillId="20" borderId="0" xfId="0" applyFont="1" applyFill="1" applyAlignment="1">
      <alignment vertical="center" wrapText="1"/>
    </xf>
    <xf numFmtId="164" fontId="12" fillId="22" borderId="15" xfId="2" applyNumberFormat="1" applyFont="1" applyFill="1" applyBorder="1" applyAlignment="1">
      <alignment horizontal="center" vertical="center"/>
    </xf>
    <xf numFmtId="1" fontId="33" fillId="0" borderId="0" xfId="2" applyNumberFormat="1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 wrapText="1"/>
    </xf>
    <xf numFmtId="0" fontId="12" fillId="0" borderId="3" xfId="2" applyFont="1" applyBorder="1" applyAlignment="1">
      <alignment horizontal="center" vertical="center"/>
    </xf>
    <xf numFmtId="1" fontId="12" fillId="0" borderId="4" xfId="2" applyNumberFormat="1" applyFont="1" applyBorder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0" fontId="14" fillId="0" borderId="0" xfId="2" applyFont="1" applyAlignment="1">
      <alignment horizontal="center" vertical="center" wrapText="1"/>
    </xf>
    <xf numFmtId="0" fontId="6" fillId="21" borderId="25" xfId="0" applyFont="1" applyFill="1" applyBorder="1" applyAlignment="1">
      <alignment horizontal="center" vertical="center" wrapText="1"/>
    </xf>
    <xf numFmtId="0" fontId="6" fillId="0" borderId="25" xfId="0" applyFont="1" applyFill="1" applyBorder="1" applyAlignment="1">
      <alignment horizontal="center" vertical="center" wrapText="1"/>
    </xf>
    <xf numFmtId="0" fontId="6" fillId="21" borderId="26" xfId="0" applyFont="1" applyFill="1" applyBorder="1" applyAlignment="1">
      <alignment horizontal="center" vertical="center"/>
    </xf>
    <xf numFmtId="0" fontId="6" fillId="21" borderId="25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11" fillId="0" borderId="7" xfId="2" applyFont="1" applyBorder="1" applyAlignment="1">
      <alignment horizontal="center" vertical="center"/>
    </xf>
    <xf numFmtId="0" fontId="11" fillId="0" borderId="8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164" fontId="12" fillId="0" borderId="4" xfId="2" applyNumberFormat="1" applyFont="1" applyBorder="1" applyAlignment="1">
      <alignment horizontal="center" vertical="center"/>
    </xf>
    <xf numFmtId="2" fontId="12" fillId="0" borderId="4" xfId="2" applyNumberFormat="1" applyFont="1" applyBorder="1" applyAlignment="1">
      <alignment horizontal="center" vertical="center"/>
    </xf>
    <xf numFmtId="0" fontId="12" fillId="2" borderId="27" xfId="2" applyFont="1" applyFill="1" applyBorder="1" applyAlignment="1">
      <alignment horizontal="center" vertical="center" wrapText="1"/>
    </xf>
    <xf numFmtId="0" fontId="12" fillId="2" borderId="28" xfId="2" applyFont="1" applyFill="1" applyBorder="1" applyAlignment="1">
      <alignment horizontal="center" vertical="center" wrapText="1"/>
    </xf>
    <xf numFmtId="164" fontId="12" fillId="0" borderId="15" xfId="2" applyNumberFormat="1" applyFont="1" applyBorder="1" applyAlignment="1">
      <alignment horizontal="center" vertical="center"/>
    </xf>
    <xf numFmtId="164" fontId="12" fillId="0" borderId="17" xfId="2" applyNumberFormat="1" applyFont="1" applyBorder="1" applyAlignment="1">
      <alignment horizontal="center" vertical="center"/>
    </xf>
    <xf numFmtId="0" fontId="11" fillId="0" borderId="9" xfId="2" applyFont="1" applyBorder="1" applyAlignment="1">
      <alignment horizontal="center" vertical="center"/>
    </xf>
    <xf numFmtId="0" fontId="33" fillId="0" borderId="12" xfId="2" applyFont="1" applyBorder="1" applyAlignment="1">
      <alignment horizontal="center" vertical="center" wrapText="1"/>
    </xf>
    <xf numFmtId="0" fontId="33" fillId="0" borderId="13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1" fontId="12" fillId="0" borderId="4" xfId="2" applyNumberFormat="1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 wrapText="1"/>
    </xf>
    <xf numFmtId="0" fontId="15" fillId="0" borderId="2" xfId="2" applyFont="1" applyBorder="1" applyAlignment="1">
      <alignment horizontal="center" vertical="center" wrapText="1"/>
    </xf>
    <xf numFmtId="0" fontId="15" fillId="0" borderId="2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0" fontId="11" fillId="0" borderId="3" xfId="2" applyFont="1" applyBorder="1" applyAlignment="1">
      <alignment horizontal="center" vertical="center" wrapText="1"/>
    </xf>
    <xf numFmtId="0" fontId="12" fillId="0" borderId="3" xfId="2" applyFont="1" applyBorder="1" applyAlignment="1">
      <alignment horizontal="center" vertical="center"/>
    </xf>
    <xf numFmtId="0" fontId="4" fillId="0" borderId="0" xfId="2" applyNumberFormat="1" applyAlignment="1">
      <alignment horizontal="center" wrapText="1"/>
    </xf>
    <xf numFmtId="0" fontId="18" fillId="0" borderId="0" xfId="1" applyFont="1" applyBorder="1" applyAlignment="1">
      <alignment horizontal="center" vertical="center"/>
    </xf>
    <xf numFmtId="0" fontId="20" fillId="4" borderId="19" xfId="1" applyFont="1" applyFill="1" applyBorder="1" applyAlignment="1">
      <alignment horizontal="center" vertical="center"/>
    </xf>
    <xf numFmtId="0" fontId="20" fillId="9" borderId="19" xfId="1" applyFont="1" applyFill="1" applyBorder="1" applyAlignment="1">
      <alignment horizontal="center" vertical="center"/>
    </xf>
    <xf numFmtId="0" fontId="20" fillId="10" borderId="19" xfId="1" applyFont="1" applyFill="1" applyBorder="1" applyAlignment="1">
      <alignment horizontal="center" vertical="center"/>
    </xf>
    <xf numFmtId="0" fontId="0" fillId="18" borderId="30" xfId="0" applyFill="1" applyBorder="1" applyAlignment="1">
      <alignment wrapText="1"/>
    </xf>
    <xf numFmtId="0" fontId="0" fillId="18" borderId="30" xfId="0" applyFill="1" applyBorder="1" applyAlignment="1"/>
    <xf numFmtId="0" fontId="0" fillId="0" borderId="30" xfId="0" applyBorder="1"/>
    <xf numFmtId="0" fontId="0" fillId="0" borderId="30" xfId="0" applyBorder="1" applyAlignment="1">
      <alignment wrapText="1"/>
    </xf>
    <xf numFmtId="0" fontId="0" fillId="19" borderId="30" xfId="0" applyFill="1" applyBorder="1"/>
    <xf numFmtId="0" fontId="0" fillId="0" borderId="30" xfId="0" applyBorder="1" applyAlignment="1"/>
    <xf numFmtId="0" fontId="6" fillId="0" borderId="31" xfId="0" applyFont="1" applyFill="1" applyBorder="1" applyAlignment="1">
      <alignment horizontal="center" vertical="center" wrapText="1"/>
    </xf>
    <xf numFmtId="0" fontId="6" fillId="0" borderId="30" xfId="0" applyFont="1" applyFill="1" applyBorder="1" applyAlignment="1">
      <alignment horizontal="left" vertical="center" wrapText="1"/>
    </xf>
    <xf numFmtId="0" fontId="2" fillId="0" borderId="30" xfId="0" applyFont="1" applyFill="1" applyBorder="1" applyAlignment="1">
      <alignment horizontal="left" vertical="center" wrapText="1"/>
    </xf>
    <xf numFmtId="0" fontId="6" fillId="11" borderId="30" xfId="0" applyFont="1" applyFill="1" applyBorder="1" applyAlignment="1">
      <alignment horizontal="center" vertical="center" wrapText="1"/>
    </xf>
    <xf numFmtId="0" fontId="6" fillId="0" borderId="32" xfId="0" applyFont="1" applyFill="1" applyBorder="1" applyAlignment="1">
      <alignment horizontal="center" vertical="center" wrapText="1"/>
    </xf>
    <xf numFmtId="0" fontId="6" fillId="0" borderId="33" xfId="0" applyFont="1" applyFill="1" applyBorder="1" applyAlignment="1">
      <alignment horizontal="center" vertical="center" wrapText="1"/>
    </xf>
    <xf numFmtId="0" fontId="6" fillId="0" borderId="30" xfId="0" applyFont="1" applyFill="1" applyBorder="1" applyAlignment="1">
      <alignment horizontal="center" vertical="center" wrapText="1"/>
    </xf>
    <xf numFmtId="0" fontId="6" fillId="21" borderId="31" xfId="0" applyFont="1" applyFill="1" applyBorder="1" applyAlignment="1">
      <alignment horizontal="center" vertical="center" wrapText="1"/>
    </xf>
    <xf numFmtId="0" fontId="6" fillId="21" borderId="30" xfId="0" applyFont="1" applyFill="1" applyBorder="1" applyAlignment="1">
      <alignment horizontal="center" vertical="center" wrapText="1"/>
    </xf>
    <xf numFmtId="0" fontId="6" fillId="0" borderId="30" xfId="0" applyFont="1" applyFill="1" applyBorder="1" applyAlignment="1">
      <alignment horizontal="center" vertical="center" wrapText="1"/>
    </xf>
    <xf numFmtId="0" fontId="6" fillId="0" borderId="30" xfId="0" applyFont="1" applyFill="1" applyBorder="1" applyAlignment="1">
      <alignment horizontal="left" vertical="center" wrapText="1"/>
    </xf>
    <xf numFmtId="0" fontId="1" fillId="0" borderId="30" xfId="0" applyFont="1" applyFill="1" applyBorder="1" applyAlignment="1">
      <alignment vertical="center" wrapText="1"/>
    </xf>
    <xf numFmtId="0" fontId="2" fillId="0" borderId="30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left" vertical="center" wrapText="1"/>
    </xf>
    <xf numFmtId="0" fontId="1" fillId="0" borderId="30" xfId="0" applyFont="1" applyFill="1" applyBorder="1" applyAlignment="1">
      <alignment horizontal="center" vertical="center"/>
    </xf>
    <xf numFmtId="164" fontId="25" fillId="0" borderId="30" xfId="0" applyNumberFormat="1" applyFont="1" applyFill="1" applyBorder="1" applyAlignment="1">
      <alignment horizontal="center" vertical="center"/>
    </xf>
    <xf numFmtId="164" fontId="1" fillId="11" borderId="30" xfId="0" applyNumberFormat="1" applyFont="1" applyFill="1" applyBorder="1" applyAlignment="1">
      <alignment horizontal="center" vertical="center"/>
    </xf>
    <xf numFmtId="164" fontId="2" fillId="11" borderId="30" xfId="0" applyNumberFormat="1" applyFont="1" applyFill="1" applyBorder="1" applyAlignment="1">
      <alignment horizontal="center" vertical="center"/>
    </xf>
    <xf numFmtId="0" fontId="1" fillId="0" borderId="30" xfId="0" applyFont="1" applyFill="1" applyBorder="1" applyAlignment="1">
      <alignment horizontal="left" vertical="center" wrapText="1"/>
    </xf>
    <xf numFmtId="0" fontId="5" fillId="0" borderId="30" xfId="5" applyFont="1" applyFill="1" applyBorder="1" applyAlignment="1">
      <alignment vertical="center" wrapText="1"/>
    </xf>
    <xf numFmtId="0" fontId="27" fillId="0" borderId="30" xfId="5" applyFont="1" applyFill="1" applyBorder="1" applyAlignment="1">
      <alignment horizontal="center" vertical="center" wrapText="1"/>
    </xf>
    <xf numFmtId="0" fontId="1" fillId="20" borderId="30" xfId="0" applyFont="1" applyFill="1" applyBorder="1" applyAlignment="1">
      <alignment horizontal="center" vertical="center" wrapText="1"/>
    </xf>
    <xf numFmtId="0" fontId="2" fillId="20" borderId="30" xfId="0" applyFont="1" applyFill="1" applyBorder="1" applyAlignment="1">
      <alignment vertical="center" wrapText="1"/>
    </xf>
    <xf numFmtId="0" fontId="2" fillId="20" borderId="30" xfId="0" applyFont="1" applyFill="1" applyBorder="1" applyAlignment="1">
      <alignment horizontal="center" vertical="center"/>
    </xf>
    <xf numFmtId="0" fontId="1" fillId="13" borderId="30" xfId="0" applyFont="1" applyFill="1" applyBorder="1" applyAlignment="1">
      <alignment horizontal="center" vertical="center"/>
    </xf>
    <xf numFmtId="0" fontId="2" fillId="13" borderId="30" xfId="0" applyFont="1" applyFill="1" applyBorder="1" applyAlignment="1">
      <alignment vertical="center" wrapText="1"/>
    </xf>
    <xf numFmtId="0" fontId="2" fillId="13" borderId="30" xfId="0" applyFont="1" applyFill="1" applyBorder="1" applyAlignment="1">
      <alignment horizontal="center" vertical="center" wrapText="1"/>
    </xf>
    <xf numFmtId="0" fontId="27" fillId="0" borderId="30" xfId="5" applyFont="1" applyFill="1" applyBorder="1" applyAlignment="1">
      <alignment vertical="center" wrapText="1"/>
    </xf>
    <xf numFmtId="0" fontId="27" fillId="0" borderId="30" xfId="5" applyFont="1" applyFill="1" applyBorder="1" applyAlignment="1">
      <alignment horizontal="left" vertical="center" wrapText="1"/>
    </xf>
    <xf numFmtId="0" fontId="1" fillId="0" borderId="30" xfId="0" applyFont="1" applyFill="1" applyBorder="1" applyAlignment="1">
      <alignment vertical="center"/>
    </xf>
    <xf numFmtId="0" fontId="6" fillId="3" borderId="30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left" vertical="center" wrapText="1"/>
    </xf>
    <xf numFmtId="0" fontId="1" fillId="13" borderId="30" xfId="0" applyFont="1" applyFill="1" applyBorder="1" applyAlignment="1">
      <alignment horizontal="center" vertical="center" wrapText="1"/>
    </xf>
    <xf numFmtId="0" fontId="2" fillId="13" borderId="30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vertical="center" wrapText="1"/>
    </xf>
    <xf numFmtId="0" fontId="2" fillId="0" borderId="30" xfId="0" applyFont="1" applyFill="1" applyBorder="1" applyAlignment="1">
      <alignment vertical="center"/>
    </xf>
    <xf numFmtId="164" fontId="6" fillId="0" borderId="30" xfId="0" applyNumberFormat="1" applyFont="1" applyFill="1" applyBorder="1" applyAlignment="1">
      <alignment horizontal="center" vertical="center"/>
    </xf>
    <xf numFmtId="0" fontId="5" fillId="0" borderId="30" xfId="5" applyFont="1" applyFill="1" applyBorder="1" applyAlignment="1">
      <alignment horizontal="center" vertical="center" wrapText="1"/>
    </xf>
    <xf numFmtId="0" fontId="1" fillId="20" borderId="30" xfId="0" applyFont="1" applyFill="1" applyBorder="1" applyAlignment="1">
      <alignment horizontal="center" vertical="center"/>
    </xf>
    <xf numFmtId="0" fontId="2" fillId="20" borderId="30" xfId="0" applyFont="1" applyFill="1" applyBorder="1" applyAlignment="1">
      <alignment horizontal="center" vertical="center" wrapText="1"/>
    </xf>
    <xf numFmtId="0" fontId="1" fillId="0" borderId="30" xfId="0" applyFont="1" applyFill="1" applyBorder="1" applyAlignment="1">
      <alignment horizontal="left" vertical="center"/>
    </xf>
    <xf numFmtId="0" fontId="2" fillId="0" borderId="30" xfId="0" applyFont="1" applyFill="1" applyBorder="1" applyAlignment="1">
      <alignment horizontal="left" vertical="center"/>
    </xf>
    <xf numFmtId="0" fontId="24" fillId="0" borderId="30" xfId="0" applyFont="1" applyFill="1" applyBorder="1" applyAlignment="1">
      <alignment horizontal="center" vertical="center" wrapText="1"/>
    </xf>
    <xf numFmtId="0" fontId="24" fillId="0" borderId="30" xfId="0" applyFont="1" applyFill="1" applyBorder="1" applyAlignment="1">
      <alignment horizontal="left" vertical="center" wrapText="1"/>
    </xf>
    <xf numFmtId="0" fontId="7" fillId="0" borderId="30" xfId="0" applyFont="1" applyFill="1" applyBorder="1" applyAlignment="1">
      <alignment horizontal="left" vertical="center" wrapText="1"/>
    </xf>
    <xf numFmtId="0" fontId="1" fillId="23" borderId="30" xfId="0" applyFont="1" applyFill="1" applyBorder="1" applyAlignment="1">
      <alignment horizontal="center" vertical="center" wrapText="1"/>
    </xf>
    <xf numFmtId="0" fontId="2" fillId="23" borderId="30" xfId="0" applyFont="1" applyFill="1" applyBorder="1" applyAlignment="1">
      <alignment vertical="center" wrapText="1"/>
    </xf>
    <xf numFmtId="0" fontId="5" fillId="0" borderId="30" xfId="5" applyFont="1" applyFill="1" applyBorder="1" applyAlignment="1">
      <alignment horizontal="left" vertical="center" wrapText="1"/>
    </xf>
    <xf numFmtId="0" fontId="7" fillId="0" borderId="30" xfId="0" applyFont="1" applyFill="1" applyBorder="1" applyAlignment="1">
      <alignment vertical="center" wrapText="1"/>
    </xf>
    <xf numFmtId="164" fontId="2" fillId="0" borderId="30" xfId="0" applyNumberFormat="1" applyFont="1" applyFill="1" applyBorder="1" applyAlignment="1">
      <alignment horizontal="center" vertical="center"/>
    </xf>
    <xf numFmtId="164" fontId="2" fillId="0" borderId="30" xfId="0" applyNumberFormat="1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31" fillId="16" borderId="34" xfId="0" applyFont="1" applyFill="1" applyBorder="1" applyAlignment="1">
      <alignment horizontal="center" vertical="center"/>
    </xf>
    <xf numFmtId="0" fontId="31" fillId="16" borderId="34" xfId="0" applyFont="1" applyFill="1" applyBorder="1" applyAlignment="1">
      <alignment vertical="center"/>
    </xf>
    <xf numFmtId="0" fontId="31" fillId="16" borderId="30" xfId="0" applyFont="1" applyFill="1" applyBorder="1" applyAlignment="1">
      <alignment horizontal="center" vertical="center"/>
    </xf>
    <xf numFmtId="14" fontId="31" fillId="16" borderId="30" xfId="0" applyNumberFormat="1" applyFont="1" applyFill="1" applyBorder="1" applyAlignment="1">
      <alignment horizontal="center" vertical="center"/>
    </xf>
    <xf numFmtId="14" fontId="31" fillId="16" borderId="30" xfId="0" applyNumberFormat="1" applyFont="1" applyFill="1" applyBorder="1" applyAlignment="1">
      <alignment horizontal="center" vertical="center" wrapText="1"/>
    </xf>
    <xf numFmtId="1" fontId="31" fillId="16" borderId="30" xfId="0" applyNumberFormat="1" applyFont="1" applyFill="1" applyBorder="1" applyAlignment="1">
      <alignment horizontal="center" vertical="center" wrapText="1"/>
    </xf>
    <xf numFmtId="0" fontId="24" fillId="0" borderId="34" xfId="0" applyFont="1" applyFill="1" applyBorder="1" applyAlignment="1">
      <alignment horizontal="center" vertical="center"/>
    </xf>
    <xf numFmtId="0" fontId="24" fillId="0" borderId="34" xfId="0" applyFont="1" applyFill="1" applyBorder="1" applyAlignment="1">
      <alignment vertical="center"/>
    </xf>
    <xf numFmtId="0" fontId="24" fillId="0" borderId="30" xfId="0" applyFont="1" applyFill="1" applyBorder="1" applyAlignment="1">
      <alignment horizontal="center" vertical="center"/>
    </xf>
    <xf numFmtId="0" fontId="24" fillId="0" borderId="30" xfId="0" applyFont="1" applyFill="1" applyBorder="1" applyAlignment="1">
      <alignment horizontal="left" vertical="center"/>
    </xf>
    <xf numFmtId="14" fontId="24" fillId="0" borderId="30" xfId="0" applyNumberFormat="1" applyFont="1" applyFill="1" applyBorder="1" applyAlignment="1">
      <alignment horizontal="center" vertical="center"/>
    </xf>
    <xf numFmtId="1" fontId="6" fillId="0" borderId="30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vertical="center"/>
    </xf>
    <xf numFmtId="14" fontId="35" fillId="0" borderId="30" xfId="0" applyNumberFormat="1" applyFont="1" applyFill="1" applyBorder="1" applyAlignment="1">
      <alignment horizontal="center" vertical="center" wrapText="1"/>
    </xf>
    <xf numFmtId="1" fontId="2" fillId="0" borderId="30" xfId="0" applyNumberFormat="1" applyFont="1" applyFill="1" applyBorder="1" applyAlignment="1">
      <alignment horizontal="center" vertical="center"/>
    </xf>
    <xf numFmtId="0" fontId="32" fillId="0" borderId="34" xfId="0" applyFont="1" applyFill="1" applyBorder="1" applyAlignment="1">
      <alignment vertical="center"/>
    </xf>
    <xf numFmtId="0" fontId="32" fillId="0" borderId="34" xfId="0" applyFont="1" applyFill="1" applyBorder="1" applyAlignment="1">
      <alignment horizontal="center" vertical="center"/>
    </xf>
    <xf numFmtId="0" fontId="32" fillId="0" borderId="30" xfId="0" applyFont="1" applyFill="1" applyBorder="1" applyAlignment="1">
      <alignment horizontal="center" vertical="center"/>
    </xf>
    <xf numFmtId="0" fontId="32" fillId="0" borderId="30" xfId="0" applyFont="1" applyFill="1" applyBorder="1" applyAlignment="1">
      <alignment horizontal="left" vertical="center"/>
    </xf>
    <xf numFmtId="14" fontId="32" fillId="0" borderId="30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vertical="center"/>
    </xf>
    <xf numFmtId="14" fontId="1" fillId="0" borderId="30" xfId="0" applyNumberFormat="1" applyFont="1" applyFill="1" applyBorder="1" applyAlignment="1">
      <alignment horizontal="center" vertical="center"/>
    </xf>
    <xf numFmtId="14" fontId="2" fillId="0" borderId="30" xfId="0" applyNumberFormat="1" applyFont="1" applyFill="1" applyBorder="1" applyAlignment="1">
      <alignment horizontal="center" vertical="center"/>
    </xf>
    <xf numFmtId="0" fontId="1" fillId="0" borderId="34" xfId="0" applyNumberFormat="1" applyFont="1" applyFill="1" applyBorder="1" applyAlignment="1">
      <alignment vertical="center"/>
    </xf>
    <xf numFmtId="14" fontId="2" fillId="0" borderId="30" xfId="0" applyNumberFormat="1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vertical="center"/>
    </xf>
    <xf numFmtId="0" fontId="1" fillId="3" borderId="34" xfId="0" applyFont="1" applyFill="1" applyBorder="1" applyAlignment="1">
      <alignment vertical="center"/>
    </xf>
    <xf numFmtId="0" fontId="1" fillId="3" borderId="30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left" vertical="center"/>
    </xf>
    <xf numFmtId="14" fontId="1" fillId="3" borderId="30" xfId="0" applyNumberFormat="1" applyFont="1" applyFill="1" applyBorder="1" applyAlignment="1">
      <alignment horizontal="center" vertical="center"/>
    </xf>
    <xf numFmtId="1" fontId="6" fillId="3" borderId="30" xfId="0" applyNumberFormat="1" applyFont="1" applyFill="1" applyBorder="1" applyAlignment="1">
      <alignment horizontal="center" vertical="center"/>
    </xf>
    <xf numFmtId="14" fontId="2" fillId="3" borderId="30" xfId="0" applyNumberFormat="1" applyFont="1" applyFill="1" applyBorder="1" applyAlignment="1">
      <alignment horizontal="center" vertical="center"/>
    </xf>
    <xf numFmtId="0" fontId="8" fillId="0" borderId="30" xfId="0" applyFont="1" applyBorder="1"/>
    <xf numFmtId="0" fontId="8" fillId="0" borderId="30" xfId="0" applyFont="1" applyBorder="1" applyAlignment="1">
      <alignment horizontal="center"/>
    </xf>
    <xf numFmtId="0" fontId="8" fillId="0" borderId="30" xfId="0" applyFont="1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0" xfId="0" applyBorder="1" applyAlignment="1">
      <alignment horizontal="left"/>
    </xf>
    <xf numFmtId="0" fontId="16" fillId="0" borderId="30" xfId="0" applyFont="1" applyBorder="1" applyAlignment="1">
      <alignment horizontal="center"/>
    </xf>
    <xf numFmtId="0" fontId="8" fillId="15" borderId="30" xfId="0" applyFont="1" applyFill="1" applyBorder="1"/>
    <xf numFmtId="0" fontId="8" fillId="15" borderId="30" xfId="0" applyFont="1" applyFill="1" applyBorder="1" applyAlignment="1">
      <alignment horizontal="center"/>
    </xf>
    <xf numFmtId="0" fontId="11" fillId="0" borderId="30" xfId="2" applyFont="1" applyBorder="1" applyAlignment="1">
      <alignment horizontal="center" vertical="center" wrapText="1"/>
    </xf>
    <xf numFmtId="0" fontId="12" fillId="0" borderId="30" xfId="2" applyFont="1" applyBorder="1" applyAlignment="1">
      <alignment horizontal="center" vertical="center"/>
    </xf>
    <xf numFmtId="0" fontId="12" fillId="0" borderId="30" xfId="2" applyFont="1" applyBorder="1" applyAlignment="1">
      <alignment horizontal="center" vertical="center" wrapText="1"/>
    </xf>
    <xf numFmtId="1" fontId="12" fillId="0" borderId="30" xfId="2" applyNumberFormat="1" applyFont="1" applyBorder="1" applyAlignment="1">
      <alignment horizontal="center" vertical="center"/>
    </xf>
    <xf numFmtId="0" fontId="12" fillId="5" borderId="30" xfId="2" applyFont="1" applyFill="1" applyBorder="1" applyAlignment="1">
      <alignment horizontal="center" vertical="center"/>
    </xf>
    <xf numFmtId="1" fontId="12" fillId="5" borderId="30" xfId="2" applyNumberFormat="1" applyFont="1" applyFill="1" applyBorder="1" applyAlignment="1">
      <alignment horizontal="center" vertical="center"/>
    </xf>
    <xf numFmtId="2" fontId="12" fillId="5" borderId="30" xfId="2" applyNumberFormat="1" applyFont="1" applyFill="1" applyBorder="1" applyAlignment="1">
      <alignment horizontal="center" vertical="center"/>
    </xf>
    <xf numFmtId="164" fontId="12" fillId="5" borderId="30" xfId="2" applyNumberFormat="1" applyFont="1" applyFill="1" applyBorder="1" applyAlignment="1">
      <alignment horizontal="center" vertical="center"/>
    </xf>
    <xf numFmtId="0" fontId="12" fillId="6" borderId="30" xfId="2" applyFont="1" applyFill="1" applyBorder="1" applyAlignment="1">
      <alignment horizontal="center" vertical="center"/>
    </xf>
    <xf numFmtId="1" fontId="12" fillId="6" borderId="30" xfId="2" applyNumberFormat="1" applyFont="1" applyFill="1" applyBorder="1" applyAlignment="1">
      <alignment horizontal="center" vertical="center"/>
    </xf>
    <xf numFmtId="2" fontId="12" fillId="6" borderId="30" xfId="2" applyNumberFormat="1" applyFont="1" applyFill="1" applyBorder="1" applyAlignment="1">
      <alignment horizontal="center" vertical="center"/>
    </xf>
    <xf numFmtId="164" fontId="12" fillId="6" borderId="30" xfId="2" applyNumberFormat="1" applyFont="1" applyFill="1" applyBorder="1" applyAlignment="1">
      <alignment horizontal="center" vertical="center"/>
    </xf>
    <xf numFmtId="0" fontId="12" fillId="7" borderId="30" xfId="2" applyFont="1" applyFill="1" applyBorder="1" applyAlignment="1">
      <alignment horizontal="center" vertical="center"/>
    </xf>
    <xf numFmtId="1" fontId="12" fillId="7" borderId="30" xfId="2" applyNumberFormat="1" applyFont="1" applyFill="1" applyBorder="1" applyAlignment="1">
      <alignment horizontal="center" vertical="center"/>
    </xf>
    <xf numFmtId="2" fontId="12" fillId="7" borderId="30" xfId="2" applyNumberFormat="1" applyFont="1" applyFill="1" applyBorder="1" applyAlignment="1">
      <alignment horizontal="center" vertical="center"/>
    </xf>
    <xf numFmtId="164" fontId="12" fillId="7" borderId="30" xfId="2" applyNumberFormat="1" applyFont="1" applyFill="1" applyBorder="1" applyAlignment="1">
      <alignment horizontal="center" vertical="center"/>
    </xf>
    <xf numFmtId="0" fontId="13" fillId="22" borderId="30" xfId="2" applyFont="1" applyFill="1" applyBorder="1" applyAlignment="1">
      <alignment horizontal="center" vertical="center"/>
    </xf>
    <xf numFmtId="1" fontId="12" fillId="22" borderId="30" xfId="2" applyNumberFormat="1" applyFont="1" applyFill="1" applyBorder="1" applyAlignment="1">
      <alignment horizontal="center" vertical="center"/>
    </xf>
    <xf numFmtId="2" fontId="12" fillId="22" borderId="30" xfId="2" applyNumberFormat="1" applyFont="1" applyFill="1" applyBorder="1" applyAlignment="1">
      <alignment horizontal="center" vertical="center"/>
    </xf>
    <xf numFmtId="164" fontId="12" fillId="22" borderId="30" xfId="2" applyNumberFormat="1" applyFont="1" applyFill="1" applyBorder="1" applyAlignment="1">
      <alignment horizontal="center" vertical="center"/>
    </xf>
    <xf numFmtId="0" fontId="12" fillId="0" borderId="30" xfId="2" applyFont="1" applyBorder="1" applyAlignment="1">
      <alignment horizontal="center" vertical="center"/>
    </xf>
    <xf numFmtId="0" fontId="13" fillId="17" borderId="30" xfId="2" applyFont="1" applyFill="1" applyBorder="1" applyAlignment="1">
      <alignment horizontal="center" vertical="center"/>
    </xf>
    <xf numFmtId="1" fontId="12" fillId="17" borderId="30" xfId="2" applyNumberFormat="1" applyFont="1" applyFill="1" applyBorder="1" applyAlignment="1">
      <alignment horizontal="center" vertical="center"/>
    </xf>
    <xf numFmtId="2" fontId="12" fillId="17" borderId="30" xfId="2" applyNumberFormat="1" applyFont="1" applyFill="1" applyBorder="1" applyAlignment="1">
      <alignment horizontal="center" vertical="center"/>
    </xf>
    <xf numFmtId="164" fontId="12" fillId="17" borderId="30" xfId="2" applyNumberFormat="1" applyFont="1" applyFill="1" applyBorder="1" applyAlignment="1">
      <alignment horizontal="center" vertical="center"/>
    </xf>
    <xf numFmtId="2" fontId="12" fillId="0" borderId="30" xfId="2" applyNumberFormat="1" applyFont="1" applyBorder="1" applyAlignment="1">
      <alignment horizontal="center" vertical="center"/>
    </xf>
    <xf numFmtId="1" fontId="12" fillId="0" borderId="30" xfId="2" applyNumberFormat="1" applyFont="1" applyBorder="1" applyAlignment="1">
      <alignment horizontal="center" vertical="center"/>
    </xf>
    <xf numFmtId="164" fontId="12" fillId="0" borderId="30" xfId="2" applyNumberFormat="1" applyFont="1" applyBorder="1" applyAlignment="1">
      <alignment horizontal="center" vertical="center"/>
    </xf>
    <xf numFmtId="0" fontId="33" fillId="0" borderId="35" xfId="2" applyFont="1" applyBorder="1" applyAlignment="1">
      <alignment horizontal="center" vertical="center" wrapText="1"/>
    </xf>
    <xf numFmtId="0" fontId="33" fillId="0" borderId="36" xfId="2" applyFont="1" applyBorder="1" applyAlignment="1">
      <alignment horizontal="center" vertical="center" wrapText="1"/>
    </xf>
    <xf numFmtId="1" fontId="33" fillId="8" borderId="35" xfId="2" applyNumberFormat="1" applyFont="1" applyFill="1" applyBorder="1" applyAlignment="1">
      <alignment horizontal="center" vertical="center"/>
    </xf>
    <xf numFmtId="1" fontId="33" fillId="0" borderId="37" xfId="2" applyNumberFormat="1" applyFont="1" applyFill="1" applyBorder="1" applyAlignment="1">
      <alignment horizontal="center" vertical="center"/>
    </xf>
    <xf numFmtId="1" fontId="33" fillId="0" borderId="38" xfId="2" applyNumberFormat="1" applyFont="1" applyFill="1" applyBorder="1" applyAlignment="1">
      <alignment horizontal="center" vertical="center"/>
    </xf>
    <xf numFmtId="1" fontId="33" fillId="0" borderId="39" xfId="2" applyNumberFormat="1" applyFont="1" applyFill="1" applyBorder="1" applyAlignment="1">
      <alignment horizontal="center" vertical="center"/>
    </xf>
    <xf numFmtId="0" fontId="13" fillId="17" borderId="40" xfId="2" applyFont="1" applyFill="1" applyBorder="1" applyAlignment="1">
      <alignment horizontal="center" vertical="center"/>
    </xf>
    <xf numFmtId="1" fontId="12" fillId="17" borderId="41" xfId="2" applyNumberFormat="1" applyFont="1" applyFill="1" applyBorder="1" applyAlignment="1">
      <alignment horizontal="center" vertical="center"/>
    </xf>
    <xf numFmtId="1" fontId="12" fillId="17" borderId="42" xfId="2" applyNumberFormat="1" applyFont="1" applyFill="1" applyBorder="1" applyAlignment="1">
      <alignment horizontal="center" vertical="center"/>
    </xf>
    <xf numFmtId="0" fontId="21" fillId="0" borderId="43" xfId="2" applyFont="1" applyBorder="1"/>
  </cellXfs>
  <cellStyles count="6">
    <cellStyle name="Excel Built-in Normal" xfId="1"/>
    <cellStyle name="Normal" xfId="0" builtinId="0"/>
    <cellStyle name="Normal 2" xfId="2"/>
    <cellStyle name="Normal 3" xfId="3"/>
    <cellStyle name="TableStyleLight1" xfId="4"/>
    <cellStyle name="TableStyleLight1 2" xfId="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d\MATRICULAS\2014\2014.2\105.%20P&#211;S%20AJUSTE\TURMAS-DOCENTES%202014.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d\MATR&#205;CULA%20EM%20DISCIPLINAS\2014\2014.2\000.%20ALOCA&#199;&#195;O%20DID&#193;TICA\TURMAS-DOCENTES%202014.2%20-%20atu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rmas 2014.2"/>
      <sheetName val="RESUMO"/>
      <sheetName val="DOCENTES"/>
      <sheetName val="COORDENADORES DISCIPLINAS"/>
      <sheetName val="CRÉDITOS POR CURSO"/>
      <sheetName val="CRÉDITOS POR CENTRO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rmas 2014.2"/>
      <sheetName val="RESUMO"/>
      <sheetName val="DOCENTES"/>
      <sheetName val="COORDENADORES DISCIPLINAS"/>
      <sheetName val="CRÉDITOS POR CURSO"/>
      <sheetName val="CRÉDITOS POR CENTRO"/>
    </sheetNames>
    <sheetDataSet>
      <sheetData sheetId="0">
        <row r="1">
          <cell r="A1" t="str">
            <v>COD.</v>
          </cell>
          <cell r="C1" t="str">
            <v>disc.</v>
          </cell>
          <cell r="N1" t="str">
            <v>T2</v>
          </cell>
          <cell r="O1" t="str">
            <v>P3</v>
          </cell>
          <cell r="R1" t="str">
            <v>centro</v>
          </cell>
          <cell r="V1" t="str">
            <v>centro5</v>
          </cell>
        </row>
        <row r="2">
          <cell r="A2" t="str">
            <v>EN2213</v>
          </cell>
          <cell r="C2" t="str">
            <v>Aerodinâmica I</v>
          </cell>
          <cell r="N2">
            <v>4</v>
          </cell>
          <cell r="O2">
            <v>0</v>
          </cell>
          <cell r="R2" t="str">
            <v>CECS</v>
          </cell>
          <cell r="V2">
            <v>0</v>
          </cell>
        </row>
        <row r="3">
          <cell r="A3" t="str">
            <v>EN2210</v>
          </cell>
          <cell r="C3" t="str">
            <v>Aeroelasticidade</v>
          </cell>
          <cell r="N3">
            <v>4</v>
          </cell>
          <cell r="O3">
            <v>0</v>
          </cell>
          <cell r="R3" t="str">
            <v>CECS</v>
          </cell>
          <cell r="V3">
            <v>0</v>
          </cell>
        </row>
        <row r="4">
          <cell r="A4" t="str">
            <v>EN2220</v>
          </cell>
          <cell r="C4" t="str">
            <v>Aeronáutica I-A</v>
          </cell>
          <cell r="N4">
            <v>4</v>
          </cell>
          <cell r="O4">
            <v>0</v>
          </cell>
          <cell r="R4" t="str">
            <v>CECS</v>
          </cell>
          <cell r="V4">
            <v>0</v>
          </cell>
        </row>
        <row r="5">
          <cell r="A5" t="str">
            <v>BC1425</v>
          </cell>
          <cell r="C5" t="str">
            <v>Álgebra Linear</v>
          </cell>
          <cell r="N5">
            <v>6</v>
          </cell>
          <cell r="O5">
            <v>0</v>
          </cell>
          <cell r="R5" t="str">
            <v>CMCC</v>
          </cell>
          <cell r="V5">
            <v>0</v>
          </cell>
        </row>
        <row r="6">
          <cell r="A6" t="str">
            <v>BC1425</v>
          </cell>
          <cell r="C6" t="str">
            <v>Álgebra Linear</v>
          </cell>
          <cell r="N6">
            <v>6</v>
          </cell>
          <cell r="O6">
            <v>0</v>
          </cell>
          <cell r="R6" t="str">
            <v>CMCC</v>
          </cell>
          <cell r="V6">
            <v>0</v>
          </cell>
        </row>
        <row r="7">
          <cell r="A7" t="str">
            <v>BC1425</v>
          </cell>
          <cell r="C7" t="str">
            <v>Álgebra Linear</v>
          </cell>
          <cell r="N7">
            <v>6</v>
          </cell>
          <cell r="O7">
            <v>0</v>
          </cell>
          <cell r="R7" t="str">
            <v>CMCC</v>
          </cell>
          <cell r="V7">
            <v>0</v>
          </cell>
        </row>
        <row r="8">
          <cell r="A8" t="str">
            <v>BC1425</v>
          </cell>
          <cell r="C8" t="str">
            <v>Álgebra Linear</v>
          </cell>
          <cell r="N8">
            <v>6</v>
          </cell>
          <cell r="O8">
            <v>0</v>
          </cell>
          <cell r="R8" t="str">
            <v>CMCC</v>
          </cell>
          <cell r="V8">
            <v>0</v>
          </cell>
        </row>
        <row r="9">
          <cell r="A9" t="str">
            <v>MC1301</v>
          </cell>
          <cell r="C9" t="str">
            <v>Álgebra Linear Avançada I</v>
          </cell>
          <cell r="N9">
            <v>4</v>
          </cell>
          <cell r="O9">
            <v>0</v>
          </cell>
          <cell r="R9" t="str">
            <v>CMCC</v>
          </cell>
          <cell r="V9">
            <v>0</v>
          </cell>
        </row>
        <row r="10">
          <cell r="A10" t="str">
            <v>MC1301</v>
          </cell>
          <cell r="C10" t="str">
            <v>Álgebra Linear Avançada I</v>
          </cell>
          <cell r="N10">
            <v>4</v>
          </cell>
          <cell r="O10">
            <v>0</v>
          </cell>
          <cell r="R10" t="str">
            <v>CMCC</v>
          </cell>
          <cell r="V10">
            <v>0</v>
          </cell>
        </row>
        <row r="11">
          <cell r="A11" t="str">
            <v>BC1425</v>
          </cell>
          <cell r="C11" t="str">
            <v>Álgebra Linear</v>
          </cell>
          <cell r="N11">
            <v>6</v>
          </cell>
          <cell r="O11">
            <v>0</v>
          </cell>
          <cell r="R11" t="str">
            <v>CMCC</v>
          </cell>
          <cell r="V11">
            <v>0</v>
          </cell>
        </row>
        <row r="12">
          <cell r="A12" t="str">
            <v>BC1425</v>
          </cell>
          <cell r="C12" t="str">
            <v>Álgebra Linear</v>
          </cell>
          <cell r="N12">
            <v>6</v>
          </cell>
          <cell r="O12">
            <v>0</v>
          </cell>
          <cell r="R12" t="str">
            <v>CMCC</v>
          </cell>
          <cell r="V12">
            <v>0</v>
          </cell>
        </row>
        <row r="13">
          <cell r="A13" t="str">
            <v>MC3305</v>
          </cell>
          <cell r="C13" t="str">
            <v>Algoritmos e Estruturas de Dados II</v>
          </cell>
          <cell r="N13">
            <v>2</v>
          </cell>
          <cell r="O13">
            <v>2</v>
          </cell>
          <cell r="R13" t="str">
            <v>CMCC</v>
          </cell>
          <cell r="V13" t="str">
            <v>CMCC</v>
          </cell>
        </row>
        <row r="14">
          <cell r="A14" t="str">
            <v>MC3305</v>
          </cell>
          <cell r="C14" t="str">
            <v>Algoritmos e Estruturas de Dados II</v>
          </cell>
          <cell r="N14">
            <v>2</v>
          </cell>
          <cell r="O14">
            <v>2</v>
          </cell>
          <cell r="R14" t="str">
            <v>CMCC</v>
          </cell>
          <cell r="V14" t="str">
            <v>CMCC</v>
          </cell>
        </row>
        <row r="15">
          <cell r="A15" t="str">
            <v>MC3305</v>
          </cell>
          <cell r="C15" t="str">
            <v>Algoritmos e Estruturas de Dados II</v>
          </cell>
          <cell r="N15">
            <v>2</v>
          </cell>
          <cell r="O15">
            <v>2</v>
          </cell>
          <cell r="R15" t="str">
            <v>CMCC</v>
          </cell>
          <cell r="V15" t="str">
            <v>CMCC</v>
          </cell>
        </row>
        <row r="16">
          <cell r="A16" t="str">
            <v>BC1421</v>
          </cell>
          <cell r="C16" t="str">
            <v>Análise Real I</v>
          </cell>
          <cell r="N16">
            <v>4</v>
          </cell>
          <cell r="O16">
            <v>0</v>
          </cell>
          <cell r="R16" t="str">
            <v>CMCC</v>
          </cell>
          <cell r="V16">
            <v>0</v>
          </cell>
        </row>
        <row r="17">
          <cell r="A17" t="str">
            <v>BC1421</v>
          </cell>
          <cell r="C17" t="str">
            <v>Análise Real I</v>
          </cell>
          <cell r="N17">
            <v>4</v>
          </cell>
          <cell r="O17">
            <v>0</v>
          </cell>
          <cell r="R17" t="str">
            <v>CMCC</v>
          </cell>
          <cell r="V17">
            <v>0</v>
          </cell>
        </row>
        <row r="18">
          <cell r="A18" t="str">
            <v>MC1305</v>
          </cell>
          <cell r="C18" t="str">
            <v>Anéis e Corpos</v>
          </cell>
          <cell r="N18">
            <v>4</v>
          </cell>
          <cell r="O18">
            <v>0</v>
          </cell>
          <cell r="R18" t="str">
            <v>CMCC</v>
          </cell>
          <cell r="V18">
            <v>0</v>
          </cell>
        </row>
        <row r="19">
          <cell r="A19" t="str">
            <v>MC1305</v>
          </cell>
          <cell r="C19" t="str">
            <v>Anéis e Corpos</v>
          </cell>
          <cell r="N19">
            <v>4</v>
          </cell>
          <cell r="O19">
            <v>0</v>
          </cell>
          <cell r="R19" t="str">
            <v>CMCC</v>
          </cell>
          <cell r="V19">
            <v>0</v>
          </cell>
        </row>
        <row r="20">
          <cell r="A20" t="str">
            <v>BC1503</v>
          </cell>
          <cell r="C20" t="str">
            <v>Arquitetura de Computadores</v>
          </cell>
          <cell r="N20">
            <v>4</v>
          </cell>
          <cell r="O20">
            <v>0</v>
          </cell>
          <cell r="R20" t="str">
            <v>CMCC</v>
          </cell>
          <cell r="V20">
            <v>0</v>
          </cell>
        </row>
        <row r="21">
          <cell r="A21" t="str">
            <v>BC1503</v>
          </cell>
          <cell r="C21" t="str">
            <v>Arquitetura de Computadores</v>
          </cell>
          <cell r="N21">
            <v>4</v>
          </cell>
          <cell r="O21">
            <v>0</v>
          </cell>
          <cell r="R21" t="str">
            <v>CMCC</v>
          </cell>
          <cell r="V21">
            <v>0</v>
          </cell>
        </row>
        <row r="22">
          <cell r="A22" t="str">
            <v>EN2132</v>
          </cell>
          <cell r="C22" t="str">
            <v>Avaliação de Impactos Ambientais</v>
          </cell>
          <cell r="N22">
            <v>4</v>
          </cell>
          <cell r="O22">
            <v>0</v>
          </cell>
          <cell r="R22" t="str">
            <v>CECS</v>
          </cell>
          <cell r="V22">
            <v>0</v>
          </cell>
        </row>
        <row r="23">
          <cell r="A23" t="str">
            <v>EN2132</v>
          </cell>
          <cell r="C23" t="str">
            <v>Avaliação de Impactos Ambientais</v>
          </cell>
          <cell r="N23">
            <v>4</v>
          </cell>
          <cell r="O23">
            <v>0</v>
          </cell>
          <cell r="R23" t="str">
            <v>CECS</v>
          </cell>
          <cell r="V23">
            <v>0</v>
          </cell>
        </row>
        <row r="24">
          <cell r="A24" t="str">
            <v>BH1122</v>
          </cell>
          <cell r="C24" t="str">
            <v>Avaliação e Monitoramento de Políticas Públicas</v>
          </cell>
          <cell r="N24">
            <v>4</v>
          </cell>
          <cell r="O24">
            <v>0</v>
          </cell>
          <cell r="R24" t="str">
            <v>CECS</v>
          </cell>
          <cell r="V24">
            <v>0</v>
          </cell>
        </row>
        <row r="25">
          <cell r="A25" t="str">
            <v>BH1122</v>
          </cell>
          <cell r="C25" t="str">
            <v>Avaliação e Monitoramento de Políticas Públicas</v>
          </cell>
          <cell r="N25">
            <v>4</v>
          </cell>
          <cell r="O25">
            <v>0</v>
          </cell>
          <cell r="R25" t="str">
            <v>CECS</v>
          </cell>
          <cell r="V25">
            <v>0</v>
          </cell>
        </row>
        <row r="26">
          <cell r="A26" t="str">
            <v>MC3310</v>
          </cell>
          <cell r="C26" t="str">
            <v>Banco de Dados</v>
          </cell>
          <cell r="N26">
            <v>4</v>
          </cell>
          <cell r="O26">
            <v>2</v>
          </cell>
          <cell r="R26" t="str">
            <v>CMCC</v>
          </cell>
          <cell r="V26" t="str">
            <v>CMCC</v>
          </cell>
        </row>
        <row r="27">
          <cell r="A27" t="str">
            <v>MC3310</v>
          </cell>
          <cell r="C27" t="str">
            <v>Banco de Dados</v>
          </cell>
          <cell r="N27">
            <v>4</v>
          </cell>
          <cell r="O27">
            <v>2</v>
          </cell>
          <cell r="R27" t="str">
            <v>CMCC</v>
          </cell>
          <cell r="V27" t="str">
            <v>CMCC</v>
          </cell>
        </row>
        <row r="28">
          <cell r="A28" t="str">
            <v>BC0001</v>
          </cell>
          <cell r="C28" t="str">
            <v>Base Experimental das Ciências Naturais</v>
          </cell>
          <cell r="N28">
            <v>0</v>
          </cell>
          <cell r="O28">
            <v>3</v>
          </cell>
          <cell r="R28">
            <v>0</v>
          </cell>
          <cell r="V28" t="str">
            <v>CCNH</v>
          </cell>
        </row>
        <row r="29">
          <cell r="A29" t="str">
            <v>BC0001</v>
          </cell>
          <cell r="C29" t="str">
            <v>Base Experimental das Ciências Naturais</v>
          </cell>
          <cell r="N29">
            <v>0</v>
          </cell>
          <cell r="O29">
            <v>3</v>
          </cell>
          <cell r="R29">
            <v>0</v>
          </cell>
          <cell r="V29" t="str">
            <v>CCNH</v>
          </cell>
        </row>
        <row r="30">
          <cell r="A30" t="str">
            <v>BC0001</v>
          </cell>
          <cell r="C30" t="str">
            <v>Base Experimental das Ciências Naturais</v>
          </cell>
          <cell r="N30">
            <v>0</v>
          </cell>
          <cell r="O30">
            <v>3</v>
          </cell>
          <cell r="R30">
            <v>0</v>
          </cell>
          <cell r="V30" t="str">
            <v>CCNH</v>
          </cell>
        </row>
        <row r="31">
          <cell r="A31" t="str">
            <v>BC0001</v>
          </cell>
          <cell r="C31" t="str">
            <v>Base Experimental das Ciências Naturais</v>
          </cell>
          <cell r="N31">
            <v>0</v>
          </cell>
          <cell r="O31">
            <v>3</v>
          </cell>
          <cell r="R31">
            <v>0</v>
          </cell>
          <cell r="V31" t="str">
            <v>CCNH</v>
          </cell>
        </row>
        <row r="32">
          <cell r="A32" t="str">
            <v>BC0001</v>
          </cell>
          <cell r="C32" t="str">
            <v>Base Experimental das Ciências Naturais</v>
          </cell>
          <cell r="N32">
            <v>0</v>
          </cell>
          <cell r="O32">
            <v>3</v>
          </cell>
          <cell r="R32">
            <v>0</v>
          </cell>
          <cell r="V32" t="str">
            <v>CCNH</v>
          </cell>
        </row>
        <row r="33">
          <cell r="A33" t="str">
            <v>BC0001</v>
          </cell>
          <cell r="C33" t="str">
            <v>Base Experimental das Ciências Naturais</v>
          </cell>
          <cell r="N33">
            <v>0</v>
          </cell>
          <cell r="O33">
            <v>3</v>
          </cell>
          <cell r="R33">
            <v>0</v>
          </cell>
          <cell r="V33" t="str">
            <v>CCNH</v>
          </cell>
        </row>
        <row r="34">
          <cell r="A34" t="str">
            <v>BC0001</v>
          </cell>
          <cell r="C34" t="str">
            <v>Base Experimental das Ciências Naturais</v>
          </cell>
          <cell r="N34">
            <v>0</v>
          </cell>
          <cell r="O34">
            <v>3</v>
          </cell>
          <cell r="R34">
            <v>0</v>
          </cell>
          <cell r="V34" t="str">
            <v>CCNH</v>
          </cell>
        </row>
        <row r="35">
          <cell r="A35" t="str">
            <v>BC0001</v>
          </cell>
          <cell r="C35" t="str">
            <v>Base Experimental das Ciências Naturais</v>
          </cell>
          <cell r="N35">
            <v>0</v>
          </cell>
          <cell r="O35">
            <v>3</v>
          </cell>
          <cell r="R35">
            <v>0</v>
          </cell>
          <cell r="V35" t="str">
            <v>CCNH</v>
          </cell>
        </row>
        <row r="36">
          <cell r="A36" t="str">
            <v>BC0001</v>
          </cell>
          <cell r="C36" t="str">
            <v>Base Experimental das Ciências Naturais</v>
          </cell>
          <cell r="N36">
            <v>0</v>
          </cell>
          <cell r="O36">
            <v>3</v>
          </cell>
          <cell r="R36">
            <v>0</v>
          </cell>
          <cell r="V36" t="str">
            <v>CCNH</v>
          </cell>
        </row>
        <row r="37">
          <cell r="A37" t="str">
            <v>BC0001</v>
          </cell>
          <cell r="C37" t="str">
            <v>Base Experimental das Ciências Naturais</v>
          </cell>
          <cell r="N37">
            <v>0</v>
          </cell>
          <cell r="O37">
            <v>3</v>
          </cell>
          <cell r="R37">
            <v>0</v>
          </cell>
          <cell r="V37" t="str">
            <v>CCNH</v>
          </cell>
        </row>
        <row r="38">
          <cell r="A38" t="str">
            <v>BC0001</v>
          </cell>
          <cell r="C38" t="str">
            <v>Base Experimental das Ciências Naturais</v>
          </cell>
          <cell r="N38">
            <v>0</v>
          </cell>
          <cell r="O38">
            <v>3</v>
          </cell>
          <cell r="R38">
            <v>0</v>
          </cell>
          <cell r="V38" t="str">
            <v>CCNH</v>
          </cell>
        </row>
        <row r="39">
          <cell r="A39" t="str">
            <v>BC0001</v>
          </cell>
          <cell r="C39" t="str">
            <v>Base Experimental das Ciências Naturais</v>
          </cell>
          <cell r="N39">
            <v>0</v>
          </cell>
          <cell r="O39">
            <v>3</v>
          </cell>
          <cell r="R39">
            <v>0</v>
          </cell>
          <cell r="V39" t="str">
            <v>CCNH</v>
          </cell>
        </row>
        <row r="40">
          <cell r="A40" t="str">
            <v>BC0001</v>
          </cell>
          <cell r="C40" t="str">
            <v>Base Experimental das Ciências Naturais</v>
          </cell>
          <cell r="N40">
            <v>0</v>
          </cell>
          <cell r="O40">
            <v>3</v>
          </cell>
          <cell r="R40">
            <v>0</v>
          </cell>
          <cell r="V40" t="str">
            <v>CCNH</v>
          </cell>
        </row>
        <row r="41">
          <cell r="A41" t="str">
            <v>BC0001</v>
          </cell>
          <cell r="C41" t="str">
            <v>Base Experimental das Ciências Naturais</v>
          </cell>
          <cell r="N41">
            <v>0</v>
          </cell>
          <cell r="O41">
            <v>3</v>
          </cell>
          <cell r="R41">
            <v>0</v>
          </cell>
          <cell r="V41" t="str">
            <v>CCNH</v>
          </cell>
        </row>
        <row r="42">
          <cell r="A42" t="str">
            <v>BC0001</v>
          </cell>
          <cell r="C42" t="str">
            <v>Base Experimental das Ciências Naturais</v>
          </cell>
          <cell r="N42">
            <v>0</v>
          </cell>
          <cell r="O42">
            <v>3</v>
          </cell>
          <cell r="R42">
            <v>0</v>
          </cell>
          <cell r="V42" t="str">
            <v>CCNH</v>
          </cell>
        </row>
        <row r="43">
          <cell r="A43" t="str">
            <v>BC0001</v>
          </cell>
          <cell r="C43" t="str">
            <v>Base Experimental das Ciências Naturais</v>
          </cell>
          <cell r="N43">
            <v>0</v>
          </cell>
          <cell r="O43">
            <v>3</v>
          </cell>
          <cell r="R43">
            <v>0</v>
          </cell>
          <cell r="V43" t="str">
            <v>CECS</v>
          </cell>
        </row>
        <row r="44">
          <cell r="A44" t="str">
            <v>BC0001</v>
          </cell>
          <cell r="C44" t="str">
            <v>Base Experimental das Ciências Naturais</v>
          </cell>
          <cell r="N44">
            <v>0</v>
          </cell>
          <cell r="O44">
            <v>3</v>
          </cell>
          <cell r="R44">
            <v>0</v>
          </cell>
          <cell r="V44" t="str">
            <v>CECS</v>
          </cell>
        </row>
        <row r="45">
          <cell r="A45" t="str">
            <v>BC0001</v>
          </cell>
          <cell r="C45" t="str">
            <v>Base Experimental das Ciências Naturais</v>
          </cell>
          <cell r="N45">
            <v>0</v>
          </cell>
          <cell r="O45">
            <v>3</v>
          </cell>
          <cell r="R45">
            <v>0</v>
          </cell>
          <cell r="V45" t="str">
            <v>CCNH</v>
          </cell>
        </row>
        <row r="46">
          <cell r="A46" t="str">
            <v>BC0001</v>
          </cell>
          <cell r="C46" t="str">
            <v>Base Experimental das Ciências Naturais</v>
          </cell>
          <cell r="N46">
            <v>0</v>
          </cell>
          <cell r="O46">
            <v>3</v>
          </cell>
          <cell r="R46">
            <v>0</v>
          </cell>
          <cell r="V46" t="str">
            <v>CECS</v>
          </cell>
        </row>
        <row r="47">
          <cell r="A47" t="str">
            <v>BC0001</v>
          </cell>
          <cell r="C47" t="str">
            <v>Base Experimental das Ciências Naturais</v>
          </cell>
          <cell r="N47">
            <v>0</v>
          </cell>
          <cell r="O47">
            <v>3</v>
          </cell>
          <cell r="R47">
            <v>0</v>
          </cell>
          <cell r="V47" t="str">
            <v>CCNH</v>
          </cell>
        </row>
        <row r="48">
          <cell r="A48" t="str">
            <v>BC0001</v>
          </cell>
          <cell r="C48" t="str">
            <v>Base Experimental das Ciências Naturais</v>
          </cell>
          <cell r="N48">
            <v>0</v>
          </cell>
          <cell r="O48">
            <v>3</v>
          </cell>
          <cell r="R48">
            <v>0</v>
          </cell>
          <cell r="V48" t="str">
            <v>CMCC</v>
          </cell>
        </row>
        <row r="49">
          <cell r="A49" t="str">
            <v>BC0001</v>
          </cell>
          <cell r="C49" t="str">
            <v>Base Experimental das Ciências Naturais</v>
          </cell>
          <cell r="N49">
            <v>0</v>
          </cell>
          <cell r="O49">
            <v>3</v>
          </cell>
          <cell r="R49">
            <v>0</v>
          </cell>
          <cell r="V49" t="str">
            <v>CCNH</v>
          </cell>
        </row>
        <row r="50">
          <cell r="A50" t="str">
            <v>BC0001</v>
          </cell>
          <cell r="C50" t="str">
            <v>Base Experimental das Ciências Naturais</v>
          </cell>
          <cell r="N50">
            <v>0</v>
          </cell>
          <cell r="O50">
            <v>3</v>
          </cell>
          <cell r="R50">
            <v>0</v>
          </cell>
          <cell r="V50" t="str">
            <v>CMCC</v>
          </cell>
        </row>
        <row r="51">
          <cell r="A51" t="str">
            <v>BC0001</v>
          </cell>
          <cell r="C51" t="str">
            <v>Base Experimental das Ciências Naturais</v>
          </cell>
          <cell r="N51">
            <v>0</v>
          </cell>
          <cell r="O51">
            <v>3</v>
          </cell>
          <cell r="R51">
            <v>0</v>
          </cell>
          <cell r="V51" t="str">
            <v>CCNH</v>
          </cell>
        </row>
        <row r="52">
          <cell r="A52" t="str">
            <v>BC0001</v>
          </cell>
          <cell r="C52" t="str">
            <v>Base Experimental das Ciências Naturais</v>
          </cell>
          <cell r="N52">
            <v>0</v>
          </cell>
          <cell r="O52">
            <v>3</v>
          </cell>
          <cell r="R52">
            <v>0</v>
          </cell>
          <cell r="V52" t="str">
            <v>CCNH</v>
          </cell>
        </row>
        <row r="53">
          <cell r="A53" t="str">
            <v>BC0001</v>
          </cell>
          <cell r="C53" t="str">
            <v>Base Experimental das Ciências Naturais</v>
          </cell>
          <cell r="N53">
            <v>0</v>
          </cell>
          <cell r="O53">
            <v>3</v>
          </cell>
          <cell r="R53">
            <v>0</v>
          </cell>
          <cell r="V53" t="str">
            <v>CCNH</v>
          </cell>
        </row>
        <row r="54">
          <cell r="A54" t="str">
            <v>BC0001</v>
          </cell>
          <cell r="C54" t="str">
            <v>Base Experimental das Ciências Naturais</v>
          </cell>
          <cell r="N54">
            <v>0</v>
          </cell>
          <cell r="O54">
            <v>3</v>
          </cell>
          <cell r="R54">
            <v>0</v>
          </cell>
          <cell r="V54" t="str">
            <v>CCNH</v>
          </cell>
        </row>
        <row r="55">
          <cell r="A55" t="str">
            <v>BC0001</v>
          </cell>
          <cell r="C55" t="str">
            <v>Base Experimental das Ciências Naturais</v>
          </cell>
          <cell r="N55">
            <v>0</v>
          </cell>
          <cell r="O55">
            <v>3</v>
          </cell>
          <cell r="R55">
            <v>0</v>
          </cell>
          <cell r="V55" t="str">
            <v>CCNH</v>
          </cell>
        </row>
        <row r="56">
          <cell r="A56" t="str">
            <v>BC0001</v>
          </cell>
          <cell r="C56" t="str">
            <v>Base Experimental das Ciências Naturais</v>
          </cell>
          <cell r="N56">
            <v>0</v>
          </cell>
          <cell r="O56">
            <v>3</v>
          </cell>
          <cell r="R56">
            <v>0</v>
          </cell>
          <cell r="V56" t="str">
            <v>CCNH</v>
          </cell>
        </row>
        <row r="57">
          <cell r="A57" t="str">
            <v>BC0001</v>
          </cell>
          <cell r="C57" t="str">
            <v>Base Experimental das Ciências Naturais</v>
          </cell>
          <cell r="N57">
            <v>0</v>
          </cell>
          <cell r="O57">
            <v>3</v>
          </cell>
          <cell r="R57">
            <v>0</v>
          </cell>
          <cell r="V57" t="str">
            <v>CCNH</v>
          </cell>
        </row>
        <row r="58">
          <cell r="A58" t="str">
            <v>BC0001</v>
          </cell>
          <cell r="C58" t="str">
            <v>Base Experimental das Ciências Naturais</v>
          </cell>
          <cell r="N58">
            <v>0</v>
          </cell>
          <cell r="O58">
            <v>3</v>
          </cell>
          <cell r="R58">
            <v>0</v>
          </cell>
          <cell r="V58" t="str">
            <v>CCNH</v>
          </cell>
        </row>
        <row r="59">
          <cell r="A59" t="str">
            <v>BC0001</v>
          </cell>
          <cell r="C59" t="str">
            <v>Base Experimental das Ciências Naturais</v>
          </cell>
          <cell r="N59">
            <v>0</v>
          </cell>
          <cell r="O59">
            <v>3</v>
          </cell>
          <cell r="R59">
            <v>0</v>
          </cell>
          <cell r="V59" t="str">
            <v>CECS</v>
          </cell>
        </row>
        <row r="60">
          <cell r="A60" t="str">
            <v>BC0001</v>
          </cell>
          <cell r="C60" t="str">
            <v>Base Experimental das Ciências Naturais</v>
          </cell>
          <cell r="N60">
            <v>0</v>
          </cell>
          <cell r="O60">
            <v>3</v>
          </cell>
          <cell r="R60">
            <v>0</v>
          </cell>
          <cell r="V60" t="str">
            <v>CCNH</v>
          </cell>
        </row>
        <row r="61">
          <cell r="A61" t="str">
            <v>BC0001</v>
          </cell>
          <cell r="C61" t="str">
            <v>Base Experimental das Ciências Naturais</v>
          </cell>
          <cell r="N61">
            <v>0</v>
          </cell>
          <cell r="O61">
            <v>3</v>
          </cell>
          <cell r="R61">
            <v>0</v>
          </cell>
          <cell r="V61" t="str">
            <v>CCNH</v>
          </cell>
        </row>
        <row r="62">
          <cell r="A62" t="str">
            <v>BC0001</v>
          </cell>
          <cell r="C62" t="str">
            <v>Base Experimental das Ciências Naturais</v>
          </cell>
          <cell r="N62">
            <v>0</v>
          </cell>
          <cell r="O62">
            <v>3</v>
          </cell>
          <cell r="R62">
            <v>0</v>
          </cell>
          <cell r="V62" t="str">
            <v>CCNH</v>
          </cell>
        </row>
        <row r="63">
          <cell r="A63" t="str">
            <v>BC0001</v>
          </cell>
          <cell r="C63" t="str">
            <v>Base Experimental das Ciências Naturais</v>
          </cell>
          <cell r="N63">
            <v>0</v>
          </cell>
          <cell r="O63">
            <v>3</v>
          </cell>
          <cell r="R63">
            <v>0</v>
          </cell>
          <cell r="V63" t="str">
            <v>CCNH</v>
          </cell>
        </row>
        <row r="64">
          <cell r="A64" t="str">
            <v>BC0001</v>
          </cell>
          <cell r="C64" t="str">
            <v>Base Experimental das Ciências Naturais</v>
          </cell>
          <cell r="N64">
            <v>0</v>
          </cell>
          <cell r="O64">
            <v>3</v>
          </cell>
          <cell r="R64">
            <v>0</v>
          </cell>
          <cell r="V64" t="str">
            <v>CCNH</v>
          </cell>
        </row>
        <row r="65">
          <cell r="A65" t="str">
            <v>BC0001</v>
          </cell>
          <cell r="C65" t="str">
            <v>Base Experimental das Ciências Naturais</v>
          </cell>
          <cell r="N65">
            <v>0</v>
          </cell>
          <cell r="O65">
            <v>3</v>
          </cell>
          <cell r="R65">
            <v>0</v>
          </cell>
          <cell r="V65" t="str">
            <v>CCNH</v>
          </cell>
        </row>
        <row r="66">
          <cell r="A66" t="str">
            <v>BC0001</v>
          </cell>
          <cell r="C66" t="str">
            <v>Base Experimental das Ciências Naturais</v>
          </cell>
          <cell r="N66">
            <v>0</v>
          </cell>
          <cell r="O66">
            <v>3</v>
          </cell>
          <cell r="R66">
            <v>0</v>
          </cell>
          <cell r="V66" t="str">
            <v>CCNH</v>
          </cell>
        </row>
        <row r="67">
          <cell r="A67" t="str">
            <v>BC0001</v>
          </cell>
          <cell r="C67" t="str">
            <v>Base Experimental das Ciências Naturais</v>
          </cell>
          <cell r="N67">
            <v>0</v>
          </cell>
          <cell r="O67">
            <v>3</v>
          </cell>
          <cell r="R67">
            <v>0</v>
          </cell>
          <cell r="V67" t="str">
            <v>CECS</v>
          </cell>
        </row>
        <row r="68">
          <cell r="A68" t="str">
            <v>BC0001</v>
          </cell>
          <cell r="C68" t="str">
            <v>Base Experimental das Ciências Naturais</v>
          </cell>
          <cell r="N68">
            <v>0</v>
          </cell>
          <cell r="O68">
            <v>3</v>
          </cell>
          <cell r="R68">
            <v>0</v>
          </cell>
          <cell r="V68" t="str">
            <v>CCNH</v>
          </cell>
        </row>
        <row r="69">
          <cell r="A69" t="str">
            <v>BC0001</v>
          </cell>
          <cell r="C69" t="str">
            <v>Base Experimental das Ciências Naturais</v>
          </cell>
          <cell r="N69">
            <v>0</v>
          </cell>
          <cell r="O69">
            <v>3</v>
          </cell>
          <cell r="R69">
            <v>0</v>
          </cell>
          <cell r="V69" t="str">
            <v>CCNH</v>
          </cell>
        </row>
        <row r="70">
          <cell r="A70" t="str">
            <v>BC0001</v>
          </cell>
          <cell r="C70" t="str">
            <v>Base Experimental das Ciências Naturais</v>
          </cell>
          <cell r="N70">
            <v>0</v>
          </cell>
          <cell r="O70">
            <v>3</v>
          </cell>
          <cell r="R70">
            <v>0</v>
          </cell>
          <cell r="V70" t="str">
            <v>CECS</v>
          </cell>
        </row>
        <row r="71">
          <cell r="A71" t="str">
            <v>BC0001</v>
          </cell>
          <cell r="C71" t="str">
            <v>Base Experimental das Ciências Naturais</v>
          </cell>
          <cell r="N71">
            <v>0</v>
          </cell>
          <cell r="O71">
            <v>3</v>
          </cell>
          <cell r="R71">
            <v>0</v>
          </cell>
          <cell r="V71" t="str">
            <v>CCNH</v>
          </cell>
        </row>
        <row r="72">
          <cell r="A72" t="str">
            <v>BC0001</v>
          </cell>
          <cell r="C72" t="str">
            <v>Base Experimental das Ciências Naturais</v>
          </cell>
          <cell r="N72">
            <v>0</v>
          </cell>
          <cell r="O72">
            <v>3</v>
          </cell>
          <cell r="R72">
            <v>0</v>
          </cell>
          <cell r="V72" t="str">
            <v>CMCC</v>
          </cell>
        </row>
        <row r="73">
          <cell r="A73" t="str">
            <v>BC0001</v>
          </cell>
          <cell r="C73" t="str">
            <v>Base Experimental das Ciências Naturais</v>
          </cell>
          <cell r="N73">
            <v>0</v>
          </cell>
          <cell r="O73">
            <v>3</v>
          </cell>
          <cell r="R73">
            <v>0</v>
          </cell>
          <cell r="V73" t="str">
            <v>CMCC</v>
          </cell>
        </row>
        <row r="74">
          <cell r="A74">
            <v>0</v>
          </cell>
          <cell r="C74" t="str">
            <v>Base Experimental das Ciências Naturais</v>
          </cell>
          <cell r="N74">
            <v>0</v>
          </cell>
          <cell r="O74">
            <v>0</v>
          </cell>
          <cell r="R74">
            <v>0</v>
          </cell>
          <cell r="V74">
            <v>0</v>
          </cell>
        </row>
        <row r="75">
          <cell r="A75">
            <v>0</v>
          </cell>
          <cell r="C75" t="str">
            <v>Base Experimental das Ciências Naturais</v>
          </cell>
          <cell r="N75">
            <v>0</v>
          </cell>
          <cell r="O75">
            <v>0</v>
          </cell>
          <cell r="R75">
            <v>0</v>
          </cell>
          <cell r="V75">
            <v>0</v>
          </cell>
        </row>
        <row r="76">
          <cell r="A76" t="str">
            <v>BC0001</v>
          </cell>
          <cell r="C76" t="str">
            <v>Base Experimental das Ciências Naturais</v>
          </cell>
          <cell r="N76">
            <v>0</v>
          </cell>
          <cell r="O76">
            <v>3</v>
          </cell>
          <cell r="R76">
            <v>0</v>
          </cell>
          <cell r="V76" t="str">
            <v>CCNH</v>
          </cell>
        </row>
        <row r="77">
          <cell r="A77" t="str">
            <v>BC0001</v>
          </cell>
          <cell r="C77" t="str">
            <v>Base Experimental das Ciências Naturais</v>
          </cell>
          <cell r="N77">
            <v>0</v>
          </cell>
          <cell r="O77">
            <v>3</v>
          </cell>
          <cell r="R77">
            <v>0</v>
          </cell>
          <cell r="V77" t="str">
            <v>CECS</v>
          </cell>
        </row>
        <row r="78">
          <cell r="A78" t="str">
            <v>BC0001</v>
          </cell>
          <cell r="C78" t="str">
            <v>Base Experimental das Ciências Naturais</v>
          </cell>
          <cell r="N78">
            <v>0</v>
          </cell>
          <cell r="O78">
            <v>3</v>
          </cell>
          <cell r="R78">
            <v>0</v>
          </cell>
          <cell r="V78" t="str">
            <v>CMCC</v>
          </cell>
        </row>
        <row r="79">
          <cell r="A79" t="str">
            <v>BC0001</v>
          </cell>
          <cell r="C79" t="str">
            <v>Base Experimental das Ciências Naturais</v>
          </cell>
          <cell r="N79">
            <v>0</v>
          </cell>
          <cell r="O79">
            <v>3</v>
          </cell>
          <cell r="R79">
            <v>0</v>
          </cell>
          <cell r="V79" t="str">
            <v>CMCC</v>
          </cell>
        </row>
        <row r="80">
          <cell r="A80" t="str">
            <v>BC0005</v>
          </cell>
          <cell r="C80" t="str">
            <v>Bases Computacionais da Ciência</v>
          </cell>
          <cell r="N80">
            <v>0</v>
          </cell>
          <cell r="O80">
            <v>2</v>
          </cell>
          <cell r="R80">
            <v>0</v>
          </cell>
          <cell r="V80" t="str">
            <v>CECS</v>
          </cell>
        </row>
        <row r="81">
          <cell r="A81" t="str">
            <v>BC0005</v>
          </cell>
          <cell r="C81" t="str">
            <v>Bases Computacionais da Ciência</v>
          </cell>
          <cell r="N81">
            <v>0</v>
          </cell>
          <cell r="O81">
            <v>2</v>
          </cell>
          <cell r="R81">
            <v>0</v>
          </cell>
          <cell r="V81" t="str">
            <v>CMCC</v>
          </cell>
        </row>
        <row r="82">
          <cell r="A82" t="str">
            <v>BC0005</v>
          </cell>
          <cell r="C82" t="str">
            <v>Bases Computacionais da Ciência</v>
          </cell>
          <cell r="N82">
            <v>0</v>
          </cell>
          <cell r="O82">
            <v>2</v>
          </cell>
          <cell r="R82">
            <v>0</v>
          </cell>
          <cell r="V82" t="str">
            <v>CMCC</v>
          </cell>
        </row>
        <row r="83">
          <cell r="A83" t="str">
            <v>BC0005</v>
          </cell>
          <cell r="C83" t="str">
            <v>Bases Computacionais da Ciência</v>
          </cell>
          <cell r="N83">
            <v>0</v>
          </cell>
          <cell r="O83">
            <v>2</v>
          </cell>
          <cell r="R83">
            <v>0</v>
          </cell>
          <cell r="V83" t="str">
            <v>CMCC</v>
          </cell>
        </row>
        <row r="84">
          <cell r="A84" t="str">
            <v>BC0005</v>
          </cell>
          <cell r="C84" t="str">
            <v>Bases Computacionais da Ciência</v>
          </cell>
          <cell r="N84">
            <v>0</v>
          </cell>
          <cell r="O84">
            <v>2</v>
          </cell>
          <cell r="R84">
            <v>0</v>
          </cell>
          <cell r="V84" t="str">
            <v>CMCC</v>
          </cell>
        </row>
        <row r="85">
          <cell r="A85" t="str">
            <v>BC0005</v>
          </cell>
          <cell r="C85" t="str">
            <v>Bases Computacionais da Ciência</v>
          </cell>
          <cell r="N85">
            <v>0</v>
          </cell>
          <cell r="O85">
            <v>2</v>
          </cell>
          <cell r="R85">
            <v>0</v>
          </cell>
          <cell r="V85" t="str">
            <v>CMCC</v>
          </cell>
        </row>
        <row r="86">
          <cell r="A86" t="str">
            <v>BC0005</v>
          </cell>
          <cell r="C86" t="str">
            <v>Bases Computacionais da Ciência</v>
          </cell>
          <cell r="N86">
            <v>0</v>
          </cell>
          <cell r="O86">
            <v>2</v>
          </cell>
          <cell r="R86">
            <v>0</v>
          </cell>
          <cell r="V86" t="str">
            <v>CECS</v>
          </cell>
        </row>
        <row r="87">
          <cell r="A87" t="str">
            <v>BC0005</v>
          </cell>
          <cell r="C87" t="str">
            <v>Bases Computacionais da Ciência</v>
          </cell>
          <cell r="N87">
            <v>0</v>
          </cell>
          <cell r="O87">
            <v>2</v>
          </cell>
          <cell r="R87">
            <v>0</v>
          </cell>
          <cell r="V87" t="str">
            <v>CMCC</v>
          </cell>
        </row>
        <row r="88">
          <cell r="A88" t="str">
            <v>BC0005</v>
          </cell>
          <cell r="C88" t="str">
            <v>Bases Computacionais da Ciência</v>
          </cell>
          <cell r="N88">
            <v>0</v>
          </cell>
          <cell r="O88">
            <v>2</v>
          </cell>
          <cell r="R88">
            <v>0</v>
          </cell>
          <cell r="V88" t="str">
            <v>CMCC</v>
          </cell>
        </row>
        <row r="89">
          <cell r="A89" t="str">
            <v>BC0005</v>
          </cell>
          <cell r="C89" t="str">
            <v>Bases Computacionais da Ciência</v>
          </cell>
          <cell r="N89">
            <v>0</v>
          </cell>
          <cell r="O89">
            <v>2</v>
          </cell>
          <cell r="R89">
            <v>0</v>
          </cell>
          <cell r="V89" t="str">
            <v>CMCC</v>
          </cell>
        </row>
        <row r="90">
          <cell r="A90" t="str">
            <v>BC0005</v>
          </cell>
          <cell r="C90" t="str">
            <v>Bases Computacionais da Ciência</v>
          </cell>
          <cell r="N90">
            <v>0</v>
          </cell>
          <cell r="O90">
            <v>2</v>
          </cell>
          <cell r="R90">
            <v>0</v>
          </cell>
          <cell r="V90" t="str">
            <v>CMCC</v>
          </cell>
        </row>
        <row r="91">
          <cell r="A91" t="str">
            <v>BC0005</v>
          </cell>
          <cell r="C91" t="str">
            <v>Bases Computacionais da Ciência</v>
          </cell>
          <cell r="N91">
            <v>0</v>
          </cell>
          <cell r="O91">
            <v>2</v>
          </cell>
          <cell r="R91">
            <v>0</v>
          </cell>
          <cell r="V91" t="str">
            <v>CMCC</v>
          </cell>
        </row>
        <row r="92">
          <cell r="A92" t="str">
            <v>BC0005</v>
          </cell>
          <cell r="C92" t="str">
            <v>Bases Computacionais da Ciência</v>
          </cell>
          <cell r="N92">
            <v>0</v>
          </cell>
          <cell r="O92">
            <v>2</v>
          </cell>
          <cell r="R92">
            <v>0</v>
          </cell>
          <cell r="V92" t="str">
            <v>CMCC</v>
          </cell>
        </row>
        <row r="93">
          <cell r="A93" t="str">
            <v>BC0005</v>
          </cell>
          <cell r="C93" t="str">
            <v>Bases Computacionais da Ciência</v>
          </cell>
          <cell r="N93">
            <v>0</v>
          </cell>
          <cell r="O93">
            <v>2</v>
          </cell>
          <cell r="R93">
            <v>0</v>
          </cell>
          <cell r="V93" t="str">
            <v>CECS</v>
          </cell>
        </row>
        <row r="94">
          <cell r="A94" t="str">
            <v>BC0005</v>
          </cell>
          <cell r="C94" t="str">
            <v>Bases Computacionais da Ciência</v>
          </cell>
          <cell r="N94">
            <v>0</v>
          </cell>
          <cell r="O94">
            <v>2</v>
          </cell>
          <cell r="R94">
            <v>0</v>
          </cell>
          <cell r="V94" t="str">
            <v>CMCC</v>
          </cell>
        </row>
        <row r="95">
          <cell r="A95">
            <v>0</v>
          </cell>
          <cell r="C95" t="str">
            <v>Bases Computacionais da Ciência</v>
          </cell>
          <cell r="N95">
            <v>0</v>
          </cell>
          <cell r="O95">
            <v>0</v>
          </cell>
          <cell r="R95">
            <v>0</v>
          </cell>
          <cell r="V95" t="str">
            <v>CMCC</v>
          </cell>
        </row>
        <row r="96">
          <cell r="A96" t="str">
            <v>BC0005</v>
          </cell>
          <cell r="C96" t="str">
            <v>Bases Computacionais da Ciência</v>
          </cell>
          <cell r="N96">
            <v>0</v>
          </cell>
          <cell r="O96">
            <v>2</v>
          </cell>
          <cell r="R96">
            <v>0</v>
          </cell>
          <cell r="V96" t="str">
            <v>CMCC</v>
          </cell>
        </row>
        <row r="97">
          <cell r="A97" t="str">
            <v>BC0005</v>
          </cell>
          <cell r="C97" t="str">
            <v>Bases Computacionais da Ciência</v>
          </cell>
          <cell r="N97">
            <v>0</v>
          </cell>
          <cell r="O97">
            <v>2</v>
          </cell>
          <cell r="R97">
            <v>0</v>
          </cell>
          <cell r="V97" t="str">
            <v>CMCC</v>
          </cell>
        </row>
        <row r="98">
          <cell r="A98" t="str">
            <v>BC0005</v>
          </cell>
          <cell r="C98" t="str">
            <v>Bases Computacionais da Ciência</v>
          </cell>
          <cell r="N98">
            <v>0</v>
          </cell>
          <cell r="O98">
            <v>2</v>
          </cell>
          <cell r="R98">
            <v>0</v>
          </cell>
          <cell r="V98" t="str">
            <v>CMCC</v>
          </cell>
        </row>
        <row r="99">
          <cell r="A99" t="str">
            <v>BC0005</v>
          </cell>
          <cell r="C99" t="str">
            <v>Bases Computacionais da Ciência</v>
          </cell>
          <cell r="N99">
            <v>0</v>
          </cell>
          <cell r="O99">
            <v>2</v>
          </cell>
          <cell r="R99">
            <v>0</v>
          </cell>
          <cell r="V99" t="str">
            <v>CMCC</v>
          </cell>
        </row>
        <row r="100">
          <cell r="A100" t="str">
            <v>BC0005</v>
          </cell>
          <cell r="C100" t="str">
            <v>Bases Computacionais da Ciência</v>
          </cell>
          <cell r="N100">
            <v>0</v>
          </cell>
          <cell r="O100">
            <v>2</v>
          </cell>
          <cell r="R100">
            <v>0</v>
          </cell>
          <cell r="V100" t="str">
            <v>CMCC</v>
          </cell>
        </row>
        <row r="101">
          <cell r="A101" t="str">
            <v>BC0005</v>
          </cell>
          <cell r="C101" t="str">
            <v>Bases Computacionais da Ciência</v>
          </cell>
          <cell r="N101">
            <v>0</v>
          </cell>
          <cell r="O101">
            <v>2</v>
          </cell>
          <cell r="R101">
            <v>0</v>
          </cell>
          <cell r="V101" t="str">
            <v>CMCC</v>
          </cell>
        </row>
        <row r="102">
          <cell r="A102" t="str">
            <v>BC0005</v>
          </cell>
          <cell r="C102" t="str">
            <v>Bases Computacionais da Ciência</v>
          </cell>
          <cell r="N102">
            <v>0</v>
          </cell>
          <cell r="O102">
            <v>2</v>
          </cell>
          <cell r="R102">
            <v>0</v>
          </cell>
          <cell r="V102" t="str">
            <v>CMCC</v>
          </cell>
        </row>
        <row r="103">
          <cell r="A103" t="str">
            <v>BC0005</v>
          </cell>
          <cell r="C103" t="str">
            <v>Bases Computacionais da Ciência</v>
          </cell>
          <cell r="N103">
            <v>0</v>
          </cell>
          <cell r="O103">
            <v>2</v>
          </cell>
          <cell r="R103">
            <v>0</v>
          </cell>
          <cell r="V103" t="str">
            <v>CECS</v>
          </cell>
        </row>
        <row r="104">
          <cell r="A104" t="str">
            <v>BC0005</v>
          </cell>
          <cell r="C104" t="str">
            <v>Bases Computacionais da Ciência</v>
          </cell>
          <cell r="N104">
            <v>0</v>
          </cell>
          <cell r="O104">
            <v>2</v>
          </cell>
          <cell r="R104">
            <v>0</v>
          </cell>
          <cell r="V104" t="str">
            <v>CECS</v>
          </cell>
        </row>
        <row r="105">
          <cell r="A105" t="str">
            <v>BC0005</v>
          </cell>
          <cell r="C105" t="str">
            <v>Bases Computacionais da Ciência</v>
          </cell>
          <cell r="N105">
            <v>0</v>
          </cell>
          <cell r="O105">
            <v>2</v>
          </cell>
          <cell r="R105">
            <v>0</v>
          </cell>
          <cell r="V105" t="str">
            <v>CECS</v>
          </cell>
        </row>
        <row r="106">
          <cell r="A106" t="str">
            <v>BC0005</v>
          </cell>
          <cell r="C106">
            <v>0</v>
          </cell>
          <cell r="N106">
            <v>0</v>
          </cell>
          <cell r="O106">
            <v>0</v>
          </cell>
          <cell r="R106">
            <v>0</v>
          </cell>
          <cell r="V106" t="str">
            <v>CMCC</v>
          </cell>
        </row>
        <row r="107">
          <cell r="A107" t="str">
            <v>BC0005</v>
          </cell>
          <cell r="C107">
            <v>0</v>
          </cell>
          <cell r="N107">
            <v>0</v>
          </cell>
          <cell r="O107">
            <v>0</v>
          </cell>
          <cell r="R107">
            <v>0</v>
          </cell>
          <cell r="V107" t="str">
            <v>CMCC</v>
          </cell>
        </row>
        <row r="108">
          <cell r="A108" t="str">
            <v>BC0005</v>
          </cell>
          <cell r="C108" t="str">
            <v>Bases Computacionais da Ciência</v>
          </cell>
          <cell r="N108">
            <v>0</v>
          </cell>
          <cell r="O108">
            <v>2</v>
          </cell>
          <cell r="R108">
            <v>0</v>
          </cell>
          <cell r="V108" t="str">
            <v>CECS</v>
          </cell>
        </row>
        <row r="109">
          <cell r="A109" t="str">
            <v>BC0005</v>
          </cell>
          <cell r="C109" t="str">
            <v>Bases Computacionais da Ciência</v>
          </cell>
          <cell r="N109">
            <v>0</v>
          </cell>
          <cell r="O109">
            <v>2</v>
          </cell>
          <cell r="R109">
            <v>0</v>
          </cell>
          <cell r="V109" t="str">
            <v>CMCC</v>
          </cell>
        </row>
        <row r="110">
          <cell r="A110" t="str">
            <v>BC0005</v>
          </cell>
          <cell r="C110" t="str">
            <v>Bases Computacionais da Ciência</v>
          </cell>
          <cell r="N110">
            <v>0</v>
          </cell>
          <cell r="O110">
            <v>2</v>
          </cell>
          <cell r="R110">
            <v>0</v>
          </cell>
          <cell r="V110" t="str">
            <v>CMCC</v>
          </cell>
        </row>
        <row r="111">
          <cell r="A111" t="str">
            <v>BC0005</v>
          </cell>
          <cell r="C111" t="str">
            <v>Bases Computacionais da Ciência</v>
          </cell>
          <cell r="N111">
            <v>0</v>
          </cell>
          <cell r="O111">
            <v>2</v>
          </cell>
          <cell r="R111">
            <v>0</v>
          </cell>
          <cell r="V111" t="str">
            <v>CECS</v>
          </cell>
        </row>
        <row r="112">
          <cell r="A112" t="str">
            <v>BC0005</v>
          </cell>
          <cell r="C112" t="str">
            <v>Bases Computacionais da Ciência</v>
          </cell>
          <cell r="N112">
            <v>0</v>
          </cell>
          <cell r="O112">
            <v>2</v>
          </cell>
          <cell r="R112">
            <v>0</v>
          </cell>
          <cell r="V112" t="str">
            <v>CMCC</v>
          </cell>
        </row>
        <row r="113">
          <cell r="A113" t="str">
            <v>BC0005</v>
          </cell>
          <cell r="C113" t="str">
            <v>Bases Computacionais da Ciência</v>
          </cell>
          <cell r="N113">
            <v>0</v>
          </cell>
          <cell r="O113">
            <v>2</v>
          </cell>
          <cell r="R113">
            <v>0</v>
          </cell>
          <cell r="V113" t="str">
            <v>CMCC</v>
          </cell>
        </row>
        <row r="114">
          <cell r="A114" t="str">
            <v>BC0005</v>
          </cell>
          <cell r="C114" t="str">
            <v>Bases Computacionais da Ciência</v>
          </cell>
          <cell r="N114">
            <v>0</v>
          </cell>
          <cell r="O114">
            <v>2</v>
          </cell>
          <cell r="R114">
            <v>0</v>
          </cell>
          <cell r="V114" t="str">
            <v>CMCC</v>
          </cell>
        </row>
        <row r="115">
          <cell r="A115" t="str">
            <v>BC0005</v>
          </cell>
          <cell r="C115" t="str">
            <v>Bases Computacionais da Ciência</v>
          </cell>
          <cell r="N115">
            <v>0</v>
          </cell>
          <cell r="O115">
            <v>2</v>
          </cell>
          <cell r="R115">
            <v>0</v>
          </cell>
          <cell r="V115" t="str">
            <v>CMCC</v>
          </cell>
        </row>
        <row r="116">
          <cell r="A116" t="str">
            <v>BC0005</v>
          </cell>
          <cell r="C116" t="str">
            <v>Bases Computacionais da Ciência</v>
          </cell>
          <cell r="N116">
            <v>0</v>
          </cell>
          <cell r="O116">
            <v>2</v>
          </cell>
          <cell r="R116">
            <v>0</v>
          </cell>
          <cell r="V116" t="str">
            <v>CECS</v>
          </cell>
        </row>
        <row r="117">
          <cell r="A117" t="str">
            <v>BC0005</v>
          </cell>
          <cell r="C117" t="str">
            <v>Bases Computacionais da Ciência</v>
          </cell>
          <cell r="N117">
            <v>0</v>
          </cell>
          <cell r="O117">
            <v>2</v>
          </cell>
          <cell r="R117">
            <v>0</v>
          </cell>
          <cell r="V117" t="str">
            <v>CMCC</v>
          </cell>
        </row>
        <row r="118">
          <cell r="A118" t="str">
            <v>BC0005</v>
          </cell>
          <cell r="C118" t="str">
            <v>Bases Computacionais da Ciência</v>
          </cell>
          <cell r="N118">
            <v>0</v>
          </cell>
          <cell r="O118">
            <v>2</v>
          </cell>
          <cell r="R118">
            <v>0</v>
          </cell>
          <cell r="V118" t="str">
            <v>CMCC</v>
          </cell>
        </row>
        <row r="119">
          <cell r="A119" t="str">
            <v>BC0005</v>
          </cell>
          <cell r="C119" t="str">
            <v>Bases Computacionais da Ciência</v>
          </cell>
          <cell r="N119">
            <v>0</v>
          </cell>
          <cell r="O119">
            <v>2</v>
          </cell>
          <cell r="R119">
            <v>0</v>
          </cell>
          <cell r="V119" t="str">
            <v>CMCC</v>
          </cell>
        </row>
        <row r="120">
          <cell r="A120" t="str">
            <v>BC0005</v>
          </cell>
          <cell r="C120" t="str">
            <v>Bases Computacionais da Ciência</v>
          </cell>
          <cell r="N120">
            <v>0</v>
          </cell>
          <cell r="O120">
            <v>2</v>
          </cell>
          <cell r="R120">
            <v>0</v>
          </cell>
          <cell r="V120" t="str">
            <v>CMCC</v>
          </cell>
        </row>
        <row r="121">
          <cell r="A121" t="str">
            <v>BC0005</v>
          </cell>
          <cell r="C121" t="str">
            <v>Bases Computacionais da Ciência</v>
          </cell>
          <cell r="N121">
            <v>0</v>
          </cell>
          <cell r="O121">
            <v>2</v>
          </cell>
          <cell r="R121">
            <v>0</v>
          </cell>
          <cell r="V121" t="str">
            <v>CMCC</v>
          </cell>
        </row>
        <row r="122">
          <cell r="A122" t="str">
            <v>BC0005</v>
          </cell>
          <cell r="C122" t="str">
            <v>Bases Computacionais da Ciência</v>
          </cell>
          <cell r="N122">
            <v>0</v>
          </cell>
          <cell r="O122">
            <v>2</v>
          </cell>
          <cell r="R122">
            <v>0</v>
          </cell>
          <cell r="V122" t="str">
            <v>CMCC</v>
          </cell>
        </row>
        <row r="123">
          <cell r="A123" t="str">
            <v>BC0005</v>
          </cell>
          <cell r="C123" t="str">
            <v>Bases Computacionais da Ciência</v>
          </cell>
          <cell r="N123">
            <v>0</v>
          </cell>
          <cell r="O123">
            <v>2</v>
          </cell>
          <cell r="R123">
            <v>0</v>
          </cell>
          <cell r="V123" t="str">
            <v>CMCC</v>
          </cell>
        </row>
        <row r="124">
          <cell r="A124" t="str">
            <v>BC0005</v>
          </cell>
          <cell r="C124" t="str">
            <v>Bases Computacionais da Ciência</v>
          </cell>
          <cell r="N124">
            <v>0</v>
          </cell>
          <cell r="O124">
            <v>2</v>
          </cell>
          <cell r="R124">
            <v>0</v>
          </cell>
          <cell r="V124" t="str">
            <v>CMCC</v>
          </cell>
        </row>
        <row r="125">
          <cell r="A125" t="str">
            <v>BC0005</v>
          </cell>
          <cell r="C125" t="str">
            <v>Bases Computacionais da Ciência</v>
          </cell>
          <cell r="N125">
            <v>0</v>
          </cell>
          <cell r="O125">
            <v>2</v>
          </cell>
          <cell r="R125">
            <v>0</v>
          </cell>
          <cell r="V125" t="str">
            <v>CMCC</v>
          </cell>
        </row>
        <row r="126">
          <cell r="A126" t="str">
            <v>BC0005</v>
          </cell>
          <cell r="C126" t="str">
            <v>Bases Computacionais da Ciência</v>
          </cell>
          <cell r="N126">
            <v>0</v>
          </cell>
          <cell r="O126">
            <v>2</v>
          </cell>
          <cell r="R126">
            <v>0</v>
          </cell>
          <cell r="V126" t="str">
            <v>CMCC</v>
          </cell>
        </row>
        <row r="127">
          <cell r="A127" t="str">
            <v>BC0005</v>
          </cell>
          <cell r="C127" t="str">
            <v>Bases Computacionais da Ciência</v>
          </cell>
          <cell r="N127">
            <v>0</v>
          </cell>
          <cell r="O127">
            <v>2</v>
          </cell>
          <cell r="R127">
            <v>0</v>
          </cell>
          <cell r="V127" t="str">
            <v>CMCC</v>
          </cell>
        </row>
        <row r="128">
          <cell r="A128" t="str">
            <v>BC0005</v>
          </cell>
          <cell r="C128" t="str">
            <v>Bases Computacionais da Ciência</v>
          </cell>
          <cell r="N128">
            <v>0</v>
          </cell>
          <cell r="O128">
            <v>2</v>
          </cell>
          <cell r="R128">
            <v>0</v>
          </cell>
          <cell r="V128" t="str">
            <v>CECS</v>
          </cell>
        </row>
        <row r="129">
          <cell r="A129" t="str">
            <v>BC0005</v>
          </cell>
          <cell r="C129" t="str">
            <v>Bases Computacionais da Ciência</v>
          </cell>
          <cell r="N129">
            <v>0</v>
          </cell>
          <cell r="O129">
            <v>2</v>
          </cell>
          <cell r="R129">
            <v>0</v>
          </cell>
          <cell r="V129" t="str">
            <v>CMCC</v>
          </cell>
        </row>
        <row r="130">
          <cell r="A130" t="str">
            <v>BC0005</v>
          </cell>
          <cell r="C130" t="str">
            <v>Bases Computacionais da Ciência</v>
          </cell>
          <cell r="N130">
            <v>0</v>
          </cell>
          <cell r="O130">
            <v>2</v>
          </cell>
          <cell r="R130">
            <v>0</v>
          </cell>
          <cell r="V130" t="str">
            <v>CECS</v>
          </cell>
        </row>
        <row r="131">
          <cell r="A131" t="str">
            <v>BC0005</v>
          </cell>
          <cell r="C131" t="str">
            <v>Bases Computacionais da Ciência</v>
          </cell>
          <cell r="N131">
            <v>0</v>
          </cell>
          <cell r="O131">
            <v>2</v>
          </cell>
          <cell r="R131">
            <v>0</v>
          </cell>
          <cell r="V131" t="str">
            <v>CMCC</v>
          </cell>
        </row>
        <row r="132">
          <cell r="A132" t="str">
            <v>BC0005</v>
          </cell>
          <cell r="C132" t="str">
            <v>Bases Computacionais da Ciência</v>
          </cell>
          <cell r="N132">
            <v>0</v>
          </cell>
          <cell r="O132">
            <v>2</v>
          </cell>
          <cell r="R132">
            <v>0</v>
          </cell>
          <cell r="V132" t="str">
            <v>CMCC</v>
          </cell>
        </row>
        <row r="133">
          <cell r="A133" t="str">
            <v>BC0005</v>
          </cell>
          <cell r="C133" t="str">
            <v>Bases Computacionais da Ciência</v>
          </cell>
          <cell r="N133">
            <v>0</v>
          </cell>
          <cell r="O133">
            <v>2</v>
          </cell>
          <cell r="R133">
            <v>0</v>
          </cell>
          <cell r="V133" t="str">
            <v>CMCC</v>
          </cell>
        </row>
        <row r="134">
          <cell r="A134" t="str">
            <v>BC0005</v>
          </cell>
          <cell r="C134" t="str">
            <v>Bases Computacionais da Ciência</v>
          </cell>
          <cell r="N134">
            <v>0</v>
          </cell>
          <cell r="O134">
            <v>2</v>
          </cell>
          <cell r="R134">
            <v>0</v>
          </cell>
          <cell r="V134" t="str">
            <v>CMCC</v>
          </cell>
        </row>
        <row r="135">
          <cell r="A135" t="str">
            <v>BC0005</v>
          </cell>
          <cell r="C135" t="str">
            <v>Bases Computacionais da Ciência</v>
          </cell>
          <cell r="N135">
            <v>0</v>
          </cell>
          <cell r="O135">
            <v>2</v>
          </cell>
          <cell r="R135">
            <v>0</v>
          </cell>
          <cell r="V135" t="str">
            <v>CMCC</v>
          </cell>
        </row>
        <row r="136">
          <cell r="A136" t="str">
            <v>BC0005</v>
          </cell>
          <cell r="C136" t="str">
            <v>Bases Computacionais da Ciência</v>
          </cell>
          <cell r="N136">
            <v>0</v>
          </cell>
          <cell r="O136">
            <v>2</v>
          </cell>
          <cell r="R136">
            <v>0</v>
          </cell>
          <cell r="V136" t="str">
            <v>CMCC</v>
          </cell>
        </row>
        <row r="137">
          <cell r="A137" t="str">
            <v>BC0005</v>
          </cell>
          <cell r="C137" t="str">
            <v>Bases Computacionais da Ciência</v>
          </cell>
          <cell r="N137">
            <v>0</v>
          </cell>
          <cell r="O137">
            <v>2</v>
          </cell>
          <cell r="R137">
            <v>0</v>
          </cell>
          <cell r="V137" t="str">
            <v>CMCC</v>
          </cell>
        </row>
        <row r="138">
          <cell r="A138" t="str">
            <v>BC0005</v>
          </cell>
          <cell r="C138" t="str">
            <v>Bases Computacionais da Ciência</v>
          </cell>
          <cell r="N138">
            <v>0</v>
          </cell>
          <cell r="O138">
            <v>2</v>
          </cell>
          <cell r="R138">
            <v>0</v>
          </cell>
          <cell r="V138" t="str">
            <v>CMCC</v>
          </cell>
        </row>
        <row r="139">
          <cell r="A139" t="str">
            <v>BC0005</v>
          </cell>
          <cell r="C139" t="str">
            <v>Bases Computacionais da Ciência</v>
          </cell>
          <cell r="N139">
            <v>0</v>
          </cell>
          <cell r="O139">
            <v>2</v>
          </cell>
          <cell r="R139">
            <v>0</v>
          </cell>
          <cell r="V139" t="str">
            <v>CMCC</v>
          </cell>
        </row>
        <row r="140">
          <cell r="A140" t="str">
            <v>BC0005</v>
          </cell>
          <cell r="C140" t="str">
            <v>Bases Computacionais da Ciência</v>
          </cell>
          <cell r="N140">
            <v>0</v>
          </cell>
          <cell r="O140">
            <v>2</v>
          </cell>
          <cell r="R140">
            <v>0</v>
          </cell>
          <cell r="V140" t="str">
            <v>CMCC</v>
          </cell>
        </row>
        <row r="141">
          <cell r="A141" t="str">
            <v>BC0005</v>
          </cell>
          <cell r="C141" t="str">
            <v>Bases Computacionais da Ciência</v>
          </cell>
          <cell r="N141">
            <v>0</v>
          </cell>
          <cell r="O141">
            <v>2</v>
          </cell>
          <cell r="R141">
            <v>0</v>
          </cell>
          <cell r="V141" t="str">
            <v>CMCC</v>
          </cell>
        </row>
        <row r="142">
          <cell r="A142" t="str">
            <v>BC0005</v>
          </cell>
          <cell r="C142" t="str">
            <v>Bases Computacionais da Ciência</v>
          </cell>
          <cell r="N142">
            <v>0</v>
          </cell>
          <cell r="O142">
            <v>2</v>
          </cell>
          <cell r="R142">
            <v>0</v>
          </cell>
          <cell r="V142" t="str">
            <v>CMCC</v>
          </cell>
        </row>
        <row r="143">
          <cell r="A143" t="str">
            <v>BC0005</v>
          </cell>
          <cell r="C143" t="str">
            <v>Bases Computacionais da Ciência</v>
          </cell>
          <cell r="N143">
            <v>0</v>
          </cell>
          <cell r="O143">
            <v>2</v>
          </cell>
          <cell r="R143">
            <v>0</v>
          </cell>
          <cell r="V143" t="str">
            <v>CMCC</v>
          </cell>
        </row>
        <row r="144">
          <cell r="A144">
            <v>0</v>
          </cell>
          <cell r="C144">
            <v>0</v>
          </cell>
          <cell r="N144">
            <v>0</v>
          </cell>
          <cell r="O144">
            <v>0</v>
          </cell>
          <cell r="R144">
            <v>0</v>
          </cell>
          <cell r="V144">
            <v>0</v>
          </cell>
        </row>
        <row r="145">
          <cell r="A145" t="str">
            <v>BC0004</v>
          </cell>
          <cell r="C145" t="str">
            <v>Bases Epistemológicas da Ciência Moderna</v>
          </cell>
          <cell r="N145">
            <v>3</v>
          </cell>
          <cell r="O145">
            <v>0</v>
          </cell>
          <cell r="R145" t="str">
            <v>CCNH</v>
          </cell>
          <cell r="V145">
            <v>0</v>
          </cell>
        </row>
        <row r="146">
          <cell r="A146" t="str">
            <v>BC0004</v>
          </cell>
          <cell r="C146" t="str">
            <v>Bases Epistemológicas da Ciência Moderna</v>
          </cell>
          <cell r="N146">
            <v>3</v>
          </cell>
          <cell r="O146">
            <v>0</v>
          </cell>
          <cell r="R146" t="str">
            <v>CCNH</v>
          </cell>
          <cell r="V146">
            <v>0</v>
          </cell>
        </row>
        <row r="147">
          <cell r="A147" t="str">
            <v>BC0004</v>
          </cell>
          <cell r="C147" t="str">
            <v>Bases Epistemológicas da Ciência Moderna</v>
          </cell>
          <cell r="N147">
            <v>3</v>
          </cell>
          <cell r="O147">
            <v>0</v>
          </cell>
          <cell r="R147" t="str">
            <v>CCNH</v>
          </cell>
          <cell r="V147">
            <v>0</v>
          </cell>
        </row>
        <row r="148">
          <cell r="A148" t="str">
            <v>BC0004</v>
          </cell>
          <cell r="C148" t="str">
            <v>Bases Epistemológicas da Ciência Moderna</v>
          </cell>
          <cell r="N148">
            <v>3</v>
          </cell>
          <cell r="O148">
            <v>0</v>
          </cell>
          <cell r="R148" t="str">
            <v>CCNH</v>
          </cell>
          <cell r="V148">
            <v>0</v>
          </cell>
        </row>
        <row r="149">
          <cell r="A149" t="str">
            <v>BC0004</v>
          </cell>
          <cell r="C149" t="str">
            <v>Bases Epistemológicas da Ciência Moderna</v>
          </cell>
          <cell r="N149">
            <v>3</v>
          </cell>
          <cell r="O149">
            <v>0</v>
          </cell>
          <cell r="R149" t="str">
            <v>CCNH</v>
          </cell>
          <cell r="V149">
            <v>0</v>
          </cell>
        </row>
        <row r="150">
          <cell r="A150" t="str">
            <v>BC0004</v>
          </cell>
          <cell r="C150" t="str">
            <v>Bases Epistemológicas da Ciência Moderna</v>
          </cell>
          <cell r="N150">
            <v>3</v>
          </cell>
          <cell r="O150">
            <v>0</v>
          </cell>
          <cell r="R150" t="str">
            <v>CMCC</v>
          </cell>
          <cell r="V150">
            <v>0</v>
          </cell>
        </row>
        <row r="151">
          <cell r="A151" t="str">
            <v>BC0004</v>
          </cell>
          <cell r="C151" t="str">
            <v>Bases Epistemológicas da Ciência Moderna</v>
          </cell>
          <cell r="N151">
            <v>3</v>
          </cell>
          <cell r="O151">
            <v>0</v>
          </cell>
          <cell r="R151" t="str">
            <v>CCNH</v>
          </cell>
          <cell r="V151">
            <v>0</v>
          </cell>
        </row>
        <row r="152">
          <cell r="A152" t="str">
            <v>BC0004</v>
          </cell>
          <cell r="C152" t="str">
            <v>Bases Epistemológicas da Ciência Moderna</v>
          </cell>
          <cell r="N152">
            <v>3</v>
          </cell>
          <cell r="O152">
            <v>0</v>
          </cell>
          <cell r="R152" t="str">
            <v>CCNH</v>
          </cell>
          <cell r="V152">
            <v>0</v>
          </cell>
        </row>
        <row r="153">
          <cell r="A153" t="str">
            <v>BC0003</v>
          </cell>
          <cell r="C153" t="str">
            <v>Bases Matemáticas</v>
          </cell>
          <cell r="N153">
            <v>4</v>
          </cell>
          <cell r="O153">
            <v>0</v>
          </cell>
          <cell r="R153" t="str">
            <v>CMCC</v>
          </cell>
          <cell r="V153">
            <v>0</v>
          </cell>
        </row>
        <row r="154">
          <cell r="A154" t="str">
            <v>BC0003</v>
          </cell>
          <cell r="C154" t="str">
            <v>Bases Matemáticas</v>
          </cell>
          <cell r="N154">
            <v>4</v>
          </cell>
          <cell r="O154">
            <v>0</v>
          </cell>
          <cell r="R154" t="str">
            <v>CMCC</v>
          </cell>
          <cell r="V154">
            <v>0</v>
          </cell>
        </row>
        <row r="155">
          <cell r="A155" t="str">
            <v>BC0003</v>
          </cell>
          <cell r="C155" t="str">
            <v>Bases Matemáticas</v>
          </cell>
          <cell r="N155">
            <v>4</v>
          </cell>
          <cell r="O155">
            <v>0</v>
          </cell>
          <cell r="R155" t="str">
            <v>CMCC</v>
          </cell>
          <cell r="V155">
            <v>0</v>
          </cell>
        </row>
        <row r="156">
          <cell r="A156" t="str">
            <v>BC0003</v>
          </cell>
          <cell r="C156" t="str">
            <v>Bases Matemáticas</v>
          </cell>
          <cell r="N156">
            <v>4</v>
          </cell>
          <cell r="O156">
            <v>0</v>
          </cell>
          <cell r="R156" t="str">
            <v>CMCC</v>
          </cell>
          <cell r="V156">
            <v>0</v>
          </cell>
        </row>
        <row r="157">
          <cell r="A157" t="str">
            <v>BC0003</v>
          </cell>
          <cell r="C157" t="str">
            <v>Bases Matemáticas</v>
          </cell>
          <cell r="N157">
            <v>4</v>
          </cell>
          <cell r="O157">
            <v>0</v>
          </cell>
          <cell r="R157" t="str">
            <v>CMCC</v>
          </cell>
          <cell r="V157">
            <v>0</v>
          </cell>
        </row>
        <row r="158">
          <cell r="A158" t="str">
            <v>BC0003</v>
          </cell>
          <cell r="C158" t="str">
            <v>Bases Matemáticas</v>
          </cell>
          <cell r="N158">
            <v>4</v>
          </cell>
          <cell r="O158">
            <v>0</v>
          </cell>
          <cell r="R158" t="str">
            <v>CMCC</v>
          </cell>
          <cell r="V158">
            <v>0</v>
          </cell>
        </row>
        <row r="159">
          <cell r="A159" t="str">
            <v>BC0003</v>
          </cell>
          <cell r="C159" t="str">
            <v>Bases Matemáticas</v>
          </cell>
          <cell r="N159">
            <v>4</v>
          </cell>
          <cell r="O159">
            <v>0</v>
          </cell>
          <cell r="R159" t="str">
            <v>CCNH</v>
          </cell>
          <cell r="V159">
            <v>0</v>
          </cell>
        </row>
        <row r="160">
          <cell r="A160" t="str">
            <v>BC0003</v>
          </cell>
          <cell r="C160" t="str">
            <v>Bases Matemáticas</v>
          </cell>
          <cell r="N160">
            <v>4</v>
          </cell>
          <cell r="O160">
            <v>0</v>
          </cell>
          <cell r="R160" t="str">
            <v>CMCC</v>
          </cell>
          <cell r="V160">
            <v>0</v>
          </cell>
        </row>
        <row r="161">
          <cell r="A161" t="str">
            <v>BC0003</v>
          </cell>
          <cell r="C161" t="str">
            <v>Bases Matemáticas</v>
          </cell>
          <cell r="N161">
            <v>4</v>
          </cell>
          <cell r="O161">
            <v>0</v>
          </cell>
          <cell r="R161" t="str">
            <v>CMCC</v>
          </cell>
          <cell r="V161">
            <v>0</v>
          </cell>
        </row>
        <row r="162">
          <cell r="A162" t="str">
            <v>BC0003</v>
          </cell>
          <cell r="C162" t="str">
            <v>Bases Matemáticas</v>
          </cell>
          <cell r="N162">
            <v>4</v>
          </cell>
          <cell r="O162">
            <v>0</v>
          </cell>
          <cell r="R162" t="str">
            <v>CECS</v>
          </cell>
          <cell r="V162">
            <v>0</v>
          </cell>
        </row>
        <row r="163">
          <cell r="A163" t="str">
            <v>BC0003</v>
          </cell>
          <cell r="C163" t="str">
            <v>Bases Matemáticas</v>
          </cell>
          <cell r="N163">
            <v>4</v>
          </cell>
          <cell r="O163">
            <v>0</v>
          </cell>
          <cell r="R163" t="str">
            <v>CMCC</v>
          </cell>
          <cell r="V163">
            <v>0</v>
          </cell>
        </row>
        <row r="164">
          <cell r="A164" t="str">
            <v>BC0003</v>
          </cell>
          <cell r="C164" t="str">
            <v>Bases Matemáticas</v>
          </cell>
          <cell r="N164">
            <v>4</v>
          </cell>
          <cell r="O164">
            <v>0</v>
          </cell>
          <cell r="R164" t="str">
            <v>CMCC</v>
          </cell>
          <cell r="V164">
            <v>0</v>
          </cell>
        </row>
        <row r="165">
          <cell r="A165" t="str">
            <v>BC0003</v>
          </cell>
          <cell r="C165" t="str">
            <v>Bases Matemáticas</v>
          </cell>
          <cell r="N165">
            <v>4</v>
          </cell>
          <cell r="O165">
            <v>0</v>
          </cell>
          <cell r="R165" t="str">
            <v>CMCC</v>
          </cell>
          <cell r="V165">
            <v>0</v>
          </cell>
        </row>
        <row r="166">
          <cell r="A166" t="str">
            <v>BC0003</v>
          </cell>
          <cell r="C166" t="str">
            <v>Bases Matemáticas</v>
          </cell>
          <cell r="N166">
            <v>4</v>
          </cell>
          <cell r="O166">
            <v>0</v>
          </cell>
          <cell r="R166" t="str">
            <v>CMCC</v>
          </cell>
          <cell r="V166">
            <v>0</v>
          </cell>
        </row>
        <row r="167">
          <cell r="A167" t="str">
            <v>BC0003</v>
          </cell>
          <cell r="C167" t="str">
            <v>Bases Matemáticas</v>
          </cell>
          <cell r="N167">
            <v>4</v>
          </cell>
          <cell r="O167">
            <v>0</v>
          </cell>
          <cell r="R167" t="str">
            <v>CMCC</v>
          </cell>
          <cell r="V167">
            <v>0</v>
          </cell>
        </row>
        <row r="168">
          <cell r="A168" t="str">
            <v>BC0003</v>
          </cell>
          <cell r="C168" t="str">
            <v>Bases Matemáticas</v>
          </cell>
          <cell r="N168">
            <v>4</v>
          </cell>
          <cell r="O168">
            <v>0</v>
          </cell>
          <cell r="R168" t="str">
            <v>CMCC</v>
          </cell>
          <cell r="V168">
            <v>0</v>
          </cell>
        </row>
        <row r="169">
          <cell r="A169" t="str">
            <v>BC0003</v>
          </cell>
          <cell r="C169" t="str">
            <v>Bases Matemáticas</v>
          </cell>
          <cell r="N169">
            <v>4</v>
          </cell>
          <cell r="O169">
            <v>0</v>
          </cell>
          <cell r="R169" t="str">
            <v>CMCC</v>
          </cell>
          <cell r="V169">
            <v>0</v>
          </cell>
        </row>
        <row r="170">
          <cell r="A170" t="str">
            <v>BC0003</v>
          </cell>
          <cell r="C170" t="str">
            <v>Bases Matemáticas</v>
          </cell>
          <cell r="N170">
            <v>4</v>
          </cell>
          <cell r="O170">
            <v>0</v>
          </cell>
          <cell r="R170" t="str">
            <v>CMCC</v>
          </cell>
          <cell r="V170">
            <v>0</v>
          </cell>
        </row>
        <row r="171">
          <cell r="A171" t="str">
            <v>BC0003</v>
          </cell>
          <cell r="C171" t="str">
            <v>Bases Matemáticas</v>
          </cell>
          <cell r="N171">
            <v>4</v>
          </cell>
          <cell r="O171">
            <v>0</v>
          </cell>
          <cell r="R171" t="str">
            <v>CMCC</v>
          </cell>
          <cell r="V171">
            <v>0</v>
          </cell>
        </row>
        <row r="172">
          <cell r="A172" t="str">
            <v>BC0003</v>
          </cell>
          <cell r="C172" t="str">
            <v>Bases Matemáticas</v>
          </cell>
          <cell r="N172">
            <v>4</v>
          </cell>
          <cell r="O172">
            <v>0</v>
          </cell>
          <cell r="R172" t="str">
            <v>CMCC</v>
          </cell>
          <cell r="V172">
            <v>0</v>
          </cell>
        </row>
        <row r="173">
          <cell r="A173" t="str">
            <v>BC0003</v>
          </cell>
          <cell r="C173" t="str">
            <v>Bases Matemáticas</v>
          </cell>
          <cell r="N173">
            <v>4</v>
          </cell>
          <cell r="O173">
            <v>0</v>
          </cell>
          <cell r="R173" t="str">
            <v>CMCC</v>
          </cell>
          <cell r="V173">
            <v>0</v>
          </cell>
        </row>
        <row r="174">
          <cell r="A174" t="str">
            <v>BC0003</v>
          </cell>
          <cell r="C174" t="str">
            <v>Bases Matemáticas</v>
          </cell>
          <cell r="N174">
            <v>4</v>
          </cell>
          <cell r="O174">
            <v>0</v>
          </cell>
          <cell r="R174" t="str">
            <v>CMCC</v>
          </cell>
          <cell r="V174">
            <v>0</v>
          </cell>
        </row>
        <row r="175">
          <cell r="A175" t="str">
            <v>BC0003</v>
          </cell>
          <cell r="C175" t="str">
            <v>Bases Matemáticas</v>
          </cell>
          <cell r="N175">
            <v>4</v>
          </cell>
          <cell r="O175">
            <v>0</v>
          </cell>
          <cell r="R175" t="str">
            <v>CMCC</v>
          </cell>
          <cell r="V175">
            <v>0</v>
          </cell>
        </row>
        <row r="176">
          <cell r="A176" t="str">
            <v>BC0003</v>
          </cell>
          <cell r="C176" t="str">
            <v>Bases Matemáticas</v>
          </cell>
          <cell r="N176">
            <v>4</v>
          </cell>
          <cell r="O176">
            <v>0</v>
          </cell>
          <cell r="R176" t="str">
            <v>CMCC</v>
          </cell>
          <cell r="V176">
            <v>0</v>
          </cell>
        </row>
        <row r="177">
          <cell r="A177" t="str">
            <v>EN3339</v>
          </cell>
          <cell r="C177" t="str">
            <v>Bioestatística</v>
          </cell>
          <cell r="N177">
            <v>3</v>
          </cell>
          <cell r="O177">
            <v>0</v>
          </cell>
          <cell r="R177" t="str">
            <v>CECS</v>
          </cell>
          <cell r="V177">
            <v>0</v>
          </cell>
        </row>
        <row r="178">
          <cell r="A178" t="str">
            <v>BC1308</v>
          </cell>
          <cell r="C178" t="str">
            <v>Biofísica</v>
          </cell>
          <cell r="N178">
            <v>4</v>
          </cell>
          <cell r="O178">
            <v>0</v>
          </cell>
          <cell r="R178" t="str">
            <v>CCNH</v>
          </cell>
          <cell r="V178">
            <v>0</v>
          </cell>
        </row>
        <row r="179">
          <cell r="A179" t="str">
            <v>BC1308</v>
          </cell>
          <cell r="C179" t="str">
            <v>Biofísica</v>
          </cell>
          <cell r="N179">
            <v>4</v>
          </cell>
          <cell r="O179">
            <v>0</v>
          </cell>
          <cell r="R179" t="str">
            <v>CCNH</v>
          </cell>
          <cell r="V179">
            <v>0</v>
          </cell>
        </row>
        <row r="180">
          <cell r="A180" t="str">
            <v>NH1703</v>
          </cell>
          <cell r="C180" t="str">
            <v>Biologia Animal I</v>
          </cell>
          <cell r="N180">
            <v>3</v>
          </cell>
          <cell r="O180">
            <v>2</v>
          </cell>
          <cell r="R180" t="str">
            <v>CCNH</v>
          </cell>
          <cell r="V180" t="str">
            <v>CCNH</v>
          </cell>
        </row>
        <row r="181">
          <cell r="A181" t="str">
            <v>NH1703</v>
          </cell>
          <cell r="C181" t="str">
            <v>Biologia Animal I</v>
          </cell>
          <cell r="N181">
            <v>3</v>
          </cell>
          <cell r="O181">
            <v>2</v>
          </cell>
          <cell r="R181" t="str">
            <v>CCNH</v>
          </cell>
          <cell r="V181" t="str">
            <v>CCNH</v>
          </cell>
        </row>
        <row r="182">
          <cell r="A182" t="str">
            <v>BC1320</v>
          </cell>
          <cell r="C182" t="str">
            <v>Biologia Molecular e Biotecnologia</v>
          </cell>
          <cell r="N182">
            <v>3</v>
          </cell>
          <cell r="O182">
            <v>0</v>
          </cell>
          <cell r="R182" t="str">
            <v>CCNH</v>
          </cell>
          <cell r="V182">
            <v>0</v>
          </cell>
        </row>
        <row r="183">
          <cell r="A183" t="str">
            <v>BC1320</v>
          </cell>
          <cell r="C183" t="str">
            <v>Biologia Molecular e Biotecnologia</v>
          </cell>
          <cell r="N183">
            <v>3</v>
          </cell>
          <cell r="O183">
            <v>0</v>
          </cell>
          <cell r="R183" t="str">
            <v>CCNH</v>
          </cell>
          <cell r="V183">
            <v>0</v>
          </cell>
        </row>
        <row r="184">
          <cell r="A184" t="str">
            <v>BC1320</v>
          </cell>
          <cell r="C184" t="str">
            <v>Biologia Molecular e Biotecnologia</v>
          </cell>
          <cell r="N184">
            <v>3</v>
          </cell>
          <cell r="O184">
            <v>0</v>
          </cell>
          <cell r="R184" t="str">
            <v>CCNH</v>
          </cell>
          <cell r="V184">
            <v>0</v>
          </cell>
        </row>
        <row r="185">
          <cell r="A185">
            <v>0</v>
          </cell>
          <cell r="C185">
            <v>0</v>
          </cell>
          <cell r="N185">
            <v>0</v>
          </cell>
          <cell r="O185">
            <v>0</v>
          </cell>
          <cell r="R185">
            <v>0</v>
          </cell>
          <cell r="V185">
            <v>0</v>
          </cell>
        </row>
        <row r="186">
          <cell r="A186" t="str">
            <v>NH1702</v>
          </cell>
          <cell r="C186" t="str">
            <v>Biologia Vegetal I</v>
          </cell>
          <cell r="N186">
            <v>3</v>
          </cell>
          <cell r="O186">
            <v>2</v>
          </cell>
          <cell r="R186" t="str">
            <v>CCNH</v>
          </cell>
          <cell r="V186" t="str">
            <v>CCNH</v>
          </cell>
        </row>
        <row r="187">
          <cell r="A187">
            <v>0</v>
          </cell>
          <cell r="C187">
            <v>0</v>
          </cell>
          <cell r="N187">
            <v>0</v>
          </cell>
          <cell r="O187">
            <v>0</v>
          </cell>
          <cell r="R187">
            <v>0</v>
          </cell>
          <cell r="V187">
            <v>0</v>
          </cell>
        </row>
        <row r="188">
          <cell r="A188" t="str">
            <v>EN2324</v>
          </cell>
          <cell r="C188" t="str">
            <v>Biossegurança</v>
          </cell>
          <cell r="N188">
            <v>4</v>
          </cell>
          <cell r="O188">
            <v>0</v>
          </cell>
          <cell r="R188" t="str">
            <v>CECS</v>
          </cell>
          <cell r="V188">
            <v>0</v>
          </cell>
        </row>
        <row r="189">
          <cell r="A189" t="str">
            <v>EN2324</v>
          </cell>
          <cell r="C189" t="str">
            <v>Biossegurança</v>
          </cell>
          <cell r="N189">
            <v>4</v>
          </cell>
          <cell r="O189">
            <v>0</v>
          </cell>
          <cell r="R189" t="str">
            <v>CECS</v>
          </cell>
          <cell r="V189">
            <v>0</v>
          </cell>
        </row>
        <row r="190">
          <cell r="A190" t="str">
            <v>BC1716</v>
          </cell>
          <cell r="C190" t="str">
            <v>Cálculo de Probabilidade</v>
          </cell>
          <cell r="N190">
            <v>4</v>
          </cell>
          <cell r="O190">
            <v>0</v>
          </cell>
          <cell r="R190" t="str">
            <v>CMCC</v>
          </cell>
          <cell r="V190">
            <v>0</v>
          </cell>
        </row>
        <row r="191">
          <cell r="A191" t="str">
            <v>BC1716</v>
          </cell>
          <cell r="C191" t="str">
            <v>Cálculo de Probabilidade</v>
          </cell>
          <cell r="N191">
            <v>4</v>
          </cell>
          <cell r="O191">
            <v>0</v>
          </cell>
          <cell r="R191" t="str">
            <v>CMCC</v>
          </cell>
          <cell r="V191">
            <v>0</v>
          </cell>
        </row>
        <row r="192">
          <cell r="A192" t="str">
            <v>BC1419</v>
          </cell>
          <cell r="C192" t="str">
            <v>Cálculo Numérico</v>
          </cell>
          <cell r="N192">
            <v>3</v>
          </cell>
          <cell r="O192">
            <v>1</v>
          </cell>
          <cell r="R192" t="str">
            <v>CMCC</v>
          </cell>
          <cell r="V192" t="str">
            <v>CMCC</v>
          </cell>
        </row>
        <row r="193">
          <cell r="A193" t="str">
            <v>BC1419</v>
          </cell>
          <cell r="C193" t="str">
            <v>Cálculo Numérico</v>
          </cell>
          <cell r="N193">
            <v>3</v>
          </cell>
          <cell r="O193">
            <v>1</v>
          </cell>
          <cell r="R193" t="str">
            <v>CMCC</v>
          </cell>
          <cell r="V193" t="str">
            <v>CMCC</v>
          </cell>
        </row>
        <row r="194">
          <cell r="A194" t="str">
            <v>BC1419</v>
          </cell>
          <cell r="C194" t="str">
            <v>Cálculo Numérico</v>
          </cell>
          <cell r="N194">
            <v>3</v>
          </cell>
          <cell r="O194">
            <v>1</v>
          </cell>
          <cell r="R194" t="str">
            <v>CMCC</v>
          </cell>
          <cell r="V194" t="str">
            <v>CMCC</v>
          </cell>
        </row>
        <row r="195">
          <cell r="A195" t="str">
            <v>BC1419</v>
          </cell>
          <cell r="C195" t="str">
            <v>Cálculo Numérico</v>
          </cell>
          <cell r="N195">
            <v>3</v>
          </cell>
          <cell r="O195">
            <v>1</v>
          </cell>
          <cell r="R195" t="str">
            <v>CMCC</v>
          </cell>
          <cell r="V195" t="str">
            <v>CMCC</v>
          </cell>
        </row>
        <row r="196">
          <cell r="A196" t="str">
            <v>BC1419</v>
          </cell>
          <cell r="C196" t="str">
            <v>Cálculo Numérico</v>
          </cell>
          <cell r="N196">
            <v>3</v>
          </cell>
          <cell r="O196">
            <v>1</v>
          </cell>
          <cell r="R196" t="str">
            <v>CMCC</v>
          </cell>
          <cell r="V196" t="str">
            <v>CMCC</v>
          </cell>
        </row>
        <row r="197">
          <cell r="A197" t="str">
            <v>BC1419</v>
          </cell>
          <cell r="C197" t="str">
            <v>Cálculo Numérico</v>
          </cell>
          <cell r="N197">
            <v>3</v>
          </cell>
          <cell r="O197">
            <v>1</v>
          </cell>
          <cell r="R197" t="str">
            <v>CMCC</v>
          </cell>
          <cell r="V197" t="str">
            <v>CMCC</v>
          </cell>
        </row>
        <row r="198">
          <cell r="A198" t="str">
            <v>EN2137</v>
          </cell>
          <cell r="C198" t="str">
            <v>Caracterização de Matrizes Ambientais</v>
          </cell>
          <cell r="N198">
            <v>0</v>
          </cell>
          <cell r="O198">
            <v>2</v>
          </cell>
          <cell r="R198" t="str">
            <v>CECS</v>
          </cell>
          <cell r="V198" t="str">
            <v>CECS</v>
          </cell>
        </row>
        <row r="199">
          <cell r="A199" t="str">
            <v>EN2137</v>
          </cell>
          <cell r="C199" t="str">
            <v>Caracterização de Matrizes Ambientais</v>
          </cell>
          <cell r="N199">
            <v>0</v>
          </cell>
          <cell r="O199">
            <v>2</v>
          </cell>
          <cell r="R199" t="str">
            <v>CECS</v>
          </cell>
          <cell r="V199" t="str">
            <v>CECS</v>
          </cell>
        </row>
        <row r="200">
          <cell r="A200" t="str">
            <v>EN2137</v>
          </cell>
          <cell r="C200" t="str">
            <v>Caracterização de Matrizes Ambientais</v>
          </cell>
          <cell r="N200">
            <v>0</v>
          </cell>
          <cell r="O200">
            <v>2</v>
          </cell>
          <cell r="R200" t="str">
            <v>CECS</v>
          </cell>
          <cell r="V200" t="str">
            <v>CECS</v>
          </cell>
        </row>
        <row r="201">
          <cell r="A201" t="str">
            <v>EN2137</v>
          </cell>
          <cell r="C201" t="str">
            <v>Caracterização de Matrizes Ambientais</v>
          </cell>
          <cell r="N201">
            <v>0</v>
          </cell>
          <cell r="O201">
            <v>2</v>
          </cell>
          <cell r="R201" t="str">
            <v>CECS</v>
          </cell>
          <cell r="V201" t="str">
            <v>CECS</v>
          </cell>
        </row>
        <row r="202">
          <cell r="A202" t="str">
            <v>BC0603</v>
          </cell>
          <cell r="C202" t="str">
            <v>Ciência, Tecnologia e Sociedade</v>
          </cell>
          <cell r="N202">
            <v>3</v>
          </cell>
          <cell r="O202">
            <v>0</v>
          </cell>
          <cell r="R202" t="str">
            <v>CECS</v>
          </cell>
          <cell r="V202">
            <v>0</v>
          </cell>
        </row>
        <row r="203">
          <cell r="A203" t="str">
            <v>BC0603</v>
          </cell>
          <cell r="C203" t="str">
            <v>Ciência, Tecnologia e Sociedade</v>
          </cell>
          <cell r="N203">
            <v>3</v>
          </cell>
          <cell r="O203">
            <v>0</v>
          </cell>
          <cell r="R203" t="str">
            <v>CECS</v>
          </cell>
          <cell r="V203">
            <v>0</v>
          </cell>
        </row>
        <row r="204">
          <cell r="A204" t="str">
            <v>BC0603</v>
          </cell>
          <cell r="C204" t="str">
            <v>Ciência, Tecnologia e Sociedade</v>
          </cell>
          <cell r="N204">
            <v>3</v>
          </cell>
          <cell r="O204">
            <v>0</v>
          </cell>
          <cell r="R204" t="str">
            <v>CECS</v>
          </cell>
          <cell r="V204">
            <v>0</v>
          </cell>
        </row>
        <row r="205">
          <cell r="A205" t="str">
            <v>BC0603</v>
          </cell>
          <cell r="C205" t="str">
            <v>Ciência, Tecnologia e Sociedade</v>
          </cell>
          <cell r="N205">
            <v>3</v>
          </cell>
          <cell r="O205">
            <v>0</v>
          </cell>
          <cell r="R205" t="str">
            <v>CECS</v>
          </cell>
          <cell r="V205">
            <v>0</v>
          </cell>
        </row>
        <row r="206">
          <cell r="A206" t="str">
            <v>BC0603</v>
          </cell>
          <cell r="C206" t="str">
            <v>Ciência, Tecnologia e Sociedade</v>
          </cell>
          <cell r="N206">
            <v>3</v>
          </cell>
          <cell r="O206">
            <v>0</v>
          </cell>
          <cell r="R206" t="str">
            <v>CECS</v>
          </cell>
          <cell r="V206">
            <v>0</v>
          </cell>
        </row>
        <row r="207">
          <cell r="A207">
            <v>0</v>
          </cell>
          <cell r="C207">
            <v>0</v>
          </cell>
          <cell r="N207">
            <v>0</v>
          </cell>
          <cell r="O207">
            <v>0</v>
          </cell>
          <cell r="R207">
            <v>0</v>
          </cell>
          <cell r="V207">
            <v>0</v>
          </cell>
        </row>
        <row r="208">
          <cell r="A208" t="str">
            <v>BC0603</v>
          </cell>
          <cell r="C208" t="str">
            <v>Ciência, Tecnologia e Sociedade</v>
          </cell>
          <cell r="N208">
            <v>3</v>
          </cell>
          <cell r="O208">
            <v>0</v>
          </cell>
          <cell r="R208" t="str">
            <v>CECS</v>
          </cell>
          <cell r="V208">
            <v>0</v>
          </cell>
        </row>
        <row r="209">
          <cell r="A209" t="str">
            <v>BC0603</v>
          </cell>
          <cell r="C209" t="str">
            <v>Ciência, Tecnologia e Sociedade</v>
          </cell>
          <cell r="N209">
            <v>3</v>
          </cell>
          <cell r="O209">
            <v>0</v>
          </cell>
          <cell r="R209" t="str">
            <v>CECS</v>
          </cell>
          <cell r="V209">
            <v>0</v>
          </cell>
        </row>
        <row r="210">
          <cell r="A210" t="str">
            <v>BC0603</v>
          </cell>
          <cell r="C210" t="str">
            <v>Ciência, Tecnologia e Sociedade</v>
          </cell>
          <cell r="N210">
            <v>3</v>
          </cell>
          <cell r="O210">
            <v>0</v>
          </cell>
          <cell r="R210" t="str">
            <v>CECS</v>
          </cell>
          <cell r="V210">
            <v>0</v>
          </cell>
        </row>
        <row r="211">
          <cell r="A211" t="str">
            <v>EN2321</v>
          </cell>
          <cell r="C211" t="str">
            <v>Ciências dos Materiais Biocompatíveis</v>
          </cell>
          <cell r="N211">
            <v>3</v>
          </cell>
          <cell r="O211">
            <v>1</v>
          </cell>
          <cell r="R211" t="str">
            <v>CECS</v>
          </cell>
          <cell r="V211" t="str">
            <v>CECS</v>
          </cell>
        </row>
        <row r="212">
          <cell r="A212" t="str">
            <v>EN2321</v>
          </cell>
          <cell r="C212" t="str">
            <v>Ciências dos Materiais Biocompatíveis</v>
          </cell>
          <cell r="N212">
            <v>3</v>
          </cell>
          <cell r="O212">
            <v>1</v>
          </cell>
          <cell r="R212" t="str">
            <v>CECS</v>
          </cell>
          <cell r="V212" t="str">
            <v>CECS</v>
          </cell>
        </row>
        <row r="213">
          <cell r="A213" t="str">
            <v>BC1519</v>
          </cell>
          <cell r="C213" t="str">
            <v>Circuitos Elétricos e Fotônica</v>
          </cell>
          <cell r="N213">
            <v>3</v>
          </cell>
          <cell r="O213">
            <v>1</v>
          </cell>
          <cell r="R213" t="str">
            <v>CECS</v>
          </cell>
          <cell r="V213" t="str">
            <v>CECS</v>
          </cell>
        </row>
        <row r="214">
          <cell r="A214" t="str">
            <v>BC1519</v>
          </cell>
          <cell r="C214" t="str">
            <v>Circuitos Elétricos e Fotônica</v>
          </cell>
          <cell r="N214">
            <v>3</v>
          </cell>
          <cell r="O214">
            <v>1</v>
          </cell>
          <cell r="R214" t="str">
            <v>CECS</v>
          </cell>
          <cell r="V214" t="str">
            <v>CECS</v>
          </cell>
        </row>
        <row r="215">
          <cell r="A215" t="str">
            <v>BC1519</v>
          </cell>
          <cell r="C215" t="str">
            <v>Circuitos Elétricos e Fotônica</v>
          </cell>
          <cell r="N215">
            <v>0</v>
          </cell>
          <cell r="O215">
            <v>1</v>
          </cell>
          <cell r="R215" t="e">
            <v>#N/A</v>
          </cell>
          <cell r="V215" t="str">
            <v>CECS</v>
          </cell>
        </row>
        <row r="216">
          <cell r="A216" t="str">
            <v>BC1519</v>
          </cell>
          <cell r="C216" t="str">
            <v>Circuitos Elétricos e Fotônica</v>
          </cell>
          <cell r="N216">
            <v>0</v>
          </cell>
          <cell r="O216">
            <v>1</v>
          </cell>
          <cell r="R216" t="e">
            <v>#N/A</v>
          </cell>
          <cell r="V216" t="str">
            <v>CECS</v>
          </cell>
        </row>
        <row r="217">
          <cell r="A217" t="str">
            <v>BC1519</v>
          </cell>
          <cell r="C217" t="str">
            <v>Circuitos Elétricos e Fotônica</v>
          </cell>
          <cell r="N217">
            <v>3</v>
          </cell>
          <cell r="O217">
            <v>1</v>
          </cell>
          <cell r="R217" t="str">
            <v>CECS</v>
          </cell>
          <cell r="V217" t="str">
            <v>CECS</v>
          </cell>
        </row>
        <row r="218">
          <cell r="A218" t="str">
            <v>BC1519</v>
          </cell>
          <cell r="C218" t="str">
            <v>Circuitos Elétricos e Fotônica</v>
          </cell>
          <cell r="N218">
            <v>3</v>
          </cell>
          <cell r="O218">
            <v>1</v>
          </cell>
          <cell r="R218" t="str">
            <v>CECS</v>
          </cell>
          <cell r="V218" t="str">
            <v>CECS</v>
          </cell>
        </row>
        <row r="219">
          <cell r="A219" t="str">
            <v>BC1519</v>
          </cell>
          <cell r="C219" t="str">
            <v>Circuitos Elétricos e Fotônica</v>
          </cell>
          <cell r="N219">
            <v>0</v>
          </cell>
          <cell r="O219">
            <v>1</v>
          </cell>
          <cell r="R219" t="e">
            <v>#N/A</v>
          </cell>
          <cell r="V219" t="str">
            <v>CECS</v>
          </cell>
        </row>
        <row r="220">
          <cell r="A220" t="str">
            <v>BC1519</v>
          </cell>
          <cell r="C220" t="str">
            <v>Circuitos Elétricos e Fotônica</v>
          </cell>
          <cell r="N220">
            <v>0</v>
          </cell>
          <cell r="O220">
            <v>1</v>
          </cell>
          <cell r="R220" t="e">
            <v>#N/A</v>
          </cell>
          <cell r="V220" t="str">
            <v>CECS</v>
          </cell>
        </row>
        <row r="221">
          <cell r="A221" t="str">
            <v>BC1519</v>
          </cell>
          <cell r="C221" t="str">
            <v>Circuitos Elétricos e Fotônica</v>
          </cell>
          <cell r="N221">
            <v>3</v>
          </cell>
          <cell r="O221">
            <v>1</v>
          </cell>
          <cell r="R221" t="str">
            <v>CECS</v>
          </cell>
          <cell r="V221" t="str">
            <v>CECS</v>
          </cell>
        </row>
        <row r="222">
          <cell r="A222" t="str">
            <v>BC1519</v>
          </cell>
          <cell r="C222" t="str">
            <v>Circuitos Elétricos e Fotônica</v>
          </cell>
          <cell r="N222">
            <v>0</v>
          </cell>
          <cell r="O222">
            <v>1</v>
          </cell>
          <cell r="R222" t="str">
            <v>CECS</v>
          </cell>
          <cell r="V222" t="str">
            <v>CECS</v>
          </cell>
        </row>
        <row r="223">
          <cell r="A223" t="str">
            <v>BC1519</v>
          </cell>
          <cell r="C223" t="str">
            <v>Circuitos Elétricos e Fotônica</v>
          </cell>
          <cell r="N223">
            <v>3</v>
          </cell>
          <cell r="O223">
            <v>1</v>
          </cell>
          <cell r="R223" t="str">
            <v>CECS</v>
          </cell>
          <cell r="V223" t="str">
            <v>CECS</v>
          </cell>
        </row>
        <row r="224">
          <cell r="A224" t="str">
            <v>BC1519</v>
          </cell>
          <cell r="C224" t="str">
            <v>Circuitos Elétricos e Fotônica</v>
          </cell>
          <cell r="N224">
            <v>0</v>
          </cell>
          <cell r="O224">
            <v>1</v>
          </cell>
          <cell r="R224" t="str">
            <v>CECS</v>
          </cell>
          <cell r="V224" t="str">
            <v>CECS</v>
          </cell>
        </row>
        <row r="225">
          <cell r="A225" t="str">
            <v>EN3707</v>
          </cell>
          <cell r="C225" t="str">
            <v>Circuitos Hidráulicos e Pneumáticos</v>
          </cell>
          <cell r="N225">
            <v>3</v>
          </cell>
          <cell r="O225">
            <v>1</v>
          </cell>
          <cell r="R225" t="str">
            <v>CECS</v>
          </cell>
          <cell r="V225" t="str">
            <v>CECS</v>
          </cell>
        </row>
        <row r="226">
          <cell r="A226" t="str">
            <v>EN3707</v>
          </cell>
          <cell r="C226" t="str">
            <v>Circuitos Hidráulicos e Pneumáticos</v>
          </cell>
          <cell r="N226">
            <v>3</v>
          </cell>
          <cell r="O226">
            <v>1</v>
          </cell>
          <cell r="R226" t="str">
            <v>CECS</v>
          </cell>
          <cell r="V226" t="str">
            <v>CECS</v>
          </cell>
        </row>
        <row r="227">
          <cell r="A227" t="str">
            <v>NH1004</v>
          </cell>
          <cell r="C227" t="str">
            <v>Citogenética Básica</v>
          </cell>
          <cell r="N227">
            <v>3</v>
          </cell>
          <cell r="O227">
            <v>2</v>
          </cell>
          <cell r="R227" t="str">
            <v>CCNH</v>
          </cell>
          <cell r="V227" t="str">
            <v>CCNH</v>
          </cell>
        </row>
        <row r="228">
          <cell r="A228" t="str">
            <v>EN4124</v>
          </cell>
          <cell r="C228" t="str">
            <v>Clima Urbano</v>
          </cell>
          <cell r="N228">
            <v>3</v>
          </cell>
          <cell r="O228">
            <v>1</v>
          </cell>
          <cell r="R228" t="str">
            <v>CECS</v>
          </cell>
          <cell r="V228" t="str">
            <v>CECS</v>
          </cell>
        </row>
        <row r="229">
          <cell r="A229" t="str">
            <v>EN4124</v>
          </cell>
          <cell r="C229" t="str">
            <v>Clima Urbano</v>
          </cell>
          <cell r="N229">
            <v>3</v>
          </cell>
          <cell r="O229">
            <v>1</v>
          </cell>
          <cell r="R229" t="str">
            <v>CECS</v>
          </cell>
          <cell r="V229" t="str">
            <v>CECS</v>
          </cell>
        </row>
        <row r="230">
          <cell r="A230" t="str">
            <v>BC1515</v>
          </cell>
          <cell r="C230" t="str">
            <v>Computação Gráfica</v>
          </cell>
          <cell r="N230">
            <v>3</v>
          </cell>
          <cell r="O230">
            <v>1</v>
          </cell>
          <cell r="R230" t="str">
            <v>CMCC</v>
          </cell>
          <cell r="V230" t="str">
            <v>CMCC</v>
          </cell>
        </row>
        <row r="231">
          <cell r="A231" t="str">
            <v>BC1515</v>
          </cell>
          <cell r="C231" t="str">
            <v>Computação Gráfica</v>
          </cell>
          <cell r="N231">
            <v>3</v>
          </cell>
          <cell r="O231">
            <v>1</v>
          </cell>
          <cell r="R231" t="str">
            <v>CMCC</v>
          </cell>
          <cell r="V231" t="str">
            <v>CMCC</v>
          </cell>
        </row>
        <row r="232">
          <cell r="A232" t="str">
            <v>BC0506</v>
          </cell>
          <cell r="C232" t="str">
            <v>Comunicação e Redes</v>
          </cell>
          <cell r="N232">
            <v>3</v>
          </cell>
          <cell r="O232">
            <v>0</v>
          </cell>
          <cell r="R232" t="str">
            <v>CMCC</v>
          </cell>
          <cell r="V232">
            <v>0</v>
          </cell>
        </row>
        <row r="233">
          <cell r="A233" t="str">
            <v>BC0506</v>
          </cell>
          <cell r="C233" t="str">
            <v>Comunicação e Redes</v>
          </cell>
          <cell r="N233">
            <v>3</v>
          </cell>
          <cell r="O233">
            <v>0</v>
          </cell>
          <cell r="R233" t="str">
            <v>CMCC</v>
          </cell>
          <cell r="V233">
            <v>0</v>
          </cell>
        </row>
        <row r="234">
          <cell r="A234" t="str">
            <v>BC0506</v>
          </cell>
          <cell r="C234" t="str">
            <v>Comunicação e Redes</v>
          </cell>
          <cell r="N234">
            <v>3</v>
          </cell>
          <cell r="O234">
            <v>0</v>
          </cell>
          <cell r="R234" t="str">
            <v>CMCC</v>
          </cell>
          <cell r="V234">
            <v>0</v>
          </cell>
        </row>
        <row r="235">
          <cell r="A235" t="str">
            <v>BC0506</v>
          </cell>
          <cell r="C235" t="str">
            <v>Comunicação e Redes</v>
          </cell>
          <cell r="N235">
            <v>3</v>
          </cell>
          <cell r="O235">
            <v>0</v>
          </cell>
          <cell r="R235" t="str">
            <v>CMCC</v>
          </cell>
          <cell r="V235">
            <v>0</v>
          </cell>
        </row>
        <row r="236">
          <cell r="A236" t="str">
            <v>EN2620</v>
          </cell>
          <cell r="C236" t="str">
            <v>Comunicações Móveis</v>
          </cell>
          <cell r="N236">
            <v>3</v>
          </cell>
          <cell r="O236">
            <v>1</v>
          </cell>
          <cell r="R236" t="str">
            <v>CECS</v>
          </cell>
          <cell r="V236" t="str">
            <v>CECS</v>
          </cell>
        </row>
        <row r="237">
          <cell r="A237" t="str">
            <v>EN2620</v>
          </cell>
          <cell r="C237" t="str">
            <v>Comunicações Móveis</v>
          </cell>
          <cell r="N237">
            <v>3</v>
          </cell>
          <cell r="O237">
            <v>1</v>
          </cell>
          <cell r="R237" t="str">
            <v>CECS</v>
          </cell>
          <cell r="V237" t="str">
            <v>CECS</v>
          </cell>
        </row>
        <row r="238">
          <cell r="A238" t="str">
            <v>EN3722</v>
          </cell>
          <cell r="C238" t="str">
            <v>Confiabilidade de Componentes e Sistemas</v>
          </cell>
          <cell r="N238">
            <v>3</v>
          </cell>
          <cell r="O238">
            <v>0</v>
          </cell>
          <cell r="R238" t="str">
            <v>CECS</v>
          </cell>
          <cell r="V238">
            <v>0</v>
          </cell>
        </row>
        <row r="239">
          <cell r="A239" t="str">
            <v>EN3722</v>
          </cell>
          <cell r="C239" t="str">
            <v>Confiabilidade de Componentes e Sistemas</v>
          </cell>
          <cell r="N239">
            <v>3</v>
          </cell>
          <cell r="O239">
            <v>0</v>
          </cell>
          <cell r="R239" t="str">
            <v>CECS</v>
          </cell>
          <cell r="V239">
            <v>0</v>
          </cell>
        </row>
        <row r="240">
          <cell r="A240" t="str">
            <v>EN3538</v>
          </cell>
          <cell r="C240" t="str">
            <v>Confiabilidade Industrial em Sistemas de Gestão</v>
          </cell>
          <cell r="N240">
            <v>2</v>
          </cell>
          <cell r="O240">
            <v>2</v>
          </cell>
          <cell r="R240" t="str">
            <v>CECS</v>
          </cell>
          <cell r="V240" t="str">
            <v>CECS</v>
          </cell>
        </row>
        <row r="241">
          <cell r="A241" t="str">
            <v>BH1300</v>
          </cell>
          <cell r="C241" t="str">
            <v>Conflitos Sociais</v>
          </cell>
          <cell r="N241">
            <v>4</v>
          </cell>
          <cell r="O241">
            <v>0</v>
          </cell>
          <cell r="R241" t="str">
            <v>CECS</v>
          </cell>
          <cell r="V241">
            <v>0</v>
          </cell>
        </row>
        <row r="242">
          <cell r="A242" t="str">
            <v>BH1300</v>
          </cell>
          <cell r="C242" t="str">
            <v>Conflitos Sociais</v>
          </cell>
          <cell r="N242">
            <v>4</v>
          </cell>
          <cell r="O242">
            <v>0</v>
          </cell>
          <cell r="R242" t="str">
            <v>CECS</v>
          </cell>
          <cell r="V242">
            <v>0</v>
          </cell>
        </row>
        <row r="243">
          <cell r="A243" t="str">
            <v>EN3711</v>
          </cell>
          <cell r="C243" t="str">
            <v>Controle Discreto</v>
          </cell>
          <cell r="N243">
            <v>3</v>
          </cell>
          <cell r="O243">
            <v>1</v>
          </cell>
          <cell r="R243" t="str">
            <v>CECS</v>
          </cell>
          <cell r="V243" t="str">
            <v>CECS</v>
          </cell>
        </row>
        <row r="244">
          <cell r="A244" t="str">
            <v>EN3710</v>
          </cell>
          <cell r="C244" t="str">
            <v>Controle Não-Linear</v>
          </cell>
          <cell r="N244">
            <v>3</v>
          </cell>
          <cell r="O244">
            <v>1</v>
          </cell>
          <cell r="R244" t="str">
            <v>CECS</v>
          </cell>
          <cell r="V244" t="str">
            <v>CECS</v>
          </cell>
        </row>
        <row r="245">
          <cell r="A245" t="str">
            <v>EN3709</v>
          </cell>
          <cell r="C245" t="str">
            <v>Controle Robusto Multivariável</v>
          </cell>
          <cell r="N245">
            <v>3</v>
          </cell>
          <cell r="O245">
            <v>1</v>
          </cell>
          <cell r="R245" t="str">
            <v>CECS</v>
          </cell>
          <cell r="V245" t="str">
            <v>CECS</v>
          </cell>
        </row>
        <row r="246">
          <cell r="A246" t="str">
            <v>EN2532</v>
          </cell>
          <cell r="C246" t="str">
            <v>Custos</v>
          </cell>
          <cell r="N246">
            <v>4</v>
          </cell>
          <cell r="O246">
            <v>2</v>
          </cell>
          <cell r="R246" t="str">
            <v>CECS</v>
          </cell>
          <cell r="V246" t="str">
            <v>CECS</v>
          </cell>
        </row>
        <row r="247">
          <cell r="A247" t="str">
            <v>EN2226</v>
          </cell>
          <cell r="C247" t="str">
            <v>Desempenho de Aeronaves</v>
          </cell>
          <cell r="N247">
            <v>4</v>
          </cell>
          <cell r="O247">
            <v>0</v>
          </cell>
          <cell r="R247" t="str">
            <v>CECS</v>
          </cell>
          <cell r="V247">
            <v>0</v>
          </cell>
        </row>
        <row r="248">
          <cell r="A248" t="str">
            <v>BH0102</v>
          </cell>
          <cell r="C248" t="str">
            <v>Desenvolvimento e Sustentabilidade</v>
          </cell>
          <cell r="N248">
            <v>4</v>
          </cell>
          <cell r="O248">
            <v>0</v>
          </cell>
          <cell r="R248" t="str">
            <v>CECS</v>
          </cell>
          <cell r="V248">
            <v>0</v>
          </cell>
        </row>
        <row r="249">
          <cell r="A249" t="str">
            <v>BH0102</v>
          </cell>
          <cell r="C249" t="str">
            <v>Desenvolvimento e Sustentabilidade</v>
          </cell>
          <cell r="N249">
            <v>4</v>
          </cell>
          <cell r="O249">
            <v>0</v>
          </cell>
          <cell r="R249" t="str">
            <v>CECS</v>
          </cell>
          <cell r="V249">
            <v>0</v>
          </cell>
        </row>
        <row r="250">
          <cell r="A250" t="str">
            <v>BH0102</v>
          </cell>
          <cell r="C250" t="str">
            <v>Desenvolvimento e Sustentabilidade</v>
          </cell>
          <cell r="N250">
            <v>4</v>
          </cell>
          <cell r="O250">
            <v>0</v>
          </cell>
          <cell r="R250" t="str">
            <v>CECS</v>
          </cell>
          <cell r="V250">
            <v>0</v>
          </cell>
        </row>
        <row r="251">
          <cell r="A251" t="str">
            <v>BH0102</v>
          </cell>
          <cell r="C251" t="str">
            <v>Desenvolvimento e Sustentabilidade</v>
          </cell>
          <cell r="N251">
            <v>4</v>
          </cell>
          <cell r="O251">
            <v>0</v>
          </cell>
          <cell r="R251" t="str">
            <v>CECS</v>
          </cell>
          <cell r="V251">
            <v>0</v>
          </cell>
        </row>
        <row r="252">
          <cell r="A252" t="str">
            <v>BH0102</v>
          </cell>
          <cell r="C252" t="str">
            <v>Desenvolvimento e Sustentabilidade</v>
          </cell>
          <cell r="N252">
            <v>4</v>
          </cell>
          <cell r="O252">
            <v>0</v>
          </cell>
          <cell r="R252" t="str">
            <v>CECS</v>
          </cell>
          <cell r="V252">
            <v>0</v>
          </cell>
        </row>
        <row r="253">
          <cell r="A253" t="str">
            <v>BH0102</v>
          </cell>
          <cell r="C253" t="str">
            <v>Desenvolvimento e Sustentabilidade</v>
          </cell>
          <cell r="N253">
            <v>4</v>
          </cell>
          <cell r="O253">
            <v>0</v>
          </cell>
          <cell r="R253" t="str">
            <v>CECS</v>
          </cell>
          <cell r="V253">
            <v>0</v>
          </cell>
        </row>
        <row r="254">
          <cell r="A254" t="str">
            <v>CS3401</v>
          </cell>
          <cell r="C254" t="str">
            <v>Desenvolvimento Humano e Pobreza Urbana</v>
          </cell>
          <cell r="N254">
            <v>4</v>
          </cell>
          <cell r="O254">
            <v>0</v>
          </cell>
          <cell r="R254" t="str">
            <v>CECS</v>
          </cell>
          <cell r="V254">
            <v>0</v>
          </cell>
        </row>
        <row r="255">
          <cell r="A255" t="str">
            <v>CS3401</v>
          </cell>
          <cell r="C255" t="str">
            <v>Desenvolvimento Humano e Pobreza Urbana</v>
          </cell>
          <cell r="N255">
            <v>4</v>
          </cell>
          <cell r="O255">
            <v>0</v>
          </cell>
          <cell r="R255" t="str">
            <v>CECS</v>
          </cell>
          <cell r="V255">
            <v>0</v>
          </cell>
        </row>
        <row r="256">
          <cell r="A256" t="str">
            <v>EN3809</v>
          </cell>
          <cell r="C256" t="str">
            <v>Diagramas de Fase</v>
          </cell>
          <cell r="N256">
            <v>4</v>
          </cell>
          <cell r="O256">
            <v>0</v>
          </cell>
          <cell r="R256" t="str">
            <v>CECS</v>
          </cell>
          <cell r="V256">
            <v>0</v>
          </cell>
        </row>
        <row r="257">
          <cell r="A257" t="str">
            <v>BC1627</v>
          </cell>
          <cell r="C257" t="str">
            <v>Didática</v>
          </cell>
          <cell r="N257">
            <v>4</v>
          </cell>
          <cell r="O257">
            <v>0</v>
          </cell>
          <cell r="R257" t="e">
            <v>#N/A</v>
          </cell>
          <cell r="V257">
            <v>0</v>
          </cell>
        </row>
        <row r="258">
          <cell r="A258" t="str">
            <v>BC1627</v>
          </cell>
          <cell r="C258" t="str">
            <v>Didática</v>
          </cell>
          <cell r="N258">
            <v>4</v>
          </cell>
          <cell r="O258">
            <v>0</v>
          </cell>
          <cell r="R258" t="str">
            <v>CMCC</v>
          </cell>
          <cell r="V258">
            <v>0</v>
          </cell>
        </row>
        <row r="259">
          <cell r="A259" t="str">
            <v>BC1627</v>
          </cell>
          <cell r="C259" t="str">
            <v>Didática</v>
          </cell>
          <cell r="N259">
            <v>4</v>
          </cell>
          <cell r="O259">
            <v>0</v>
          </cell>
          <cell r="R259" t="e">
            <v>#N/A</v>
          </cell>
          <cell r="V259">
            <v>0</v>
          </cell>
        </row>
        <row r="260">
          <cell r="A260" t="str">
            <v>BC1627</v>
          </cell>
          <cell r="C260" t="str">
            <v>Didática</v>
          </cell>
          <cell r="N260">
            <v>4</v>
          </cell>
          <cell r="O260">
            <v>0</v>
          </cell>
          <cell r="R260" t="str">
            <v>CMCC</v>
          </cell>
          <cell r="V260">
            <v>0</v>
          </cell>
        </row>
        <row r="261">
          <cell r="A261" t="str">
            <v>BC1627</v>
          </cell>
          <cell r="C261" t="str">
            <v>Didática</v>
          </cell>
          <cell r="N261">
            <v>4</v>
          </cell>
          <cell r="O261">
            <v>0</v>
          </cell>
          <cell r="R261" t="str">
            <v>CMCC</v>
          </cell>
          <cell r="V261">
            <v>0</v>
          </cell>
        </row>
        <row r="262">
          <cell r="A262" t="str">
            <v>BC1627</v>
          </cell>
          <cell r="C262" t="str">
            <v>Didática</v>
          </cell>
          <cell r="N262">
            <v>4</v>
          </cell>
          <cell r="O262">
            <v>0</v>
          </cell>
          <cell r="R262" t="e">
            <v>#N/A</v>
          </cell>
          <cell r="V262">
            <v>0</v>
          </cell>
        </row>
        <row r="263">
          <cell r="A263" t="str">
            <v>EN2219</v>
          </cell>
          <cell r="C263" t="str">
            <v>Dinâmica e Controle de Veículos Espaciais</v>
          </cell>
          <cell r="N263">
            <v>4</v>
          </cell>
          <cell r="O263">
            <v>0</v>
          </cell>
          <cell r="R263" t="str">
            <v>CECS</v>
          </cell>
          <cell r="V263">
            <v>0</v>
          </cell>
        </row>
        <row r="264">
          <cell r="A264" t="str">
            <v>EN2223</v>
          </cell>
          <cell r="C264" t="str">
            <v>Dinâmica I</v>
          </cell>
          <cell r="N264">
            <v>4</v>
          </cell>
          <cell r="O264">
            <v>0</v>
          </cell>
          <cell r="R264" t="str">
            <v>CECS</v>
          </cell>
          <cell r="V264">
            <v>0</v>
          </cell>
        </row>
        <row r="265">
          <cell r="A265" t="str">
            <v>EN3237</v>
          </cell>
          <cell r="C265" t="str">
            <v>Dinâmica II</v>
          </cell>
          <cell r="N265">
            <v>4</v>
          </cell>
          <cell r="O265">
            <v>0</v>
          </cell>
          <cell r="R265" t="str">
            <v>CECS</v>
          </cell>
          <cell r="V265">
            <v>0</v>
          </cell>
        </row>
        <row r="266">
          <cell r="A266" t="str">
            <v>NH1005</v>
          </cell>
          <cell r="C266" t="str">
            <v>Ecologia Animal</v>
          </cell>
          <cell r="N266">
            <v>4</v>
          </cell>
          <cell r="O266">
            <v>0</v>
          </cell>
          <cell r="R266" t="str">
            <v>CCNH</v>
          </cell>
          <cell r="V266">
            <v>0</v>
          </cell>
        </row>
        <row r="267">
          <cell r="A267" t="str">
            <v>NH1005</v>
          </cell>
          <cell r="C267" t="str">
            <v>Ecologia Animal</v>
          </cell>
          <cell r="N267">
            <v>4</v>
          </cell>
          <cell r="O267">
            <v>0</v>
          </cell>
          <cell r="R267" t="str">
            <v>CENTRO</v>
          </cell>
          <cell r="V267">
            <v>0</v>
          </cell>
        </row>
        <row r="268">
          <cell r="A268" t="str">
            <v>BH1136</v>
          </cell>
          <cell r="C268" t="str">
            <v>Econometria III</v>
          </cell>
          <cell r="N268">
            <v>4</v>
          </cell>
          <cell r="O268">
            <v>0</v>
          </cell>
          <cell r="R268" t="str">
            <v>CECS</v>
          </cell>
          <cell r="V268">
            <v>0</v>
          </cell>
        </row>
        <row r="269">
          <cell r="A269" t="str">
            <v>BH1136</v>
          </cell>
          <cell r="C269" t="str">
            <v>Econometria III</v>
          </cell>
          <cell r="N269">
            <v>4</v>
          </cell>
          <cell r="O269">
            <v>0</v>
          </cell>
          <cell r="R269" t="str">
            <v>CECS</v>
          </cell>
          <cell r="V269">
            <v>0</v>
          </cell>
        </row>
        <row r="270">
          <cell r="A270" t="str">
            <v>BH1137</v>
          </cell>
          <cell r="C270" t="str">
            <v>Economia Brasileira Contemporânea III</v>
          </cell>
          <cell r="N270">
            <v>3</v>
          </cell>
          <cell r="O270">
            <v>0</v>
          </cell>
          <cell r="R270" t="str">
            <v>CECS</v>
          </cell>
          <cell r="V270">
            <v>0</v>
          </cell>
        </row>
        <row r="271">
          <cell r="A271" t="str">
            <v>BH1137</v>
          </cell>
          <cell r="C271" t="str">
            <v>Economia Brasileira Contemporânea III</v>
          </cell>
          <cell r="N271">
            <v>3</v>
          </cell>
          <cell r="O271">
            <v>0</v>
          </cell>
          <cell r="R271" t="str">
            <v>CECS</v>
          </cell>
          <cell r="V271">
            <v>0</v>
          </cell>
        </row>
        <row r="272">
          <cell r="A272" t="str">
            <v>EN2418</v>
          </cell>
          <cell r="C272" t="str">
            <v>Economia da Energia</v>
          </cell>
          <cell r="N272">
            <v>2</v>
          </cell>
          <cell r="O272">
            <v>0</v>
          </cell>
          <cell r="R272" t="str">
            <v>CECS</v>
          </cell>
          <cell r="V272">
            <v>0</v>
          </cell>
        </row>
        <row r="273">
          <cell r="A273" t="str">
            <v>EN2533</v>
          </cell>
          <cell r="C273" t="str">
            <v>Economia de Empresas</v>
          </cell>
          <cell r="N273">
            <v>2</v>
          </cell>
          <cell r="O273">
            <v>0</v>
          </cell>
          <cell r="R273" t="str">
            <v>CECS</v>
          </cell>
          <cell r="V273">
            <v>0</v>
          </cell>
        </row>
        <row r="274">
          <cell r="A274" t="str">
            <v>EN2533</v>
          </cell>
          <cell r="C274" t="str">
            <v>Economia de Empresas</v>
          </cell>
          <cell r="N274">
            <v>2</v>
          </cell>
          <cell r="O274">
            <v>0</v>
          </cell>
          <cell r="R274" t="str">
            <v>CECS</v>
          </cell>
          <cell r="V274">
            <v>0</v>
          </cell>
        </row>
        <row r="275">
          <cell r="A275" t="str">
            <v>BH1120</v>
          </cell>
          <cell r="C275" t="str">
            <v>Economia e Meio Ambiente</v>
          </cell>
          <cell r="N275">
            <v>3</v>
          </cell>
          <cell r="O275">
            <v>0</v>
          </cell>
          <cell r="R275" t="str">
            <v>CECS</v>
          </cell>
          <cell r="V275">
            <v>0</v>
          </cell>
        </row>
        <row r="276">
          <cell r="A276" t="str">
            <v>BH1120</v>
          </cell>
          <cell r="C276" t="str">
            <v>Economia e Meio Ambiente</v>
          </cell>
          <cell r="N276">
            <v>3</v>
          </cell>
          <cell r="O276">
            <v>0</v>
          </cell>
          <cell r="R276" t="str">
            <v>CECS</v>
          </cell>
          <cell r="V276">
            <v>0</v>
          </cell>
        </row>
        <row r="277">
          <cell r="A277" t="str">
            <v>BH1115</v>
          </cell>
          <cell r="C277" t="str">
            <v>Economia Internacional II</v>
          </cell>
          <cell r="N277">
            <v>4</v>
          </cell>
          <cell r="O277">
            <v>0</v>
          </cell>
          <cell r="R277" t="str">
            <v>CECS</v>
          </cell>
          <cell r="V277">
            <v>0</v>
          </cell>
        </row>
        <row r="278">
          <cell r="A278" t="str">
            <v>BH1115</v>
          </cell>
          <cell r="C278" t="str">
            <v>Economia Internacional II</v>
          </cell>
          <cell r="N278">
            <v>4</v>
          </cell>
          <cell r="O278">
            <v>0</v>
          </cell>
          <cell r="R278" t="str">
            <v>CECS</v>
          </cell>
          <cell r="V278">
            <v>0</v>
          </cell>
        </row>
        <row r="279">
          <cell r="A279" t="str">
            <v>NH4105</v>
          </cell>
          <cell r="C279" t="str">
            <v>Educação à Distância e Novas Tecnologias</v>
          </cell>
          <cell r="N279">
            <v>3</v>
          </cell>
          <cell r="O279">
            <v>0</v>
          </cell>
          <cell r="R279" t="str">
            <v>CMCC</v>
          </cell>
          <cell r="V279">
            <v>0</v>
          </cell>
        </row>
        <row r="280">
          <cell r="A280" t="str">
            <v>NH4105</v>
          </cell>
          <cell r="C280" t="str">
            <v>Educação à Distância e Novas Tecnologias</v>
          </cell>
          <cell r="N280">
            <v>3</v>
          </cell>
          <cell r="O280">
            <v>0</v>
          </cell>
          <cell r="R280" t="str">
            <v>CMCC</v>
          </cell>
          <cell r="V280">
            <v>0</v>
          </cell>
        </row>
        <row r="281">
          <cell r="A281" t="str">
            <v>BC1602</v>
          </cell>
          <cell r="C281" t="str">
            <v>Educação Científica, Sociedade e Cultura</v>
          </cell>
          <cell r="N281">
            <v>4</v>
          </cell>
          <cell r="O281">
            <v>0</v>
          </cell>
          <cell r="R281" t="e">
            <v>#N/A</v>
          </cell>
          <cell r="V281">
            <v>0</v>
          </cell>
        </row>
        <row r="282">
          <cell r="A282" t="str">
            <v>BC1602</v>
          </cell>
          <cell r="C282" t="str">
            <v>Educação Científica, Sociedade e Cultura</v>
          </cell>
          <cell r="N282">
            <v>4</v>
          </cell>
          <cell r="O282">
            <v>0</v>
          </cell>
          <cell r="R282" t="e">
            <v>#N/A</v>
          </cell>
          <cell r="V282">
            <v>0</v>
          </cell>
        </row>
        <row r="283">
          <cell r="A283" t="str">
            <v>EN2521</v>
          </cell>
          <cell r="C283" t="str">
            <v>Elaboração, Análise e Avaliação de Projetos</v>
          </cell>
          <cell r="N283">
            <v>3</v>
          </cell>
          <cell r="O283">
            <v>1</v>
          </cell>
          <cell r="R283" t="str">
            <v>CECS</v>
          </cell>
          <cell r="V283" t="str">
            <v>CECS</v>
          </cell>
        </row>
        <row r="284">
          <cell r="A284" t="str">
            <v>NH3101</v>
          </cell>
          <cell r="C284" t="str">
            <v>Eletroanalítica e Técnicas de Separação</v>
          </cell>
          <cell r="N284">
            <v>2</v>
          </cell>
          <cell r="O284">
            <v>4</v>
          </cell>
          <cell r="R284" t="str">
            <v>CCNH</v>
          </cell>
          <cell r="V284" t="str">
            <v>CCNH</v>
          </cell>
        </row>
        <row r="285">
          <cell r="A285" t="str">
            <v>NH3101</v>
          </cell>
          <cell r="C285" t="str">
            <v>Eletroanalítica e Técnicas de Separação</v>
          </cell>
          <cell r="N285">
            <v>2</v>
          </cell>
          <cell r="O285">
            <v>4</v>
          </cell>
          <cell r="R285" t="str">
            <v>CCNH</v>
          </cell>
          <cell r="V285" t="str">
            <v>CCNH</v>
          </cell>
        </row>
        <row r="286">
          <cell r="A286" t="str">
            <v>EN2720</v>
          </cell>
          <cell r="C286" t="str">
            <v>Eletrônica Analógica Aplicada</v>
          </cell>
          <cell r="N286">
            <v>3</v>
          </cell>
          <cell r="O286">
            <v>2</v>
          </cell>
          <cell r="R286" t="str">
            <v>CECS</v>
          </cell>
          <cell r="V286" t="str">
            <v>CECS</v>
          </cell>
        </row>
        <row r="287">
          <cell r="A287" t="str">
            <v>EN2720</v>
          </cell>
          <cell r="C287" t="str">
            <v>Eletrônica Analógica Aplicada</v>
          </cell>
          <cell r="N287">
            <v>3</v>
          </cell>
          <cell r="O287">
            <v>2</v>
          </cell>
          <cell r="R287" t="str">
            <v>CECS</v>
          </cell>
          <cell r="V287" t="str">
            <v>CECS</v>
          </cell>
        </row>
        <row r="288">
          <cell r="A288" t="str">
            <v>EN2720</v>
          </cell>
          <cell r="C288" t="str">
            <v>Eletrônica Analógica Aplicada</v>
          </cell>
          <cell r="N288">
            <v>0</v>
          </cell>
          <cell r="O288">
            <v>2</v>
          </cell>
          <cell r="R288" t="str">
            <v>CECS</v>
          </cell>
          <cell r="V288" t="str">
            <v>CECS</v>
          </cell>
        </row>
        <row r="289">
          <cell r="A289" t="str">
            <v>EN2720</v>
          </cell>
          <cell r="C289" t="str">
            <v>Eletrônica Analógica Aplicada</v>
          </cell>
          <cell r="N289">
            <v>0</v>
          </cell>
          <cell r="O289">
            <v>2</v>
          </cell>
          <cell r="R289" t="str">
            <v>CECS</v>
          </cell>
          <cell r="V289" t="str">
            <v>CECS</v>
          </cell>
        </row>
        <row r="290">
          <cell r="A290" t="str">
            <v>EN2720</v>
          </cell>
          <cell r="C290" t="str">
            <v>Eletrônica Analógica Aplicada</v>
          </cell>
          <cell r="N290">
            <v>3</v>
          </cell>
          <cell r="O290">
            <v>2</v>
          </cell>
          <cell r="R290" t="str">
            <v>CECS</v>
          </cell>
          <cell r="V290" t="str">
            <v>CECS</v>
          </cell>
        </row>
        <row r="291">
          <cell r="A291" t="str">
            <v>EN2605</v>
          </cell>
          <cell r="C291" t="str">
            <v>Eletrônica Digital</v>
          </cell>
          <cell r="N291">
            <v>4</v>
          </cell>
          <cell r="O291">
            <v>2</v>
          </cell>
          <cell r="R291" t="str">
            <v>CECS</v>
          </cell>
          <cell r="V291" t="str">
            <v>CECS</v>
          </cell>
        </row>
        <row r="292">
          <cell r="A292" t="str">
            <v>EN2605</v>
          </cell>
          <cell r="C292" t="str">
            <v>Eletrônica Digital</v>
          </cell>
          <cell r="N292">
            <v>0</v>
          </cell>
          <cell r="O292">
            <v>2</v>
          </cell>
          <cell r="R292" t="str">
            <v>CECS</v>
          </cell>
          <cell r="V292" t="str">
            <v>CECS</v>
          </cell>
        </row>
        <row r="293">
          <cell r="A293" t="str">
            <v>EN2605</v>
          </cell>
          <cell r="C293" t="str">
            <v>Eletrônica Digital</v>
          </cell>
          <cell r="N293">
            <v>4</v>
          </cell>
          <cell r="O293">
            <v>2</v>
          </cell>
          <cell r="R293" t="str">
            <v>CECS</v>
          </cell>
          <cell r="V293" t="str">
            <v>CECS</v>
          </cell>
        </row>
        <row r="294">
          <cell r="A294" t="str">
            <v>EN2605</v>
          </cell>
          <cell r="C294" t="str">
            <v>Eletrônica Digital</v>
          </cell>
          <cell r="N294">
            <v>4</v>
          </cell>
          <cell r="O294">
            <v>2</v>
          </cell>
          <cell r="R294" t="str">
            <v>CECS</v>
          </cell>
          <cell r="V294" t="str">
            <v>CECS</v>
          </cell>
        </row>
        <row r="295">
          <cell r="A295" t="str">
            <v>EN3535</v>
          </cell>
          <cell r="C295" t="str">
            <v>Empreendedorismo</v>
          </cell>
          <cell r="N295">
            <v>2</v>
          </cell>
          <cell r="O295">
            <v>2</v>
          </cell>
          <cell r="R295" t="str">
            <v>CECS</v>
          </cell>
          <cell r="V295" t="str">
            <v>CECS</v>
          </cell>
        </row>
        <row r="296">
          <cell r="A296" t="str">
            <v>EN3535</v>
          </cell>
          <cell r="C296" t="str">
            <v>Empreendedorismo</v>
          </cell>
          <cell r="N296">
            <v>2</v>
          </cell>
          <cell r="O296">
            <v>2</v>
          </cell>
          <cell r="R296" t="str">
            <v>CECS</v>
          </cell>
          <cell r="V296" t="str">
            <v>CECS</v>
          </cell>
        </row>
        <row r="297">
          <cell r="A297" t="str">
            <v>EN3431</v>
          </cell>
          <cell r="C297" t="str">
            <v>Energia de Sistemas Solares Térmicos</v>
          </cell>
          <cell r="N297">
            <v>2</v>
          </cell>
          <cell r="O297">
            <v>0</v>
          </cell>
          <cell r="R297" t="str">
            <v>CECS</v>
          </cell>
          <cell r="V297">
            <v>0</v>
          </cell>
        </row>
        <row r="298">
          <cell r="A298" t="str">
            <v>EN2416</v>
          </cell>
          <cell r="C298" t="str">
            <v>Energia, Meio Ambiente e Sociedade</v>
          </cell>
          <cell r="N298">
            <v>4</v>
          </cell>
          <cell r="O298">
            <v>0</v>
          </cell>
          <cell r="R298" t="str">
            <v>CECS</v>
          </cell>
          <cell r="V298">
            <v>0</v>
          </cell>
        </row>
        <row r="299">
          <cell r="A299" t="str">
            <v>BC0207</v>
          </cell>
          <cell r="C299" t="str">
            <v>Energia: Origens, Conversão e Uso</v>
          </cell>
          <cell r="N299">
            <v>2</v>
          </cell>
          <cell r="O299">
            <v>0</v>
          </cell>
          <cell r="R299" t="str">
            <v>CECS</v>
          </cell>
          <cell r="V299">
            <v>0</v>
          </cell>
        </row>
        <row r="300">
          <cell r="A300" t="str">
            <v>BC0207</v>
          </cell>
          <cell r="C300" t="str">
            <v>Energia: Origens, Conversão e Uso</v>
          </cell>
          <cell r="N300">
            <v>2</v>
          </cell>
          <cell r="O300">
            <v>0</v>
          </cell>
          <cell r="R300" t="str">
            <v>CECS</v>
          </cell>
          <cell r="V300">
            <v>0</v>
          </cell>
        </row>
        <row r="301">
          <cell r="A301" t="str">
            <v>BC0207</v>
          </cell>
          <cell r="C301" t="str">
            <v>Energia: Origens, Conversão e Uso</v>
          </cell>
          <cell r="N301">
            <v>2</v>
          </cell>
          <cell r="O301">
            <v>0</v>
          </cell>
          <cell r="R301" t="str">
            <v>CECS</v>
          </cell>
          <cell r="V301">
            <v>0</v>
          </cell>
        </row>
        <row r="302">
          <cell r="A302" t="str">
            <v>BC0207</v>
          </cell>
          <cell r="C302" t="str">
            <v>Energia: Origens, Conversão e Uso</v>
          </cell>
          <cell r="N302">
            <v>2</v>
          </cell>
          <cell r="O302">
            <v>0</v>
          </cell>
          <cell r="R302" t="str">
            <v>CECS</v>
          </cell>
          <cell r="V302">
            <v>0</v>
          </cell>
        </row>
        <row r="303">
          <cell r="A303" t="str">
            <v>BC0207</v>
          </cell>
          <cell r="C303" t="str">
            <v>Energia: Origens, Conversão e Uso</v>
          </cell>
          <cell r="N303">
            <v>2</v>
          </cell>
          <cell r="O303">
            <v>0</v>
          </cell>
          <cell r="R303" t="str">
            <v>CECS</v>
          </cell>
          <cell r="V303">
            <v>0</v>
          </cell>
        </row>
        <row r="304">
          <cell r="A304" t="str">
            <v>BC0207</v>
          </cell>
          <cell r="C304" t="str">
            <v>Energia: Origens, Conversão e Uso</v>
          </cell>
          <cell r="N304">
            <v>2</v>
          </cell>
          <cell r="O304">
            <v>0</v>
          </cell>
          <cell r="R304" t="str">
            <v>CECS</v>
          </cell>
          <cell r="V304">
            <v>0</v>
          </cell>
        </row>
        <row r="305">
          <cell r="A305" t="str">
            <v>BC0207</v>
          </cell>
          <cell r="C305" t="str">
            <v>Energia: Origens, Conversão e Uso</v>
          </cell>
          <cell r="N305">
            <v>2</v>
          </cell>
          <cell r="O305">
            <v>0</v>
          </cell>
          <cell r="R305" t="str">
            <v>CCNH</v>
          </cell>
          <cell r="V305">
            <v>0</v>
          </cell>
        </row>
        <row r="306">
          <cell r="A306" t="str">
            <v>BC0207</v>
          </cell>
          <cell r="C306" t="str">
            <v>Energia: Origens, Conversão e Uso</v>
          </cell>
          <cell r="N306">
            <v>2</v>
          </cell>
          <cell r="O306">
            <v>0</v>
          </cell>
          <cell r="R306" t="str">
            <v>CCNH</v>
          </cell>
          <cell r="V306">
            <v>0</v>
          </cell>
        </row>
        <row r="307">
          <cell r="A307" t="str">
            <v>EN2328</v>
          </cell>
          <cell r="C307" t="str">
            <v>Engenharia de Reabilitação e Biofeedback</v>
          </cell>
          <cell r="N307">
            <v>3</v>
          </cell>
          <cell r="O307">
            <v>1</v>
          </cell>
          <cell r="R307" t="str">
            <v>CECS</v>
          </cell>
          <cell r="V307" t="str">
            <v>CECS</v>
          </cell>
        </row>
        <row r="308">
          <cell r="A308" t="str">
            <v>EN2328</v>
          </cell>
          <cell r="C308" t="str">
            <v>Engenharia de Reabilitação e Biofeedback</v>
          </cell>
          <cell r="N308">
            <v>3</v>
          </cell>
          <cell r="O308">
            <v>1</v>
          </cell>
          <cell r="R308" t="str">
            <v>CECS</v>
          </cell>
          <cell r="V308" t="str">
            <v>CECS</v>
          </cell>
        </row>
        <row r="309">
          <cell r="A309" t="str">
            <v>EN4414</v>
          </cell>
          <cell r="C309" t="str">
            <v>Engenharia de Reservatórios I</v>
          </cell>
          <cell r="N309">
            <v>4</v>
          </cell>
          <cell r="O309">
            <v>0</v>
          </cell>
          <cell r="R309" t="str">
            <v>CECS</v>
          </cell>
          <cell r="V309">
            <v>0</v>
          </cell>
        </row>
        <row r="310">
          <cell r="A310" t="str">
            <v>BC1711</v>
          </cell>
          <cell r="C310" t="str">
            <v>Engenharia Econômica</v>
          </cell>
          <cell r="N310">
            <v>2</v>
          </cell>
          <cell r="O310">
            <v>1</v>
          </cell>
          <cell r="R310" t="str">
            <v>CECS</v>
          </cell>
          <cell r="V310" t="str">
            <v>CECS</v>
          </cell>
        </row>
        <row r="311">
          <cell r="A311" t="str">
            <v>BC1711</v>
          </cell>
          <cell r="C311" t="str">
            <v>Engenharia Econômica</v>
          </cell>
          <cell r="N311">
            <v>2</v>
          </cell>
          <cell r="O311">
            <v>1</v>
          </cell>
          <cell r="R311" t="str">
            <v>CECS</v>
          </cell>
          <cell r="V311" t="str">
            <v>CECS</v>
          </cell>
        </row>
        <row r="312">
          <cell r="A312" t="str">
            <v>EN2522</v>
          </cell>
          <cell r="C312" t="str">
            <v>Engenharia Laboral</v>
          </cell>
          <cell r="N312">
            <v>4</v>
          </cell>
          <cell r="O312">
            <v>0</v>
          </cell>
          <cell r="R312" t="str">
            <v>CECS</v>
          </cell>
          <cell r="V312">
            <v>0</v>
          </cell>
        </row>
        <row r="313">
          <cell r="A313" t="str">
            <v>EN1002</v>
          </cell>
          <cell r="C313" t="str">
            <v>Engenharia Unificada I</v>
          </cell>
          <cell r="N313">
            <v>0</v>
          </cell>
          <cell r="O313">
            <v>3</v>
          </cell>
          <cell r="R313" t="e">
            <v>#N/A</v>
          </cell>
          <cell r="V313" t="str">
            <v>CECS</v>
          </cell>
        </row>
        <row r="314">
          <cell r="A314" t="str">
            <v>EN1002</v>
          </cell>
          <cell r="C314" t="str">
            <v>Engenharia Unificada I</v>
          </cell>
          <cell r="N314">
            <v>0</v>
          </cell>
          <cell r="O314">
            <v>3</v>
          </cell>
          <cell r="R314" t="e">
            <v>#N/A</v>
          </cell>
          <cell r="V314" t="str">
            <v>CECS</v>
          </cell>
        </row>
        <row r="315">
          <cell r="A315" t="str">
            <v>EN1002</v>
          </cell>
          <cell r="C315" t="str">
            <v>Engenharia Unificada I</v>
          </cell>
          <cell r="N315">
            <v>0</v>
          </cell>
          <cell r="O315">
            <v>3</v>
          </cell>
          <cell r="R315" t="e">
            <v>#N/A</v>
          </cell>
          <cell r="V315" t="str">
            <v>CECS</v>
          </cell>
        </row>
        <row r="316">
          <cell r="A316" t="str">
            <v>EN1002</v>
          </cell>
          <cell r="C316" t="str">
            <v>Engenharia Unificada I</v>
          </cell>
          <cell r="N316">
            <v>0</v>
          </cell>
          <cell r="O316">
            <v>3</v>
          </cell>
          <cell r="R316" t="e">
            <v>#N/A</v>
          </cell>
          <cell r="V316" t="str">
            <v>CECS</v>
          </cell>
        </row>
        <row r="317">
          <cell r="A317" t="str">
            <v>EN1004</v>
          </cell>
          <cell r="C317" t="str">
            <v>Engenharia Unificada II</v>
          </cell>
          <cell r="N317">
            <v>0</v>
          </cell>
          <cell r="O317">
            <v>3</v>
          </cell>
          <cell r="R317" t="e">
            <v>#N/A</v>
          </cell>
          <cell r="V317" t="str">
            <v>CECS</v>
          </cell>
        </row>
        <row r="318">
          <cell r="A318" t="str">
            <v>EN1004</v>
          </cell>
          <cell r="C318" t="str">
            <v>Engenharia Unificada II</v>
          </cell>
          <cell r="N318">
            <v>0</v>
          </cell>
          <cell r="O318">
            <v>3</v>
          </cell>
          <cell r="R318" t="e">
            <v>#N/A</v>
          </cell>
          <cell r="V318" t="str">
            <v>CECS</v>
          </cell>
        </row>
        <row r="319">
          <cell r="A319" t="str">
            <v>EN1004</v>
          </cell>
          <cell r="C319" t="str">
            <v>Engenharia Unificada II</v>
          </cell>
          <cell r="N319">
            <v>0</v>
          </cell>
          <cell r="O319">
            <v>3</v>
          </cell>
          <cell r="R319" t="e">
            <v>#N/A</v>
          </cell>
          <cell r="V319" t="str">
            <v>CECS</v>
          </cell>
        </row>
        <row r="320">
          <cell r="A320" t="str">
            <v>EN1004</v>
          </cell>
          <cell r="C320" t="str">
            <v>Engenharia Unificada II</v>
          </cell>
          <cell r="N320">
            <v>0</v>
          </cell>
          <cell r="O320">
            <v>3</v>
          </cell>
          <cell r="R320" t="e">
            <v>#N/A</v>
          </cell>
          <cell r="V320" t="str">
            <v>CECS</v>
          </cell>
        </row>
        <row r="321">
          <cell r="A321" t="str">
            <v>EN1004</v>
          </cell>
          <cell r="C321" t="str">
            <v>Engenharia Unificada II</v>
          </cell>
          <cell r="N321">
            <v>0</v>
          </cell>
          <cell r="O321">
            <v>3</v>
          </cell>
          <cell r="R321" t="e">
            <v>#N/A</v>
          </cell>
          <cell r="V321" t="str">
            <v>CECS</v>
          </cell>
        </row>
        <row r="322">
          <cell r="A322" t="str">
            <v>EN1004</v>
          </cell>
          <cell r="C322" t="str">
            <v>Engenharia Unificada II</v>
          </cell>
          <cell r="N322">
            <v>0</v>
          </cell>
          <cell r="O322">
            <v>3</v>
          </cell>
          <cell r="R322" t="e">
            <v>#N/A</v>
          </cell>
          <cell r="V322" t="str">
            <v>CECS</v>
          </cell>
        </row>
        <row r="323">
          <cell r="A323" t="str">
            <v>BC1427</v>
          </cell>
          <cell r="C323" t="str">
            <v>Equações Diferenciais Ordinárias</v>
          </cell>
          <cell r="N323">
            <v>4</v>
          </cell>
          <cell r="O323">
            <v>0</v>
          </cell>
          <cell r="R323" t="str">
            <v>CMCC</v>
          </cell>
          <cell r="V323">
            <v>0</v>
          </cell>
        </row>
        <row r="324">
          <cell r="A324" t="str">
            <v>BC1427</v>
          </cell>
          <cell r="C324" t="str">
            <v>Equações Diferenciais Ordinárias</v>
          </cell>
          <cell r="N324">
            <v>4</v>
          </cell>
          <cell r="O324">
            <v>0</v>
          </cell>
          <cell r="R324" t="str">
            <v>CMCC</v>
          </cell>
          <cell r="V324">
            <v>0</v>
          </cell>
        </row>
        <row r="325">
          <cell r="A325" t="str">
            <v>EN3332</v>
          </cell>
          <cell r="C325" t="str">
            <v>Ergonomia</v>
          </cell>
          <cell r="N325">
            <v>4</v>
          </cell>
          <cell r="O325">
            <v>0</v>
          </cell>
          <cell r="R325" t="str">
            <v>CECS</v>
          </cell>
          <cell r="V325">
            <v>0</v>
          </cell>
        </row>
        <row r="326">
          <cell r="A326" t="str">
            <v>EN2218</v>
          </cell>
          <cell r="C326" t="str">
            <v>Escoamento Compressível</v>
          </cell>
          <cell r="N326">
            <v>3</v>
          </cell>
          <cell r="O326">
            <v>1</v>
          </cell>
          <cell r="R326" t="str">
            <v>CECS</v>
          </cell>
          <cell r="V326" t="str">
            <v>CECS</v>
          </cell>
        </row>
        <row r="327">
          <cell r="A327" t="str">
            <v>BC1107</v>
          </cell>
          <cell r="C327" t="str">
            <v>Espectroscopia</v>
          </cell>
          <cell r="N327">
            <v>4</v>
          </cell>
          <cell r="O327">
            <v>2</v>
          </cell>
          <cell r="R327" t="str">
            <v>CCNH</v>
          </cell>
          <cell r="V327" t="str">
            <v>CCNH</v>
          </cell>
        </row>
        <row r="328">
          <cell r="A328" t="str">
            <v>BC1107</v>
          </cell>
          <cell r="C328" t="str">
            <v>Espectroscopia</v>
          </cell>
          <cell r="N328">
            <v>4</v>
          </cell>
          <cell r="O328">
            <v>2</v>
          </cell>
          <cell r="R328" t="e">
            <v>#N/A</v>
          </cell>
          <cell r="V328" t="e">
            <v>#N/A</v>
          </cell>
        </row>
        <row r="329">
          <cell r="A329" t="str">
            <v>BH1123</v>
          </cell>
          <cell r="C329" t="str">
            <v>Estado e Desenvolvimento Econômico no Brasil Contemporâneo</v>
          </cell>
          <cell r="N329">
            <v>4</v>
          </cell>
          <cell r="O329">
            <v>0</v>
          </cell>
          <cell r="R329" t="str">
            <v>CECS</v>
          </cell>
          <cell r="V329">
            <v>0</v>
          </cell>
        </row>
        <row r="330">
          <cell r="A330" t="str">
            <v>BH1123</v>
          </cell>
          <cell r="C330" t="str">
            <v>Estado e Desenvolvimento Econômico no Brasil Contemporâneo</v>
          </cell>
          <cell r="N330">
            <v>4</v>
          </cell>
          <cell r="O330">
            <v>0</v>
          </cell>
          <cell r="R330" t="str">
            <v>CECS</v>
          </cell>
          <cell r="V330">
            <v>0</v>
          </cell>
        </row>
        <row r="331">
          <cell r="A331" t="str">
            <v>BH0101</v>
          </cell>
          <cell r="C331" t="str">
            <v>Estado e Relações de Poder</v>
          </cell>
          <cell r="N331">
            <v>4</v>
          </cell>
          <cell r="O331">
            <v>0</v>
          </cell>
          <cell r="R331" t="str">
            <v>CECS</v>
          </cell>
          <cell r="V331">
            <v>0</v>
          </cell>
        </row>
        <row r="332">
          <cell r="A332" t="str">
            <v>BH0101</v>
          </cell>
          <cell r="C332" t="str">
            <v>Estado e Relações de Poder</v>
          </cell>
          <cell r="N332">
            <v>4</v>
          </cell>
          <cell r="O332">
            <v>0</v>
          </cell>
          <cell r="R332" t="str">
            <v>CECS</v>
          </cell>
          <cell r="V332">
            <v>0</v>
          </cell>
        </row>
        <row r="333">
          <cell r="A333" t="str">
            <v>BH0101</v>
          </cell>
          <cell r="C333" t="str">
            <v>Estado e Relações de Poder</v>
          </cell>
          <cell r="N333">
            <v>4</v>
          </cell>
          <cell r="O333">
            <v>0</v>
          </cell>
          <cell r="R333" t="str">
            <v>CECS</v>
          </cell>
          <cell r="V333">
            <v>0</v>
          </cell>
        </row>
        <row r="334">
          <cell r="A334" t="str">
            <v>BH0101</v>
          </cell>
          <cell r="C334" t="str">
            <v>Estado e Relações de Poder</v>
          </cell>
          <cell r="N334">
            <v>4</v>
          </cell>
          <cell r="O334">
            <v>0</v>
          </cell>
          <cell r="R334" t="str">
            <v>CECS</v>
          </cell>
          <cell r="V334">
            <v>0</v>
          </cell>
        </row>
        <row r="335">
          <cell r="A335" t="str">
            <v>BH0101</v>
          </cell>
          <cell r="C335" t="str">
            <v>Estado e Relações de Poder</v>
          </cell>
          <cell r="N335">
            <v>4</v>
          </cell>
          <cell r="O335">
            <v>0</v>
          </cell>
          <cell r="R335" t="str">
            <v>CECS</v>
          </cell>
          <cell r="V335">
            <v>0</v>
          </cell>
        </row>
        <row r="336">
          <cell r="A336" t="str">
            <v>BH0101</v>
          </cell>
          <cell r="C336" t="str">
            <v>Estado e Relações de Poder</v>
          </cell>
          <cell r="N336">
            <v>4</v>
          </cell>
          <cell r="O336">
            <v>0</v>
          </cell>
          <cell r="R336" t="str">
            <v>CECS</v>
          </cell>
          <cell r="V336">
            <v>0</v>
          </cell>
        </row>
        <row r="337">
          <cell r="A337" t="str">
            <v>BH1214</v>
          </cell>
          <cell r="C337" t="str">
            <v>Estética: Perspectivas Contemporâneas</v>
          </cell>
          <cell r="N337">
            <v>4</v>
          </cell>
          <cell r="O337">
            <v>0</v>
          </cell>
          <cell r="R337" t="str">
            <v>CCNH</v>
          </cell>
          <cell r="V337">
            <v>0</v>
          </cell>
        </row>
        <row r="338">
          <cell r="A338" t="str">
            <v>BH1214</v>
          </cell>
          <cell r="C338" t="str">
            <v>Estética: Perspectivas Contemporâneas</v>
          </cell>
          <cell r="N338">
            <v>4</v>
          </cell>
          <cell r="O338">
            <v>0</v>
          </cell>
          <cell r="R338" t="str">
            <v>CCNH</v>
          </cell>
          <cell r="V338">
            <v>0</v>
          </cell>
        </row>
        <row r="339">
          <cell r="A339" t="str">
            <v>BC0102</v>
          </cell>
          <cell r="C339" t="str">
            <v>Estrutura da Matéria</v>
          </cell>
          <cell r="N339">
            <v>3</v>
          </cell>
          <cell r="O339">
            <v>0</v>
          </cell>
          <cell r="R339" t="str">
            <v>CCNH</v>
          </cell>
          <cell r="V339">
            <v>0</v>
          </cell>
        </row>
        <row r="340">
          <cell r="A340" t="str">
            <v>BC0102</v>
          </cell>
          <cell r="C340" t="str">
            <v>Estrutura da Matéria</v>
          </cell>
          <cell r="N340">
            <v>3</v>
          </cell>
          <cell r="O340">
            <v>0</v>
          </cell>
          <cell r="R340" t="str">
            <v>CCNH</v>
          </cell>
          <cell r="V340">
            <v>0</v>
          </cell>
        </row>
        <row r="341">
          <cell r="A341" t="str">
            <v>BC0102</v>
          </cell>
          <cell r="C341" t="str">
            <v>Estrutura da Matéria</v>
          </cell>
          <cell r="N341">
            <v>3</v>
          </cell>
          <cell r="O341">
            <v>0</v>
          </cell>
          <cell r="R341" t="str">
            <v>CCNH</v>
          </cell>
          <cell r="V341">
            <v>0</v>
          </cell>
        </row>
        <row r="342">
          <cell r="A342" t="str">
            <v>BC0102</v>
          </cell>
          <cell r="C342" t="str">
            <v>Estrutura da Matéria</v>
          </cell>
          <cell r="N342">
            <v>3</v>
          </cell>
          <cell r="O342">
            <v>0</v>
          </cell>
          <cell r="R342" t="str">
            <v>CCNH</v>
          </cell>
          <cell r="V342">
            <v>0</v>
          </cell>
        </row>
        <row r="343">
          <cell r="A343" t="str">
            <v>BC0102</v>
          </cell>
          <cell r="C343" t="str">
            <v>Estrutura da Matéria</v>
          </cell>
          <cell r="N343">
            <v>3</v>
          </cell>
          <cell r="O343">
            <v>0</v>
          </cell>
          <cell r="R343" t="str">
            <v>CCNH</v>
          </cell>
          <cell r="V343">
            <v>0</v>
          </cell>
        </row>
        <row r="344">
          <cell r="A344" t="str">
            <v>BC0102</v>
          </cell>
          <cell r="C344" t="str">
            <v>Estrutura da Matéria</v>
          </cell>
          <cell r="N344">
            <v>3</v>
          </cell>
          <cell r="O344">
            <v>0</v>
          </cell>
          <cell r="R344" t="str">
            <v>não identificado</v>
          </cell>
          <cell r="V344">
            <v>0</v>
          </cell>
        </row>
        <row r="345">
          <cell r="A345" t="str">
            <v>BC0102</v>
          </cell>
          <cell r="C345" t="str">
            <v>Estrutura da Matéria</v>
          </cell>
          <cell r="N345">
            <v>3</v>
          </cell>
          <cell r="O345">
            <v>0</v>
          </cell>
          <cell r="R345" t="str">
            <v>CCNH</v>
          </cell>
          <cell r="V345">
            <v>0</v>
          </cell>
        </row>
        <row r="346">
          <cell r="A346" t="str">
            <v>BC0102</v>
          </cell>
          <cell r="C346" t="str">
            <v>Estrutura da Matéria</v>
          </cell>
          <cell r="N346">
            <v>3</v>
          </cell>
          <cell r="O346">
            <v>0</v>
          </cell>
          <cell r="R346" t="str">
            <v>CCNH</v>
          </cell>
          <cell r="V346">
            <v>0</v>
          </cell>
        </row>
        <row r="347">
          <cell r="A347" t="str">
            <v>BC0102</v>
          </cell>
          <cell r="C347" t="str">
            <v>Estrutura da Matéria</v>
          </cell>
          <cell r="N347">
            <v>3</v>
          </cell>
          <cell r="O347">
            <v>0</v>
          </cell>
          <cell r="R347" t="str">
            <v>CCNH</v>
          </cell>
          <cell r="V347">
            <v>0</v>
          </cell>
        </row>
        <row r="348">
          <cell r="A348" t="str">
            <v>BC0102</v>
          </cell>
          <cell r="C348" t="str">
            <v>Estrutura da Matéria</v>
          </cell>
          <cell r="N348">
            <v>3</v>
          </cell>
          <cell r="O348">
            <v>0</v>
          </cell>
          <cell r="R348" t="str">
            <v>CCNH</v>
          </cell>
          <cell r="V348">
            <v>0</v>
          </cell>
        </row>
        <row r="349">
          <cell r="A349" t="str">
            <v>BC0102</v>
          </cell>
          <cell r="C349" t="str">
            <v>Estrutura da Matéria</v>
          </cell>
          <cell r="N349">
            <v>3</v>
          </cell>
          <cell r="O349">
            <v>0</v>
          </cell>
          <cell r="R349" t="str">
            <v>CCNH</v>
          </cell>
          <cell r="V349">
            <v>0</v>
          </cell>
        </row>
        <row r="350">
          <cell r="A350" t="str">
            <v>BC0102</v>
          </cell>
          <cell r="C350" t="str">
            <v>Estrutura da Matéria</v>
          </cell>
          <cell r="N350">
            <v>3</v>
          </cell>
          <cell r="O350">
            <v>0</v>
          </cell>
          <cell r="R350" t="str">
            <v>CCNH</v>
          </cell>
          <cell r="V350">
            <v>0</v>
          </cell>
        </row>
        <row r="351">
          <cell r="A351" t="str">
            <v>BC0102</v>
          </cell>
          <cell r="C351" t="str">
            <v>Estrutura da Matéria</v>
          </cell>
          <cell r="N351">
            <v>3</v>
          </cell>
          <cell r="O351">
            <v>0</v>
          </cell>
          <cell r="R351" t="str">
            <v>CCNH</v>
          </cell>
          <cell r="V351">
            <v>0</v>
          </cell>
        </row>
        <row r="352">
          <cell r="A352" t="str">
            <v>BC0102</v>
          </cell>
          <cell r="C352" t="str">
            <v>Estrutura da Matéria</v>
          </cell>
          <cell r="N352">
            <v>3</v>
          </cell>
          <cell r="O352">
            <v>0</v>
          </cell>
          <cell r="R352" t="str">
            <v>CCNH</v>
          </cell>
          <cell r="V352">
            <v>0</v>
          </cell>
        </row>
        <row r="353">
          <cell r="A353" t="str">
            <v>BC0102</v>
          </cell>
          <cell r="C353" t="str">
            <v>Estrutura da Matéria</v>
          </cell>
          <cell r="N353">
            <v>3</v>
          </cell>
          <cell r="O353">
            <v>0</v>
          </cell>
          <cell r="R353" t="str">
            <v>CCNH</v>
          </cell>
          <cell r="V353">
            <v>0</v>
          </cell>
        </row>
        <row r="354">
          <cell r="A354" t="str">
            <v>BC0102</v>
          </cell>
          <cell r="C354" t="str">
            <v>Estrutura da Matéria</v>
          </cell>
          <cell r="N354">
            <v>3</v>
          </cell>
          <cell r="O354">
            <v>0</v>
          </cell>
          <cell r="R354" t="str">
            <v>CCNH</v>
          </cell>
          <cell r="V354">
            <v>0</v>
          </cell>
        </row>
        <row r="355">
          <cell r="A355" t="str">
            <v>BC0102</v>
          </cell>
          <cell r="C355" t="str">
            <v>Estrutura da Matéria</v>
          </cell>
          <cell r="N355">
            <v>3</v>
          </cell>
          <cell r="O355">
            <v>0</v>
          </cell>
          <cell r="R355" t="str">
            <v>CCNH</v>
          </cell>
          <cell r="V355">
            <v>0</v>
          </cell>
        </row>
        <row r="356">
          <cell r="A356" t="str">
            <v>BC0102</v>
          </cell>
          <cell r="C356" t="str">
            <v>Estrutura da Matéria</v>
          </cell>
          <cell r="N356">
            <v>3</v>
          </cell>
          <cell r="O356">
            <v>0</v>
          </cell>
          <cell r="R356" t="str">
            <v>não identificado</v>
          </cell>
          <cell r="V356">
            <v>0</v>
          </cell>
        </row>
        <row r="357">
          <cell r="A357" t="str">
            <v>BC0602</v>
          </cell>
          <cell r="C357" t="str">
            <v>Estrutura e Dinâmica Social</v>
          </cell>
          <cell r="N357">
            <v>3</v>
          </cell>
          <cell r="O357">
            <v>0</v>
          </cell>
          <cell r="R357" t="str">
            <v>CECS</v>
          </cell>
          <cell r="V357">
            <v>0</v>
          </cell>
        </row>
        <row r="358">
          <cell r="A358" t="str">
            <v>BC0602</v>
          </cell>
          <cell r="C358" t="str">
            <v>Estrutura e Dinâmica Social</v>
          </cell>
          <cell r="N358">
            <v>3</v>
          </cell>
          <cell r="O358">
            <v>0</v>
          </cell>
          <cell r="R358" t="str">
            <v>CECS</v>
          </cell>
          <cell r="V358">
            <v>0</v>
          </cell>
        </row>
        <row r="359">
          <cell r="A359" t="str">
            <v>BC0602</v>
          </cell>
          <cell r="C359" t="str">
            <v>Estrutura e Dinâmica Social</v>
          </cell>
          <cell r="N359">
            <v>3</v>
          </cell>
          <cell r="O359">
            <v>0</v>
          </cell>
          <cell r="R359" t="str">
            <v>CECS</v>
          </cell>
          <cell r="V359">
            <v>0</v>
          </cell>
        </row>
        <row r="360">
          <cell r="A360" t="str">
            <v>BC0602</v>
          </cell>
          <cell r="C360" t="str">
            <v>Estrutura e Dinâmica Social</v>
          </cell>
          <cell r="N360">
            <v>3</v>
          </cell>
          <cell r="O360">
            <v>0</v>
          </cell>
          <cell r="R360" t="str">
            <v>CECS</v>
          </cell>
          <cell r="V360">
            <v>0</v>
          </cell>
        </row>
        <row r="361">
          <cell r="A361" t="str">
            <v>BC0602</v>
          </cell>
          <cell r="C361" t="str">
            <v>Estrutura e Dinâmica Social</v>
          </cell>
          <cell r="N361">
            <v>3</v>
          </cell>
          <cell r="O361">
            <v>0</v>
          </cell>
          <cell r="R361" t="str">
            <v>CECS</v>
          </cell>
          <cell r="V361">
            <v>0</v>
          </cell>
        </row>
        <row r="362">
          <cell r="A362" t="str">
            <v>BC0602</v>
          </cell>
          <cell r="C362" t="str">
            <v>Estrutura e Dinâmica Social</v>
          </cell>
          <cell r="N362">
            <v>3</v>
          </cell>
          <cell r="O362">
            <v>0</v>
          </cell>
          <cell r="R362" t="str">
            <v>CECS</v>
          </cell>
          <cell r="V362">
            <v>0</v>
          </cell>
        </row>
        <row r="363">
          <cell r="A363" t="str">
            <v>BC0602</v>
          </cell>
          <cell r="C363" t="str">
            <v>Estrutura e Dinâmica Social</v>
          </cell>
          <cell r="N363">
            <v>3</v>
          </cell>
          <cell r="O363">
            <v>0</v>
          </cell>
          <cell r="R363" t="str">
            <v>CECS</v>
          </cell>
          <cell r="V363">
            <v>0</v>
          </cell>
        </row>
        <row r="364">
          <cell r="A364" t="str">
            <v>BC0602</v>
          </cell>
          <cell r="C364" t="str">
            <v>Estrutura e Dinâmica Social</v>
          </cell>
          <cell r="N364">
            <v>3</v>
          </cell>
          <cell r="O364">
            <v>0</v>
          </cell>
          <cell r="R364" t="str">
            <v>CECS</v>
          </cell>
          <cell r="V364">
            <v>0</v>
          </cell>
        </row>
        <row r="365">
          <cell r="A365" t="str">
            <v>BC0602</v>
          </cell>
          <cell r="C365" t="str">
            <v>Estrutura e Dinâmica Social</v>
          </cell>
          <cell r="N365">
            <v>3</v>
          </cell>
          <cell r="O365">
            <v>0</v>
          </cell>
          <cell r="R365" t="str">
            <v>CECS</v>
          </cell>
          <cell r="V365">
            <v>0</v>
          </cell>
        </row>
        <row r="366">
          <cell r="A366" t="str">
            <v>BC0602</v>
          </cell>
          <cell r="C366" t="str">
            <v>Estrutura e Dinâmica Social</v>
          </cell>
          <cell r="N366">
            <v>3</v>
          </cell>
          <cell r="O366">
            <v>0</v>
          </cell>
          <cell r="R366" t="str">
            <v>CECS</v>
          </cell>
          <cell r="V366">
            <v>0</v>
          </cell>
        </row>
        <row r="367">
          <cell r="A367" t="str">
            <v>BC0602</v>
          </cell>
          <cell r="C367" t="str">
            <v>Estrutura e Dinâmica Social</v>
          </cell>
          <cell r="N367">
            <v>3</v>
          </cell>
          <cell r="O367">
            <v>0</v>
          </cell>
          <cell r="R367" t="str">
            <v>CECS</v>
          </cell>
          <cell r="V367">
            <v>0</v>
          </cell>
        </row>
        <row r="368">
          <cell r="A368">
            <v>0</v>
          </cell>
          <cell r="C368">
            <v>0</v>
          </cell>
          <cell r="N368">
            <v>0</v>
          </cell>
          <cell r="O368">
            <v>0</v>
          </cell>
          <cell r="R368">
            <v>0</v>
          </cell>
          <cell r="V368">
            <v>0</v>
          </cell>
        </row>
        <row r="369">
          <cell r="A369" t="str">
            <v>BC0602</v>
          </cell>
          <cell r="C369" t="str">
            <v>Estrutura e Dinâmica Social</v>
          </cell>
          <cell r="N369">
            <v>3</v>
          </cell>
          <cell r="O369">
            <v>0</v>
          </cell>
          <cell r="R369" t="str">
            <v>CECS</v>
          </cell>
          <cell r="V369">
            <v>0</v>
          </cell>
        </row>
        <row r="370">
          <cell r="A370" t="str">
            <v>EN3517</v>
          </cell>
          <cell r="C370" t="str">
            <v>Ética e Responsabilidade Social</v>
          </cell>
          <cell r="N370">
            <v>2</v>
          </cell>
          <cell r="O370">
            <v>0</v>
          </cell>
          <cell r="R370" t="str">
            <v>CECS</v>
          </cell>
          <cell r="V370">
            <v>0</v>
          </cell>
        </row>
        <row r="371">
          <cell r="A371" t="str">
            <v>EN3517</v>
          </cell>
          <cell r="C371" t="str">
            <v>Ética e Responsabilidade Social</v>
          </cell>
          <cell r="N371">
            <v>2</v>
          </cell>
          <cell r="O371">
            <v>0</v>
          </cell>
          <cell r="R371" t="str">
            <v>CECS</v>
          </cell>
          <cell r="V371">
            <v>0</v>
          </cell>
        </row>
        <row r="372">
          <cell r="A372" t="str">
            <v>BH1204</v>
          </cell>
          <cell r="C372" t="str">
            <v>Ética: perspectivas contemporâneas</v>
          </cell>
          <cell r="N372">
            <v>4</v>
          </cell>
          <cell r="O372">
            <v>0</v>
          </cell>
          <cell r="R372" t="str">
            <v>CCNH</v>
          </cell>
          <cell r="V372">
            <v>0</v>
          </cell>
        </row>
        <row r="373">
          <cell r="A373" t="str">
            <v>BH1204</v>
          </cell>
          <cell r="C373" t="str">
            <v>Ética: perspectivas contemporâneas</v>
          </cell>
          <cell r="N373">
            <v>4</v>
          </cell>
          <cell r="O373">
            <v>0</v>
          </cell>
          <cell r="R373" t="str">
            <v>CCNH</v>
          </cell>
          <cell r="V373">
            <v>0</v>
          </cell>
        </row>
        <row r="374">
          <cell r="A374" t="str">
            <v>NH2431</v>
          </cell>
          <cell r="C374" t="str">
            <v>Evolução da Fìsica</v>
          </cell>
          <cell r="N374">
            <v>4</v>
          </cell>
          <cell r="O374">
            <v>0</v>
          </cell>
          <cell r="R374" t="str">
            <v>CCNH</v>
          </cell>
          <cell r="V374">
            <v>0</v>
          </cell>
        </row>
        <row r="375">
          <cell r="A375" t="str">
            <v>NH3109</v>
          </cell>
          <cell r="C375" t="str">
            <v>Experimentação e Ensino de Química</v>
          </cell>
          <cell r="N375">
            <v>3</v>
          </cell>
          <cell r="O375">
            <v>0</v>
          </cell>
          <cell r="R375" t="str">
            <v>CCNH</v>
          </cell>
          <cell r="V375" t="str">
            <v>CCNH</v>
          </cell>
        </row>
        <row r="376">
          <cell r="A376" t="str">
            <v>NH3109</v>
          </cell>
          <cell r="C376" t="str">
            <v>Experimentação e Ensino de Química</v>
          </cell>
          <cell r="N376">
            <v>3</v>
          </cell>
          <cell r="O376">
            <v>0</v>
          </cell>
          <cell r="R376" t="str">
            <v>CCNH</v>
          </cell>
          <cell r="V376" t="str">
            <v>CCNH</v>
          </cell>
        </row>
        <row r="377">
          <cell r="A377" t="str">
            <v>NH1008</v>
          </cell>
          <cell r="C377" t="str">
            <v>Farmacologia</v>
          </cell>
          <cell r="N377">
            <v>4</v>
          </cell>
          <cell r="O377">
            <v>2</v>
          </cell>
          <cell r="R377" t="str">
            <v>CCNH</v>
          </cell>
          <cell r="V377" t="str">
            <v>CCNH</v>
          </cell>
        </row>
        <row r="378">
          <cell r="A378" t="str">
            <v>NH1008</v>
          </cell>
          <cell r="C378" t="str">
            <v>Farmacologia</v>
          </cell>
          <cell r="N378">
            <v>4</v>
          </cell>
          <cell r="O378">
            <v>2</v>
          </cell>
          <cell r="R378" t="str">
            <v>CCNH</v>
          </cell>
          <cell r="V378" t="str">
            <v>CCNH</v>
          </cell>
        </row>
        <row r="379">
          <cell r="A379" t="str">
            <v>BC0209</v>
          </cell>
          <cell r="C379" t="str">
            <v>Fenômenos Eletromagnéticos</v>
          </cell>
          <cell r="N379">
            <v>3</v>
          </cell>
          <cell r="O379">
            <v>2</v>
          </cell>
          <cell r="R379" t="str">
            <v>CCNH</v>
          </cell>
          <cell r="V379" t="str">
            <v>CCNH</v>
          </cell>
        </row>
        <row r="380">
          <cell r="A380" t="str">
            <v>BC0209</v>
          </cell>
          <cell r="C380" t="str">
            <v>Fenômenos Eletromagnéticos</v>
          </cell>
          <cell r="N380">
            <v>3</v>
          </cell>
          <cell r="O380">
            <v>2</v>
          </cell>
          <cell r="R380" t="str">
            <v>CCNH</v>
          </cell>
          <cell r="V380" t="str">
            <v>CCNH</v>
          </cell>
        </row>
        <row r="381">
          <cell r="A381" t="str">
            <v>BC0209</v>
          </cell>
          <cell r="C381" t="str">
            <v>Fenômenos Eletromagnéticos</v>
          </cell>
          <cell r="N381">
            <v>3</v>
          </cell>
          <cell r="O381">
            <v>2</v>
          </cell>
          <cell r="R381" t="str">
            <v>CCNH</v>
          </cell>
          <cell r="V381" t="str">
            <v>CCNH</v>
          </cell>
        </row>
        <row r="382">
          <cell r="A382">
            <v>0</v>
          </cell>
          <cell r="C382" t="str">
            <v>Fenômenos Eletromagnéticos</v>
          </cell>
          <cell r="N382">
            <v>0</v>
          </cell>
          <cell r="O382">
            <v>0</v>
          </cell>
          <cell r="R382">
            <v>0</v>
          </cell>
          <cell r="V382">
            <v>0</v>
          </cell>
        </row>
        <row r="383">
          <cell r="A383" t="str">
            <v>BC0209</v>
          </cell>
          <cell r="C383" t="str">
            <v>Fenômenos Eletromagnéticos</v>
          </cell>
          <cell r="N383">
            <v>0</v>
          </cell>
          <cell r="O383">
            <v>2</v>
          </cell>
          <cell r="R383" t="str">
            <v>CCNH</v>
          </cell>
          <cell r="V383" t="str">
            <v>CCNH</v>
          </cell>
        </row>
        <row r="384">
          <cell r="A384" t="str">
            <v>BC0209</v>
          </cell>
          <cell r="C384" t="str">
            <v>Fenômenos Eletromagnéticos</v>
          </cell>
          <cell r="N384">
            <v>0</v>
          </cell>
          <cell r="O384">
            <v>2</v>
          </cell>
          <cell r="R384" t="str">
            <v>CCNH</v>
          </cell>
          <cell r="V384" t="str">
            <v>CCNH</v>
          </cell>
        </row>
        <row r="385">
          <cell r="A385" t="str">
            <v>BC0209</v>
          </cell>
          <cell r="C385" t="str">
            <v>Fenômenos Eletromagnéticos</v>
          </cell>
          <cell r="N385">
            <v>0</v>
          </cell>
          <cell r="O385">
            <v>2</v>
          </cell>
          <cell r="R385" t="str">
            <v>CCNH</v>
          </cell>
          <cell r="V385" t="str">
            <v>CCNH</v>
          </cell>
        </row>
        <row r="386">
          <cell r="A386">
            <v>0</v>
          </cell>
          <cell r="C386" t="str">
            <v>Fenômenos Eletromagnéticos</v>
          </cell>
          <cell r="N386">
            <v>0</v>
          </cell>
          <cell r="O386">
            <v>0</v>
          </cell>
          <cell r="R386">
            <v>0</v>
          </cell>
          <cell r="V386">
            <v>0</v>
          </cell>
        </row>
        <row r="387">
          <cell r="A387" t="str">
            <v>BC0209</v>
          </cell>
          <cell r="C387" t="str">
            <v>Fenômenos Eletromagnéticos</v>
          </cell>
          <cell r="N387">
            <v>0</v>
          </cell>
          <cell r="O387">
            <v>2</v>
          </cell>
          <cell r="R387" t="str">
            <v>CCNH</v>
          </cell>
          <cell r="V387" t="str">
            <v>CCNH</v>
          </cell>
        </row>
        <row r="388">
          <cell r="A388" t="str">
            <v>BC0209</v>
          </cell>
          <cell r="C388" t="str">
            <v>Fenômenos Eletromagnéticos</v>
          </cell>
          <cell r="N388">
            <v>0</v>
          </cell>
          <cell r="O388">
            <v>2</v>
          </cell>
          <cell r="R388" t="str">
            <v>CCNH</v>
          </cell>
          <cell r="V388" t="str">
            <v>CCNH</v>
          </cell>
        </row>
        <row r="389">
          <cell r="A389" t="str">
            <v>BC0209</v>
          </cell>
          <cell r="C389" t="str">
            <v>Fenômenos Eletromagnéticos</v>
          </cell>
          <cell r="N389">
            <v>0</v>
          </cell>
          <cell r="O389">
            <v>2</v>
          </cell>
          <cell r="R389" t="str">
            <v>CCNH</v>
          </cell>
          <cell r="V389" t="str">
            <v>CCNH</v>
          </cell>
        </row>
        <row r="390">
          <cell r="A390">
            <v>0</v>
          </cell>
          <cell r="C390" t="str">
            <v>Fenômenos Eletromagnéticos</v>
          </cell>
          <cell r="N390">
            <v>0</v>
          </cell>
          <cell r="O390">
            <v>0</v>
          </cell>
          <cell r="R390">
            <v>0</v>
          </cell>
          <cell r="V390">
            <v>0</v>
          </cell>
        </row>
        <row r="391">
          <cell r="A391" t="str">
            <v>BC0209</v>
          </cell>
          <cell r="C391" t="str">
            <v>Fenômenos Eletromagnéticos</v>
          </cell>
          <cell r="N391">
            <v>3</v>
          </cell>
          <cell r="O391">
            <v>2</v>
          </cell>
          <cell r="R391" t="str">
            <v>CCNH</v>
          </cell>
          <cell r="V391" t="str">
            <v>CCNH</v>
          </cell>
        </row>
        <row r="392">
          <cell r="A392" t="str">
            <v>BC0209</v>
          </cell>
          <cell r="C392" t="str">
            <v>Fenômenos Eletromagnéticos</v>
          </cell>
          <cell r="N392">
            <v>3</v>
          </cell>
          <cell r="O392">
            <v>2</v>
          </cell>
          <cell r="R392" t="str">
            <v>CCNH</v>
          </cell>
          <cell r="V392" t="str">
            <v>CCNH</v>
          </cell>
        </row>
        <row r="393">
          <cell r="A393" t="str">
            <v>BC0209</v>
          </cell>
          <cell r="C393" t="str">
            <v>Fenômenos Eletromagnéticos</v>
          </cell>
          <cell r="N393">
            <v>0</v>
          </cell>
          <cell r="O393">
            <v>2</v>
          </cell>
          <cell r="R393" t="str">
            <v>CCNH</v>
          </cell>
          <cell r="V393" t="str">
            <v>CCNH</v>
          </cell>
        </row>
        <row r="394">
          <cell r="A394" t="str">
            <v>BC0209</v>
          </cell>
          <cell r="C394" t="str">
            <v>Fenômenos Eletromagnéticos</v>
          </cell>
          <cell r="N394">
            <v>0</v>
          </cell>
          <cell r="O394">
            <v>2</v>
          </cell>
          <cell r="R394" t="str">
            <v>CCNH</v>
          </cell>
          <cell r="V394" t="str">
            <v>CCNH</v>
          </cell>
        </row>
        <row r="395">
          <cell r="A395" t="str">
            <v>BC0209</v>
          </cell>
          <cell r="C395" t="str">
            <v>Fenômenos Eletromagnéticos</v>
          </cell>
          <cell r="N395">
            <v>0</v>
          </cell>
          <cell r="O395">
            <v>2</v>
          </cell>
          <cell r="R395" t="str">
            <v>CCNH</v>
          </cell>
          <cell r="V395" t="str">
            <v>CCNH</v>
          </cell>
        </row>
        <row r="396">
          <cell r="A396" t="str">
            <v>BC0209</v>
          </cell>
          <cell r="C396" t="str">
            <v>Fenômenos Eletromagnéticos</v>
          </cell>
          <cell r="N396">
            <v>0</v>
          </cell>
          <cell r="O396">
            <v>2</v>
          </cell>
          <cell r="R396" t="str">
            <v>CCNH</v>
          </cell>
          <cell r="V396" t="str">
            <v>CCNH</v>
          </cell>
        </row>
        <row r="397">
          <cell r="A397" t="str">
            <v>BC0209</v>
          </cell>
          <cell r="C397" t="str">
            <v>Fenômenos Eletromagnéticos</v>
          </cell>
          <cell r="N397">
            <v>3</v>
          </cell>
          <cell r="O397">
            <v>2</v>
          </cell>
          <cell r="R397" t="str">
            <v>CCNH</v>
          </cell>
          <cell r="V397" t="str">
            <v>CCNH</v>
          </cell>
        </row>
        <row r="398">
          <cell r="A398">
            <v>0</v>
          </cell>
          <cell r="C398" t="str">
            <v>Fenômenos Eletromagnéticos</v>
          </cell>
          <cell r="N398">
            <v>0</v>
          </cell>
          <cell r="O398">
            <v>0</v>
          </cell>
          <cell r="R398">
            <v>0</v>
          </cell>
          <cell r="V398">
            <v>0</v>
          </cell>
        </row>
        <row r="399">
          <cell r="A399" t="str">
            <v>BC0209</v>
          </cell>
          <cell r="C399" t="str">
            <v>Fenômenos Eletromagnéticos</v>
          </cell>
          <cell r="N399">
            <v>3</v>
          </cell>
          <cell r="O399">
            <v>2</v>
          </cell>
          <cell r="R399" t="str">
            <v>CCNH</v>
          </cell>
          <cell r="V399" t="str">
            <v>CCNH</v>
          </cell>
        </row>
        <row r="400">
          <cell r="A400" t="str">
            <v>BC0209</v>
          </cell>
          <cell r="C400" t="str">
            <v>Fenômenos Eletromagnéticos</v>
          </cell>
          <cell r="N400">
            <v>3</v>
          </cell>
          <cell r="O400">
            <v>2</v>
          </cell>
          <cell r="R400" t="str">
            <v>CCNH</v>
          </cell>
          <cell r="V400" t="str">
            <v>CCNH</v>
          </cell>
        </row>
        <row r="401">
          <cell r="A401" t="str">
            <v>BC0209</v>
          </cell>
          <cell r="C401" t="str">
            <v>Fenômenos Eletromagnéticos</v>
          </cell>
          <cell r="N401">
            <v>0</v>
          </cell>
          <cell r="O401">
            <v>2</v>
          </cell>
          <cell r="R401" t="str">
            <v>CCNH</v>
          </cell>
          <cell r="V401" t="str">
            <v>CCNH</v>
          </cell>
        </row>
        <row r="402">
          <cell r="A402">
            <v>0</v>
          </cell>
          <cell r="C402" t="str">
            <v>Fenômenos Eletromagnéticos</v>
          </cell>
          <cell r="N402">
            <v>0</v>
          </cell>
          <cell r="O402">
            <v>0</v>
          </cell>
          <cell r="R402">
            <v>0</v>
          </cell>
          <cell r="V402">
            <v>0</v>
          </cell>
        </row>
        <row r="403">
          <cell r="A403" t="str">
            <v>BC0209</v>
          </cell>
          <cell r="C403" t="str">
            <v>Fenômenos Eletromagnéticos</v>
          </cell>
          <cell r="N403">
            <v>0</v>
          </cell>
          <cell r="O403">
            <v>2</v>
          </cell>
          <cell r="R403" t="str">
            <v>CCNH</v>
          </cell>
          <cell r="V403" t="str">
            <v>CCNH</v>
          </cell>
        </row>
        <row r="404">
          <cell r="A404" t="str">
            <v>BC0209</v>
          </cell>
          <cell r="C404" t="str">
            <v>Fenômenos Eletromagnéticos</v>
          </cell>
          <cell r="N404">
            <v>0</v>
          </cell>
          <cell r="O404">
            <v>2</v>
          </cell>
          <cell r="R404" t="str">
            <v>CCNH</v>
          </cell>
          <cell r="V404" t="str">
            <v>CCNH</v>
          </cell>
        </row>
        <row r="405">
          <cell r="A405" t="str">
            <v>BC0209</v>
          </cell>
          <cell r="C405" t="str">
            <v>Fenômenos Eletromagnéticos</v>
          </cell>
          <cell r="N405">
            <v>0</v>
          </cell>
          <cell r="O405">
            <v>2</v>
          </cell>
          <cell r="R405" t="str">
            <v>CCNH</v>
          </cell>
          <cell r="V405" t="str">
            <v>CCNH</v>
          </cell>
        </row>
        <row r="406">
          <cell r="A406">
            <v>0</v>
          </cell>
          <cell r="C406" t="str">
            <v>Fenômenos Eletromagnéticos</v>
          </cell>
          <cell r="N406">
            <v>0</v>
          </cell>
          <cell r="O406">
            <v>0</v>
          </cell>
          <cell r="R406">
            <v>0</v>
          </cell>
          <cell r="V406">
            <v>0</v>
          </cell>
        </row>
        <row r="407">
          <cell r="A407" t="str">
            <v>BC0209</v>
          </cell>
          <cell r="C407" t="str">
            <v>Fenômenos Eletromagnéticos</v>
          </cell>
          <cell r="N407">
            <v>0</v>
          </cell>
          <cell r="O407">
            <v>2</v>
          </cell>
          <cell r="R407" t="str">
            <v>CCNH</v>
          </cell>
          <cell r="V407" t="str">
            <v>CCNH</v>
          </cell>
        </row>
        <row r="408">
          <cell r="A408" t="str">
            <v>BC0209</v>
          </cell>
          <cell r="C408" t="str">
            <v>Fenômenos Eletromagnéticos</v>
          </cell>
          <cell r="N408">
            <v>0</v>
          </cell>
          <cell r="O408">
            <v>2</v>
          </cell>
          <cell r="R408" t="str">
            <v>CCNH</v>
          </cell>
          <cell r="V408" t="str">
            <v>CCNH</v>
          </cell>
        </row>
        <row r="409">
          <cell r="A409" t="str">
            <v>BC0209</v>
          </cell>
          <cell r="C409" t="str">
            <v>Fenômenos Eletromagnéticos</v>
          </cell>
          <cell r="N409">
            <v>3</v>
          </cell>
          <cell r="O409">
            <v>2</v>
          </cell>
          <cell r="R409" t="str">
            <v>CCNH</v>
          </cell>
          <cell r="V409" t="str">
            <v>CCNH</v>
          </cell>
        </row>
        <row r="410">
          <cell r="A410" t="str">
            <v>BC0209</v>
          </cell>
          <cell r="C410" t="str">
            <v>Fenômenos Eletromagnéticos</v>
          </cell>
          <cell r="N410">
            <v>3</v>
          </cell>
          <cell r="O410">
            <v>2</v>
          </cell>
          <cell r="R410" t="str">
            <v>CCNH</v>
          </cell>
          <cell r="V410" t="str">
            <v>CCNH</v>
          </cell>
        </row>
        <row r="411">
          <cell r="A411" t="str">
            <v>BC0209</v>
          </cell>
          <cell r="C411" t="str">
            <v>Fenômenos Eletromagnéticos</v>
          </cell>
          <cell r="N411">
            <v>0</v>
          </cell>
          <cell r="O411">
            <v>2</v>
          </cell>
          <cell r="R411" t="str">
            <v>CCNH</v>
          </cell>
          <cell r="V411" t="str">
            <v>CCNH</v>
          </cell>
        </row>
        <row r="412">
          <cell r="A412" t="str">
            <v>BC0209</v>
          </cell>
          <cell r="C412" t="str">
            <v>Fenômenos Eletromagnéticos</v>
          </cell>
          <cell r="N412">
            <v>0</v>
          </cell>
          <cell r="O412">
            <v>2</v>
          </cell>
          <cell r="R412" t="str">
            <v>CCNH</v>
          </cell>
          <cell r="V412" t="str">
            <v>CCNH</v>
          </cell>
        </row>
        <row r="413">
          <cell r="A413" t="str">
            <v>BC0209</v>
          </cell>
          <cell r="C413" t="str">
            <v>Fenômenos Eletromagnéticos</v>
          </cell>
          <cell r="N413">
            <v>0</v>
          </cell>
          <cell r="O413">
            <v>2</v>
          </cell>
          <cell r="R413" t="str">
            <v>CCNH</v>
          </cell>
          <cell r="V413" t="str">
            <v>CCNH</v>
          </cell>
        </row>
        <row r="414">
          <cell r="A414" t="str">
            <v>BC0209</v>
          </cell>
          <cell r="C414" t="str">
            <v>Fenômenos Eletromagnéticos</v>
          </cell>
          <cell r="N414">
            <v>0</v>
          </cell>
          <cell r="O414">
            <v>2</v>
          </cell>
          <cell r="R414" t="str">
            <v>CCNH</v>
          </cell>
          <cell r="V414" t="str">
            <v>CCNH</v>
          </cell>
        </row>
        <row r="415">
          <cell r="A415" t="str">
            <v>BC0209</v>
          </cell>
          <cell r="C415" t="str">
            <v>Fenômenos Eletromagnéticos</v>
          </cell>
          <cell r="N415">
            <v>3</v>
          </cell>
          <cell r="O415">
            <v>2</v>
          </cell>
          <cell r="R415" t="str">
            <v>CCNH</v>
          </cell>
          <cell r="V415" t="str">
            <v>CCNH</v>
          </cell>
        </row>
        <row r="416">
          <cell r="A416" t="str">
            <v>BC0209</v>
          </cell>
          <cell r="C416" t="str">
            <v>Fenômenos Eletromagnéticos</v>
          </cell>
          <cell r="N416">
            <v>0</v>
          </cell>
          <cell r="O416">
            <v>2</v>
          </cell>
          <cell r="R416" t="str">
            <v>CCNH</v>
          </cell>
          <cell r="V416" t="str">
            <v>CCNH</v>
          </cell>
        </row>
        <row r="417">
          <cell r="A417" t="str">
            <v>BC0209</v>
          </cell>
          <cell r="C417" t="str">
            <v>Fenômenos Eletromagnéticos</v>
          </cell>
          <cell r="N417">
            <v>0</v>
          </cell>
          <cell r="O417">
            <v>2</v>
          </cell>
          <cell r="R417" t="str">
            <v>CCNH</v>
          </cell>
          <cell r="V417" t="str">
            <v>CCNH</v>
          </cell>
        </row>
        <row r="418">
          <cell r="A418" t="str">
            <v>BC0209</v>
          </cell>
          <cell r="C418" t="str">
            <v>Fenômenos Eletromagnéticos</v>
          </cell>
          <cell r="N418">
            <v>3</v>
          </cell>
          <cell r="O418">
            <v>2</v>
          </cell>
          <cell r="R418" t="str">
            <v>CCNH</v>
          </cell>
          <cell r="V418" t="str">
            <v>CCNH</v>
          </cell>
        </row>
        <row r="419">
          <cell r="A419" t="str">
            <v>BC0209</v>
          </cell>
          <cell r="C419" t="str">
            <v>Fenômenos Eletromagnéticos</v>
          </cell>
          <cell r="N419">
            <v>0</v>
          </cell>
          <cell r="O419">
            <v>2</v>
          </cell>
          <cell r="R419" t="str">
            <v>CCNH</v>
          </cell>
          <cell r="V419" t="str">
            <v>CCNH</v>
          </cell>
        </row>
        <row r="420">
          <cell r="A420" t="str">
            <v>BC0209</v>
          </cell>
          <cell r="C420" t="str">
            <v>Fenômenos Eletromagnéticos</v>
          </cell>
          <cell r="N420">
            <v>0</v>
          </cell>
          <cell r="O420">
            <v>2</v>
          </cell>
          <cell r="R420" t="str">
            <v>CCNH</v>
          </cell>
          <cell r="V420" t="str">
            <v>CECS</v>
          </cell>
        </row>
        <row r="421">
          <cell r="A421" t="str">
            <v>BC0205</v>
          </cell>
          <cell r="C421" t="str">
            <v>Fenômenos Térmicos</v>
          </cell>
          <cell r="N421">
            <v>3</v>
          </cell>
          <cell r="O421">
            <v>1</v>
          </cell>
          <cell r="R421" t="str">
            <v>CCNH</v>
          </cell>
          <cell r="V421" t="str">
            <v>CCNH</v>
          </cell>
        </row>
        <row r="422">
          <cell r="A422" t="str">
            <v>BC0205</v>
          </cell>
          <cell r="C422" t="str">
            <v>Fenômenos Térmicos</v>
          </cell>
          <cell r="N422">
            <v>3</v>
          </cell>
          <cell r="O422">
            <v>1</v>
          </cell>
          <cell r="R422" t="str">
            <v>CCNH</v>
          </cell>
          <cell r="V422" t="str">
            <v>CCNH</v>
          </cell>
        </row>
        <row r="423">
          <cell r="A423" t="str">
            <v>BC0205</v>
          </cell>
          <cell r="C423" t="str">
            <v>Fenômenos Térmicos</v>
          </cell>
          <cell r="N423">
            <v>3</v>
          </cell>
          <cell r="O423">
            <v>1</v>
          </cell>
          <cell r="R423" t="str">
            <v>CCNH</v>
          </cell>
          <cell r="V423" t="str">
            <v>CCNH</v>
          </cell>
        </row>
        <row r="424">
          <cell r="A424" t="str">
            <v>BC0205</v>
          </cell>
          <cell r="C424" t="str">
            <v>Fenômenos Térmicos</v>
          </cell>
          <cell r="N424">
            <v>3</v>
          </cell>
          <cell r="O424">
            <v>1</v>
          </cell>
          <cell r="R424" t="str">
            <v>CCNH</v>
          </cell>
          <cell r="V424" t="str">
            <v>CCNH</v>
          </cell>
        </row>
        <row r="425">
          <cell r="A425" t="str">
            <v>BC0205</v>
          </cell>
          <cell r="C425" t="str">
            <v>Fenômenos Térmicos</v>
          </cell>
          <cell r="N425">
            <v>0</v>
          </cell>
          <cell r="O425">
            <v>1</v>
          </cell>
          <cell r="R425" t="str">
            <v>CCNH</v>
          </cell>
          <cell r="V425" t="str">
            <v>CCNH</v>
          </cell>
        </row>
        <row r="426">
          <cell r="A426">
            <v>0</v>
          </cell>
          <cell r="C426">
            <v>0</v>
          </cell>
          <cell r="N426">
            <v>0</v>
          </cell>
          <cell r="O426">
            <v>0</v>
          </cell>
          <cell r="R426">
            <v>0</v>
          </cell>
          <cell r="V426">
            <v>0</v>
          </cell>
        </row>
        <row r="427">
          <cell r="A427" t="str">
            <v>BC0205</v>
          </cell>
          <cell r="C427" t="str">
            <v>Fenômenos Térmicos</v>
          </cell>
          <cell r="N427">
            <v>0</v>
          </cell>
          <cell r="O427">
            <v>1</v>
          </cell>
          <cell r="R427" t="str">
            <v>CCNH</v>
          </cell>
          <cell r="V427" t="str">
            <v>CCNH</v>
          </cell>
        </row>
        <row r="428">
          <cell r="A428">
            <v>0</v>
          </cell>
          <cell r="C428">
            <v>0</v>
          </cell>
          <cell r="N428">
            <v>0</v>
          </cell>
          <cell r="O428">
            <v>0</v>
          </cell>
          <cell r="R428">
            <v>0</v>
          </cell>
          <cell r="V428">
            <v>0</v>
          </cell>
        </row>
        <row r="429">
          <cell r="A429" t="str">
            <v>BC0205</v>
          </cell>
          <cell r="C429" t="str">
            <v>Fenômenos Térmicos</v>
          </cell>
          <cell r="N429">
            <v>0</v>
          </cell>
          <cell r="O429">
            <v>1</v>
          </cell>
          <cell r="R429" t="str">
            <v>CCNH</v>
          </cell>
          <cell r="V429" t="str">
            <v>CCNH</v>
          </cell>
        </row>
        <row r="430">
          <cell r="A430">
            <v>0</v>
          </cell>
          <cell r="C430">
            <v>0</v>
          </cell>
          <cell r="N430">
            <v>0</v>
          </cell>
          <cell r="O430">
            <v>0</v>
          </cell>
          <cell r="R430">
            <v>0</v>
          </cell>
          <cell r="V430">
            <v>0</v>
          </cell>
        </row>
        <row r="431">
          <cell r="A431" t="str">
            <v>BC0205</v>
          </cell>
          <cell r="C431" t="str">
            <v>Fenômenos Térmicos</v>
          </cell>
          <cell r="N431">
            <v>0</v>
          </cell>
          <cell r="O431">
            <v>1</v>
          </cell>
          <cell r="R431" t="str">
            <v>CCNH</v>
          </cell>
          <cell r="V431" t="str">
            <v>CCNH</v>
          </cell>
        </row>
        <row r="432">
          <cell r="A432">
            <v>0</v>
          </cell>
          <cell r="C432">
            <v>0</v>
          </cell>
          <cell r="N432">
            <v>0</v>
          </cell>
          <cell r="O432">
            <v>0</v>
          </cell>
          <cell r="R432">
            <v>0</v>
          </cell>
          <cell r="V432">
            <v>0</v>
          </cell>
        </row>
        <row r="433">
          <cell r="A433" t="str">
            <v>BH1206</v>
          </cell>
          <cell r="C433" t="str">
            <v>Filosofia da Linguagem</v>
          </cell>
          <cell r="N433">
            <v>4</v>
          </cell>
          <cell r="O433">
            <v>0</v>
          </cell>
          <cell r="R433" t="str">
            <v>CCNH</v>
          </cell>
          <cell r="V433">
            <v>0</v>
          </cell>
        </row>
        <row r="434">
          <cell r="A434" t="str">
            <v>BH1206</v>
          </cell>
          <cell r="C434" t="str">
            <v>Filosofia da Linguagem</v>
          </cell>
          <cell r="N434">
            <v>4</v>
          </cell>
          <cell r="O434">
            <v>0</v>
          </cell>
          <cell r="R434" t="str">
            <v>CCNH</v>
          </cell>
          <cell r="V434">
            <v>0</v>
          </cell>
        </row>
        <row r="435">
          <cell r="A435" t="str">
            <v>BH1221</v>
          </cell>
          <cell r="C435" t="str">
            <v>Filosofia do Ensino de Filosofia</v>
          </cell>
          <cell r="N435">
            <v>4</v>
          </cell>
          <cell r="O435">
            <v>0</v>
          </cell>
          <cell r="R435" t="str">
            <v>CCNH</v>
          </cell>
          <cell r="V435">
            <v>0</v>
          </cell>
        </row>
        <row r="436">
          <cell r="A436">
            <v>0</v>
          </cell>
          <cell r="C436">
            <v>0</v>
          </cell>
          <cell r="N436">
            <v>0</v>
          </cell>
          <cell r="O436">
            <v>0</v>
          </cell>
          <cell r="R436">
            <v>0</v>
          </cell>
          <cell r="V436">
            <v>0</v>
          </cell>
        </row>
        <row r="437">
          <cell r="A437" t="str">
            <v>BH1208</v>
          </cell>
          <cell r="C437" t="str">
            <v>Filosofia Política: perspectivas contemporâneas</v>
          </cell>
          <cell r="N437">
            <v>4</v>
          </cell>
          <cell r="O437">
            <v>0</v>
          </cell>
          <cell r="R437" t="str">
            <v>CCNH</v>
          </cell>
          <cell r="V437">
            <v>0</v>
          </cell>
        </row>
        <row r="438">
          <cell r="A438" t="str">
            <v>BH1208</v>
          </cell>
          <cell r="C438" t="str">
            <v>Filosofia Política: perspectivas contemporâneas</v>
          </cell>
          <cell r="N438">
            <v>4</v>
          </cell>
          <cell r="O438">
            <v>0</v>
          </cell>
          <cell r="R438" t="str">
            <v>CCNH</v>
          </cell>
          <cell r="V438">
            <v>0</v>
          </cell>
        </row>
        <row r="439">
          <cell r="A439" t="str">
            <v>BH1138</v>
          </cell>
          <cell r="C439" t="str">
            <v>Finanças Corporativas</v>
          </cell>
          <cell r="N439">
            <v>4</v>
          </cell>
          <cell r="O439">
            <v>0</v>
          </cell>
          <cell r="R439" t="str">
            <v>CECS</v>
          </cell>
          <cell r="V439">
            <v>0</v>
          </cell>
        </row>
        <row r="440">
          <cell r="A440" t="str">
            <v>BH1138</v>
          </cell>
          <cell r="C440" t="str">
            <v>Finanças Corporativas</v>
          </cell>
          <cell r="N440">
            <v>4</v>
          </cell>
          <cell r="O440">
            <v>0</v>
          </cell>
          <cell r="R440" t="str">
            <v>CECS</v>
          </cell>
          <cell r="V440">
            <v>0</v>
          </cell>
        </row>
        <row r="441">
          <cell r="A441" t="str">
            <v>CS3205</v>
          </cell>
          <cell r="C441" t="str">
            <v>Finanças I (Apreçamento de Ativos)</v>
          </cell>
          <cell r="N441">
            <v>4</v>
          </cell>
          <cell r="O441">
            <v>0</v>
          </cell>
          <cell r="R441" t="str">
            <v>CECS</v>
          </cell>
          <cell r="V441">
            <v>0</v>
          </cell>
        </row>
        <row r="442">
          <cell r="A442" t="str">
            <v>CS3205</v>
          </cell>
          <cell r="C442" t="str">
            <v>Finanças I (Apreçamento de Ativos)</v>
          </cell>
          <cell r="N442">
            <v>4</v>
          </cell>
          <cell r="O442">
            <v>0</v>
          </cell>
          <cell r="R442" t="str">
            <v>CECS</v>
          </cell>
          <cell r="V442">
            <v>0</v>
          </cell>
        </row>
        <row r="443">
          <cell r="A443" t="str">
            <v>EN3541</v>
          </cell>
          <cell r="C443" t="str">
            <v>Finanças, Gestão e Administração Financeira</v>
          </cell>
          <cell r="N443">
            <v>4</v>
          </cell>
          <cell r="O443">
            <v>0</v>
          </cell>
          <cell r="R443" t="str">
            <v>CECS</v>
          </cell>
          <cell r="V443">
            <v>0</v>
          </cell>
        </row>
        <row r="444">
          <cell r="A444" t="str">
            <v>NH2043</v>
          </cell>
          <cell r="C444" t="str">
            <v>Física Computacional</v>
          </cell>
          <cell r="N444">
            <v>3</v>
          </cell>
          <cell r="O444">
            <v>1</v>
          </cell>
          <cell r="R444" t="str">
            <v>CCNH</v>
          </cell>
          <cell r="V444" t="str">
            <v>CCNH</v>
          </cell>
        </row>
        <row r="445">
          <cell r="A445" t="str">
            <v>NH2231</v>
          </cell>
          <cell r="C445" t="str">
            <v>Física de Semicondutores</v>
          </cell>
          <cell r="N445">
            <v>4</v>
          </cell>
          <cell r="O445">
            <v>1</v>
          </cell>
          <cell r="R445" t="str">
            <v>CCNH</v>
          </cell>
          <cell r="V445" t="str">
            <v>CCNH</v>
          </cell>
        </row>
        <row r="446">
          <cell r="A446" t="str">
            <v>BC1319</v>
          </cell>
          <cell r="C446" t="str">
            <v>Física do Contínuo</v>
          </cell>
          <cell r="N446">
            <v>3</v>
          </cell>
          <cell r="O446">
            <v>1</v>
          </cell>
          <cell r="R446" t="str">
            <v>CCNH</v>
          </cell>
          <cell r="V446" t="str">
            <v>CCNH</v>
          </cell>
        </row>
        <row r="447">
          <cell r="A447" t="str">
            <v>BC1319</v>
          </cell>
          <cell r="C447" t="str">
            <v>Física do Contínuo</v>
          </cell>
          <cell r="N447">
            <v>3</v>
          </cell>
          <cell r="O447">
            <v>1</v>
          </cell>
          <cell r="R447" t="str">
            <v>CCNH</v>
          </cell>
          <cell r="V447" t="str">
            <v>CCNH</v>
          </cell>
        </row>
        <row r="448">
          <cell r="A448" t="str">
            <v>BC0103</v>
          </cell>
          <cell r="C448" t="str">
            <v>Física Quântica</v>
          </cell>
          <cell r="N448">
            <v>3</v>
          </cell>
          <cell r="O448">
            <v>0</v>
          </cell>
          <cell r="R448" t="str">
            <v>não identificado</v>
          </cell>
          <cell r="V448">
            <v>0</v>
          </cell>
        </row>
        <row r="449">
          <cell r="A449" t="str">
            <v>BC0103</v>
          </cell>
          <cell r="C449" t="str">
            <v>Física Quântica</v>
          </cell>
          <cell r="N449">
            <v>3</v>
          </cell>
          <cell r="O449">
            <v>0</v>
          </cell>
          <cell r="R449" t="str">
            <v>CCNH</v>
          </cell>
          <cell r="V449">
            <v>0</v>
          </cell>
        </row>
        <row r="450">
          <cell r="A450" t="str">
            <v>BC0103</v>
          </cell>
          <cell r="C450" t="str">
            <v>Física Quântica</v>
          </cell>
          <cell r="N450">
            <v>3</v>
          </cell>
          <cell r="O450">
            <v>0</v>
          </cell>
          <cell r="R450" t="str">
            <v>CCNH</v>
          </cell>
          <cell r="V450">
            <v>0</v>
          </cell>
        </row>
        <row r="451">
          <cell r="A451" t="str">
            <v>BC0103</v>
          </cell>
          <cell r="C451" t="str">
            <v>Física Quântica</v>
          </cell>
          <cell r="N451">
            <v>3</v>
          </cell>
          <cell r="O451">
            <v>0</v>
          </cell>
          <cell r="R451" t="str">
            <v>CCNH</v>
          </cell>
          <cell r="V451">
            <v>0</v>
          </cell>
        </row>
        <row r="452">
          <cell r="A452" t="str">
            <v>BC0103</v>
          </cell>
          <cell r="C452" t="str">
            <v>Física Quântica</v>
          </cell>
          <cell r="N452">
            <v>3</v>
          </cell>
          <cell r="O452">
            <v>0</v>
          </cell>
          <cell r="R452" t="str">
            <v>não identificado</v>
          </cell>
          <cell r="V452">
            <v>0</v>
          </cell>
        </row>
        <row r="453">
          <cell r="A453" t="str">
            <v>NH4198</v>
          </cell>
          <cell r="C453" t="str">
            <v>Física Térmica</v>
          </cell>
          <cell r="N453">
            <v>4</v>
          </cell>
          <cell r="O453">
            <v>0</v>
          </cell>
          <cell r="R453" t="str">
            <v>CCNH</v>
          </cell>
          <cell r="V453">
            <v>0</v>
          </cell>
        </row>
        <row r="454">
          <cell r="A454">
            <v>0</v>
          </cell>
          <cell r="C454">
            <v>0</v>
          </cell>
          <cell r="N454">
            <v>0</v>
          </cell>
          <cell r="O454">
            <v>0</v>
          </cell>
          <cell r="R454">
            <v>0</v>
          </cell>
          <cell r="V454">
            <v>0</v>
          </cell>
        </row>
        <row r="455">
          <cell r="A455" t="str">
            <v>NH3004</v>
          </cell>
          <cell r="C455" t="str">
            <v>Físico-Química Experimental</v>
          </cell>
          <cell r="N455">
            <v>0</v>
          </cell>
          <cell r="O455">
            <v>6</v>
          </cell>
          <cell r="R455" t="e">
            <v>#N/A</v>
          </cell>
          <cell r="V455" t="str">
            <v>CCNH</v>
          </cell>
        </row>
        <row r="456">
          <cell r="A456" t="str">
            <v>NH3004</v>
          </cell>
          <cell r="C456" t="str">
            <v>Físico-Química Experimental</v>
          </cell>
          <cell r="N456">
            <v>0</v>
          </cell>
          <cell r="O456">
            <v>6</v>
          </cell>
          <cell r="R456" t="e">
            <v>#N/A</v>
          </cell>
          <cell r="V456" t="str">
            <v>CCNH</v>
          </cell>
        </row>
        <row r="457">
          <cell r="A457" t="str">
            <v>EN2420</v>
          </cell>
          <cell r="C457" t="str">
            <v>Fontes Não-Renováveis de Energia</v>
          </cell>
          <cell r="N457">
            <v>4</v>
          </cell>
          <cell r="O457">
            <v>0</v>
          </cell>
          <cell r="R457" t="str">
            <v>CECS</v>
          </cell>
          <cell r="V457">
            <v>0</v>
          </cell>
        </row>
        <row r="458">
          <cell r="A458" t="str">
            <v>BH1332</v>
          </cell>
          <cell r="C458" t="str">
            <v>Formação Histórica da América Latina</v>
          </cell>
          <cell r="N458">
            <v>4</v>
          </cell>
          <cell r="O458">
            <v>0</v>
          </cell>
          <cell r="R458" t="str">
            <v>CECS</v>
          </cell>
          <cell r="V458">
            <v>0</v>
          </cell>
        </row>
        <row r="459">
          <cell r="A459" t="str">
            <v>BH1332</v>
          </cell>
          <cell r="C459" t="str">
            <v>Formação Histórica da América Latina</v>
          </cell>
          <cell r="N459">
            <v>4</v>
          </cell>
          <cell r="O459">
            <v>0</v>
          </cell>
          <cell r="R459" t="str">
            <v>CECS</v>
          </cell>
          <cell r="V459">
            <v>0</v>
          </cell>
        </row>
        <row r="460">
          <cell r="A460" t="str">
            <v>BC1417</v>
          </cell>
          <cell r="C460" t="str">
            <v>Funções Complexas e Transformadas Integrais</v>
          </cell>
          <cell r="N460">
            <v>4</v>
          </cell>
          <cell r="O460">
            <v>0</v>
          </cell>
          <cell r="R460" t="e">
            <v>#N/A</v>
          </cell>
          <cell r="V460">
            <v>0</v>
          </cell>
        </row>
        <row r="461">
          <cell r="A461" t="str">
            <v>BC1417</v>
          </cell>
          <cell r="C461" t="str">
            <v>Funções Complexas e Transformadas Integrais</v>
          </cell>
          <cell r="N461">
            <v>4</v>
          </cell>
          <cell r="O461">
            <v>0</v>
          </cell>
          <cell r="R461" t="e">
            <v>#N/A</v>
          </cell>
          <cell r="V461">
            <v>0</v>
          </cell>
        </row>
        <row r="462">
          <cell r="A462" t="str">
            <v>BC0402</v>
          </cell>
          <cell r="C462" t="str">
            <v>Funções de Uma Variável</v>
          </cell>
          <cell r="N462">
            <v>4</v>
          </cell>
          <cell r="O462">
            <v>0</v>
          </cell>
          <cell r="R462" t="str">
            <v>CMCC</v>
          </cell>
          <cell r="V462">
            <v>0</v>
          </cell>
        </row>
        <row r="463">
          <cell r="A463" t="str">
            <v>BC0402</v>
          </cell>
          <cell r="C463" t="str">
            <v>Funções de Uma Variável</v>
          </cell>
          <cell r="N463">
            <v>4</v>
          </cell>
          <cell r="O463">
            <v>0</v>
          </cell>
          <cell r="R463" t="str">
            <v>CMCC</v>
          </cell>
          <cell r="V463">
            <v>0</v>
          </cell>
        </row>
        <row r="464">
          <cell r="A464" t="str">
            <v>BC0402</v>
          </cell>
          <cell r="C464" t="str">
            <v>Funções de Uma Variável</v>
          </cell>
          <cell r="N464">
            <v>4</v>
          </cell>
          <cell r="O464">
            <v>0</v>
          </cell>
          <cell r="R464" t="str">
            <v>CMCC</v>
          </cell>
          <cell r="V464">
            <v>0</v>
          </cell>
        </row>
        <row r="465">
          <cell r="A465" t="str">
            <v>BC0402</v>
          </cell>
          <cell r="C465" t="str">
            <v>Funções de Uma Variável</v>
          </cell>
          <cell r="N465">
            <v>4</v>
          </cell>
          <cell r="O465">
            <v>0</v>
          </cell>
          <cell r="R465" t="str">
            <v>CMCC</v>
          </cell>
          <cell r="V465">
            <v>0</v>
          </cell>
        </row>
        <row r="466">
          <cell r="A466" t="str">
            <v>BC0402</v>
          </cell>
          <cell r="C466" t="str">
            <v>Funções de Uma Variável</v>
          </cell>
          <cell r="N466">
            <v>4</v>
          </cell>
          <cell r="O466">
            <v>0</v>
          </cell>
          <cell r="R466" t="str">
            <v>CMCC</v>
          </cell>
          <cell r="V466">
            <v>0</v>
          </cell>
        </row>
        <row r="467">
          <cell r="A467" t="str">
            <v>BC0402</v>
          </cell>
          <cell r="C467" t="str">
            <v>Funções de Uma Variável</v>
          </cell>
          <cell r="N467">
            <v>4</v>
          </cell>
          <cell r="O467">
            <v>0</v>
          </cell>
          <cell r="R467" t="str">
            <v>CMCC</v>
          </cell>
          <cell r="V467">
            <v>0</v>
          </cell>
        </row>
        <row r="468">
          <cell r="A468" t="str">
            <v>BC0407</v>
          </cell>
          <cell r="C468" t="str">
            <v>Funções de Várias Variáveis</v>
          </cell>
          <cell r="N468">
            <v>4</v>
          </cell>
          <cell r="O468">
            <v>0</v>
          </cell>
          <cell r="R468" t="str">
            <v>CCNH</v>
          </cell>
          <cell r="V468">
            <v>0</v>
          </cell>
        </row>
        <row r="469">
          <cell r="A469" t="str">
            <v>BC0407</v>
          </cell>
          <cell r="C469" t="str">
            <v>Funções de Várias Variáveis</v>
          </cell>
          <cell r="N469">
            <v>4</v>
          </cell>
          <cell r="O469">
            <v>0</v>
          </cell>
          <cell r="R469" t="str">
            <v>CCNH</v>
          </cell>
          <cell r="V469">
            <v>0</v>
          </cell>
        </row>
        <row r="470">
          <cell r="A470" t="str">
            <v>BC0407</v>
          </cell>
          <cell r="C470" t="str">
            <v>Funções de Várias Variáveis</v>
          </cell>
          <cell r="N470">
            <v>4</v>
          </cell>
          <cell r="O470">
            <v>0</v>
          </cell>
          <cell r="R470" t="str">
            <v>CMCC</v>
          </cell>
          <cell r="V470">
            <v>0</v>
          </cell>
        </row>
        <row r="471">
          <cell r="A471" t="str">
            <v>BC0407</v>
          </cell>
          <cell r="C471" t="str">
            <v>Funções de Várias Variáveis</v>
          </cell>
          <cell r="N471">
            <v>4</v>
          </cell>
          <cell r="O471">
            <v>0</v>
          </cell>
          <cell r="R471" t="str">
            <v>CCNH</v>
          </cell>
          <cell r="V471">
            <v>0</v>
          </cell>
        </row>
        <row r="472">
          <cell r="A472" t="str">
            <v>BC0407</v>
          </cell>
          <cell r="C472" t="str">
            <v>Funções de Várias Variáveis</v>
          </cell>
          <cell r="N472">
            <v>4</v>
          </cell>
          <cell r="O472">
            <v>0</v>
          </cell>
          <cell r="R472" t="str">
            <v>CMCC</v>
          </cell>
          <cell r="V472">
            <v>0</v>
          </cell>
        </row>
        <row r="473">
          <cell r="A473" t="str">
            <v>BC0407</v>
          </cell>
          <cell r="C473" t="str">
            <v>Funções de Várias Variáveis</v>
          </cell>
          <cell r="N473">
            <v>4</v>
          </cell>
          <cell r="O473">
            <v>0</v>
          </cell>
          <cell r="R473" t="str">
            <v>CMCC</v>
          </cell>
          <cell r="V473">
            <v>0</v>
          </cell>
        </row>
        <row r="474">
          <cell r="A474" t="str">
            <v>NH3601</v>
          </cell>
          <cell r="C474" t="str">
            <v>Funções e Reações Orgânicas</v>
          </cell>
          <cell r="N474">
            <v>4</v>
          </cell>
          <cell r="O474">
            <v>0</v>
          </cell>
          <cell r="R474" t="str">
            <v>CCNH</v>
          </cell>
          <cell r="V474">
            <v>0</v>
          </cell>
        </row>
        <row r="475">
          <cell r="A475" t="str">
            <v>NH3601</v>
          </cell>
          <cell r="C475" t="str">
            <v>Funções e Reações Orgânicas</v>
          </cell>
          <cell r="N475">
            <v>4</v>
          </cell>
          <cell r="O475">
            <v>0</v>
          </cell>
          <cell r="R475" t="str">
            <v>CCNH</v>
          </cell>
          <cell r="V475">
            <v>0</v>
          </cell>
        </row>
        <row r="476">
          <cell r="A476" t="str">
            <v>NH2801</v>
          </cell>
          <cell r="C476" t="str">
            <v>Fundamentos da Eletrostática</v>
          </cell>
          <cell r="N476">
            <v>4</v>
          </cell>
          <cell r="O476">
            <v>0</v>
          </cell>
          <cell r="R476" t="str">
            <v>CCNH</v>
          </cell>
          <cell r="V476">
            <v>0</v>
          </cell>
        </row>
        <row r="477">
          <cell r="A477" t="str">
            <v>NH2801</v>
          </cell>
          <cell r="C477" t="str">
            <v>Fundamentos da Eletrostática</v>
          </cell>
          <cell r="N477">
            <v>4</v>
          </cell>
          <cell r="O477">
            <v>0</v>
          </cell>
          <cell r="R477" t="str">
            <v>CCNH</v>
          </cell>
          <cell r="V477">
            <v>0</v>
          </cell>
        </row>
        <row r="478">
          <cell r="A478" t="str">
            <v>MC8102</v>
          </cell>
          <cell r="C478" t="str">
            <v>Fundamentos de Álgebra</v>
          </cell>
          <cell r="N478">
            <v>4</v>
          </cell>
          <cell r="O478">
            <v>0</v>
          </cell>
          <cell r="R478" t="str">
            <v>CMCC</v>
          </cell>
          <cell r="V478">
            <v>0</v>
          </cell>
        </row>
        <row r="479">
          <cell r="A479" t="str">
            <v>MC8102</v>
          </cell>
          <cell r="C479" t="str">
            <v>Fundamentos de Álgebra</v>
          </cell>
          <cell r="N479">
            <v>4</v>
          </cell>
          <cell r="O479">
            <v>0</v>
          </cell>
          <cell r="R479" t="str">
            <v>CMCC</v>
          </cell>
          <cell r="V479">
            <v>0</v>
          </cell>
        </row>
        <row r="480">
          <cell r="A480" t="str">
            <v>BC1416</v>
          </cell>
          <cell r="C480" t="str">
            <v>Fundamentos de Desenho e Projeto</v>
          </cell>
          <cell r="N480">
            <v>1</v>
          </cell>
          <cell r="O480">
            <v>3</v>
          </cell>
          <cell r="R480" t="str">
            <v>CECS</v>
          </cell>
          <cell r="V480" t="str">
            <v>CECS</v>
          </cell>
        </row>
        <row r="481">
          <cell r="A481" t="str">
            <v>BC1416</v>
          </cell>
          <cell r="C481" t="str">
            <v>Fundamentos de Desenho e Projeto</v>
          </cell>
          <cell r="N481">
            <v>1</v>
          </cell>
          <cell r="O481">
            <v>3</v>
          </cell>
          <cell r="R481" t="str">
            <v>CECS</v>
          </cell>
          <cell r="V481" t="str">
            <v>CECS</v>
          </cell>
        </row>
        <row r="482">
          <cell r="A482" t="str">
            <v>BC1416</v>
          </cell>
          <cell r="C482" t="str">
            <v>Fundamentos de Desenho e Projeto</v>
          </cell>
          <cell r="N482">
            <v>1</v>
          </cell>
          <cell r="O482">
            <v>3</v>
          </cell>
          <cell r="R482" t="str">
            <v>CECS</v>
          </cell>
          <cell r="V482" t="str">
            <v>CECS</v>
          </cell>
        </row>
        <row r="483">
          <cell r="A483" t="str">
            <v>BC1416</v>
          </cell>
          <cell r="C483" t="str">
            <v>Fundamentos de Desenho e Projeto</v>
          </cell>
          <cell r="N483">
            <v>1</v>
          </cell>
          <cell r="O483">
            <v>3</v>
          </cell>
          <cell r="R483" t="str">
            <v>CECS</v>
          </cell>
          <cell r="V483" t="str">
            <v>CECS</v>
          </cell>
        </row>
        <row r="484">
          <cell r="A484" t="str">
            <v>BC1416</v>
          </cell>
          <cell r="C484" t="str">
            <v>Fundamentos de Desenho e Projeto</v>
          </cell>
          <cell r="N484">
            <v>1</v>
          </cell>
          <cell r="O484">
            <v>3</v>
          </cell>
          <cell r="R484" t="str">
            <v>CECS</v>
          </cell>
          <cell r="V484" t="str">
            <v>CECS</v>
          </cell>
        </row>
        <row r="485">
          <cell r="A485" t="str">
            <v>BC1416</v>
          </cell>
          <cell r="C485" t="str">
            <v>Fundamentos de Desenho e Projeto</v>
          </cell>
          <cell r="N485">
            <v>1</v>
          </cell>
          <cell r="O485">
            <v>3</v>
          </cell>
          <cell r="R485" t="str">
            <v>CECS</v>
          </cell>
          <cell r="V485" t="str">
            <v>CECS</v>
          </cell>
        </row>
        <row r="486">
          <cell r="A486" t="str">
            <v>BC1416</v>
          </cell>
          <cell r="C486" t="str">
            <v>Fundamentos de Desenho e Projeto</v>
          </cell>
          <cell r="N486">
            <v>1</v>
          </cell>
          <cell r="O486">
            <v>3</v>
          </cell>
          <cell r="R486" t="str">
            <v>CECS</v>
          </cell>
          <cell r="V486" t="str">
            <v>CECS</v>
          </cell>
        </row>
        <row r="487">
          <cell r="A487" t="str">
            <v>NH2802</v>
          </cell>
          <cell r="C487" t="str">
            <v>Fundamentos de Eletrodinâmica</v>
          </cell>
          <cell r="N487">
            <v>4</v>
          </cell>
          <cell r="O487">
            <v>0</v>
          </cell>
          <cell r="R487" t="str">
            <v>CCNH</v>
          </cell>
          <cell r="V487">
            <v>0</v>
          </cell>
        </row>
        <row r="488">
          <cell r="A488" t="str">
            <v>BC1323</v>
          </cell>
          <cell r="C488" t="str">
            <v>Genética Molecular</v>
          </cell>
          <cell r="N488">
            <v>2</v>
          </cell>
          <cell r="O488">
            <v>2</v>
          </cell>
          <cell r="R488" t="str">
            <v>CCNH</v>
          </cell>
          <cell r="V488" t="str">
            <v>CCNH</v>
          </cell>
        </row>
        <row r="489">
          <cell r="A489" t="str">
            <v>BC1323</v>
          </cell>
          <cell r="C489" t="str">
            <v>Genética Molecular</v>
          </cell>
          <cell r="N489">
            <v>2</v>
          </cell>
          <cell r="O489">
            <v>2</v>
          </cell>
          <cell r="R489" t="str">
            <v>CCNH</v>
          </cell>
          <cell r="V489" t="str">
            <v>CCNH</v>
          </cell>
        </row>
        <row r="490">
          <cell r="A490" t="str">
            <v>BH1333</v>
          </cell>
          <cell r="C490" t="str">
            <v>Geografia Política</v>
          </cell>
          <cell r="N490">
            <v>4</v>
          </cell>
          <cell r="O490">
            <v>0</v>
          </cell>
          <cell r="R490" t="str">
            <v>CECS</v>
          </cell>
          <cell r="V490">
            <v>0</v>
          </cell>
        </row>
        <row r="491">
          <cell r="A491" t="str">
            <v>BH1333</v>
          </cell>
          <cell r="C491" t="str">
            <v>Geografia Política</v>
          </cell>
          <cell r="N491">
            <v>4</v>
          </cell>
          <cell r="O491">
            <v>0</v>
          </cell>
          <cell r="R491" t="str">
            <v>CECS</v>
          </cell>
          <cell r="V491">
            <v>0</v>
          </cell>
        </row>
        <row r="492">
          <cell r="A492" t="str">
            <v>BC0404</v>
          </cell>
          <cell r="C492" t="str">
            <v>Geometria Analítica</v>
          </cell>
          <cell r="N492">
            <v>3</v>
          </cell>
          <cell r="O492">
            <v>0</v>
          </cell>
          <cell r="R492" t="str">
            <v>CMCC</v>
          </cell>
          <cell r="V492">
            <v>0</v>
          </cell>
        </row>
        <row r="493">
          <cell r="A493" t="str">
            <v>BC0404</v>
          </cell>
          <cell r="C493" t="str">
            <v>Geometria Analítica</v>
          </cell>
          <cell r="N493">
            <v>3</v>
          </cell>
          <cell r="O493">
            <v>0</v>
          </cell>
          <cell r="R493" t="str">
            <v>CMCC</v>
          </cell>
          <cell r="V493">
            <v>0</v>
          </cell>
        </row>
        <row r="494">
          <cell r="A494" t="str">
            <v>BC0404</v>
          </cell>
          <cell r="C494" t="str">
            <v>Geometria Analítica</v>
          </cell>
          <cell r="N494">
            <v>3</v>
          </cell>
          <cell r="O494">
            <v>0</v>
          </cell>
          <cell r="R494" t="str">
            <v>CMCC</v>
          </cell>
          <cell r="V494">
            <v>0</v>
          </cell>
        </row>
        <row r="495">
          <cell r="A495" t="str">
            <v>BC0404</v>
          </cell>
          <cell r="C495" t="str">
            <v>Geometria Analítica</v>
          </cell>
          <cell r="N495">
            <v>3</v>
          </cell>
          <cell r="O495">
            <v>0</v>
          </cell>
          <cell r="R495" t="str">
            <v>CMCC</v>
          </cell>
          <cell r="V495">
            <v>0</v>
          </cell>
        </row>
        <row r="496">
          <cell r="A496" t="str">
            <v>BC0404</v>
          </cell>
          <cell r="C496" t="str">
            <v>Geometria Analítica</v>
          </cell>
          <cell r="N496">
            <v>3</v>
          </cell>
          <cell r="O496">
            <v>0</v>
          </cell>
          <cell r="R496" t="str">
            <v>CMCC</v>
          </cell>
          <cell r="V496">
            <v>0</v>
          </cell>
        </row>
        <row r="497">
          <cell r="A497">
            <v>0</v>
          </cell>
          <cell r="C497" t="str">
            <v>Geometria Analítica</v>
          </cell>
          <cell r="N497">
            <v>0</v>
          </cell>
          <cell r="O497">
            <v>0</v>
          </cell>
          <cell r="R497" t="str">
            <v>CMCC</v>
          </cell>
          <cell r="V497">
            <v>0</v>
          </cell>
        </row>
        <row r="498">
          <cell r="A498" t="str">
            <v>BC0404</v>
          </cell>
          <cell r="C498" t="str">
            <v>Geometria Analítica</v>
          </cell>
          <cell r="N498">
            <v>3</v>
          </cell>
          <cell r="O498">
            <v>0</v>
          </cell>
          <cell r="R498" t="str">
            <v>CMCC</v>
          </cell>
          <cell r="V498">
            <v>0</v>
          </cell>
        </row>
        <row r="499">
          <cell r="A499">
            <v>0</v>
          </cell>
          <cell r="C499" t="str">
            <v>Geometria Analítica</v>
          </cell>
          <cell r="N499">
            <v>0</v>
          </cell>
          <cell r="O499">
            <v>0</v>
          </cell>
          <cell r="R499" t="str">
            <v>CMCC</v>
          </cell>
          <cell r="V499">
            <v>0</v>
          </cell>
        </row>
        <row r="500">
          <cell r="A500" t="str">
            <v>BC0404</v>
          </cell>
          <cell r="C500" t="str">
            <v>Geometria Analítica</v>
          </cell>
          <cell r="N500">
            <v>3</v>
          </cell>
          <cell r="O500">
            <v>0</v>
          </cell>
          <cell r="R500" t="str">
            <v>CMCC</v>
          </cell>
          <cell r="V500">
            <v>0</v>
          </cell>
        </row>
        <row r="501">
          <cell r="A501" t="str">
            <v>BC0404</v>
          </cell>
          <cell r="C501" t="str">
            <v>Geometria Analítica</v>
          </cell>
          <cell r="N501">
            <v>3</v>
          </cell>
          <cell r="O501">
            <v>0</v>
          </cell>
          <cell r="R501" t="str">
            <v>CMCC</v>
          </cell>
          <cell r="V501">
            <v>0</v>
          </cell>
        </row>
        <row r="502">
          <cell r="A502" t="str">
            <v>BC0404</v>
          </cell>
          <cell r="C502" t="str">
            <v>Geometria Analítica</v>
          </cell>
          <cell r="N502">
            <v>3</v>
          </cell>
          <cell r="O502">
            <v>0</v>
          </cell>
          <cell r="R502" t="str">
            <v>CMCC</v>
          </cell>
          <cell r="V502">
            <v>0</v>
          </cell>
        </row>
        <row r="503">
          <cell r="A503" t="str">
            <v>BC0404</v>
          </cell>
          <cell r="C503" t="str">
            <v>Geometria Analítica</v>
          </cell>
          <cell r="N503">
            <v>3</v>
          </cell>
          <cell r="O503">
            <v>0</v>
          </cell>
          <cell r="R503" t="str">
            <v>CMCC</v>
          </cell>
          <cell r="V503">
            <v>0</v>
          </cell>
        </row>
        <row r="504">
          <cell r="A504" t="str">
            <v>BC0404</v>
          </cell>
          <cell r="C504" t="str">
            <v>Geometria Analítica</v>
          </cell>
          <cell r="N504">
            <v>3</v>
          </cell>
          <cell r="O504">
            <v>0</v>
          </cell>
          <cell r="R504" t="str">
            <v>CMCC</v>
          </cell>
          <cell r="V504">
            <v>0</v>
          </cell>
        </row>
        <row r="505">
          <cell r="A505" t="str">
            <v>BC0404</v>
          </cell>
          <cell r="C505" t="str">
            <v>Geometria Analítica</v>
          </cell>
          <cell r="N505">
            <v>3</v>
          </cell>
          <cell r="O505">
            <v>0</v>
          </cell>
          <cell r="R505" t="str">
            <v>CMCC</v>
          </cell>
          <cell r="V505">
            <v>0</v>
          </cell>
        </row>
        <row r="506">
          <cell r="A506" t="str">
            <v>BC0404</v>
          </cell>
          <cell r="C506" t="str">
            <v>Geometria Analítica</v>
          </cell>
          <cell r="N506">
            <v>3</v>
          </cell>
          <cell r="O506">
            <v>0</v>
          </cell>
          <cell r="R506" t="str">
            <v>CMCC</v>
          </cell>
          <cell r="V506">
            <v>0</v>
          </cell>
        </row>
        <row r="507">
          <cell r="A507" t="str">
            <v>BC0404</v>
          </cell>
          <cell r="C507" t="str">
            <v>Geometria Analítica</v>
          </cell>
          <cell r="N507">
            <v>3</v>
          </cell>
          <cell r="O507">
            <v>0</v>
          </cell>
          <cell r="R507" t="str">
            <v>CMCC</v>
          </cell>
          <cell r="V507">
            <v>0</v>
          </cell>
        </row>
        <row r="508">
          <cell r="A508" t="str">
            <v>BC0404</v>
          </cell>
          <cell r="C508" t="str">
            <v>Geometria Analítica</v>
          </cell>
          <cell r="N508">
            <v>3</v>
          </cell>
          <cell r="O508">
            <v>0</v>
          </cell>
          <cell r="R508" t="str">
            <v>CMCC</v>
          </cell>
          <cell r="V508">
            <v>0</v>
          </cell>
        </row>
        <row r="509">
          <cell r="A509" t="str">
            <v>BC0404</v>
          </cell>
          <cell r="C509" t="str">
            <v>Geometria Analítica</v>
          </cell>
          <cell r="N509">
            <v>3</v>
          </cell>
          <cell r="O509">
            <v>0</v>
          </cell>
          <cell r="R509" t="str">
            <v>CMCC</v>
          </cell>
          <cell r="V509">
            <v>0</v>
          </cell>
        </row>
        <row r="510">
          <cell r="A510" t="str">
            <v>BC0404</v>
          </cell>
          <cell r="C510" t="str">
            <v>Geometria Analítica</v>
          </cell>
          <cell r="N510">
            <v>3</v>
          </cell>
          <cell r="O510">
            <v>0</v>
          </cell>
          <cell r="R510" t="str">
            <v>CMCC</v>
          </cell>
          <cell r="V510">
            <v>0</v>
          </cell>
        </row>
        <row r="511">
          <cell r="A511" t="str">
            <v>BC0404</v>
          </cell>
          <cell r="C511" t="str">
            <v>Geometria Analítica</v>
          </cell>
          <cell r="N511">
            <v>3</v>
          </cell>
          <cell r="O511">
            <v>0</v>
          </cell>
          <cell r="R511" t="str">
            <v>CMCC</v>
          </cell>
          <cell r="V511">
            <v>0</v>
          </cell>
        </row>
        <row r="512">
          <cell r="A512" t="str">
            <v>BC0404</v>
          </cell>
          <cell r="C512" t="str">
            <v>Geometria Analítica</v>
          </cell>
          <cell r="N512">
            <v>3</v>
          </cell>
          <cell r="O512">
            <v>0</v>
          </cell>
          <cell r="R512" t="str">
            <v>CMCC</v>
          </cell>
          <cell r="V512">
            <v>0</v>
          </cell>
        </row>
        <row r="513">
          <cell r="A513" t="str">
            <v>BC0404</v>
          </cell>
          <cell r="C513" t="str">
            <v>Geometria Analítica</v>
          </cell>
          <cell r="N513">
            <v>3</v>
          </cell>
          <cell r="O513">
            <v>0</v>
          </cell>
          <cell r="R513" t="str">
            <v>CMCC</v>
          </cell>
          <cell r="V513">
            <v>0</v>
          </cell>
        </row>
        <row r="514">
          <cell r="A514" t="str">
            <v>MC2103</v>
          </cell>
          <cell r="C514" t="str">
            <v>Geometria Diferencial II</v>
          </cell>
          <cell r="N514">
            <v>4</v>
          </cell>
          <cell r="O514">
            <v>0</v>
          </cell>
          <cell r="R514" t="str">
            <v>CMCC</v>
          </cell>
          <cell r="V514">
            <v>0</v>
          </cell>
        </row>
        <row r="515">
          <cell r="A515" t="str">
            <v>MC2103</v>
          </cell>
          <cell r="C515" t="str">
            <v>Geometria Diferencial II</v>
          </cell>
          <cell r="N515">
            <v>4</v>
          </cell>
          <cell r="O515">
            <v>0</v>
          </cell>
          <cell r="R515" t="str">
            <v>CMCC</v>
          </cell>
          <cell r="V515">
            <v>0</v>
          </cell>
        </row>
        <row r="516">
          <cell r="A516" t="str">
            <v>EN3114</v>
          </cell>
          <cell r="C516" t="str">
            <v>Geotecnia Aplicada ao Planejamento Urbano-Ambiental</v>
          </cell>
          <cell r="N516">
            <v>3</v>
          </cell>
          <cell r="O516">
            <v>0</v>
          </cell>
          <cell r="R516" t="str">
            <v>CECS</v>
          </cell>
          <cell r="V516">
            <v>0</v>
          </cell>
        </row>
        <row r="517">
          <cell r="A517" t="str">
            <v>EN3114</v>
          </cell>
          <cell r="C517" t="str">
            <v>Geotecnia Aplicada ao Planejamento Urbano-Ambiental</v>
          </cell>
          <cell r="N517">
            <v>3</v>
          </cell>
          <cell r="O517">
            <v>0</v>
          </cell>
          <cell r="R517" t="str">
            <v>CECS</v>
          </cell>
          <cell r="V517">
            <v>0</v>
          </cell>
        </row>
        <row r="518">
          <cell r="A518" t="str">
            <v>EN2528</v>
          </cell>
          <cell r="C518" t="str">
            <v>Gerência de Ativos</v>
          </cell>
          <cell r="N518">
            <v>2</v>
          </cell>
          <cell r="O518">
            <v>0</v>
          </cell>
          <cell r="R518" t="str">
            <v>CECS</v>
          </cell>
          <cell r="V518">
            <v>0</v>
          </cell>
        </row>
        <row r="519">
          <cell r="A519" t="str">
            <v>EN2528</v>
          </cell>
          <cell r="C519" t="str">
            <v>Gerência de Ativos</v>
          </cell>
          <cell r="N519">
            <v>2</v>
          </cell>
          <cell r="O519">
            <v>0</v>
          </cell>
          <cell r="R519" t="str">
            <v>CECS</v>
          </cell>
          <cell r="V519">
            <v>0</v>
          </cell>
        </row>
        <row r="520">
          <cell r="A520" t="str">
            <v>EN2511</v>
          </cell>
          <cell r="C520" t="str">
            <v>Gestão de Operações</v>
          </cell>
          <cell r="N520">
            <v>4</v>
          </cell>
          <cell r="O520">
            <v>0</v>
          </cell>
          <cell r="R520" t="str">
            <v>CECS</v>
          </cell>
          <cell r="V520">
            <v>0</v>
          </cell>
        </row>
        <row r="521">
          <cell r="A521" t="str">
            <v>EN2511</v>
          </cell>
          <cell r="C521" t="str">
            <v>Gestão de Operações</v>
          </cell>
          <cell r="N521">
            <v>4</v>
          </cell>
          <cell r="O521">
            <v>0</v>
          </cell>
          <cell r="R521" t="str">
            <v>CECS</v>
          </cell>
          <cell r="V521">
            <v>0</v>
          </cell>
        </row>
        <row r="522">
          <cell r="A522" t="str">
            <v>BH1103</v>
          </cell>
          <cell r="C522" t="str">
            <v>Governo, Burocracia e Administração Pública</v>
          </cell>
          <cell r="N522">
            <v>4</v>
          </cell>
          <cell r="O522">
            <v>0</v>
          </cell>
          <cell r="R522" t="str">
            <v>CECS</v>
          </cell>
          <cell r="V522">
            <v>0</v>
          </cell>
        </row>
        <row r="523">
          <cell r="A523" t="str">
            <v>BH1103</v>
          </cell>
          <cell r="C523" t="str">
            <v>Governo, Burocracia e Administração Pública</v>
          </cell>
          <cell r="N523">
            <v>4</v>
          </cell>
          <cell r="O523">
            <v>0</v>
          </cell>
          <cell r="R523" t="str">
            <v>CECS</v>
          </cell>
          <cell r="V523">
            <v>0</v>
          </cell>
        </row>
        <row r="524">
          <cell r="A524" t="str">
            <v>MC2209</v>
          </cell>
          <cell r="C524" t="str">
            <v>Grupos de Lie e Simetrias</v>
          </cell>
          <cell r="N524">
            <v>4</v>
          </cell>
          <cell r="O524">
            <v>0</v>
          </cell>
          <cell r="R524" t="str">
            <v>CCNH</v>
          </cell>
          <cell r="V524">
            <v>0</v>
          </cell>
        </row>
        <row r="525">
          <cell r="A525" t="str">
            <v>NH5129</v>
          </cell>
          <cell r="C525" t="str">
            <v>História da Astronomia</v>
          </cell>
          <cell r="N525">
            <v>4</v>
          </cell>
          <cell r="O525">
            <v>0</v>
          </cell>
          <cell r="R525" t="str">
            <v>CCNH</v>
          </cell>
          <cell r="V525">
            <v>0</v>
          </cell>
        </row>
        <row r="526">
          <cell r="A526" t="str">
            <v>NH5129</v>
          </cell>
          <cell r="C526" t="str">
            <v>História da Astronomia</v>
          </cell>
          <cell r="N526">
            <v>4</v>
          </cell>
          <cell r="O526">
            <v>0</v>
          </cell>
          <cell r="R526" t="str">
            <v>CCNH</v>
          </cell>
          <cell r="V526">
            <v>0</v>
          </cell>
        </row>
        <row r="527">
          <cell r="A527" t="str">
            <v>BH1348</v>
          </cell>
          <cell r="C527" t="str">
            <v>História da Cidade e do Urbanismo</v>
          </cell>
          <cell r="N527">
            <v>4</v>
          </cell>
          <cell r="O527">
            <v>0</v>
          </cell>
          <cell r="R527" t="str">
            <v>CECS</v>
          </cell>
          <cell r="V527">
            <v>0</v>
          </cell>
        </row>
        <row r="528">
          <cell r="A528" t="str">
            <v>BH1348</v>
          </cell>
          <cell r="C528" t="str">
            <v>História da Cidade e do Urbanismo</v>
          </cell>
          <cell r="N528">
            <v>4</v>
          </cell>
          <cell r="O528">
            <v>0</v>
          </cell>
          <cell r="R528" t="str">
            <v>CECS</v>
          </cell>
          <cell r="V528">
            <v>0</v>
          </cell>
        </row>
        <row r="529">
          <cell r="A529" t="str">
            <v>NH4106</v>
          </cell>
          <cell r="C529" t="str">
            <v>História da Ciência e Ensino</v>
          </cell>
          <cell r="N529">
            <v>2</v>
          </cell>
          <cell r="O529">
            <v>0</v>
          </cell>
          <cell r="R529" t="e">
            <v>#N/A</v>
          </cell>
          <cell r="V529">
            <v>0</v>
          </cell>
        </row>
        <row r="530">
          <cell r="A530" t="str">
            <v>NH4106</v>
          </cell>
          <cell r="C530" t="str">
            <v>História da Ciência e Ensino</v>
          </cell>
          <cell r="N530">
            <v>2</v>
          </cell>
          <cell r="O530">
            <v>0</v>
          </cell>
          <cell r="R530" t="e">
            <v>#N/A</v>
          </cell>
          <cell r="V530">
            <v>0</v>
          </cell>
        </row>
        <row r="531">
          <cell r="A531" t="str">
            <v>NH4106</v>
          </cell>
          <cell r="C531" t="str">
            <v>História da Ciência e Ensino</v>
          </cell>
          <cell r="N531">
            <v>2</v>
          </cell>
          <cell r="O531">
            <v>0</v>
          </cell>
          <cell r="R531" t="e">
            <v>#N/A</v>
          </cell>
          <cell r="V531">
            <v>0</v>
          </cell>
        </row>
        <row r="532">
          <cell r="A532" t="str">
            <v>NH4106</v>
          </cell>
          <cell r="C532" t="str">
            <v>História da Ciência e Ensino</v>
          </cell>
          <cell r="N532">
            <v>2</v>
          </cell>
          <cell r="O532">
            <v>0</v>
          </cell>
          <cell r="R532" t="e">
            <v>#N/A</v>
          </cell>
          <cell r="V532">
            <v>0</v>
          </cell>
        </row>
        <row r="533">
          <cell r="A533" t="str">
            <v>BH1310</v>
          </cell>
          <cell r="C533" t="str">
            <v>História da Filosofia Moderna: o Iluminismo e seus desdobramentos</v>
          </cell>
          <cell r="N533">
            <v>4</v>
          </cell>
          <cell r="O533">
            <v>0</v>
          </cell>
          <cell r="R533" t="str">
            <v>CCNH</v>
          </cell>
          <cell r="V533">
            <v>0</v>
          </cell>
        </row>
        <row r="534">
          <cell r="A534" t="str">
            <v>BH1310</v>
          </cell>
          <cell r="C534" t="str">
            <v>História da Filosofia Moderna: o Iluminismo e seus desdobramentos</v>
          </cell>
          <cell r="N534">
            <v>4</v>
          </cell>
          <cell r="O534">
            <v>0</v>
          </cell>
          <cell r="R534" t="str">
            <v>CCNH</v>
          </cell>
          <cell r="V534">
            <v>0</v>
          </cell>
        </row>
        <row r="535">
          <cell r="A535" t="str">
            <v>MC8311</v>
          </cell>
          <cell r="C535" t="str">
            <v>História da Matemática</v>
          </cell>
          <cell r="N535">
            <v>4</v>
          </cell>
          <cell r="O535">
            <v>0</v>
          </cell>
          <cell r="R535" t="str">
            <v>CMCC</v>
          </cell>
          <cell r="V535">
            <v>0</v>
          </cell>
        </row>
        <row r="536">
          <cell r="A536" t="str">
            <v>BH1404</v>
          </cell>
          <cell r="C536" t="str">
            <v>Historiografia e História das Ciências</v>
          </cell>
          <cell r="N536">
            <v>4</v>
          </cell>
          <cell r="O536">
            <v>0</v>
          </cell>
          <cell r="R536" t="str">
            <v>CCNH</v>
          </cell>
          <cell r="V536">
            <v>0</v>
          </cell>
        </row>
        <row r="537">
          <cell r="A537" t="str">
            <v>BH1404</v>
          </cell>
          <cell r="C537" t="str">
            <v>Historiografia e História das Ciências</v>
          </cell>
          <cell r="N537">
            <v>4</v>
          </cell>
          <cell r="O537">
            <v>0</v>
          </cell>
          <cell r="R537" t="str">
            <v>CCNH</v>
          </cell>
          <cell r="V537">
            <v>0</v>
          </cell>
        </row>
        <row r="538">
          <cell r="A538" t="str">
            <v>BH0302</v>
          </cell>
          <cell r="C538" t="str">
            <v>Identidade e Cultura</v>
          </cell>
          <cell r="N538">
            <v>4</v>
          </cell>
          <cell r="O538">
            <v>0</v>
          </cell>
          <cell r="R538" t="str">
            <v>CECS</v>
          </cell>
          <cell r="V538">
            <v>0</v>
          </cell>
        </row>
        <row r="539">
          <cell r="A539" t="str">
            <v>BH0302</v>
          </cell>
          <cell r="C539" t="str">
            <v>Identidade e Cultura</v>
          </cell>
          <cell r="N539">
            <v>4</v>
          </cell>
          <cell r="O539">
            <v>0</v>
          </cell>
          <cell r="R539" t="str">
            <v>CECS</v>
          </cell>
          <cell r="V539">
            <v>0</v>
          </cell>
        </row>
        <row r="540">
          <cell r="A540" t="str">
            <v>BH0302</v>
          </cell>
          <cell r="C540" t="str">
            <v>Identidade e Cultura</v>
          </cell>
          <cell r="N540">
            <v>4</v>
          </cell>
          <cell r="O540">
            <v>0</v>
          </cell>
          <cell r="R540" t="str">
            <v>CECS</v>
          </cell>
          <cell r="V540">
            <v>0</v>
          </cell>
        </row>
        <row r="541">
          <cell r="A541" t="str">
            <v>BH0302</v>
          </cell>
          <cell r="C541" t="str">
            <v>Identidade e Cultura</v>
          </cell>
          <cell r="N541">
            <v>4</v>
          </cell>
          <cell r="O541">
            <v>0</v>
          </cell>
          <cell r="R541" t="str">
            <v>CECS</v>
          </cell>
          <cell r="V541">
            <v>0</v>
          </cell>
        </row>
        <row r="542">
          <cell r="A542" t="str">
            <v>BH0302</v>
          </cell>
          <cell r="C542" t="str">
            <v>Identidade e Cultura</v>
          </cell>
          <cell r="N542">
            <v>4</v>
          </cell>
          <cell r="O542">
            <v>0</v>
          </cell>
          <cell r="R542" t="str">
            <v>CECS</v>
          </cell>
          <cell r="V542">
            <v>0</v>
          </cell>
        </row>
        <row r="543">
          <cell r="A543">
            <v>0</v>
          </cell>
          <cell r="C543">
            <v>0</v>
          </cell>
          <cell r="N543">
            <v>0</v>
          </cell>
          <cell r="O543">
            <v>0</v>
          </cell>
          <cell r="R543">
            <v>0</v>
          </cell>
          <cell r="V543">
            <v>0</v>
          </cell>
        </row>
        <row r="544">
          <cell r="A544" t="str">
            <v>EN2514</v>
          </cell>
          <cell r="C544" t="str">
            <v>Inovação Tecnológica</v>
          </cell>
          <cell r="N544">
            <v>2</v>
          </cell>
          <cell r="O544">
            <v>2</v>
          </cell>
          <cell r="R544" t="str">
            <v>CECS</v>
          </cell>
          <cell r="V544" t="str">
            <v>CECS</v>
          </cell>
        </row>
        <row r="545">
          <cell r="A545" t="str">
            <v>EN2514</v>
          </cell>
          <cell r="C545" t="str">
            <v>Inovação Tecnológica</v>
          </cell>
          <cell r="N545">
            <v>2</v>
          </cell>
          <cell r="O545">
            <v>2</v>
          </cell>
          <cell r="R545" t="str">
            <v>CECS</v>
          </cell>
          <cell r="V545" t="str">
            <v>CECS</v>
          </cell>
        </row>
        <row r="546">
          <cell r="A546" t="str">
            <v>EN2403</v>
          </cell>
          <cell r="C546" t="str">
            <v>Instalações Elétricas I</v>
          </cell>
          <cell r="N546">
            <v>2</v>
          </cell>
          <cell r="O546">
            <v>2</v>
          </cell>
          <cell r="R546" t="str">
            <v>CECS</v>
          </cell>
          <cell r="V546" t="str">
            <v>CECS</v>
          </cell>
        </row>
        <row r="547">
          <cell r="A547" t="str">
            <v>EN3336</v>
          </cell>
          <cell r="C547" t="str">
            <v>Instalações Hospitalares</v>
          </cell>
          <cell r="N547">
            <v>2</v>
          </cell>
          <cell r="O547">
            <v>2</v>
          </cell>
          <cell r="R547" t="str">
            <v>CECS</v>
          </cell>
          <cell r="V547" t="str">
            <v>CECS</v>
          </cell>
        </row>
        <row r="548">
          <cell r="A548" t="str">
            <v>EN2403</v>
          </cell>
          <cell r="C548" t="str">
            <v>Instalações Elétricas I</v>
          </cell>
          <cell r="N548">
            <v>0</v>
          </cell>
          <cell r="O548">
            <v>2</v>
          </cell>
          <cell r="R548" t="str">
            <v>CECS</v>
          </cell>
          <cell r="V548" t="str">
            <v>CECS</v>
          </cell>
        </row>
        <row r="549">
          <cell r="A549" t="str">
            <v>CS3106</v>
          </cell>
          <cell r="C549" t="str">
            <v>Instituições Judiciais e Políticas Públicas</v>
          </cell>
          <cell r="N549">
            <v>4</v>
          </cell>
          <cell r="O549">
            <v>0</v>
          </cell>
          <cell r="R549" t="str">
            <v>CECS</v>
          </cell>
          <cell r="V549">
            <v>0</v>
          </cell>
        </row>
        <row r="550">
          <cell r="A550" t="str">
            <v>CS3106</v>
          </cell>
          <cell r="C550" t="str">
            <v>Instituições Judiciais e Políticas Públicas</v>
          </cell>
          <cell r="N550">
            <v>4</v>
          </cell>
          <cell r="O550">
            <v>0</v>
          </cell>
          <cell r="R550" t="str">
            <v>CECS</v>
          </cell>
          <cell r="V550">
            <v>0</v>
          </cell>
        </row>
        <row r="551">
          <cell r="A551" t="str">
            <v>EN2331</v>
          </cell>
          <cell r="C551" t="str">
            <v>Instrumentação Biomédica Avançada</v>
          </cell>
          <cell r="N551">
            <v>3</v>
          </cell>
          <cell r="O551">
            <v>2</v>
          </cell>
          <cell r="R551" t="str">
            <v>CECS</v>
          </cell>
          <cell r="V551" t="str">
            <v>CECS</v>
          </cell>
        </row>
        <row r="552">
          <cell r="A552" t="str">
            <v>EN2331</v>
          </cell>
          <cell r="C552" t="str">
            <v>Instrumentação Biomédica Avançada</v>
          </cell>
          <cell r="N552">
            <v>3</v>
          </cell>
          <cell r="O552">
            <v>2</v>
          </cell>
          <cell r="R552" t="str">
            <v>CECS</v>
          </cell>
          <cell r="V552" t="str">
            <v>CECS</v>
          </cell>
        </row>
        <row r="553">
          <cell r="A553" t="str">
            <v>BC1507</v>
          </cell>
          <cell r="C553" t="str">
            <v>Instrumentação e Controle</v>
          </cell>
          <cell r="N553">
            <v>3</v>
          </cell>
          <cell r="O553">
            <v>1</v>
          </cell>
          <cell r="R553" t="str">
            <v>CECS</v>
          </cell>
          <cell r="V553" t="str">
            <v>CECS</v>
          </cell>
        </row>
        <row r="554">
          <cell r="A554" t="str">
            <v>BC1507</v>
          </cell>
          <cell r="C554" t="str">
            <v>Instrumentação e Controle</v>
          </cell>
          <cell r="N554">
            <v>3</v>
          </cell>
          <cell r="O554">
            <v>1</v>
          </cell>
          <cell r="R554" t="str">
            <v>CECS</v>
          </cell>
          <cell r="V554" t="str">
            <v>CECS</v>
          </cell>
        </row>
        <row r="555">
          <cell r="A555" t="str">
            <v>BC1507</v>
          </cell>
          <cell r="C555" t="str">
            <v>Instrumentação e Controle</v>
          </cell>
          <cell r="N555">
            <v>0</v>
          </cell>
          <cell r="O555">
            <v>1</v>
          </cell>
          <cell r="R555" t="e">
            <v>#N/A</v>
          </cell>
          <cell r="V555" t="str">
            <v>CECS</v>
          </cell>
        </row>
        <row r="556">
          <cell r="A556" t="str">
            <v>BC1507</v>
          </cell>
          <cell r="C556" t="str">
            <v>Instrumentação e Controle</v>
          </cell>
          <cell r="N556">
            <v>0</v>
          </cell>
          <cell r="O556">
            <v>1</v>
          </cell>
          <cell r="R556" t="e">
            <v>#N/A</v>
          </cell>
          <cell r="V556" t="str">
            <v>CECS</v>
          </cell>
        </row>
        <row r="557">
          <cell r="A557" t="str">
            <v>BC1507</v>
          </cell>
          <cell r="C557" t="str">
            <v>Instrumentação e Controle</v>
          </cell>
          <cell r="N557">
            <v>3</v>
          </cell>
          <cell r="O557">
            <v>1</v>
          </cell>
          <cell r="R557" t="str">
            <v>CECS</v>
          </cell>
          <cell r="V557" t="str">
            <v>CECS</v>
          </cell>
        </row>
        <row r="558">
          <cell r="A558" t="str">
            <v>BC1507</v>
          </cell>
          <cell r="C558" t="str">
            <v>Instrumentação e Controle</v>
          </cell>
          <cell r="N558">
            <v>3</v>
          </cell>
          <cell r="O558">
            <v>1</v>
          </cell>
          <cell r="R558" t="str">
            <v>CECS</v>
          </cell>
          <cell r="V558" t="str">
            <v>CECS</v>
          </cell>
        </row>
        <row r="559">
          <cell r="A559" t="str">
            <v>BC1507</v>
          </cell>
          <cell r="C559" t="str">
            <v>Instrumentação e Controle</v>
          </cell>
          <cell r="N559">
            <v>0</v>
          </cell>
          <cell r="O559">
            <v>1</v>
          </cell>
          <cell r="R559" t="e">
            <v>#N/A</v>
          </cell>
          <cell r="V559" t="str">
            <v>CECS</v>
          </cell>
        </row>
        <row r="560">
          <cell r="A560" t="str">
            <v>EN3714</v>
          </cell>
          <cell r="C560" t="str">
            <v>Instrumentação e Metrologia Óptica</v>
          </cell>
          <cell r="N560">
            <v>3</v>
          </cell>
          <cell r="O560">
            <v>1</v>
          </cell>
          <cell r="R560" t="str">
            <v>CECS</v>
          </cell>
          <cell r="V560" t="str">
            <v>CECS</v>
          </cell>
        </row>
        <row r="561">
          <cell r="A561" t="str">
            <v>EN3714</v>
          </cell>
          <cell r="C561" t="str">
            <v>Instrumentação e Metrologia Óptica</v>
          </cell>
          <cell r="N561">
            <v>3</v>
          </cell>
          <cell r="O561">
            <v>1</v>
          </cell>
          <cell r="R561" t="str">
            <v>CECS</v>
          </cell>
          <cell r="V561" t="str">
            <v>CECS</v>
          </cell>
        </row>
        <row r="562">
          <cell r="A562">
            <v>0</v>
          </cell>
          <cell r="C562">
            <v>0</v>
          </cell>
          <cell r="N562">
            <v>0</v>
          </cell>
          <cell r="O562">
            <v>0</v>
          </cell>
          <cell r="R562">
            <v>0</v>
          </cell>
          <cell r="V562">
            <v>0</v>
          </cell>
        </row>
        <row r="563">
          <cell r="A563" t="str">
            <v>MC3311</v>
          </cell>
          <cell r="C563" t="str">
            <v>Inteligência Artificial</v>
          </cell>
          <cell r="N563">
            <v>3</v>
          </cell>
          <cell r="O563">
            <v>1</v>
          </cell>
          <cell r="R563" t="str">
            <v>CMCC</v>
          </cell>
          <cell r="V563" t="str">
            <v>CMCC</v>
          </cell>
        </row>
        <row r="564">
          <cell r="A564" t="str">
            <v>MC3311</v>
          </cell>
          <cell r="C564" t="str">
            <v>Inteligência Artificial</v>
          </cell>
          <cell r="N564">
            <v>3</v>
          </cell>
          <cell r="O564">
            <v>1</v>
          </cell>
          <cell r="R564" t="str">
            <v>CMCC</v>
          </cell>
          <cell r="V564" t="str">
            <v>CMCC</v>
          </cell>
        </row>
        <row r="565">
          <cell r="A565" t="str">
            <v>BC0104</v>
          </cell>
          <cell r="C565" t="str">
            <v>Interações Atômicas e Moleculares</v>
          </cell>
          <cell r="N565">
            <v>3</v>
          </cell>
          <cell r="O565">
            <v>0</v>
          </cell>
          <cell r="R565" t="str">
            <v>CCNH</v>
          </cell>
          <cell r="V565">
            <v>0</v>
          </cell>
        </row>
        <row r="566">
          <cell r="A566" t="str">
            <v>BC0104</v>
          </cell>
          <cell r="C566" t="str">
            <v>Interações Atômicas e Moleculares</v>
          </cell>
          <cell r="N566">
            <v>3</v>
          </cell>
          <cell r="O566">
            <v>0</v>
          </cell>
          <cell r="R566" t="str">
            <v>CCNH</v>
          </cell>
          <cell r="V566">
            <v>0</v>
          </cell>
        </row>
        <row r="567">
          <cell r="A567" t="str">
            <v>BC0104</v>
          </cell>
          <cell r="C567" t="str">
            <v>Interações Atômicas e Moleculares</v>
          </cell>
          <cell r="N567">
            <v>3</v>
          </cell>
          <cell r="O567">
            <v>0</v>
          </cell>
          <cell r="R567" t="str">
            <v>CCNH</v>
          </cell>
          <cell r="V567">
            <v>0</v>
          </cell>
        </row>
        <row r="568">
          <cell r="A568" t="str">
            <v>BC0104</v>
          </cell>
          <cell r="C568" t="str">
            <v>Interações Atômicas e Moleculares</v>
          </cell>
          <cell r="N568">
            <v>3</v>
          </cell>
          <cell r="O568">
            <v>0</v>
          </cell>
          <cell r="R568" t="str">
            <v>CCNH</v>
          </cell>
          <cell r="V568">
            <v>0</v>
          </cell>
        </row>
        <row r="569">
          <cell r="A569" t="str">
            <v>MC7104</v>
          </cell>
          <cell r="C569" t="str">
            <v>Interface Humano-Máquina</v>
          </cell>
          <cell r="N569">
            <v>4</v>
          </cell>
          <cell r="O569">
            <v>0</v>
          </cell>
          <cell r="R569" t="str">
            <v>CMCC</v>
          </cell>
          <cell r="V569">
            <v>0</v>
          </cell>
        </row>
        <row r="570">
          <cell r="A570" t="str">
            <v>MC2113</v>
          </cell>
          <cell r="C570" t="str">
            <v>Introdução à Análise Funcional</v>
          </cell>
          <cell r="N570">
            <v>4</v>
          </cell>
          <cell r="O570">
            <v>0</v>
          </cell>
          <cell r="R570" t="str">
            <v>CMCC</v>
          </cell>
          <cell r="V570">
            <v>0</v>
          </cell>
        </row>
        <row r="571">
          <cell r="A571" t="str">
            <v>BC1439</v>
          </cell>
          <cell r="C571" t="str">
            <v>Introdução à Bioinformática</v>
          </cell>
          <cell r="N571">
            <v>3</v>
          </cell>
          <cell r="O571">
            <v>1</v>
          </cell>
          <cell r="R571" t="str">
            <v>CECS</v>
          </cell>
          <cell r="V571" t="str">
            <v>CECS</v>
          </cell>
        </row>
        <row r="572">
          <cell r="A572" t="str">
            <v>EN3433</v>
          </cell>
          <cell r="C572" t="str">
            <v>Introdução à Engenharia do Petróleo II</v>
          </cell>
          <cell r="N572">
            <v>4</v>
          </cell>
          <cell r="O572">
            <v>0</v>
          </cell>
          <cell r="R572" t="str">
            <v>CECS</v>
          </cell>
          <cell r="V572">
            <v>0</v>
          </cell>
        </row>
        <row r="573">
          <cell r="A573" t="str">
            <v>BC1334</v>
          </cell>
          <cell r="C573" t="str">
            <v>Introdução à Física Médica</v>
          </cell>
          <cell r="N573">
            <v>3</v>
          </cell>
          <cell r="O573">
            <v>1</v>
          </cell>
          <cell r="R573" t="str">
            <v>CECS</v>
          </cell>
          <cell r="V573" t="str">
            <v>CECS</v>
          </cell>
        </row>
        <row r="574">
          <cell r="A574" t="str">
            <v>BC1334</v>
          </cell>
          <cell r="C574" t="str">
            <v>Introdução à Física Médica</v>
          </cell>
          <cell r="N574">
            <v>3</v>
          </cell>
          <cell r="O574">
            <v>1</v>
          </cell>
          <cell r="R574" t="str">
            <v>CECS</v>
          </cell>
          <cell r="V574" t="str">
            <v>CECS</v>
          </cell>
        </row>
        <row r="575">
          <cell r="A575" t="str">
            <v>BC1203</v>
          </cell>
          <cell r="C575" t="str">
            <v>Introdução à Física Nuclear</v>
          </cell>
          <cell r="N575">
            <v>4</v>
          </cell>
          <cell r="O575">
            <v>0</v>
          </cell>
          <cell r="R575" t="str">
            <v>CCNH</v>
          </cell>
          <cell r="V575">
            <v>0</v>
          </cell>
        </row>
        <row r="576">
          <cell r="A576" t="str">
            <v>BC1008</v>
          </cell>
          <cell r="C576" t="str">
            <v>Introdução à Neurociência</v>
          </cell>
          <cell r="N576">
            <v>4</v>
          </cell>
          <cell r="O576">
            <v>0</v>
          </cell>
          <cell r="R576" t="str">
            <v>CMCC</v>
          </cell>
          <cell r="V576">
            <v>0</v>
          </cell>
        </row>
        <row r="577">
          <cell r="A577" t="str">
            <v>BC1008</v>
          </cell>
          <cell r="C577" t="str">
            <v>Introdução à Neurociência</v>
          </cell>
          <cell r="N577">
            <v>4</v>
          </cell>
          <cell r="O577">
            <v>0</v>
          </cell>
          <cell r="R577" t="str">
            <v>CMCC</v>
          </cell>
          <cell r="V577">
            <v>0</v>
          </cell>
        </row>
        <row r="578">
          <cell r="A578" t="str">
            <v>BC0406</v>
          </cell>
          <cell r="C578" t="str">
            <v>Introdução à Probabilidade e à Estatística</v>
          </cell>
          <cell r="N578">
            <v>3</v>
          </cell>
          <cell r="O578">
            <v>0</v>
          </cell>
          <cell r="R578" t="str">
            <v>CMCC</v>
          </cell>
          <cell r="V578">
            <v>0</v>
          </cell>
        </row>
        <row r="579">
          <cell r="A579" t="str">
            <v>BC0406</v>
          </cell>
          <cell r="C579" t="str">
            <v>Introdução à Probabilidade e à Estatística</v>
          </cell>
          <cell r="N579">
            <v>3</v>
          </cell>
          <cell r="O579">
            <v>0</v>
          </cell>
          <cell r="R579" t="str">
            <v>CMCC</v>
          </cell>
          <cell r="V579">
            <v>0</v>
          </cell>
        </row>
        <row r="580">
          <cell r="A580" t="str">
            <v>BC0406</v>
          </cell>
          <cell r="C580" t="str">
            <v>Introdução à Probabilidade e à Estatística</v>
          </cell>
          <cell r="N580">
            <v>3</v>
          </cell>
          <cell r="O580">
            <v>0</v>
          </cell>
          <cell r="R580" t="str">
            <v>CMCC</v>
          </cell>
          <cell r="V580">
            <v>0</v>
          </cell>
        </row>
        <row r="581">
          <cell r="A581" t="str">
            <v>BC0406</v>
          </cell>
          <cell r="C581" t="str">
            <v>Introdução à Probabilidade e à Estatística</v>
          </cell>
          <cell r="N581">
            <v>3</v>
          </cell>
          <cell r="O581">
            <v>0</v>
          </cell>
          <cell r="R581" t="str">
            <v>CMCC</v>
          </cell>
          <cell r="V581">
            <v>0</v>
          </cell>
        </row>
        <row r="582">
          <cell r="A582" t="str">
            <v>NH3204</v>
          </cell>
          <cell r="C582" t="str">
            <v>Introdução a Processos Industriais Biotecnológicos</v>
          </cell>
          <cell r="N582">
            <v>2</v>
          </cell>
          <cell r="O582">
            <v>0</v>
          </cell>
          <cell r="R582" t="str">
            <v>CCNH</v>
          </cell>
          <cell r="V582">
            <v>0</v>
          </cell>
        </row>
        <row r="583">
          <cell r="A583" t="str">
            <v>NH3204</v>
          </cell>
          <cell r="C583" t="str">
            <v>Introdução a Processos Industriais Biotecnológicos</v>
          </cell>
          <cell r="N583">
            <v>2</v>
          </cell>
          <cell r="O583">
            <v>0</v>
          </cell>
          <cell r="R583" t="str">
            <v>CCNH</v>
          </cell>
          <cell r="V583">
            <v>0</v>
          </cell>
        </row>
        <row r="584">
          <cell r="A584" t="str">
            <v>EN2406</v>
          </cell>
          <cell r="C584" t="str">
            <v>Introdução aos Sistemas Elétricos de Potência</v>
          </cell>
          <cell r="N584">
            <v>3</v>
          </cell>
          <cell r="O584">
            <v>1</v>
          </cell>
          <cell r="R584" t="str">
            <v>CECS</v>
          </cell>
          <cell r="V584" t="str">
            <v>CECS</v>
          </cell>
        </row>
        <row r="585">
          <cell r="A585" t="str">
            <v>BC1710</v>
          </cell>
          <cell r="C585" t="str">
            <v>Introdução às Engenharias</v>
          </cell>
          <cell r="N585">
            <v>2</v>
          </cell>
          <cell r="O585">
            <v>0</v>
          </cell>
          <cell r="R585" t="str">
            <v>CECS</v>
          </cell>
          <cell r="V585">
            <v>0</v>
          </cell>
        </row>
        <row r="586">
          <cell r="A586">
            <v>0</v>
          </cell>
          <cell r="C586">
            <v>0</v>
          </cell>
          <cell r="N586">
            <v>0</v>
          </cell>
          <cell r="O586">
            <v>0</v>
          </cell>
          <cell r="R586">
            <v>0</v>
          </cell>
          <cell r="V586">
            <v>0</v>
          </cell>
        </row>
        <row r="587">
          <cell r="A587" t="str">
            <v>BC1710</v>
          </cell>
          <cell r="C587" t="str">
            <v>Introdução às Engenharias</v>
          </cell>
          <cell r="N587">
            <v>2</v>
          </cell>
          <cell r="O587">
            <v>0</v>
          </cell>
          <cell r="R587" t="str">
            <v>CECS</v>
          </cell>
          <cell r="V587">
            <v>0</v>
          </cell>
        </row>
        <row r="588">
          <cell r="A588" t="str">
            <v>BC1710</v>
          </cell>
          <cell r="C588" t="str">
            <v>Introdução às Engenharias</v>
          </cell>
          <cell r="N588">
            <v>2</v>
          </cell>
          <cell r="O588">
            <v>0</v>
          </cell>
          <cell r="R588" t="str">
            <v>CECS</v>
          </cell>
          <cell r="V588">
            <v>0</v>
          </cell>
        </row>
        <row r="589">
          <cell r="A589" t="str">
            <v>BC1710</v>
          </cell>
          <cell r="C589" t="str">
            <v>Introdução às Engenharias</v>
          </cell>
          <cell r="N589">
            <v>2</v>
          </cell>
          <cell r="O589">
            <v>0</v>
          </cell>
          <cell r="R589" t="str">
            <v>CECS</v>
          </cell>
          <cell r="V589">
            <v>0</v>
          </cell>
        </row>
        <row r="590">
          <cell r="A590" t="str">
            <v>BC0405</v>
          </cell>
          <cell r="C590" t="str">
            <v>Introdução às Equações Diferenciais Ordinárias</v>
          </cell>
          <cell r="N590">
            <v>4</v>
          </cell>
          <cell r="O590">
            <v>0</v>
          </cell>
          <cell r="R590" t="str">
            <v>CMCC</v>
          </cell>
          <cell r="V590">
            <v>0</v>
          </cell>
        </row>
        <row r="591">
          <cell r="A591" t="str">
            <v>BC0405</v>
          </cell>
          <cell r="C591" t="str">
            <v>Introdução às Equações Diferenciais Ordinárias</v>
          </cell>
          <cell r="N591">
            <v>4</v>
          </cell>
          <cell r="O591">
            <v>0</v>
          </cell>
          <cell r="R591" t="str">
            <v>CMCC</v>
          </cell>
          <cell r="V591">
            <v>0</v>
          </cell>
        </row>
        <row r="592">
          <cell r="A592" t="str">
            <v>BC0405</v>
          </cell>
          <cell r="C592" t="str">
            <v>Introdução às Equações Diferenciais Ordinárias</v>
          </cell>
          <cell r="N592">
            <v>4</v>
          </cell>
          <cell r="O592">
            <v>0</v>
          </cell>
          <cell r="R592" t="str">
            <v>CMCC</v>
          </cell>
          <cell r="V592">
            <v>0</v>
          </cell>
        </row>
        <row r="593">
          <cell r="A593">
            <v>0</v>
          </cell>
          <cell r="C593">
            <v>0</v>
          </cell>
          <cell r="N593">
            <v>0</v>
          </cell>
          <cell r="O593">
            <v>0</v>
          </cell>
          <cell r="R593">
            <v>0</v>
          </cell>
          <cell r="V593">
            <v>0</v>
          </cell>
        </row>
        <row r="594">
          <cell r="A594" t="str">
            <v>BC0405</v>
          </cell>
          <cell r="C594" t="str">
            <v>Introdução às Equações Diferenciais Ordinárias</v>
          </cell>
          <cell r="N594">
            <v>4</v>
          </cell>
          <cell r="O594">
            <v>0</v>
          </cell>
          <cell r="R594" t="str">
            <v>CMCC</v>
          </cell>
          <cell r="V594">
            <v>0</v>
          </cell>
        </row>
        <row r="595">
          <cell r="A595" t="str">
            <v>BC0405</v>
          </cell>
          <cell r="C595" t="str">
            <v>Introdução às Equações Diferenciais Ordinárias</v>
          </cell>
          <cell r="N595">
            <v>4</v>
          </cell>
          <cell r="O595">
            <v>0</v>
          </cell>
          <cell r="R595" t="str">
            <v>CCNH</v>
          </cell>
          <cell r="V595">
            <v>0</v>
          </cell>
        </row>
        <row r="596">
          <cell r="A596" t="str">
            <v>BC0405</v>
          </cell>
          <cell r="C596" t="str">
            <v>Introdução às Equações Diferenciais Ordinárias</v>
          </cell>
          <cell r="N596">
            <v>4</v>
          </cell>
          <cell r="O596">
            <v>0</v>
          </cell>
          <cell r="R596" t="str">
            <v>CMCC</v>
          </cell>
          <cell r="V596">
            <v>0</v>
          </cell>
        </row>
        <row r="597">
          <cell r="A597" t="str">
            <v>BC0405</v>
          </cell>
          <cell r="C597" t="str">
            <v>Introdução às Equações Diferenciais Ordinárias</v>
          </cell>
          <cell r="N597">
            <v>4</v>
          </cell>
          <cell r="O597">
            <v>0</v>
          </cell>
          <cell r="R597" t="str">
            <v>CMCC</v>
          </cell>
          <cell r="V597">
            <v>0</v>
          </cell>
        </row>
        <row r="598">
          <cell r="A598" t="str">
            <v>BC0405</v>
          </cell>
          <cell r="C598" t="str">
            <v>Introdução às Equações Diferenciais Ordinárias</v>
          </cell>
          <cell r="N598">
            <v>4</v>
          </cell>
          <cell r="O598">
            <v>0</v>
          </cell>
          <cell r="R598" t="str">
            <v>CMCC</v>
          </cell>
          <cell r="V598">
            <v>0</v>
          </cell>
        </row>
        <row r="599">
          <cell r="A599" t="str">
            <v>BC0405</v>
          </cell>
          <cell r="C599" t="str">
            <v>Introdução às Equações Diferenciais Ordinárias</v>
          </cell>
          <cell r="N599">
            <v>4</v>
          </cell>
          <cell r="O599">
            <v>0</v>
          </cell>
          <cell r="R599" t="str">
            <v>CMCC</v>
          </cell>
          <cell r="V599">
            <v>0</v>
          </cell>
        </row>
        <row r="600">
          <cell r="A600" t="str">
            <v>BC1314</v>
          </cell>
          <cell r="C600" t="str">
            <v>Laboratório de Física Básica II</v>
          </cell>
          <cell r="N600">
            <v>0</v>
          </cell>
          <cell r="O600">
            <v>3</v>
          </cell>
          <cell r="R600" t="str">
            <v>CCNH</v>
          </cell>
          <cell r="V600" t="str">
            <v>CCNH</v>
          </cell>
        </row>
        <row r="601">
          <cell r="A601" t="str">
            <v>BC1314</v>
          </cell>
          <cell r="C601" t="str">
            <v>Laboratório de Física Básica II</v>
          </cell>
          <cell r="N601">
            <v>0</v>
          </cell>
          <cell r="O601">
            <v>3</v>
          </cell>
          <cell r="R601" t="str">
            <v>CCNH</v>
          </cell>
          <cell r="V601" t="str">
            <v>CCNH</v>
          </cell>
        </row>
        <row r="602">
          <cell r="A602" t="str">
            <v>EN2231</v>
          </cell>
          <cell r="C602" t="str">
            <v>Laboratório de Guiagem, Navegação e Controle</v>
          </cell>
          <cell r="N602">
            <v>0</v>
          </cell>
          <cell r="O602">
            <v>4</v>
          </cell>
          <cell r="R602" t="str">
            <v>CECS</v>
          </cell>
          <cell r="V602" t="str">
            <v>CECS</v>
          </cell>
        </row>
        <row r="603">
          <cell r="A603">
            <v>0</v>
          </cell>
          <cell r="C603">
            <v>0</v>
          </cell>
          <cell r="N603">
            <v>0</v>
          </cell>
          <cell r="O603">
            <v>0</v>
          </cell>
          <cell r="R603">
            <v>0</v>
          </cell>
          <cell r="V603">
            <v>0</v>
          </cell>
        </row>
        <row r="604">
          <cell r="A604" t="str">
            <v>BC1607</v>
          </cell>
          <cell r="C604" t="str">
            <v>LIBRAS</v>
          </cell>
          <cell r="N604">
            <v>2</v>
          </cell>
          <cell r="O604">
            <v>0</v>
          </cell>
          <cell r="R604" t="e">
            <v>#N/A</v>
          </cell>
          <cell r="V604">
            <v>0</v>
          </cell>
        </row>
        <row r="605">
          <cell r="A605" t="str">
            <v>BC1607</v>
          </cell>
          <cell r="C605" t="str">
            <v>LIBRAS</v>
          </cell>
          <cell r="N605">
            <v>2</v>
          </cell>
          <cell r="O605">
            <v>0</v>
          </cell>
          <cell r="R605" t="str">
            <v>CCNH</v>
          </cell>
          <cell r="V605">
            <v>0</v>
          </cell>
        </row>
        <row r="606">
          <cell r="A606" t="str">
            <v>BC1607</v>
          </cell>
          <cell r="C606" t="str">
            <v>LIBRAS</v>
          </cell>
          <cell r="N606">
            <v>2</v>
          </cell>
          <cell r="O606">
            <v>0</v>
          </cell>
          <cell r="R606" t="e">
            <v>#N/A</v>
          </cell>
          <cell r="V606">
            <v>0</v>
          </cell>
        </row>
        <row r="607">
          <cell r="A607" t="str">
            <v>BC1607</v>
          </cell>
          <cell r="C607" t="str">
            <v>LIBRAS</v>
          </cell>
          <cell r="N607">
            <v>2</v>
          </cell>
          <cell r="O607">
            <v>0</v>
          </cell>
          <cell r="R607" t="str">
            <v>CCNH</v>
          </cell>
          <cell r="V607">
            <v>0</v>
          </cell>
        </row>
        <row r="608">
          <cell r="A608" t="str">
            <v>BH1134</v>
          </cell>
          <cell r="C608" t="str">
            <v>Macroeconomia II</v>
          </cell>
          <cell r="N608">
            <v>3</v>
          </cell>
          <cell r="O608">
            <v>0</v>
          </cell>
          <cell r="R608" t="str">
            <v>CECS</v>
          </cell>
          <cell r="V608">
            <v>0</v>
          </cell>
        </row>
        <row r="609">
          <cell r="A609" t="str">
            <v>BH1134</v>
          </cell>
          <cell r="C609" t="str">
            <v>Macroeconomia II</v>
          </cell>
          <cell r="N609">
            <v>3</v>
          </cell>
          <cell r="O609">
            <v>0</v>
          </cell>
          <cell r="R609" t="str">
            <v>CECS</v>
          </cell>
          <cell r="V609">
            <v>0</v>
          </cell>
        </row>
        <row r="610">
          <cell r="A610" t="str">
            <v>EN3239</v>
          </cell>
          <cell r="C610" t="str">
            <v>Máquinas de Fluxo</v>
          </cell>
          <cell r="N610">
            <v>4</v>
          </cell>
          <cell r="O610">
            <v>0</v>
          </cell>
          <cell r="R610" t="str">
            <v>CECS</v>
          </cell>
          <cell r="V610">
            <v>0</v>
          </cell>
        </row>
        <row r="611">
          <cell r="A611" t="str">
            <v>EN2711</v>
          </cell>
          <cell r="C611" t="str">
            <v>Máquinas Elétricas</v>
          </cell>
          <cell r="N611">
            <v>3</v>
          </cell>
          <cell r="O611">
            <v>2</v>
          </cell>
          <cell r="R611" t="str">
            <v>CECS</v>
          </cell>
          <cell r="V611" t="str">
            <v>CECS</v>
          </cell>
        </row>
        <row r="612">
          <cell r="A612" t="str">
            <v>EN2711</v>
          </cell>
          <cell r="C612" t="str">
            <v>Máquinas Elétricas</v>
          </cell>
          <cell r="N612">
            <v>3</v>
          </cell>
          <cell r="O612">
            <v>2</v>
          </cell>
          <cell r="R612" t="str">
            <v>CECS</v>
          </cell>
          <cell r="V612" t="str">
            <v>CECS</v>
          </cell>
        </row>
        <row r="613">
          <cell r="A613" t="str">
            <v>BC1437</v>
          </cell>
          <cell r="C613" t="str">
            <v>Matemática Discreta</v>
          </cell>
          <cell r="N613">
            <v>4</v>
          </cell>
          <cell r="O613">
            <v>0</v>
          </cell>
          <cell r="R613" t="str">
            <v>CMCC</v>
          </cell>
          <cell r="V613">
            <v>0</v>
          </cell>
        </row>
        <row r="614">
          <cell r="A614" t="str">
            <v>BC1437</v>
          </cell>
          <cell r="C614" t="str">
            <v>Matemática Discreta</v>
          </cell>
          <cell r="N614">
            <v>4</v>
          </cell>
          <cell r="O614">
            <v>0</v>
          </cell>
          <cell r="R614" t="str">
            <v>CMCC</v>
          </cell>
          <cell r="V614">
            <v>0</v>
          </cell>
        </row>
        <row r="615">
          <cell r="A615" t="str">
            <v>EN2813</v>
          </cell>
          <cell r="C615" t="str">
            <v>Materiais Cerâmicos</v>
          </cell>
          <cell r="N615">
            <v>3</v>
          </cell>
          <cell r="O615">
            <v>1</v>
          </cell>
          <cell r="R615" t="str">
            <v>CECS</v>
          </cell>
          <cell r="V615" t="str">
            <v>CECS</v>
          </cell>
        </row>
        <row r="616">
          <cell r="A616" t="str">
            <v>EN2813</v>
          </cell>
          <cell r="C616" t="str">
            <v>Materiais Cerâmicos</v>
          </cell>
          <cell r="N616">
            <v>3</v>
          </cell>
          <cell r="O616">
            <v>1</v>
          </cell>
          <cell r="R616" t="str">
            <v>CECS</v>
          </cell>
          <cell r="V616" t="str">
            <v>CECS</v>
          </cell>
        </row>
        <row r="617">
          <cell r="A617" t="str">
            <v>EN2814</v>
          </cell>
          <cell r="C617" t="str">
            <v>Materiais Compósitos</v>
          </cell>
          <cell r="N617">
            <v>3</v>
          </cell>
          <cell r="O617">
            <v>1</v>
          </cell>
          <cell r="R617" t="str">
            <v>CECS</v>
          </cell>
          <cell r="V617" t="str">
            <v>CECS</v>
          </cell>
        </row>
        <row r="618">
          <cell r="A618" t="str">
            <v>EN2814</v>
          </cell>
          <cell r="C618" t="str">
            <v>Materiais Compósitos</v>
          </cell>
          <cell r="N618">
            <v>3</v>
          </cell>
          <cell r="O618">
            <v>1</v>
          </cell>
          <cell r="R618" t="str">
            <v>CECS</v>
          </cell>
          <cell r="V618" t="str">
            <v>CECS</v>
          </cell>
        </row>
        <row r="619">
          <cell r="A619" t="str">
            <v>BC1105</v>
          </cell>
          <cell r="C619" t="str">
            <v>Materiais e Suas Propriedades</v>
          </cell>
          <cell r="N619">
            <v>3</v>
          </cell>
          <cell r="O619">
            <v>1</v>
          </cell>
          <cell r="R619" t="str">
            <v>CECS</v>
          </cell>
          <cell r="V619" t="str">
            <v>CECS</v>
          </cell>
        </row>
        <row r="620">
          <cell r="A620" t="str">
            <v>BC1105</v>
          </cell>
          <cell r="C620" t="str">
            <v>Materiais e Suas Propriedades</v>
          </cell>
          <cell r="N620">
            <v>3</v>
          </cell>
          <cell r="O620">
            <v>1</v>
          </cell>
          <cell r="R620" t="str">
            <v>CECS</v>
          </cell>
          <cell r="V620" t="str">
            <v>CECS</v>
          </cell>
        </row>
        <row r="621">
          <cell r="A621" t="str">
            <v>BC1105</v>
          </cell>
          <cell r="C621" t="str">
            <v>Materiais e Suas Propriedades</v>
          </cell>
          <cell r="N621">
            <v>3</v>
          </cell>
          <cell r="O621">
            <v>1</v>
          </cell>
          <cell r="R621" t="str">
            <v>CECS</v>
          </cell>
          <cell r="V621" t="str">
            <v>CECS</v>
          </cell>
        </row>
        <row r="622">
          <cell r="A622" t="str">
            <v>BC1105</v>
          </cell>
          <cell r="C622" t="str">
            <v>Materiais e Suas Propriedades</v>
          </cell>
          <cell r="N622">
            <v>3</v>
          </cell>
          <cell r="O622">
            <v>1</v>
          </cell>
          <cell r="R622" t="str">
            <v>CECS</v>
          </cell>
          <cell r="V622" t="str">
            <v>CECS</v>
          </cell>
        </row>
        <row r="623">
          <cell r="A623" t="str">
            <v>BC1105</v>
          </cell>
          <cell r="C623" t="str">
            <v>Materiais e Suas Propriedades</v>
          </cell>
          <cell r="N623">
            <v>3</v>
          </cell>
          <cell r="O623">
            <v>1</v>
          </cell>
          <cell r="R623" t="str">
            <v>CECS</v>
          </cell>
          <cell r="V623" t="str">
            <v>CECS</v>
          </cell>
        </row>
        <row r="624">
          <cell r="A624" t="str">
            <v>BC1105</v>
          </cell>
          <cell r="C624" t="str">
            <v>Materiais e Suas Propriedades</v>
          </cell>
          <cell r="N624">
            <v>3</v>
          </cell>
          <cell r="O624">
            <v>1</v>
          </cell>
          <cell r="R624" t="str">
            <v>CECS</v>
          </cell>
          <cell r="V624" t="str">
            <v>CECS</v>
          </cell>
        </row>
        <row r="625">
          <cell r="A625" t="str">
            <v>EN2811</v>
          </cell>
          <cell r="C625" t="str">
            <v>Materiais Metálicos</v>
          </cell>
          <cell r="N625">
            <v>3</v>
          </cell>
          <cell r="O625">
            <v>1</v>
          </cell>
          <cell r="R625" t="str">
            <v>CECS</v>
          </cell>
          <cell r="V625" t="str">
            <v>CECS</v>
          </cell>
        </row>
        <row r="626">
          <cell r="A626" t="str">
            <v>EN2811</v>
          </cell>
          <cell r="C626" t="str">
            <v>Materiais Metálicos</v>
          </cell>
          <cell r="N626">
            <v>3</v>
          </cell>
          <cell r="O626">
            <v>1</v>
          </cell>
          <cell r="R626" t="str">
            <v>CECS</v>
          </cell>
          <cell r="V626" t="str">
            <v>CECS</v>
          </cell>
        </row>
        <row r="627">
          <cell r="A627" t="str">
            <v>EN3828</v>
          </cell>
          <cell r="C627" t="str">
            <v>Materiais Nanoestruturados</v>
          </cell>
          <cell r="N627">
            <v>4</v>
          </cell>
          <cell r="O627">
            <v>0</v>
          </cell>
          <cell r="R627" t="str">
            <v>CECS</v>
          </cell>
          <cell r="V627">
            <v>0</v>
          </cell>
        </row>
        <row r="628">
          <cell r="A628" t="str">
            <v>EN2812</v>
          </cell>
          <cell r="C628" t="str">
            <v>Materiais Poliméricos</v>
          </cell>
          <cell r="N628">
            <v>3</v>
          </cell>
          <cell r="O628">
            <v>1</v>
          </cell>
          <cell r="R628" t="str">
            <v>CECS</v>
          </cell>
          <cell r="V628" t="str">
            <v>CECS</v>
          </cell>
        </row>
        <row r="629">
          <cell r="A629" t="str">
            <v>EN2812</v>
          </cell>
          <cell r="C629" t="str">
            <v>Materiais Poliméricos</v>
          </cell>
          <cell r="N629">
            <v>3</v>
          </cell>
          <cell r="O629">
            <v>1</v>
          </cell>
          <cell r="R629" t="str">
            <v>CECS</v>
          </cell>
          <cell r="V629" t="str">
            <v>CECS</v>
          </cell>
        </row>
        <row r="630">
          <cell r="A630">
            <v>0</v>
          </cell>
          <cell r="C630">
            <v>0</v>
          </cell>
          <cell r="N630">
            <v>0</v>
          </cell>
          <cell r="O630">
            <v>0</v>
          </cell>
          <cell r="R630">
            <v>0</v>
          </cell>
          <cell r="V630">
            <v>0</v>
          </cell>
        </row>
        <row r="631">
          <cell r="A631" t="str">
            <v>NH2903</v>
          </cell>
          <cell r="C631" t="str">
            <v>Mecânica Analítica II</v>
          </cell>
          <cell r="N631">
            <v>4</v>
          </cell>
          <cell r="O631">
            <v>0</v>
          </cell>
          <cell r="R631" t="str">
            <v>CCNH</v>
          </cell>
          <cell r="V631">
            <v>0</v>
          </cell>
        </row>
        <row r="632">
          <cell r="A632" t="str">
            <v>NH2703</v>
          </cell>
          <cell r="C632" t="str">
            <v>Mecânica Clássica</v>
          </cell>
          <cell r="N632">
            <v>4</v>
          </cell>
          <cell r="O632">
            <v>0</v>
          </cell>
          <cell r="R632" t="str">
            <v>CCNH</v>
          </cell>
          <cell r="V632">
            <v>0</v>
          </cell>
        </row>
        <row r="633">
          <cell r="A633" t="str">
            <v>NH2703</v>
          </cell>
          <cell r="C633" t="str">
            <v>Mecânica Clássica</v>
          </cell>
          <cell r="N633">
            <v>4</v>
          </cell>
          <cell r="O633">
            <v>0</v>
          </cell>
          <cell r="R633" t="str">
            <v>CCNH</v>
          </cell>
          <cell r="V633">
            <v>0</v>
          </cell>
        </row>
        <row r="634">
          <cell r="A634" t="str">
            <v>BC1103</v>
          </cell>
          <cell r="C634" t="str">
            <v>Mecânica dos Fluidos I</v>
          </cell>
          <cell r="N634">
            <v>3</v>
          </cell>
          <cell r="O634">
            <v>1</v>
          </cell>
          <cell r="R634" t="str">
            <v>CECS</v>
          </cell>
          <cell r="V634" t="str">
            <v>CECS</v>
          </cell>
        </row>
        <row r="635">
          <cell r="A635" t="str">
            <v>BC1103</v>
          </cell>
          <cell r="C635" t="str">
            <v>Mecânica dos Fluidos I</v>
          </cell>
          <cell r="N635">
            <v>3</v>
          </cell>
          <cell r="O635">
            <v>1</v>
          </cell>
          <cell r="R635" t="str">
            <v>CECS</v>
          </cell>
          <cell r="V635" t="str">
            <v>CECS</v>
          </cell>
        </row>
        <row r="636">
          <cell r="A636" t="str">
            <v>BC1103</v>
          </cell>
          <cell r="C636" t="str">
            <v>Mecânica dos Fluidos I</v>
          </cell>
          <cell r="N636">
            <v>3</v>
          </cell>
          <cell r="O636">
            <v>1</v>
          </cell>
          <cell r="R636" t="str">
            <v>CECS</v>
          </cell>
          <cell r="V636" t="str">
            <v>CECS</v>
          </cell>
        </row>
        <row r="637">
          <cell r="A637" t="str">
            <v>BC1104</v>
          </cell>
          <cell r="C637" t="str">
            <v>Mecânica dos Sólidos</v>
          </cell>
          <cell r="N637">
            <v>3</v>
          </cell>
          <cell r="O637">
            <v>1</v>
          </cell>
          <cell r="R637" t="str">
            <v>CECS</v>
          </cell>
          <cell r="V637" t="str">
            <v>CECS</v>
          </cell>
        </row>
        <row r="638">
          <cell r="A638" t="str">
            <v>BC1104</v>
          </cell>
          <cell r="C638" t="str">
            <v>Mecânica dos Sólidos</v>
          </cell>
          <cell r="N638">
            <v>3</v>
          </cell>
          <cell r="O638">
            <v>1</v>
          </cell>
          <cell r="R638" t="str">
            <v>CECS</v>
          </cell>
          <cell r="V638" t="str">
            <v>CECS</v>
          </cell>
        </row>
        <row r="639">
          <cell r="A639" t="str">
            <v>BC1104</v>
          </cell>
          <cell r="C639" t="str">
            <v>Mecânica dos Sólidos</v>
          </cell>
          <cell r="N639">
            <v>3</v>
          </cell>
          <cell r="O639">
            <v>1</v>
          </cell>
          <cell r="R639" t="str">
            <v>CECS</v>
          </cell>
          <cell r="V639" t="str">
            <v>CECS</v>
          </cell>
        </row>
        <row r="640">
          <cell r="A640" t="str">
            <v>BC1104</v>
          </cell>
          <cell r="C640" t="str">
            <v>Mecânica dos Sólidos</v>
          </cell>
          <cell r="N640">
            <v>3</v>
          </cell>
          <cell r="O640">
            <v>1</v>
          </cell>
          <cell r="R640" t="str">
            <v>CECS</v>
          </cell>
          <cell r="V640" t="str">
            <v>CECS</v>
          </cell>
        </row>
        <row r="641">
          <cell r="A641">
            <v>0</v>
          </cell>
          <cell r="C641">
            <v>0</v>
          </cell>
          <cell r="N641">
            <v>0</v>
          </cell>
          <cell r="O641">
            <v>0</v>
          </cell>
          <cell r="R641">
            <v>0</v>
          </cell>
          <cell r="V641">
            <v>0</v>
          </cell>
        </row>
        <row r="642">
          <cell r="A642" t="str">
            <v>BH1403</v>
          </cell>
          <cell r="C642" t="str">
            <v>Metodologia</v>
          </cell>
          <cell r="N642">
            <v>4</v>
          </cell>
          <cell r="O642">
            <v>0</v>
          </cell>
          <cell r="R642" t="str">
            <v>CECS</v>
          </cell>
          <cell r="V642">
            <v>0</v>
          </cell>
        </row>
        <row r="643">
          <cell r="A643" t="str">
            <v>BH1403</v>
          </cell>
          <cell r="C643" t="str">
            <v>Metodologia</v>
          </cell>
          <cell r="N643">
            <v>4</v>
          </cell>
          <cell r="O643">
            <v>0</v>
          </cell>
          <cell r="R643" t="str">
            <v>CECS</v>
          </cell>
          <cell r="V643">
            <v>0</v>
          </cell>
        </row>
        <row r="644">
          <cell r="A644" t="str">
            <v>EN2224</v>
          </cell>
          <cell r="C644" t="str">
            <v>Métodos Computacionais para Análise Estrutural</v>
          </cell>
          <cell r="N644">
            <v>3</v>
          </cell>
          <cell r="O644">
            <v>1</v>
          </cell>
          <cell r="R644" t="str">
            <v>CECS</v>
          </cell>
          <cell r="V644" t="str">
            <v>CECS</v>
          </cell>
        </row>
        <row r="645">
          <cell r="A645" t="str">
            <v>EN2224</v>
          </cell>
          <cell r="C645" t="str">
            <v>Métodos Computacionais para Análise Estrutural</v>
          </cell>
          <cell r="N645">
            <v>3</v>
          </cell>
          <cell r="O645">
            <v>1</v>
          </cell>
          <cell r="R645" t="str">
            <v>CECS</v>
          </cell>
          <cell r="V645" t="str">
            <v>CECS</v>
          </cell>
        </row>
        <row r="646">
          <cell r="A646">
            <v>0</v>
          </cell>
          <cell r="C646">
            <v>0</v>
          </cell>
          <cell r="N646">
            <v>0</v>
          </cell>
          <cell r="O646">
            <v>0</v>
          </cell>
          <cell r="R646">
            <v>0</v>
          </cell>
          <cell r="V646">
            <v>0</v>
          </cell>
        </row>
        <row r="647">
          <cell r="A647" t="str">
            <v>NH3103</v>
          </cell>
          <cell r="C647" t="str">
            <v>Métodos de Análise em Química Orgânica</v>
          </cell>
          <cell r="N647">
            <v>4</v>
          </cell>
          <cell r="O647">
            <v>0</v>
          </cell>
          <cell r="R647" t="str">
            <v>CCNH</v>
          </cell>
          <cell r="V647">
            <v>0</v>
          </cell>
        </row>
        <row r="648">
          <cell r="A648" t="str">
            <v>NH3103</v>
          </cell>
          <cell r="C648" t="str">
            <v>Métodos de Análise em Química Orgânica</v>
          </cell>
          <cell r="N648">
            <v>4</v>
          </cell>
          <cell r="O648">
            <v>0</v>
          </cell>
          <cell r="R648" t="str">
            <v>CCNH</v>
          </cell>
          <cell r="V648">
            <v>0</v>
          </cell>
        </row>
        <row r="649">
          <cell r="A649" t="str">
            <v>BH1350</v>
          </cell>
          <cell r="C649" t="str">
            <v>Métodos e Técnicas de Análise de Informação para o Planejamento</v>
          </cell>
          <cell r="N649">
            <v>3</v>
          </cell>
          <cell r="O649">
            <v>1</v>
          </cell>
          <cell r="R649" t="str">
            <v>CECS</v>
          </cell>
          <cell r="V649" t="str">
            <v>CECS</v>
          </cell>
        </row>
        <row r="650">
          <cell r="A650" t="str">
            <v>BH1350</v>
          </cell>
          <cell r="C650" t="str">
            <v>Métodos e Técnicas de Análise de Informação para o Planejamento</v>
          </cell>
          <cell r="N650">
            <v>3</v>
          </cell>
          <cell r="O650">
            <v>1</v>
          </cell>
          <cell r="R650" t="str">
            <v>CECS</v>
          </cell>
          <cell r="V650" t="str">
            <v>CECS</v>
          </cell>
        </row>
        <row r="651">
          <cell r="A651" t="str">
            <v>BC1707</v>
          </cell>
          <cell r="C651" t="str">
            <v>Métodos Experimentais em Engenharia</v>
          </cell>
          <cell r="N651">
            <v>0</v>
          </cell>
          <cell r="O651">
            <v>3</v>
          </cell>
          <cell r="R651" t="e">
            <v>#N/A</v>
          </cell>
          <cell r="V651" t="str">
            <v>CECS</v>
          </cell>
        </row>
        <row r="652">
          <cell r="A652" t="str">
            <v>BC1707</v>
          </cell>
          <cell r="C652" t="str">
            <v>Métodos Experimentais em Engenharia</v>
          </cell>
          <cell r="N652">
            <v>0</v>
          </cell>
          <cell r="O652">
            <v>3</v>
          </cell>
          <cell r="R652" t="e">
            <v>#N/A</v>
          </cell>
          <cell r="V652" t="str">
            <v>CECS</v>
          </cell>
        </row>
        <row r="653">
          <cell r="A653" t="str">
            <v>BC1707</v>
          </cell>
          <cell r="C653" t="str">
            <v>Métodos Experimentais em Engenharia</v>
          </cell>
          <cell r="N653">
            <v>0</v>
          </cell>
          <cell r="O653">
            <v>3</v>
          </cell>
          <cell r="R653" t="e">
            <v>#N/A</v>
          </cell>
          <cell r="V653" t="str">
            <v>CECS</v>
          </cell>
        </row>
        <row r="654">
          <cell r="A654" t="str">
            <v>BC1707</v>
          </cell>
          <cell r="C654" t="str">
            <v>Métodos Experimentais em Engenharia</v>
          </cell>
          <cell r="N654">
            <v>0</v>
          </cell>
          <cell r="O654">
            <v>3</v>
          </cell>
          <cell r="R654" t="e">
            <v>#N/A</v>
          </cell>
          <cell r="V654" t="str">
            <v>CECS</v>
          </cell>
        </row>
        <row r="655">
          <cell r="A655" t="str">
            <v>BC1707</v>
          </cell>
          <cell r="C655" t="str">
            <v>Métodos Experimentais em Engenharia</v>
          </cell>
          <cell r="N655">
            <v>0</v>
          </cell>
          <cell r="O655">
            <v>3</v>
          </cell>
          <cell r="R655" t="e">
            <v>#N/A</v>
          </cell>
          <cell r="V655" t="str">
            <v>CECS</v>
          </cell>
        </row>
        <row r="656">
          <cell r="A656" t="str">
            <v>BC1707</v>
          </cell>
          <cell r="C656" t="str">
            <v>Métodos Experimentais em Engenharia</v>
          </cell>
          <cell r="N656">
            <v>0</v>
          </cell>
          <cell r="O656">
            <v>3</v>
          </cell>
          <cell r="R656" t="e">
            <v>#N/A</v>
          </cell>
          <cell r="V656" t="str">
            <v>CECS</v>
          </cell>
        </row>
        <row r="657">
          <cell r="A657" t="str">
            <v>BC1707</v>
          </cell>
          <cell r="C657" t="str">
            <v>Métodos Experimentais em Engenharia</v>
          </cell>
          <cell r="N657">
            <v>0</v>
          </cell>
          <cell r="O657">
            <v>3</v>
          </cell>
          <cell r="R657" t="e">
            <v>#N/A</v>
          </cell>
          <cell r="V657" t="str">
            <v>CECS</v>
          </cell>
        </row>
        <row r="658">
          <cell r="A658" t="str">
            <v>BC1707</v>
          </cell>
          <cell r="C658" t="str">
            <v>Métodos Experimentais em Engenharia</v>
          </cell>
          <cell r="N658">
            <v>0</v>
          </cell>
          <cell r="O658">
            <v>3</v>
          </cell>
          <cell r="R658" t="e">
            <v>#N/A</v>
          </cell>
          <cell r="V658" t="str">
            <v>CECS</v>
          </cell>
        </row>
        <row r="659">
          <cell r="A659" t="str">
            <v>EN2318</v>
          </cell>
          <cell r="C659" t="str">
            <v>Métodos Matemáticos Aplicados a Sistemas Biomédicos</v>
          </cell>
          <cell r="N659">
            <v>6</v>
          </cell>
          <cell r="O659">
            <v>0</v>
          </cell>
          <cell r="R659" t="str">
            <v>CECS</v>
          </cell>
          <cell r="V659">
            <v>0</v>
          </cell>
        </row>
        <row r="660">
          <cell r="A660" t="str">
            <v>EN2318</v>
          </cell>
          <cell r="C660" t="str">
            <v>Métodos Matemáticos Aplicados a Sistemas Biomédicos</v>
          </cell>
          <cell r="N660">
            <v>6</v>
          </cell>
          <cell r="O660">
            <v>0</v>
          </cell>
          <cell r="R660" t="str">
            <v>CECS</v>
          </cell>
          <cell r="V660">
            <v>0</v>
          </cell>
        </row>
        <row r="661">
          <cell r="A661" t="str">
            <v>BH1133</v>
          </cell>
          <cell r="C661" t="str">
            <v>Microeconomia II</v>
          </cell>
          <cell r="N661">
            <v>4</v>
          </cell>
          <cell r="O661">
            <v>0</v>
          </cell>
          <cell r="R661" t="str">
            <v>CECS</v>
          </cell>
          <cell r="V661">
            <v>0</v>
          </cell>
        </row>
        <row r="662">
          <cell r="A662" t="str">
            <v>BH1133</v>
          </cell>
          <cell r="C662" t="str">
            <v>Microeconomia II</v>
          </cell>
          <cell r="N662">
            <v>4</v>
          </cell>
          <cell r="O662">
            <v>0</v>
          </cell>
          <cell r="R662" t="str">
            <v>CECS</v>
          </cell>
          <cell r="V662">
            <v>0</v>
          </cell>
        </row>
        <row r="663">
          <cell r="A663" t="str">
            <v>NH2332</v>
          </cell>
          <cell r="C663" t="str">
            <v>Microscopia Eletrônica</v>
          </cell>
          <cell r="N663">
            <v>2</v>
          </cell>
          <cell r="O663">
            <v>2</v>
          </cell>
          <cell r="R663" t="str">
            <v>CCNH</v>
          </cell>
          <cell r="V663" t="str">
            <v>CCNH</v>
          </cell>
        </row>
        <row r="664">
          <cell r="A664" t="str">
            <v>MC5003</v>
          </cell>
          <cell r="C664" t="str">
            <v>Mineração de Dados</v>
          </cell>
          <cell r="N664">
            <v>3</v>
          </cell>
          <cell r="O664">
            <v>1</v>
          </cell>
          <cell r="R664" t="str">
            <v>CMCC</v>
          </cell>
          <cell r="V664" t="str">
            <v>CMCC</v>
          </cell>
        </row>
        <row r="665">
          <cell r="A665" t="str">
            <v>EN2322</v>
          </cell>
          <cell r="C665" t="str">
            <v>Modelagem e Simulação de Sistemas Biomédicos</v>
          </cell>
          <cell r="N665">
            <v>2</v>
          </cell>
          <cell r="O665">
            <v>2</v>
          </cell>
          <cell r="R665" t="str">
            <v>CECS</v>
          </cell>
          <cell r="V665" t="str">
            <v>CECS</v>
          </cell>
        </row>
        <row r="666">
          <cell r="A666" t="str">
            <v>EN2322</v>
          </cell>
          <cell r="C666" t="str">
            <v>Modelagem e Simulação de Sistemas Biomédicos</v>
          </cell>
          <cell r="N666">
            <v>2</v>
          </cell>
          <cell r="O666">
            <v>2</v>
          </cell>
          <cell r="R666" t="str">
            <v>CECS</v>
          </cell>
          <cell r="V666" t="str">
            <v>CECS</v>
          </cell>
        </row>
        <row r="667">
          <cell r="A667" t="str">
            <v>EN3556</v>
          </cell>
          <cell r="C667" t="str">
            <v>Modelos e Ferramentas de Gestão Ambiental</v>
          </cell>
          <cell r="N667">
            <v>3</v>
          </cell>
          <cell r="O667">
            <v>0</v>
          </cell>
          <cell r="R667" t="str">
            <v>CECS</v>
          </cell>
          <cell r="V667">
            <v>0</v>
          </cell>
        </row>
        <row r="668">
          <cell r="A668" t="str">
            <v>EN3556</v>
          </cell>
          <cell r="C668" t="str">
            <v>Modelos e Ferramentas de Gestão Ambiental</v>
          </cell>
          <cell r="N668">
            <v>3</v>
          </cell>
          <cell r="O668">
            <v>0</v>
          </cell>
          <cell r="R668" t="str">
            <v>CECS</v>
          </cell>
          <cell r="V668">
            <v>0</v>
          </cell>
        </row>
        <row r="669">
          <cell r="A669">
            <v>0</v>
          </cell>
          <cell r="C669">
            <v>0</v>
          </cell>
          <cell r="N669">
            <v>0</v>
          </cell>
          <cell r="O669">
            <v>0</v>
          </cell>
          <cell r="R669">
            <v>0</v>
          </cell>
          <cell r="V669">
            <v>0</v>
          </cell>
        </row>
        <row r="670">
          <cell r="A670" t="str">
            <v>BC1306</v>
          </cell>
          <cell r="C670" t="str">
            <v>Noções de Astronomia e Cosmologia</v>
          </cell>
          <cell r="N670">
            <v>4</v>
          </cell>
          <cell r="O670">
            <v>0</v>
          </cell>
          <cell r="R670" t="str">
            <v>CCNH</v>
          </cell>
          <cell r="V670">
            <v>0</v>
          </cell>
        </row>
        <row r="671">
          <cell r="A671" t="str">
            <v>NH3106</v>
          </cell>
          <cell r="C671" t="str">
            <v>Operações Unitárias II</v>
          </cell>
          <cell r="N671">
            <v>4</v>
          </cell>
          <cell r="O671">
            <v>0</v>
          </cell>
          <cell r="R671" t="str">
            <v>CCNH</v>
          </cell>
          <cell r="V671">
            <v>0</v>
          </cell>
        </row>
        <row r="672">
          <cell r="A672" t="str">
            <v>NH3106</v>
          </cell>
          <cell r="C672" t="str">
            <v>Operações Unitárias II</v>
          </cell>
          <cell r="N672">
            <v>4</v>
          </cell>
          <cell r="O672">
            <v>0</v>
          </cell>
          <cell r="R672" t="str">
            <v>CCNH</v>
          </cell>
          <cell r="V672">
            <v>0</v>
          </cell>
        </row>
        <row r="673">
          <cell r="A673" t="str">
            <v>BC0304</v>
          </cell>
          <cell r="C673" t="str">
            <v>Origem da Vida e Diversidade dos Seres Vivos</v>
          </cell>
          <cell r="N673">
            <v>3</v>
          </cell>
          <cell r="O673">
            <v>0</v>
          </cell>
          <cell r="R673" t="str">
            <v>CCNH</v>
          </cell>
          <cell r="V673">
            <v>0</v>
          </cell>
        </row>
        <row r="674">
          <cell r="A674" t="str">
            <v>BC0304</v>
          </cell>
          <cell r="C674" t="str">
            <v>Origem da Vida e Diversidade dos Seres Vivos</v>
          </cell>
          <cell r="N674">
            <v>3</v>
          </cell>
          <cell r="O674">
            <v>0</v>
          </cell>
          <cell r="R674" t="str">
            <v>CCNH</v>
          </cell>
          <cell r="V674">
            <v>0</v>
          </cell>
        </row>
        <row r="675">
          <cell r="A675" t="str">
            <v>BC0304</v>
          </cell>
          <cell r="C675" t="str">
            <v>Origem da Vida e Diversidade dos Seres Vivos</v>
          </cell>
          <cell r="N675">
            <v>3</v>
          </cell>
          <cell r="O675">
            <v>0</v>
          </cell>
          <cell r="R675" t="str">
            <v>CCNH</v>
          </cell>
          <cell r="V675">
            <v>0</v>
          </cell>
        </row>
        <row r="676">
          <cell r="A676" t="str">
            <v>BC0304</v>
          </cell>
          <cell r="C676" t="str">
            <v>Origem da Vida e Diversidade dos Seres Vivos</v>
          </cell>
          <cell r="N676">
            <v>3</v>
          </cell>
          <cell r="O676">
            <v>0</v>
          </cell>
          <cell r="R676" t="str">
            <v>CCNH</v>
          </cell>
          <cell r="V676">
            <v>0</v>
          </cell>
        </row>
        <row r="677">
          <cell r="A677" t="str">
            <v>BC0304</v>
          </cell>
          <cell r="C677" t="str">
            <v>Origem da Vida e Diversidade dos Seres Vivos</v>
          </cell>
          <cell r="N677">
            <v>3</v>
          </cell>
          <cell r="O677">
            <v>0</v>
          </cell>
          <cell r="R677" t="str">
            <v>CCNH</v>
          </cell>
          <cell r="V677">
            <v>0</v>
          </cell>
        </row>
        <row r="678">
          <cell r="A678" t="str">
            <v>BC0304</v>
          </cell>
          <cell r="C678" t="str">
            <v>Origem da Vida e Diversidade dos Seres Vivos</v>
          </cell>
          <cell r="N678">
            <v>3</v>
          </cell>
          <cell r="O678">
            <v>0</v>
          </cell>
          <cell r="R678" t="str">
            <v>CCNH</v>
          </cell>
          <cell r="V678">
            <v>0</v>
          </cell>
        </row>
        <row r="679">
          <cell r="A679" t="str">
            <v>BC0304</v>
          </cell>
          <cell r="C679" t="str">
            <v>Origem da Vida e Diversidade dos Seres Vivos</v>
          </cell>
          <cell r="N679">
            <v>3</v>
          </cell>
          <cell r="O679">
            <v>0</v>
          </cell>
          <cell r="R679" t="str">
            <v>CCNH</v>
          </cell>
          <cell r="V679">
            <v>0</v>
          </cell>
        </row>
        <row r="680">
          <cell r="A680" t="str">
            <v>BC0304</v>
          </cell>
          <cell r="C680" t="str">
            <v>Origem da Vida e Diversidade dos Seres Vivos</v>
          </cell>
          <cell r="N680">
            <v>3</v>
          </cell>
          <cell r="O680">
            <v>0</v>
          </cell>
          <cell r="R680" t="str">
            <v>CCNH</v>
          </cell>
          <cell r="V680">
            <v>0</v>
          </cell>
        </row>
        <row r="681">
          <cell r="A681" t="str">
            <v>BC0304</v>
          </cell>
          <cell r="C681" t="str">
            <v>Origem da Vida e Diversidade dos Seres Vivos</v>
          </cell>
          <cell r="N681">
            <v>3</v>
          </cell>
          <cell r="O681">
            <v>0</v>
          </cell>
          <cell r="R681" t="str">
            <v>CCNH</v>
          </cell>
          <cell r="V681">
            <v>0</v>
          </cell>
        </row>
        <row r="682">
          <cell r="A682" t="str">
            <v>BC0304</v>
          </cell>
          <cell r="C682" t="str">
            <v>Origem da Vida e Diversidade dos Seres Vivos</v>
          </cell>
          <cell r="N682">
            <v>3</v>
          </cell>
          <cell r="O682">
            <v>0</v>
          </cell>
          <cell r="R682" t="str">
            <v>CCNH</v>
          </cell>
          <cell r="V682">
            <v>0</v>
          </cell>
        </row>
        <row r="683">
          <cell r="A683" t="str">
            <v>BC0304</v>
          </cell>
          <cell r="C683" t="str">
            <v>Origem da Vida e Diversidade dos Seres Vivos</v>
          </cell>
          <cell r="N683">
            <v>3</v>
          </cell>
          <cell r="O683">
            <v>0</v>
          </cell>
          <cell r="R683" t="str">
            <v>CCNH</v>
          </cell>
          <cell r="V683">
            <v>0</v>
          </cell>
        </row>
        <row r="684">
          <cell r="A684" t="str">
            <v>BC0304</v>
          </cell>
          <cell r="C684" t="str">
            <v>Origem da Vida e Diversidade dos Seres Vivos</v>
          </cell>
          <cell r="N684">
            <v>3</v>
          </cell>
          <cell r="O684">
            <v>0</v>
          </cell>
          <cell r="R684" t="str">
            <v>CCNH</v>
          </cell>
          <cell r="V684">
            <v>0</v>
          </cell>
        </row>
        <row r="685">
          <cell r="A685" t="str">
            <v>BC0304</v>
          </cell>
          <cell r="C685" t="str">
            <v>Origem da Vida e Diversidade dos Seres Vivos</v>
          </cell>
          <cell r="N685">
            <v>3</v>
          </cell>
          <cell r="O685">
            <v>0</v>
          </cell>
          <cell r="R685" t="str">
            <v>CCNH</v>
          </cell>
          <cell r="V685">
            <v>0</v>
          </cell>
        </row>
        <row r="686">
          <cell r="A686" t="str">
            <v>BC0304</v>
          </cell>
          <cell r="C686" t="str">
            <v>Origem da Vida e Diversidade dos Seres Vivos</v>
          </cell>
          <cell r="N686">
            <v>3</v>
          </cell>
          <cell r="O686">
            <v>0</v>
          </cell>
          <cell r="R686" t="str">
            <v>CCNH</v>
          </cell>
          <cell r="V686">
            <v>0</v>
          </cell>
        </row>
        <row r="687">
          <cell r="A687" t="str">
            <v>BC0304</v>
          </cell>
          <cell r="C687" t="str">
            <v>Origem da Vida e Diversidade dos Seres Vivos</v>
          </cell>
          <cell r="N687">
            <v>3</v>
          </cell>
          <cell r="O687">
            <v>0</v>
          </cell>
          <cell r="R687" t="str">
            <v>não identificado</v>
          </cell>
          <cell r="V687">
            <v>0</v>
          </cell>
        </row>
        <row r="688">
          <cell r="A688" t="str">
            <v>BC0304</v>
          </cell>
          <cell r="C688" t="str">
            <v>Origem da Vida e Diversidade dos Seres Vivos</v>
          </cell>
          <cell r="N688">
            <v>3</v>
          </cell>
          <cell r="O688">
            <v>0</v>
          </cell>
          <cell r="R688" t="str">
            <v>CCNH</v>
          </cell>
          <cell r="V688">
            <v>0</v>
          </cell>
        </row>
        <row r="689">
          <cell r="A689" t="str">
            <v>BC0304</v>
          </cell>
          <cell r="C689" t="str">
            <v>Origem da Vida e Diversidade dos Seres Vivos</v>
          </cell>
          <cell r="N689">
            <v>3</v>
          </cell>
          <cell r="O689">
            <v>0</v>
          </cell>
          <cell r="R689" t="str">
            <v>CCNH</v>
          </cell>
          <cell r="V689">
            <v>0</v>
          </cell>
        </row>
        <row r="690">
          <cell r="A690" t="str">
            <v>BC0304</v>
          </cell>
          <cell r="C690" t="str">
            <v>Origem da Vida e Diversidade dos Seres Vivos</v>
          </cell>
          <cell r="N690">
            <v>3</v>
          </cell>
          <cell r="O690">
            <v>0</v>
          </cell>
          <cell r="R690" t="str">
            <v>CCNH</v>
          </cell>
          <cell r="V690">
            <v>0</v>
          </cell>
        </row>
        <row r="691">
          <cell r="A691" t="str">
            <v>MC8001</v>
          </cell>
          <cell r="C691" t="str">
            <v>Patologias do Sistema Nervoso Central</v>
          </cell>
          <cell r="N691">
            <v>4</v>
          </cell>
          <cell r="O691">
            <v>0</v>
          </cell>
          <cell r="R691" t="str">
            <v>CMCC</v>
          </cell>
          <cell r="V691">
            <v>0</v>
          </cell>
        </row>
        <row r="692">
          <cell r="A692" t="str">
            <v>MC8001</v>
          </cell>
          <cell r="C692" t="str">
            <v>Patologias do Sistema Nervoso Central</v>
          </cell>
          <cell r="N692">
            <v>4</v>
          </cell>
          <cell r="O692">
            <v>0</v>
          </cell>
          <cell r="R692" t="str">
            <v>CMCC</v>
          </cell>
          <cell r="V692">
            <v>0</v>
          </cell>
        </row>
        <row r="693">
          <cell r="A693">
            <v>0</v>
          </cell>
          <cell r="C693">
            <v>0</v>
          </cell>
          <cell r="N693">
            <v>0</v>
          </cell>
          <cell r="O693">
            <v>0</v>
          </cell>
          <cell r="R693">
            <v>0</v>
          </cell>
          <cell r="V693">
            <v>0</v>
          </cell>
        </row>
        <row r="694">
          <cell r="A694" t="str">
            <v>BH0103</v>
          </cell>
          <cell r="C694" t="str">
            <v>Pensamento Econômico</v>
          </cell>
          <cell r="N694">
            <v>4</v>
          </cell>
          <cell r="O694">
            <v>0</v>
          </cell>
          <cell r="R694" t="str">
            <v>CECS</v>
          </cell>
          <cell r="V694">
            <v>0</v>
          </cell>
        </row>
        <row r="695">
          <cell r="A695" t="str">
            <v>BH0103</v>
          </cell>
          <cell r="C695" t="str">
            <v>Pensamento Econômico</v>
          </cell>
          <cell r="N695">
            <v>4</v>
          </cell>
          <cell r="O695">
            <v>0</v>
          </cell>
          <cell r="R695" t="str">
            <v>CECS</v>
          </cell>
          <cell r="V695">
            <v>0</v>
          </cell>
        </row>
        <row r="696">
          <cell r="A696" t="str">
            <v>BH0103</v>
          </cell>
          <cell r="C696" t="str">
            <v>Pensamento Econômico</v>
          </cell>
          <cell r="N696">
            <v>4</v>
          </cell>
          <cell r="O696">
            <v>0</v>
          </cell>
          <cell r="R696" t="str">
            <v>CECS</v>
          </cell>
          <cell r="V696">
            <v>0</v>
          </cell>
        </row>
        <row r="697">
          <cell r="A697">
            <v>0</v>
          </cell>
          <cell r="C697">
            <v>0</v>
          </cell>
          <cell r="N697">
            <v>0</v>
          </cell>
          <cell r="O697">
            <v>0</v>
          </cell>
          <cell r="R697">
            <v>0</v>
          </cell>
          <cell r="V697">
            <v>0</v>
          </cell>
        </row>
        <row r="698">
          <cell r="A698" t="str">
            <v>BH0103</v>
          </cell>
          <cell r="C698" t="str">
            <v>Pensamento Econômico</v>
          </cell>
          <cell r="N698">
            <v>4</v>
          </cell>
          <cell r="O698">
            <v>0</v>
          </cell>
          <cell r="R698" t="str">
            <v>CECS</v>
          </cell>
          <cell r="V698">
            <v>0</v>
          </cell>
        </row>
        <row r="699">
          <cell r="A699" t="str">
            <v>BH0103</v>
          </cell>
          <cell r="C699" t="str">
            <v>Pensamento Econômico</v>
          </cell>
          <cell r="N699">
            <v>4</v>
          </cell>
          <cell r="O699">
            <v>0</v>
          </cell>
          <cell r="R699" t="str">
            <v>CECS</v>
          </cell>
          <cell r="V699">
            <v>0</v>
          </cell>
        </row>
        <row r="700">
          <cell r="A700" t="str">
            <v>CS3101</v>
          </cell>
          <cell r="C700" t="str">
            <v>Pensamento Latino-Americano e Políticas de CTI</v>
          </cell>
          <cell r="N700">
            <v>4</v>
          </cell>
          <cell r="O700">
            <v>0</v>
          </cell>
          <cell r="R700" t="str">
            <v>CECS</v>
          </cell>
          <cell r="V700">
            <v>0</v>
          </cell>
        </row>
        <row r="701">
          <cell r="A701" t="str">
            <v>CS3101</v>
          </cell>
          <cell r="C701" t="str">
            <v>Pensamento Latino-Americano e Políticas de CTI</v>
          </cell>
          <cell r="N701">
            <v>4</v>
          </cell>
          <cell r="O701">
            <v>0</v>
          </cell>
          <cell r="R701" t="str">
            <v>CECS</v>
          </cell>
          <cell r="V701">
            <v>0</v>
          </cell>
        </row>
        <row r="702">
          <cell r="A702" t="str">
            <v>MC8300</v>
          </cell>
          <cell r="C702" t="str">
            <v>Pesquisa e Comunicação Científica</v>
          </cell>
          <cell r="N702">
            <v>2</v>
          </cell>
          <cell r="O702">
            <v>0</v>
          </cell>
          <cell r="R702" t="str">
            <v>CMCC</v>
          </cell>
          <cell r="V702">
            <v>0</v>
          </cell>
        </row>
        <row r="703">
          <cell r="A703" t="str">
            <v>MC8300</v>
          </cell>
          <cell r="C703" t="str">
            <v>Pesquisa e Comunicação Científica</v>
          </cell>
          <cell r="N703">
            <v>2</v>
          </cell>
          <cell r="O703">
            <v>0</v>
          </cell>
          <cell r="R703" t="str">
            <v>CMCC</v>
          </cell>
          <cell r="V703">
            <v>0</v>
          </cell>
        </row>
        <row r="704">
          <cell r="A704" t="str">
            <v>MC8300</v>
          </cell>
          <cell r="C704" t="str">
            <v>Pesquisa e Comunicação Científica</v>
          </cell>
          <cell r="N704">
            <v>2</v>
          </cell>
          <cell r="O704">
            <v>0</v>
          </cell>
          <cell r="R704" t="str">
            <v>CMCC</v>
          </cell>
          <cell r="V704">
            <v>0</v>
          </cell>
        </row>
        <row r="705">
          <cell r="A705" t="str">
            <v>EN2531</v>
          </cell>
          <cell r="C705" t="str">
            <v>Pesquisa Operacional</v>
          </cell>
          <cell r="N705">
            <v>4</v>
          </cell>
          <cell r="O705">
            <v>2</v>
          </cell>
          <cell r="R705" t="str">
            <v>CECS</v>
          </cell>
          <cell r="V705" t="str">
            <v>CECS</v>
          </cell>
        </row>
        <row r="706">
          <cell r="A706" t="str">
            <v>EN4418</v>
          </cell>
          <cell r="C706" t="str">
            <v>Petrofísica</v>
          </cell>
          <cell r="N706">
            <v>4</v>
          </cell>
          <cell r="O706">
            <v>0</v>
          </cell>
          <cell r="R706" t="str">
            <v>CECS</v>
          </cell>
          <cell r="V706">
            <v>0</v>
          </cell>
        </row>
        <row r="707">
          <cell r="A707" t="str">
            <v>BH1356</v>
          </cell>
          <cell r="C707" t="str">
            <v>Planejamento e Política Ambiental</v>
          </cell>
          <cell r="N707">
            <v>4</v>
          </cell>
          <cell r="O707">
            <v>0</v>
          </cell>
          <cell r="R707" t="str">
            <v>CECS</v>
          </cell>
          <cell r="V707">
            <v>0</v>
          </cell>
        </row>
        <row r="708">
          <cell r="A708" t="str">
            <v>BH1356</v>
          </cell>
          <cell r="C708" t="str">
            <v>Planejamento e Política Ambiental</v>
          </cell>
          <cell r="N708">
            <v>4</v>
          </cell>
          <cell r="O708">
            <v>0</v>
          </cell>
          <cell r="R708" t="str">
            <v>CECS</v>
          </cell>
          <cell r="V708">
            <v>0</v>
          </cell>
        </row>
        <row r="709">
          <cell r="A709" t="str">
            <v>BH1357</v>
          </cell>
          <cell r="C709" t="str">
            <v>Planejamento e Política Regional</v>
          </cell>
          <cell r="N709">
            <v>4</v>
          </cell>
          <cell r="O709">
            <v>0</v>
          </cell>
          <cell r="R709" t="str">
            <v>CECS</v>
          </cell>
          <cell r="V709">
            <v>0</v>
          </cell>
        </row>
        <row r="710">
          <cell r="A710" t="str">
            <v>BH1357</v>
          </cell>
          <cell r="C710" t="str">
            <v>Planejamento e Política Regional</v>
          </cell>
          <cell r="N710">
            <v>4</v>
          </cell>
          <cell r="O710">
            <v>0</v>
          </cell>
          <cell r="R710" t="str">
            <v>CECS</v>
          </cell>
          <cell r="V710">
            <v>0</v>
          </cell>
        </row>
        <row r="711">
          <cell r="A711" t="str">
            <v>BH1128</v>
          </cell>
          <cell r="C711" t="str">
            <v>Políticas Públicas Sul-Americanas</v>
          </cell>
          <cell r="N711">
            <v>4</v>
          </cell>
          <cell r="O711">
            <v>0</v>
          </cell>
          <cell r="R711" t="str">
            <v>CECS</v>
          </cell>
          <cell r="V711">
            <v>0</v>
          </cell>
        </row>
        <row r="712">
          <cell r="A712" t="str">
            <v>BH1128</v>
          </cell>
          <cell r="C712" t="str">
            <v>Políticas Públicas Sul-Americanas</v>
          </cell>
          <cell r="N712">
            <v>4</v>
          </cell>
          <cell r="O712">
            <v>0</v>
          </cell>
          <cell r="R712" t="str">
            <v>CECS</v>
          </cell>
          <cell r="V712">
            <v>0</v>
          </cell>
        </row>
        <row r="713">
          <cell r="A713" t="str">
            <v>BH1224</v>
          </cell>
          <cell r="C713" t="str">
            <v>Prática de Ensino de Filosofia III</v>
          </cell>
          <cell r="N713">
            <v>3</v>
          </cell>
          <cell r="O713">
            <v>0</v>
          </cell>
          <cell r="R713" t="str">
            <v>CCNH</v>
          </cell>
          <cell r="V713">
            <v>0</v>
          </cell>
        </row>
        <row r="714">
          <cell r="A714" t="str">
            <v>BC1305</v>
          </cell>
          <cell r="C714" t="str">
            <v>Práticas de Ecologia</v>
          </cell>
          <cell r="N714">
            <v>0</v>
          </cell>
          <cell r="O714">
            <v>4</v>
          </cell>
          <cell r="R714" t="e">
            <v>#N/A</v>
          </cell>
          <cell r="V714" t="str">
            <v>CCNH</v>
          </cell>
        </row>
        <row r="715">
          <cell r="A715" t="str">
            <v>BC1305</v>
          </cell>
          <cell r="C715" t="str">
            <v>Práticas de Ecologia</v>
          </cell>
          <cell r="N715">
            <v>0</v>
          </cell>
          <cell r="O715">
            <v>4</v>
          </cell>
          <cell r="R715" t="e">
            <v>#N/A</v>
          </cell>
          <cell r="V715" t="str">
            <v>CCNH</v>
          </cell>
        </row>
        <row r="716">
          <cell r="A716" t="str">
            <v>NH4101</v>
          </cell>
          <cell r="C716" t="str">
            <v>Práticas de Ensino de Biologia I</v>
          </cell>
          <cell r="N716">
            <v>3</v>
          </cell>
          <cell r="O716">
            <v>0</v>
          </cell>
          <cell r="R716" t="str">
            <v>CCNH</v>
          </cell>
          <cell r="V716">
            <v>0</v>
          </cell>
        </row>
        <row r="717">
          <cell r="A717" t="str">
            <v>NH4101</v>
          </cell>
          <cell r="C717" t="str">
            <v>Práticas de Ensino de Biologia I</v>
          </cell>
          <cell r="N717">
            <v>3</v>
          </cell>
          <cell r="O717">
            <v>0</v>
          </cell>
          <cell r="R717" t="str">
            <v>CCNH</v>
          </cell>
          <cell r="V717">
            <v>0</v>
          </cell>
        </row>
        <row r="718">
          <cell r="A718" t="str">
            <v>NH4102</v>
          </cell>
          <cell r="C718" t="str">
            <v>Práticas de Ensino de Física I</v>
          </cell>
          <cell r="N718">
            <v>3</v>
          </cell>
          <cell r="O718">
            <v>0</v>
          </cell>
          <cell r="R718" t="str">
            <v>CCNH</v>
          </cell>
          <cell r="V718">
            <v>0</v>
          </cell>
        </row>
        <row r="719">
          <cell r="A719" t="str">
            <v>NH4102</v>
          </cell>
          <cell r="C719" t="str">
            <v>Práticas de Ensino de Física I</v>
          </cell>
          <cell r="N719">
            <v>3</v>
          </cell>
          <cell r="O719">
            <v>0</v>
          </cell>
          <cell r="R719" t="str">
            <v>CCNH</v>
          </cell>
          <cell r="V719">
            <v>0</v>
          </cell>
        </row>
        <row r="720">
          <cell r="A720" t="str">
            <v>MC8105</v>
          </cell>
          <cell r="C720" t="str">
            <v>Práticas de Ensino de Matemática I</v>
          </cell>
          <cell r="N720">
            <v>3</v>
          </cell>
          <cell r="O720">
            <v>0</v>
          </cell>
          <cell r="R720" t="str">
            <v>CMCC</v>
          </cell>
          <cell r="V720">
            <v>0</v>
          </cell>
        </row>
        <row r="721">
          <cell r="A721" t="str">
            <v>MC8105</v>
          </cell>
          <cell r="C721" t="str">
            <v>Práticas de Ensino de Matemática I</v>
          </cell>
          <cell r="N721">
            <v>3</v>
          </cell>
          <cell r="O721">
            <v>0</v>
          </cell>
          <cell r="R721" t="str">
            <v>CMCC</v>
          </cell>
          <cell r="V721">
            <v>0</v>
          </cell>
        </row>
        <row r="722">
          <cell r="A722" t="str">
            <v>NH4103</v>
          </cell>
          <cell r="C722" t="str">
            <v>Práticas de Ensino de Química I</v>
          </cell>
          <cell r="N722">
            <v>3</v>
          </cell>
          <cell r="O722">
            <v>0</v>
          </cell>
          <cell r="R722" t="str">
            <v>CCNH</v>
          </cell>
          <cell r="V722">
            <v>0</v>
          </cell>
        </row>
        <row r="723">
          <cell r="A723" t="str">
            <v>NH4103</v>
          </cell>
          <cell r="C723" t="str">
            <v>Práticas de Ensino de Química I</v>
          </cell>
          <cell r="N723">
            <v>3</v>
          </cell>
          <cell r="O723">
            <v>0</v>
          </cell>
          <cell r="R723" t="str">
            <v>CCNH</v>
          </cell>
          <cell r="V723">
            <v>0</v>
          </cell>
        </row>
        <row r="724">
          <cell r="A724" t="str">
            <v>NH3104</v>
          </cell>
          <cell r="C724" t="str">
            <v>Práticas de Química Verde</v>
          </cell>
          <cell r="N724">
            <v>0</v>
          </cell>
          <cell r="O724">
            <v>4</v>
          </cell>
          <cell r="R724">
            <v>0</v>
          </cell>
          <cell r="V724" t="str">
            <v>CCNH</v>
          </cell>
        </row>
        <row r="725">
          <cell r="A725" t="str">
            <v>NH3104</v>
          </cell>
          <cell r="C725" t="str">
            <v>Práticas de Química Verde</v>
          </cell>
          <cell r="N725">
            <v>0</v>
          </cell>
          <cell r="O725">
            <v>4</v>
          </cell>
          <cell r="R725">
            <v>0</v>
          </cell>
          <cell r="V725" t="e">
            <v>#N/A</v>
          </cell>
        </row>
        <row r="726">
          <cell r="A726" t="str">
            <v>EN2608</v>
          </cell>
          <cell r="C726" t="str">
            <v>Princípios de Comunicação</v>
          </cell>
          <cell r="N726">
            <v>3</v>
          </cell>
          <cell r="O726">
            <v>1</v>
          </cell>
          <cell r="R726" t="str">
            <v>CECS</v>
          </cell>
          <cell r="V726" t="str">
            <v>CECS</v>
          </cell>
        </row>
        <row r="727">
          <cell r="A727" t="str">
            <v>EN2608</v>
          </cell>
          <cell r="C727" t="str">
            <v>Princípios de Comunicação</v>
          </cell>
          <cell r="N727">
            <v>3</v>
          </cell>
          <cell r="O727">
            <v>1</v>
          </cell>
          <cell r="R727" t="str">
            <v>CECS</v>
          </cell>
          <cell r="V727" t="str">
            <v>CECS</v>
          </cell>
        </row>
        <row r="728">
          <cell r="A728" t="str">
            <v>BC0505</v>
          </cell>
          <cell r="C728" t="str">
            <v>Processamento da Informação</v>
          </cell>
          <cell r="N728">
            <v>3</v>
          </cell>
          <cell r="O728">
            <v>2</v>
          </cell>
          <cell r="R728" t="str">
            <v>CECS</v>
          </cell>
          <cell r="V728" t="str">
            <v>CECS</v>
          </cell>
        </row>
        <row r="729">
          <cell r="A729" t="str">
            <v>BC0505</v>
          </cell>
          <cell r="C729" t="str">
            <v>Processamento da Informação</v>
          </cell>
          <cell r="N729">
            <v>3</v>
          </cell>
          <cell r="O729">
            <v>2</v>
          </cell>
          <cell r="R729" t="str">
            <v>CMCC</v>
          </cell>
          <cell r="V729" t="str">
            <v>CMCC</v>
          </cell>
        </row>
        <row r="730">
          <cell r="A730" t="str">
            <v>BC0505</v>
          </cell>
          <cell r="C730" t="str">
            <v>Processamento da Informação</v>
          </cell>
          <cell r="N730">
            <v>3</v>
          </cell>
          <cell r="O730">
            <v>2</v>
          </cell>
          <cell r="R730" t="str">
            <v>CMCC</v>
          </cell>
          <cell r="V730" t="str">
            <v>CMCC</v>
          </cell>
        </row>
        <row r="731">
          <cell r="A731" t="str">
            <v>BC0505</v>
          </cell>
          <cell r="C731" t="str">
            <v>Processamento da Informação</v>
          </cell>
          <cell r="N731">
            <v>3</v>
          </cell>
          <cell r="O731">
            <v>2</v>
          </cell>
          <cell r="R731" t="str">
            <v>CMCC</v>
          </cell>
          <cell r="V731" t="str">
            <v>CMCC</v>
          </cell>
        </row>
        <row r="732">
          <cell r="A732" t="str">
            <v>BC0505</v>
          </cell>
          <cell r="C732" t="str">
            <v>Processamento da Informação</v>
          </cell>
          <cell r="N732">
            <v>0</v>
          </cell>
          <cell r="O732">
            <v>2</v>
          </cell>
          <cell r="R732" t="str">
            <v>CECS</v>
          </cell>
          <cell r="V732" t="str">
            <v>CMCC</v>
          </cell>
        </row>
        <row r="733">
          <cell r="A733" t="str">
            <v>BC0505</v>
          </cell>
          <cell r="C733" t="str">
            <v>Processamento da Informação</v>
          </cell>
          <cell r="N733">
            <v>0</v>
          </cell>
          <cell r="O733">
            <v>2</v>
          </cell>
          <cell r="R733" t="str">
            <v>CMCC</v>
          </cell>
          <cell r="V733" t="str">
            <v>CMCC</v>
          </cell>
        </row>
        <row r="734">
          <cell r="A734" t="str">
            <v>BC0505</v>
          </cell>
          <cell r="C734" t="str">
            <v>Processamento da Informação</v>
          </cell>
          <cell r="N734">
            <v>0</v>
          </cell>
          <cell r="O734">
            <v>2</v>
          </cell>
          <cell r="R734" t="str">
            <v>CMCC</v>
          </cell>
          <cell r="V734" t="str">
            <v>CMCC</v>
          </cell>
        </row>
        <row r="735">
          <cell r="A735">
            <v>0</v>
          </cell>
          <cell r="C735" t="str">
            <v>Processamento da Informação</v>
          </cell>
          <cell r="N735">
            <v>0</v>
          </cell>
          <cell r="O735">
            <v>0</v>
          </cell>
          <cell r="R735">
            <v>0</v>
          </cell>
          <cell r="V735">
            <v>0</v>
          </cell>
        </row>
        <row r="736">
          <cell r="A736" t="str">
            <v>BC0505</v>
          </cell>
          <cell r="C736" t="str">
            <v>Processamento da Informação</v>
          </cell>
          <cell r="N736">
            <v>0</v>
          </cell>
          <cell r="O736">
            <v>2</v>
          </cell>
          <cell r="R736" t="str">
            <v>CECS</v>
          </cell>
          <cell r="V736" t="str">
            <v>CMCC</v>
          </cell>
        </row>
        <row r="737">
          <cell r="A737" t="str">
            <v>BC0505</v>
          </cell>
          <cell r="C737" t="str">
            <v>Processamento da Informação</v>
          </cell>
          <cell r="N737">
            <v>3</v>
          </cell>
          <cell r="O737">
            <v>2</v>
          </cell>
          <cell r="R737" t="str">
            <v>CECS</v>
          </cell>
          <cell r="V737" t="str">
            <v>CMCC</v>
          </cell>
        </row>
        <row r="738">
          <cell r="A738" t="str">
            <v>BC0505</v>
          </cell>
          <cell r="C738" t="str">
            <v>Processamento da Informação</v>
          </cell>
          <cell r="N738">
            <v>0</v>
          </cell>
          <cell r="O738">
            <v>2</v>
          </cell>
          <cell r="R738" t="str">
            <v>CMCC</v>
          </cell>
          <cell r="V738" t="str">
            <v>CMCC</v>
          </cell>
        </row>
        <row r="739">
          <cell r="A739" t="str">
            <v>BC0505</v>
          </cell>
          <cell r="C739" t="str">
            <v>Processamento da Informação</v>
          </cell>
          <cell r="N739">
            <v>0</v>
          </cell>
          <cell r="O739">
            <v>2</v>
          </cell>
          <cell r="R739" t="str">
            <v>CMCC</v>
          </cell>
          <cell r="V739" t="str">
            <v>CMCC</v>
          </cell>
        </row>
        <row r="740">
          <cell r="A740" t="str">
            <v>BC0505</v>
          </cell>
          <cell r="C740" t="str">
            <v>Processamento da Informação</v>
          </cell>
          <cell r="N740">
            <v>3</v>
          </cell>
          <cell r="O740">
            <v>2</v>
          </cell>
          <cell r="R740" t="str">
            <v>CMCC</v>
          </cell>
          <cell r="V740" t="str">
            <v>CMCC</v>
          </cell>
        </row>
        <row r="741">
          <cell r="A741" t="str">
            <v>BC0505</v>
          </cell>
          <cell r="C741" t="str">
            <v>Processamento da Informação</v>
          </cell>
          <cell r="N741">
            <v>0</v>
          </cell>
          <cell r="O741">
            <v>2</v>
          </cell>
          <cell r="R741" t="str">
            <v>CECS</v>
          </cell>
          <cell r="V741" t="str">
            <v>CECS</v>
          </cell>
        </row>
        <row r="742">
          <cell r="A742" t="str">
            <v>BC0505</v>
          </cell>
          <cell r="C742" t="str">
            <v>Processamento da Informação</v>
          </cell>
          <cell r="N742">
            <v>3</v>
          </cell>
          <cell r="O742">
            <v>2</v>
          </cell>
          <cell r="R742" t="str">
            <v>CECS</v>
          </cell>
          <cell r="V742" t="str">
            <v>CECS</v>
          </cell>
        </row>
        <row r="743">
          <cell r="A743">
            <v>0</v>
          </cell>
          <cell r="C743">
            <v>0</v>
          </cell>
          <cell r="N743">
            <v>0</v>
          </cell>
          <cell r="O743">
            <v>0</v>
          </cell>
          <cell r="R743">
            <v>0</v>
          </cell>
          <cell r="V743">
            <v>0</v>
          </cell>
        </row>
        <row r="744">
          <cell r="A744" t="str">
            <v>BC0505</v>
          </cell>
          <cell r="C744" t="str">
            <v>Processamento da Informação</v>
          </cell>
          <cell r="N744">
            <v>0</v>
          </cell>
          <cell r="O744">
            <v>2</v>
          </cell>
          <cell r="R744" t="str">
            <v>CMCC</v>
          </cell>
          <cell r="V744" t="str">
            <v>CMCC</v>
          </cell>
        </row>
        <row r="745">
          <cell r="A745" t="str">
            <v>BC0505</v>
          </cell>
          <cell r="C745" t="str">
            <v>Processamento da Informação</v>
          </cell>
          <cell r="N745">
            <v>0</v>
          </cell>
          <cell r="O745">
            <v>2</v>
          </cell>
          <cell r="R745" t="str">
            <v>CECS</v>
          </cell>
          <cell r="V745" t="str">
            <v>CECS</v>
          </cell>
        </row>
        <row r="746">
          <cell r="A746" t="str">
            <v>BC0505</v>
          </cell>
          <cell r="C746" t="str">
            <v>Processamento da Informação</v>
          </cell>
          <cell r="N746">
            <v>0</v>
          </cell>
          <cell r="O746">
            <v>2</v>
          </cell>
          <cell r="R746" t="str">
            <v>CMCC</v>
          </cell>
          <cell r="V746" t="str">
            <v>CMCC</v>
          </cell>
        </row>
        <row r="747">
          <cell r="A747" t="str">
            <v>BC0505</v>
          </cell>
          <cell r="C747" t="str">
            <v>Processamento da Informação</v>
          </cell>
          <cell r="N747">
            <v>0</v>
          </cell>
          <cell r="O747">
            <v>2</v>
          </cell>
          <cell r="R747" t="str">
            <v>CECS</v>
          </cell>
          <cell r="V747" t="str">
            <v>CMCC</v>
          </cell>
        </row>
        <row r="748">
          <cell r="A748" t="str">
            <v>BC0505</v>
          </cell>
          <cell r="C748" t="str">
            <v>Processamento da Informação</v>
          </cell>
          <cell r="N748">
            <v>3</v>
          </cell>
          <cell r="O748">
            <v>2</v>
          </cell>
          <cell r="R748" t="str">
            <v>CMCC</v>
          </cell>
          <cell r="V748" t="str">
            <v>CMCC</v>
          </cell>
        </row>
        <row r="749">
          <cell r="A749">
            <v>0</v>
          </cell>
          <cell r="C749">
            <v>0</v>
          </cell>
          <cell r="N749">
            <v>0</v>
          </cell>
          <cell r="O749">
            <v>0</v>
          </cell>
          <cell r="R749">
            <v>0</v>
          </cell>
          <cell r="V749">
            <v>0</v>
          </cell>
        </row>
        <row r="750">
          <cell r="A750" t="str">
            <v>BC0505</v>
          </cell>
          <cell r="C750" t="str">
            <v>Processamento da Informação</v>
          </cell>
          <cell r="N750">
            <v>3</v>
          </cell>
          <cell r="O750">
            <v>2</v>
          </cell>
          <cell r="R750" t="str">
            <v>CECS</v>
          </cell>
          <cell r="V750" t="str">
            <v>CMCC</v>
          </cell>
        </row>
        <row r="751">
          <cell r="A751" t="str">
            <v>BC0505</v>
          </cell>
          <cell r="C751" t="str">
            <v>Processamento da Informação</v>
          </cell>
          <cell r="N751">
            <v>3</v>
          </cell>
          <cell r="O751">
            <v>2</v>
          </cell>
          <cell r="R751" t="str">
            <v>CMCC</v>
          </cell>
          <cell r="V751" t="str">
            <v>CMCC</v>
          </cell>
        </row>
        <row r="752">
          <cell r="A752" t="str">
            <v>BC0505</v>
          </cell>
          <cell r="C752" t="str">
            <v>Processamento da Informação</v>
          </cell>
          <cell r="N752">
            <v>0</v>
          </cell>
          <cell r="O752">
            <v>2</v>
          </cell>
          <cell r="R752" t="str">
            <v>CMCC</v>
          </cell>
          <cell r="V752" t="str">
            <v>CMCC</v>
          </cell>
        </row>
        <row r="753">
          <cell r="A753">
            <v>0</v>
          </cell>
          <cell r="C753">
            <v>0</v>
          </cell>
          <cell r="N753">
            <v>0</v>
          </cell>
          <cell r="O753">
            <v>0</v>
          </cell>
          <cell r="R753">
            <v>0</v>
          </cell>
          <cell r="V753">
            <v>0</v>
          </cell>
        </row>
        <row r="754">
          <cell r="A754" t="str">
            <v>BC0505</v>
          </cell>
          <cell r="C754" t="str">
            <v>Processamento da Informação</v>
          </cell>
          <cell r="N754">
            <v>0</v>
          </cell>
          <cell r="O754">
            <v>2</v>
          </cell>
          <cell r="R754" t="str">
            <v>CECS</v>
          </cell>
          <cell r="V754" t="str">
            <v>CMCC</v>
          </cell>
        </row>
        <row r="755">
          <cell r="A755" t="str">
            <v>BC0505</v>
          </cell>
          <cell r="C755" t="str">
            <v>Processamento da Informação</v>
          </cell>
          <cell r="N755">
            <v>0</v>
          </cell>
          <cell r="O755">
            <v>2</v>
          </cell>
          <cell r="R755" t="str">
            <v>CMCC</v>
          </cell>
          <cell r="V755" t="str">
            <v>CMCC</v>
          </cell>
        </row>
        <row r="756">
          <cell r="A756" t="str">
            <v>BC0505</v>
          </cell>
          <cell r="C756" t="str">
            <v>Processamento da Informação</v>
          </cell>
          <cell r="N756">
            <v>0</v>
          </cell>
          <cell r="O756">
            <v>2</v>
          </cell>
          <cell r="R756" t="str">
            <v>CMCC</v>
          </cell>
          <cell r="V756" t="str">
            <v>CMCC</v>
          </cell>
        </row>
        <row r="757">
          <cell r="A757" t="str">
            <v>BC0505</v>
          </cell>
          <cell r="C757" t="str">
            <v>Processamento da Informação</v>
          </cell>
          <cell r="N757">
            <v>3</v>
          </cell>
          <cell r="O757">
            <v>2</v>
          </cell>
          <cell r="R757" t="str">
            <v>CMCC</v>
          </cell>
          <cell r="V757" t="str">
            <v>CMCC</v>
          </cell>
        </row>
        <row r="758">
          <cell r="A758" t="str">
            <v>BC0505</v>
          </cell>
          <cell r="C758" t="str">
            <v>Processamento da Informação</v>
          </cell>
          <cell r="N758">
            <v>0</v>
          </cell>
          <cell r="O758">
            <v>2</v>
          </cell>
          <cell r="R758" t="str">
            <v>CECS</v>
          </cell>
          <cell r="V758" t="str">
            <v>CMCC</v>
          </cell>
        </row>
        <row r="759">
          <cell r="A759">
            <v>0</v>
          </cell>
          <cell r="C759">
            <v>0</v>
          </cell>
          <cell r="N759">
            <v>0</v>
          </cell>
          <cell r="O759">
            <v>0</v>
          </cell>
          <cell r="R759">
            <v>0</v>
          </cell>
          <cell r="V759">
            <v>0</v>
          </cell>
        </row>
        <row r="760">
          <cell r="A760" t="str">
            <v>BC0505</v>
          </cell>
          <cell r="C760" t="str">
            <v>Processamento da Informação</v>
          </cell>
          <cell r="N760">
            <v>3</v>
          </cell>
          <cell r="O760">
            <v>2</v>
          </cell>
          <cell r="R760" t="str">
            <v>CMCC</v>
          </cell>
          <cell r="V760" t="str">
            <v>CMCC</v>
          </cell>
        </row>
        <row r="761">
          <cell r="A761">
            <v>0</v>
          </cell>
          <cell r="C761">
            <v>0</v>
          </cell>
          <cell r="N761">
            <v>0</v>
          </cell>
          <cell r="O761">
            <v>0</v>
          </cell>
          <cell r="R761">
            <v>0</v>
          </cell>
          <cell r="V761">
            <v>0</v>
          </cell>
        </row>
        <row r="762">
          <cell r="A762" t="str">
            <v>BC0505</v>
          </cell>
          <cell r="C762" t="str">
            <v>Processamento da Informação</v>
          </cell>
          <cell r="N762">
            <v>3</v>
          </cell>
          <cell r="O762">
            <v>2</v>
          </cell>
          <cell r="R762" t="str">
            <v>CMCC</v>
          </cell>
          <cell r="V762" t="str">
            <v>CMCC</v>
          </cell>
        </row>
        <row r="763">
          <cell r="A763">
            <v>0</v>
          </cell>
          <cell r="C763">
            <v>0</v>
          </cell>
          <cell r="N763">
            <v>0</v>
          </cell>
          <cell r="O763">
            <v>0</v>
          </cell>
          <cell r="R763">
            <v>0</v>
          </cell>
          <cell r="V763">
            <v>0</v>
          </cell>
        </row>
        <row r="764">
          <cell r="A764" t="str">
            <v>BC0505</v>
          </cell>
          <cell r="C764" t="str">
            <v>Processamento da Informação</v>
          </cell>
          <cell r="N764">
            <v>0</v>
          </cell>
          <cell r="O764">
            <v>2</v>
          </cell>
          <cell r="R764" t="str">
            <v>CMCC</v>
          </cell>
          <cell r="V764" t="str">
            <v>CECS</v>
          </cell>
        </row>
        <row r="765">
          <cell r="A765" t="str">
            <v>BC0505</v>
          </cell>
          <cell r="C765" t="str">
            <v>Processamento da Informação</v>
          </cell>
          <cell r="N765">
            <v>0</v>
          </cell>
          <cell r="O765">
            <v>2</v>
          </cell>
          <cell r="R765" t="str">
            <v>CMCC</v>
          </cell>
          <cell r="V765" t="str">
            <v>CMCC</v>
          </cell>
        </row>
        <row r="766">
          <cell r="A766" t="str">
            <v>BC0505</v>
          </cell>
          <cell r="C766" t="str">
            <v>Processamento da Informação</v>
          </cell>
          <cell r="N766">
            <v>0</v>
          </cell>
          <cell r="O766">
            <v>2</v>
          </cell>
          <cell r="R766" t="str">
            <v>CMCC</v>
          </cell>
          <cell r="V766" t="str">
            <v>CECS</v>
          </cell>
        </row>
        <row r="767">
          <cell r="A767" t="str">
            <v>BC0505</v>
          </cell>
          <cell r="C767" t="str">
            <v>Processamento da Informação</v>
          </cell>
          <cell r="N767">
            <v>0</v>
          </cell>
          <cell r="O767">
            <v>2</v>
          </cell>
          <cell r="R767" t="str">
            <v>CMCC</v>
          </cell>
          <cell r="V767" t="str">
            <v>CMCC</v>
          </cell>
        </row>
        <row r="768">
          <cell r="A768" t="str">
            <v>BC0505</v>
          </cell>
          <cell r="C768" t="str">
            <v>Processamento da Informação</v>
          </cell>
          <cell r="N768">
            <v>3</v>
          </cell>
          <cell r="O768">
            <v>2</v>
          </cell>
          <cell r="R768" t="str">
            <v>CMCC</v>
          </cell>
          <cell r="V768" t="str">
            <v>CMCC</v>
          </cell>
        </row>
        <row r="769">
          <cell r="A769" t="str">
            <v>BC0505</v>
          </cell>
          <cell r="C769" t="str">
            <v>Processamento da Informação</v>
          </cell>
          <cell r="N769">
            <v>3</v>
          </cell>
          <cell r="O769">
            <v>2</v>
          </cell>
          <cell r="R769" t="str">
            <v>CMCC</v>
          </cell>
          <cell r="V769" t="str">
            <v>CMCC</v>
          </cell>
        </row>
        <row r="770">
          <cell r="A770" t="str">
            <v>BC0505</v>
          </cell>
          <cell r="C770" t="str">
            <v>Processamento da Informação</v>
          </cell>
          <cell r="N770">
            <v>0</v>
          </cell>
          <cell r="O770">
            <v>2</v>
          </cell>
          <cell r="R770" t="str">
            <v>CMCC</v>
          </cell>
          <cell r="V770" t="str">
            <v>CMCC</v>
          </cell>
        </row>
        <row r="771">
          <cell r="A771" t="str">
            <v>BC0505</v>
          </cell>
          <cell r="C771" t="str">
            <v>Processamento da Informação</v>
          </cell>
          <cell r="N771">
            <v>0</v>
          </cell>
          <cell r="O771">
            <v>0</v>
          </cell>
          <cell r="R771" t="e">
            <v>#N/A</v>
          </cell>
          <cell r="V771" t="e">
            <v>#N/A</v>
          </cell>
        </row>
        <row r="772">
          <cell r="A772" t="str">
            <v>BC0505</v>
          </cell>
          <cell r="C772" t="str">
            <v>Processamento da Informação</v>
          </cell>
          <cell r="N772">
            <v>0</v>
          </cell>
          <cell r="O772">
            <v>2</v>
          </cell>
          <cell r="R772" t="str">
            <v>CMCC</v>
          </cell>
          <cell r="V772" t="str">
            <v>CMCC</v>
          </cell>
        </row>
        <row r="773">
          <cell r="A773" t="str">
            <v>BC0505</v>
          </cell>
          <cell r="C773" t="str">
            <v>Processamento da Informação</v>
          </cell>
          <cell r="N773">
            <v>0</v>
          </cell>
          <cell r="O773">
            <v>0</v>
          </cell>
          <cell r="R773" t="e">
            <v>#N/A</v>
          </cell>
          <cell r="V773" t="e">
            <v>#N/A</v>
          </cell>
        </row>
        <row r="774">
          <cell r="A774" t="str">
            <v>EN3818</v>
          </cell>
          <cell r="C774" t="str">
            <v>Processamento de Cerâmicas</v>
          </cell>
          <cell r="N774">
            <v>3</v>
          </cell>
          <cell r="O774">
            <v>1</v>
          </cell>
          <cell r="R774" t="str">
            <v>CECS</v>
          </cell>
          <cell r="V774" t="str">
            <v>CECS</v>
          </cell>
        </row>
        <row r="775">
          <cell r="A775" t="str">
            <v>MC7106</v>
          </cell>
          <cell r="C775" t="str">
            <v>Processamento de Linguagem Natural</v>
          </cell>
          <cell r="N775">
            <v>4</v>
          </cell>
          <cell r="O775">
            <v>0</v>
          </cell>
          <cell r="R775" t="str">
            <v>CMCC</v>
          </cell>
          <cell r="V775">
            <v>0</v>
          </cell>
        </row>
        <row r="776">
          <cell r="A776" t="str">
            <v>EN3612</v>
          </cell>
          <cell r="C776" t="str">
            <v>Processamento de Vídeo</v>
          </cell>
          <cell r="N776">
            <v>3</v>
          </cell>
          <cell r="O776">
            <v>1</v>
          </cell>
          <cell r="R776" t="str">
            <v>CECS</v>
          </cell>
          <cell r="V776" t="str">
            <v>CECS</v>
          </cell>
        </row>
        <row r="777">
          <cell r="A777" t="str">
            <v>EN3612</v>
          </cell>
          <cell r="C777" t="str">
            <v>Processamento de Vídeo</v>
          </cell>
          <cell r="N777">
            <v>3</v>
          </cell>
          <cell r="O777">
            <v>1</v>
          </cell>
          <cell r="R777" t="str">
            <v>CECS</v>
          </cell>
          <cell r="V777" t="str">
            <v>CECS</v>
          </cell>
        </row>
        <row r="778">
          <cell r="A778" t="str">
            <v>EN2610</v>
          </cell>
          <cell r="C778" t="str">
            <v>Processamento Digital de Sinais</v>
          </cell>
          <cell r="N778">
            <v>4</v>
          </cell>
          <cell r="O778">
            <v>0</v>
          </cell>
          <cell r="R778" t="str">
            <v>CECS</v>
          </cell>
          <cell r="V778">
            <v>0</v>
          </cell>
        </row>
        <row r="779">
          <cell r="A779" t="str">
            <v>EN2610</v>
          </cell>
          <cell r="C779" t="str">
            <v>Processamento Digital de Sinais</v>
          </cell>
          <cell r="N779">
            <v>4</v>
          </cell>
          <cell r="O779">
            <v>0</v>
          </cell>
          <cell r="R779" t="str">
            <v>CECS</v>
          </cell>
          <cell r="V779">
            <v>0</v>
          </cell>
        </row>
        <row r="780">
          <cell r="A780" t="str">
            <v>EN2610</v>
          </cell>
          <cell r="C780" t="str">
            <v>Processamento Digital de Sinais</v>
          </cell>
          <cell r="N780">
            <v>4</v>
          </cell>
          <cell r="O780">
            <v>0</v>
          </cell>
          <cell r="R780" t="str">
            <v>CECS</v>
          </cell>
          <cell r="V780">
            <v>0</v>
          </cell>
        </row>
        <row r="781">
          <cell r="A781" t="str">
            <v>EN2610</v>
          </cell>
          <cell r="C781" t="str">
            <v>Processamento Digital de Sinais</v>
          </cell>
          <cell r="N781">
            <v>4</v>
          </cell>
          <cell r="O781">
            <v>0</v>
          </cell>
          <cell r="R781" t="str">
            <v>CECS</v>
          </cell>
          <cell r="V781">
            <v>0</v>
          </cell>
        </row>
        <row r="782">
          <cell r="A782" t="str">
            <v>EN3824</v>
          </cell>
          <cell r="C782" t="str">
            <v>Processamento e Conformação de Metais</v>
          </cell>
          <cell r="N782">
            <v>3</v>
          </cell>
          <cell r="O782">
            <v>1</v>
          </cell>
          <cell r="R782" t="str">
            <v>CECS</v>
          </cell>
          <cell r="V782" t="str">
            <v>CECS</v>
          </cell>
        </row>
        <row r="783">
          <cell r="A783" t="str">
            <v>EN2622</v>
          </cell>
          <cell r="C783" t="str">
            <v>Programação de Software Embarcado</v>
          </cell>
          <cell r="N783">
            <v>2</v>
          </cell>
          <cell r="O783">
            <v>2</v>
          </cell>
          <cell r="R783" t="str">
            <v>CECS</v>
          </cell>
          <cell r="V783" t="str">
            <v>CECS</v>
          </cell>
        </row>
        <row r="784">
          <cell r="A784" t="str">
            <v>EN2622</v>
          </cell>
          <cell r="C784" t="str">
            <v>Programação de Software Embarcado</v>
          </cell>
          <cell r="N784">
            <v>2</v>
          </cell>
          <cell r="O784">
            <v>2</v>
          </cell>
          <cell r="R784" t="str">
            <v>CECS</v>
          </cell>
          <cell r="V784" t="str">
            <v>CECS</v>
          </cell>
        </row>
        <row r="785">
          <cell r="A785" t="str">
            <v>EN2225</v>
          </cell>
          <cell r="C785" t="str">
            <v>Projeto de Elementos Estruturais de Aeronaves I</v>
          </cell>
          <cell r="N785">
            <v>3</v>
          </cell>
          <cell r="O785">
            <v>1</v>
          </cell>
          <cell r="R785" t="str">
            <v>CECS</v>
          </cell>
          <cell r="V785" t="str">
            <v>CECS</v>
          </cell>
        </row>
        <row r="786">
          <cell r="A786">
            <v>0</v>
          </cell>
          <cell r="C786">
            <v>0</v>
          </cell>
          <cell r="N786">
            <v>0</v>
          </cell>
          <cell r="O786">
            <v>0</v>
          </cell>
          <cell r="R786">
            <v>0</v>
          </cell>
          <cell r="V786">
            <v>0</v>
          </cell>
        </row>
        <row r="787">
          <cell r="A787" t="str">
            <v>BC0002</v>
          </cell>
          <cell r="C787" t="str">
            <v>Projeto Dirigido</v>
          </cell>
          <cell r="N787">
            <v>0</v>
          </cell>
          <cell r="O787">
            <v>2</v>
          </cell>
          <cell r="R787">
            <v>0</v>
          </cell>
          <cell r="V787" t="str">
            <v>CCNH</v>
          </cell>
        </row>
        <row r="788">
          <cell r="A788" t="str">
            <v>BC0002</v>
          </cell>
          <cell r="C788" t="str">
            <v>Projeto Dirigido</v>
          </cell>
          <cell r="N788">
            <v>0</v>
          </cell>
          <cell r="O788">
            <v>2</v>
          </cell>
          <cell r="R788">
            <v>0</v>
          </cell>
          <cell r="V788" t="str">
            <v>CMCC</v>
          </cell>
        </row>
        <row r="789">
          <cell r="A789" t="str">
            <v>BC0002</v>
          </cell>
          <cell r="C789" t="str">
            <v>Projeto Dirigido</v>
          </cell>
          <cell r="N789">
            <v>0</v>
          </cell>
          <cell r="O789">
            <v>2</v>
          </cell>
          <cell r="R789">
            <v>0</v>
          </cell>
          <cell r="V789" t="str">
            <v>CCNH</v>
          </cell>
        </row>
        <row r="790">
          <cell r="A790" t="str">
            <v>BC0002</v>
          </cell>
          <cell r="C790" t="str">
            <v>Projeto Dirigido</v>
          </cell>
          <cell r="N790">
            <v>0</v>
          </cell>
          <cell r="O790">
            <v>2</v>
          </cell>
          <cell r="R790">
            <v>0</v>
          </cell>
          <cell r="V790" t="str">
            <v>CCNH</v>
          </cell>
        </row>
        <row r="791">
          <cell r="A791" t="str">
            <v>BC0002</v>
          </cell>
          <cell r="C791" t="str">
            <v>Projeto Dirigido</v>
          </cell>
          <cell r="N791">
            <v>0</v>
          </cell>
          <cell r="O791">
            <v>2</v>
          </cell>
          <cell r="R791">
            <v>0</v>
          </cell>
          <cell r="V791" t="str">
            <v>CCNH</v>
          </cell>
        </row>
        <row r="792">
          <cell r="A792" t="str">
            <v>BC0002</v>
          </cell>
          <cell r="C792" t="str">
            <v>Projeto Dirigido</v>
          </cell>
          <cell r="N792">
            <v>0</v>
          </cell>
          <cell r="O792">
            <v>2</v>
          </cell>
          <cell r="R792">
            <v>0</v>
          </cell>
          <cell r="V792" t="str">
            <v>CMCC</v>
          </cell>
        </row>
        <row r="793">
          <cell r="A793" t="str">
            <v>BC0002</v>
          </cell>
          <cell r="C793" t="str">
            <v>Projeto Dirigido</v>
          </cell>
          <cell r="N793">
            <v>0</v>
          </cell>
          <cell r="O793">
            <v>2</v>
          </cell>
          <cell r="R793">
            <v>0</v>
          </cell>
          <cell r="V793" t="str">
            <v>CCNH</v>
          </cell>
        </row>
        <row r="794">
          <cell r="A794" t="str">
            <v>BC0002</v>
          </cell>
          <cell r="C794" t="str">
            <v>Projeto Dirigido</v>
          </cell>
          <cell r="N794">
            <v>0</v>
          </cell>
          <cell r="O794">
            <v>2</v>
          </cell>
          <cell r="R794">
            <v>0</v>
          </cell>
          <cell r="V794" t="str">
            <v>CECS</v>
          </cell>
        </row>
        <row r="795">
          <cell r="A795" t="str">
            <v>BC0002</v>
          </cell>
          <cell r="C795" t="str">
            <v>Projeto Dirigido</v>
          </cell>
          <cell r="N795">
            <v>0</v>
          </cell>
          <cell r="O795">
            <v>2</v>
          </cell>
          <cell r="R795">
            <v>0</v>
          </cell>
          <cell r="V795" t="str">
            <v>CCNH</v>
          </cell>
        </row>
        <row r="796">
          <cell r="A796" t="str">
            <v>BC0002</v>
          </cell>
          <cell r="C796" t="str">
            <v>Projeto Dirigido</v>
          </cell>
          <cell r="N796">
            <v>0</v>
          </cell>
          <cell r="O796">
            <v>2</v>
          </cell>
          <cell r="R796">
            <v>0</v>
          </cell>
          <cell r="V796" t="str">
            <v>CCNH</v>
          </cell>
        </row>
        <row r="797">
          <cell r="A797" t="str">
            <v>BC0002</v>
          </cell>
          <cell r="C797" t="str">
            <v>Projeto Dirigido</v>
          </cell>
          <cell r="N797">
            <v>0</v>
          </cell>
          <cell r="O797">
            <v>2</v>
          </cell>
          <cell r="R797">
            <v>0</v>
          </cell>
          <cell r="V797" t="str">
            <v>CCNH</v>
          </cell>
        </row>
        <row r="798">
          <cell r="A798" t="str">
            <v>BC0002</v>
          </cell>
          <cell r="C798" t="str">
            <v>Projeto Dirigido</v>
          </cell>
          <cell r="N798">
            <v>0</v>
          </cell>
          <cell r="O798">
            <v>2</v>
          </cell>
          <cell r="R798">
            <v>0</v>
          </cell>
          <cell r="V798" t="str">
            <v>CCNH</v>
          </cell>
        </row>
        <row r="799">
          <cell r="A799" t="str">
            <v>BC0002</v>
          </cell>
          <cell r="C799" t="str">
            <v>Projeto Dirigido</v>
          </cell>
          <cell r="N799">
            <v>0</v>
          </cell>
          <cell r="O799">
            <v>2</v>
          </cell>
          <cell r="R799">
            <v>0</v>
          </cell>
          <cell r="V799" t="str">
            <v>CCNH</v>
          </cell>
        </row>
        <row r="800">
          <cell r="A800" t="str">
            <v>BC0002</v>
          </cell>
          <cell r="C800" t="str">
            <v>Projeto Dirigido</v>
          </cell>
          <cell r="N800">
            <v>0</v>
          </cell>
          <cell r="O800">
            <v>2</v>
          </cell>
          <cell r="R800">
            <v>0</v>
          </cell>
          <cell r="V800" t="str">
            <v>CCNH</v>
          </cell>
        </row>
        <row r="801">
          <cell r="A801" t="str">
            <v>MC7006</v>
          </cell>
          <cell r="C801" t="str">
            <v>Psicofarmacologia</v>
          </cell>
          <cell r="N801">
            <v>4</v>
          </cell>
          <cell r="O801">
            <v>0</v>
          </cell>
          <cell r="R801" t="str">
            <v>CMCC</v>
          </cell>
          <cell r="V801">
            <v>0</v>
          </cell>
        </row>
        <row r="802">
          <cell r="A802" t="str">
            <v>MC7006</v>
          </cell>
          <cell r="C802" t="str">
            <v>Psicofarmacologia</v>
          </cell>
          <cell r="N802">
            <v>4</v>
          </cell>
          <cell r="O802">
            <v>0</v>
          </cell>
          <cell r="R802" t="str">
            <v>CMCC</v>
          </cell>
          <cell r="V802">
            <v>0</v>
          </cell>
        </row>
        <row r="803">
          <cell r="A803" t="str">
            <v>MC7006</v>
          </cell>
          <cell r="C803" t="str">
            <v>Psicofarmacologia</v>
          </cell>
          <cell r="N803">
            <v>4</v>
          </cell>
          <cell r="O803">
            <v>0</v>
          </cell>
          <cell r="R803" t="str">
            <v>CMCC</v>
          </cell>
          <cell r="V803">
            <v>0</v>
          </cell>
        </row>
        <row r="804">
          <cell r="A804" t="str">
            <v>MC8100</v>
          </cell>
          <cell r="C804" t="str">
            <v>Psicologia Experimental</v>
          </cell>
          <cell r="N804">
            <v>4</v>
          </cell>
          <cell r="O804">
            <v>2</v>
          </cell>
          <cell r="R804" t="str">
            <v>CMCC</v>
          </cell>
          <cell r="V804" t="str">
            <v>CMCC</v>
          </cell>
        </row>
        <row r="805">
          <cell r="A805" t="str">
            <v>MC8100</v>
          </cell>
          <cell r="C805" t="str">
            <v>Psicologia Experimental</v>
          </cell>
          <cell r="N805">
            <v>4</v>
          </cell>
          <cell r="O805">
            <v>2</v>
          </cell>
          <cell r="R805" t="str">
            <v>CMCC</v>
          </cell>
          <cell r="V805" t="str">
            <v>CMCC</v>
          </cell>
        </row>
        <row r="806">
          <cell r="A806" t="str">
            <v>MC8100</v>
          </cell>
          <cell r="C806" t="str">
            <v>Psicologia Experimental</v>
          </cell>
          <cell r="N806">
            <v>4</v>
          </cell>
          <cell r="O806">
            <v>2</v>
          </cell>
          <cell r="R806" t="str">
            <v>CMCC</v>
          </cell>
          <cell r="V806" t="str">
            <v>CMCC</v>
          </cell>
        </row>
        <row r="807">
          <cell r="A807" t="str">
            <v>EN4420</v>
          </cell>
          <cell r="C807" t="str">
            <v>Química do Petróleo</v>
          </cell>
          <cell r="N807">
            <v>4</v>
          </cell>
          <cell r="O807">
            <v>0</v>
          </cell>
          <cell r="R807" t="str">
            <v>CECS</v>
          </cell>
          <cell r="V807" t="str">
            <v>CCNH</v>
          </cell>
        </row>
        <row r="808">
          <cell r="A808" t="str">
            <v>BC1302</v>
          </cell>
          <cell r="C808" t="str">
            <v>Química dos Elementos</v>
          </cell>
          <cell r="N808">
            <v>4</v>
          </cell>
          <cell r="O808">
            <v>2</v>
          </cell>
          <cell r="R808" t="str">
            <v>CCNH</v>
          </cell>
          <cell r="V808" t="str">
            <v>CCNH</v>
          </cell>
        </row>
        <row r="809">
          <cell r="A809" t="str">
            <v>BC1302</v>
          </cell>
          <cell r="C809" t="str">
            <v>Química dos Elementos</v>
          </cell>
          <cell r="N809">
            <v>0</v>
          </cell>
          <cell r="O809">
            <v>2</v>
          </cell>
          <cell r="R809" t="str">
            <v>CCNH</v>
          </cell>
          <cell r="V809" t="e">
            <v>#N/A</v>
          </cell>
        </row>
        <row r="810">
          <cell r="A810" t="str">
            <v>BC1302</v>
          </cell>
          <cell r="C810" t="str">
            <v>Química dos Elementos</v>
          </cell>
          <cell r="N810">
            <v>4</v>
          </cell>
          <cell r="O810">
            <v>2</v>
          </cell>
          <cell r="R810" t="str">
            <v>CCNH</v>
          </cell>
          <cell r="V810" t="str">
            <v>CCNH</v>
          </cell>
        </row>
        <row r="811">
          <cell r="A811" t="str">
            <v>EN3436</v>
          </cell>
          <cell r="C811" t="str">
            <v>Reações Nucleares</v>
          </cell>
          <cell r="N811">
            <v>3</v>
          </cell>
          <cell r="O811">
            <v>0</v>
          </cell>
          <cell r="R811" t="str">
            <v>CECS</v>
          </cell>
          <cell r="V811">
            <v>0</v>
          </cell>
        </row>
        <row r="812">
          <cell r="A812" t="str">
            <v>EN3455</v>
          </cell>
          <cell r="C812" t="str">
            <v>Redes de Distribuição de Energia Elétrica</v>
          </cell>
          <cell r="N812">
            <v>3</v>
          </cell>
          <cell r="O812">
            <v>1</v>
          </cell>
          <cell r="R812" t="str">
            <v>CECS</v>
          </cell>
          <cell r="V812" t="str">
            <v>CECS</v>
          </cell>
        </row>
        <row r="813">
          <cell r="A813" t="str">
            <v>EN2139</v>
          </cell>
          <cell r="C813" t="str">
            <v>Resíduos Sólidos</v>
          </cell>
          <cell r="N813">
            <v>3</v>
          </cell>
          <cell r="O813">
            <v>0</v>
          </cell>
          <cell r="R813" t="str">
            <v>CECS</v>
          </cell>
          <cell r="V813">
            <v>0</v>
          </cell>
        </row>
        <row r="814">
          <cell r="A814" t="str">
            <v>EN2139</v>
          </cell>
          <cell r="C814" t="str">
            <v>Resíduos Sólidos</v>
          </cell>
          <cell r="N814">
            <v>3</v>
          </cell>
          <cell r="O814">
            <v>0</v>
          </cell>
          <cell r="R814" t="str">
            <v>CECS</v>
          </cell>
          <cell r="V814">
            <v>0</v>
          </cell>
        </row>
        <row r="815">
          <cell r="A815" t="str">
            <v>EN3704</v>
          </cell>
          <cell r="C815" t="str">
            <v>Robôs Móveis Autônomos</v>
          </cell>
          <cell r="N815">
            <v>3</v>
          </cell>
          <cell r="O815">
            <v>1</v>
          </cell>
          <cell r="R815" t="str">
            <v>CECS</v>
          </cell>
          <cell r="V815" t="str">
            <v>CECS</v>
          </cell>
        </row>
        <row r="816">
          <cell r="A816" t="str">
            <v>EN2126</v>
          </cell>
          <cell r="C816" t="str">
            <v>Saúde Ambiental</v>
          </cell>
          <cell r="N816">
            <v>2</v>
          </cell>
          <cell r="O816">
            <v>0</v>
          </cell>
          <cell r="R816" t="str">
            <v>CECS</v>
          </cell>
          <cell r="V816">
            <v>0</v>
          </cell>
        </row>
        <row r="817">
          <cell r="A817" t="str">
            <v>EN2126</v>
          </cell>
          <cell r="C817" t="str">
            <v>Saúde Ambiental</v>
          </cell>
          <cell r="N817">
            <v>2</v>
          </cell>
          <cell r="O817">
            <v>0</v>
          </cell>
          <cell r="R817" t="str">
            <v>CECS</v>
          </cell>
          <cell r="V817">
            <v>0</v>
          </cell>
        </row>
        <row r="818">
          <cell r="A818" t="str">
            <v>BC1523</v>
          </cell>
          <cell r="C818" t="str">
            <v>Segurança de Dados</v>
          </cell>
          <cell r="N818">
            <v>3</v>
          </cell>
          <cell r="O818">
            <v>1</v>
          </cell>
          <cell r="R818" t="str">
            <v>CMCC</v>
          </cell>
          <cell r="V818" t="str">
            <v>CMCC</v>
          </cell>
        </row>
        <row r="819">
          <cell r="A819" t="str">
            <v>BC1523</v>
          </cell>
          <cell r="C819" t="str">
            <v>Segurança de Dados</v>
          </cell>
          <cell r="N819">
            <v>3</v>
          </cell>
          <cell r="O819">
            <v>1</v>
          </cell>
          <cell r="R819" t="str">
            <v>CMCC</v>
          </cell>
          <cell r="V819" t="str">
            <v>CMCC</v>
          </cell>
        </row>
        <row r="820">
          <cell r="A820" t="str">
            <v>EN2819</v>
          </cell>
          <cell r="C820" t="str">
            <v>Seleção de Materiais</v>
          </cell>
          <cell r="N820">
            <v>4</v>
          </cell>
          <cell r="O820">
            <v>0</v>
          </cell>
          <cell r="R820" t="str">
            <v>CECS</v>
          </cell>
          <cell r="V820">
            <v>0</v>
          </cell>
        </row>
        <row r="821">
          <cell r="A821" t="str">
            <v>EN2819</v>
          </cell>
          <cell r="C821" t="str">
            <v>Seleção de Materiais</v>
          </cell>
          <cell r="N821">
            <v>4</v>
          </cell>
          <cell r="O821">
            <v>0</v>
          </cell>
          <cell r="R821" t="str">
            <v>CECS</v>
          </cell>
          <cell r="V821">
            <v>0</v>
          </cell>
        </row>
        <row r="822">
          <cell r="A822" t="str">
            <v>NH3205</v>
          </cell>
          <cell r="C822" t="str">
            <v>Seminários em Química II</v>
          </cell>
          <cell r="N822">
            <v>2</v>
          </cell>
          <cell r="O822">
            <v>0</v>
          </cell>
          <cell r="R822" t="str">
            <v>CCNH</v>
          </cell>
          <cell r="V822">
            <v>0</v>
          </cell>
        </row>
        <row r="823">
          <cell r="A823" t="str">
            <v>NH3205</v>
          </cell>
          <cell r="C823" t="str">
            <v>Seminários em Química II</v>
          </cell>
          <cell r="N823">
            <v>2</v>
          </cell>
          <cell r="O823">
            <v>0</v>
          </cell>
          <cell r="R823" t="str">
            <v>CCNH</v>
          </cell>
          <cell r="V823">
            <v>0</v>
          </cell>
        </row>
        <row r="824">
          <cell r="A824" t="str">
            <v>MC8099</v>
          </cell>
          <cell r="C824" t="str">
            <v>Sensação e Percepção</v>
          </cell>
          <cell r="N824">
            <v>4</v>
          </cell>
          <cell r="O824">
            <v>0</v>
          </cell>
          <cell r="R824" t="str">
            <v>CMCC</v>
          </cell>
          <cell r="V824">
            <v>0</v>
          </cell>
        </row>
        <row r="825">
          <cell r="A825" t="str">
            <v>EN3706</v>
          </cell>
          <cell r="C825" t="str">
            <v>Servo-Sistema para Robôs e Acionamento para Sistemas Mecatrônicos</v>
          </cell>
          <cell r="N825">
            <v>3</v>
          </cell>
          <cell r="O825">
            <v>1</v>
          </cell>
          <cell r="R825" t="str">
            <v>CECS</v>
          </cell>
          <cell r="V825" t="str">
            <v>CECS</v>
          </cell>
        </row>
        <row r="826">
          <cell r="A826" t="str">
            <v>EN3816</v>
          </cell>
          <cell r="C826" t="str">
            <v>Simulação e Processamento de Polímeros</v>
          </cell>
          <cell r="N826">
            <v>3</v>
          </cell>
          <cell r="O826">
            <v>1</v>
          </cell>
          <cell r="R826" t="str">
            <v>CECS</v>
          </cell>
          <cell r="V826" t="str">
            <v>CECS</v>
          </cell>
        </row>
        <row r="827">
          <cell r="A827" t="str">
            <v>EN3815</v>
          </cell>
          <cell r="C827" t="str">
            <v>Síntese de Polímeros</v>
          </cell>
          <cell r="N827">
            <v>3</v>
          </cell>
          <cell r="O827">
            <v>1</v>
          </cell>
          <cell r="R827" t="str">
            <v>CECS</v>
          </cell>
          <cell r="V827" t="str">
            <v>CECS</v>
          </cell>
        </row>
        <row r="828">
          <cell r="A828" t="str">
            <v>EN3815</v>
          </cell>
          <cell r="C828" t="str">
            <v>Síntese de Polímeros</v>
          </cell>
          <cell r="N828">
            <v>3</v>
          </cell>
          <cell r="O828">
            <v>1</v>
          </cell>
          <cell r="R828" t="str">
            <v>CCNH</v>
          </cell>
          <cell r="V828" t="str">
            <v>CCNH</v>
          </cell>
        </row>
        <row r="829">
          <cell r="A829" t="str">
            <v>BH1154</v>
          </cell>
          <cell r="C829" t="str">
            <v>Sistema Financeiro Internacional: de Bretton Woods ao non-sistema</v>
          </cell>
          <cell r="N829">
            <v>4</v>
          </cell>
          <cell r="O829">
            <v>0</v>
          </cell>
          <cell r="R829" t="str">
            <v>CECS</v>
          </cell>
          <cell r="V829">
            <v>0</v>
          </cell>
        </row>
        <row r="830">
          <cell r="A830" t="str">
            <v>BH1154</v>
          </cell>
          <cell r="C830" t="str">
            <v>Sistema Financeiro Internacional: de Bretton Woods ao non-sistema</v>
          </cell>
          <cell r="N830">
            <v>4</v>
          </cell>
          <cell r="O830">
            <v>0</v>
          </cell>
          <cell r="R830" t="str">
            <v>CECS</v>
          </cell>
          <cell r="V830">
            <v>0</v>
          </cell>
        </row>
        <row r="831">
          <cell r="A831" t="str">
            <v>BC1324</v>
          </cell>
          <cell r="C831" t="str">
            <v>Sistemas Biológicos III</v>
          </cell>
          <cell r="N831">
            <v>4</v>
          </cell>
          <cell r="O831">
            <v>2</v>
          </cell>
          <cell r="R831" t="str">
            <v>CCNH</v>
          </cell>
          <cell r="V831" t="str">
            <v>CCNH</v>
          </cell>
        </row>
        <row r="832">
          <cell r="A832" t="str">
            <v>BC1324</v>
          </cell>
          <cell r="C832" t="str">
            <v>Sistemas Biológicos III</v>
          </cell>
          <cell r="N832">
            <v>4</v>
          </cell>
          <cell r="O832">
            <v>2</v>
          </cell>
          <cell r="R832" t="str">
            <v>CCNH</v>
          </cell>
          <cell r="V832" t="str">
            <v>CCNH</v>
          </cell>
        </row>
        <row r="833">
          <cell r="A833" t="str">
            <v>EN2716</v>
          </cell>
          <cell r="C833" t="str">
            <v>Sistemas CAD/CAM</v>
          </cell>
          <cell r="N833">
            <v>3</v>
          </cell>
          <cell r="O833">
            <v>1</v>
          </cell>
          <cell r="R833" t="str">
            <v>CECS</v>
          </cell>
          <cell r="V833" t="str">
            <v>CECS</v>
          </cell>
        </row>
        <row r="834">
          <cell r="A834" t="str">
            <v>EN2716</v>
          </cell>
          <cell r="C834" t="str">
            <v>Sistemas CAD/CAM</v>
          </cell>
          <cell r="N834">
            <v>3</v>
          </cell>
          <cell r="O834">
            <v>1</v>
          </cell>
          <cell r="R834" t="str">
            <v>CECS</v>
          </cell>
          <cell r="V834" t="str">
            <v>CECS</v>
          </cell>
        </row>
        <row r="835">
          <cell r="A835" t="str">
            <v>EN2716</v>
          </cell>
          <cell r="C835" t="str">
            <v>Sistemas CAD/CAM</v>
          </cell>
          <cell r="N835">
            <v>3</v>
          </cell>
          <cell r="O835">
            <v>1</v>
          </cell>
          <cell r="R835" t="str">
            <v>CECS</v>
          </cell>
          <cell r="V835" t="str">
            <v>CECS</v>
          </cell>
        </row>
        <row r="836">
          <cell r="A836" t="str">
            <v>EN2704</v>
          </cell>
          <cell r="C836" t="str">
            <v>Sistemas de Controle I</v>
          </cell>
          <cell r="N836">
            <v>3</v>
          </cell>
          <cell r="O836">
            <v>2</v>
          </cell>
          <cell r="R836" t="str">
            <v>CECS</v>
          </cell>
          <cell r="V836" t="str">
            <v>CECS</v>
          </cell>
        </row>
        <row r="837">
          <cell r="A837" t="str">
            <v>EN2704</v>
          </cell>
          <cell r="C837" t="str">
            <v>Sistemas de Controle I</v>
          </cell>
          <cell r="N837">
            <v>0</v>
          </cell>
          <cell r="O837">
            <v>2</v>
          </cell>
          <cell r="R837" t="str">
            <v>CECS</v>
          </cell>
          <cell r="V837" t="str">
            <v>CECS</v>
          </cell>
        </row>
        <row r="838">
          <cell r="A838" t="str">
            <v>EN2704</v>
          </cell>
          <cell r="C838" t="str">
            <v>Sistemas de Controle I</v>
          </cell>
          <cell r="N838">
            <v>3</v>
          </cell>
          <cell r="O838">
            <v>2</v>
          </cell>
          <cell r="R838" t="str">
            <v>CECS</v>
          </cell>
          <cell r="V838" t="str">
            <v>CECS</v>
          </cell>
        </row>
        <row r="839">
          <cell r="A839" t="str">
            <v>EN2704</v>
          </cell>
          <cell r="C839" t="str">
            <v>Sistemas de Controle I</v>
          </cell>
          <cell r="N839">
            <v>3</v>
          </cell>
          <cell r="O839">
            <v>2</v>
          </cell>
          <cell r="R839" t="str">
            <v>CECS</v>
          </cell>
          <cell r="V839" t="str">
            <v>CECS</v>
          </cell>
        </row>
        <row r="840">
          <cell r="A840" t="str">
            <v>EN2704</v>
          </cell>
          <cell r="C840" t="str">
            <v>Sistemas de Controle I</v>
          </cell>
          <cell r="N840">
            <v>3</v>
          </cell>
          <cell r="O840">
            <v>2</v>
          </cell>
          <cell r="R840" t="str">
            <v>CECS</v>
          </cell>
          <cell r="V840" t="str">
            <v>CECS</v>
          </cell>
        </row>
        <row r="841">
          <cell r="A841" t="str">
            <v>EN2138</v>
          </cell>
          <cell r="C841" t="str">
            <v>Sistemas de Esgotos e Drenagem Urbana</v>
          </cell>
          <cell r="N841">
            <v>2</v>
          </cell>
          <cell r="O841">
            <v>2</v>
          </cell>
          <cell r="R841" t="str">
            <v>CECS</v>
          </cell>
          <cell r="V841" t="str">
            <v>CECS</v>
          </cell>
        </row>
        <row r="842">
          <cell r="A842" t="str">
            <v>EN2138</v>
          </cell>
          <cell r="C842" t="str">
            <v>Sistemas de Esgotos e Drenagem Urbana</v>
          </cell>
          <cell r="N842">
            <v>2</v>
          </cell>
          <cell r="O842">
            <v>2</v>
          </cell>
          <cell r="R842" t="str">
            <v>CECS</v>
          </cell>
          <cell r="V842" t="str">
            <v>CECS</v>
          </cell>
        </row>
        <row r="843">
          <cell r="A843" t="str">
            <v>MC7114</v>
          </cell>
          <cell r="C843" t="str">
            <v>Sistemas de Gerenciamento de Banco de Dados</v>
          </cell>
          <cell r="N843">
            <v>2</v>
          </cell>
          <cell r="O843">
            <v>2</v>
          </cell>
          <cell r="R843" t="str">
            <v>CMCC</v>
          </cell>
          <cell r="V843" t="str">
            <v>CMCC</v>
          </cell>
        </row>
        <row r="844">
          <cell r="A844">
            <v>0</v>
          </cell>
          <cell r="C844">
            <v>0</v>
          </cell>
          <cell r="N844">
            <v>0</v>
          </cell>
          <cell r="O844">
            <v>0</v>
          </cell>
          <cell r="R844">
            <v>0</v>
          </cell>
          <cell r="V844">
            <v>0</v>
          </cell>
        </row>
        <row r="845">
          <cell r="A845" t="str">
            <v>EN3602</v>
          </cell>
          <cell r="C845" t="str">
            <v>Sistemas de Microondas</v>
          </cell>
          <cell r="N845">
            <v>3</v>
          </cell>
          <cell r="O845">
            <v>1</v>
          </cell>
          <cell r="R845" t="str">
            <v>CECS</v>
          </cell>
          <cell r="V845" t="str">
            <v>CECS</v>
          </cell>
        </row>
        <row r="846">
          <cell r="A846" t="str">
            <v>EN2227</v>
          </cell>
          <cell r="C846" t="str">
            <v>Sistemas de Propulsão I</v>
          </cell>
          <cell r="N846">
            <v>3</v>
          </cell>
          <cell r="O846">
            <v>1</v>
          </cell>
          <cell r="R846" t="str">
            <v>CECS</v>
          </cell>
          <cell r="V846" t="str">
            <v>CECS</v>
          </cell>
        </row>
        <row r="847">
          <cell r="A847" t="str">
            <v>EN2140</v>
          </cell>
          <cell r="C847" t="str">
            <v>Sistemas de Tratamento de Águas e Efluentes</v>
          </cell>
          <cell r="N847">
            <v>2</v>
          </cell>
          <cell r="O847">
            <v>2</v>
          </cell>
          <cell r="R847" t="str">
            <v>CECS</v>
          </cell>
          <cell r="V847" t="str">
            <v>CECS</v>
          </cell>
        </row>
        <row r="848">
          <cell r="A848" t="str">
            <v>EN2140</v>
          </cell>
          <cell r="C848" t="str">
            <v>Sistemas de Tratamento de Águas e Efluentes</v>
          </cell>
          <cell r="N848">
            <v>0</v>
          </cell>
          <cell r="O848">
            <v>2</v>
          </cell>
          <cell r="R848" t="str">
            <v>CECS</v>
          </cell>
          <cell r="V848" t="str">
            <v>CECS</v>
          </cell>
        </row>
        <row r="849">
          <cell r="A849" t="str">
            <v>EN2140</v>
          </cell>
          <cell r="C849" t="str">
            <v>Sistemas de Tratamento de Águas e Efluentes</v>
          </cell>
          <cell r="N849">
            <v>2</v>
          </cell>
          <cell r="O849">
            <v>2</v>
          </cell>
          <cell r="R849" t="str">
            <v>CECS</v>
          </cell>
          <cell r="V849" t="str">
            <v>CECS</v>
          </cell>
        </row>
        <row r="850">
          <cell r="A850" t="str">
            <v>MC5001</v>
          </cell>
          <cell r="C850" t="str">
            <v>Sistemas Multiagentes</v>
          </cell>
          <cell r="N850">
            <v>3</v>
          </cell>
          <cell r="O850">
            <v>1</v>
          </cell>
          <cell r="R850" t="str">
            <v>CMCC</v>
          </cell>
          <cell r="V850" t="str">
            <v>CMCC</v>
          </cell>
        </row>
        <row r="851">
          <cell r="A851" t="str">
            <v>EN2426</v>
          </cell>
          <cell r="C851" t="str">
            <v>Sistemas Térmicos</v>
          </cell>
          <cell r="N851">
            <v>2</v>
          </cell>
          <cell r="O851">
            <v>2</v>
          </cell>
          <cell r="R851" t="str">
            <v>CECS</v>
          </cell>
          <cell r="V851" t="str">
            <v>CECS</v>
          </cell>
        </row>
        <row r="852">
          <cell r="A852" t="str">
            <v>EN3728</v>
          </cell>
          <cell r="C852" t="str">
            <v>Supervisão e Monitoramento de Processos Energéticos</v>
          </cell>
          <cell r="N852">
            <v>1</v>
          </cell>
          <cell r="O852">
            <v>3</v>
          </cell>
          <cell r="R852" t="str">
            <v>CECS</v>
          </cell>
          <cell r="V852" t="str">
            <v>CECS</v>
          </cell>
        </row>
        <row r="853">
          <cell r="A853" t="str">
            <v>BH1406</v>
          </cell>
          <cell r="C853" t="str">
            <v>Técnicas em Pesquisa</v>
          </cell>
          <cell r="N853">
            <v>2</v>
          </cell>
          <cell r="O853">
            <v>3</v>
          </cell>
          <cell r="R853" t="str">
            <v>CECS</v>
          </cell>
          <cell r="V853" t="str">
            <v>CECS</v>
          </cell>
        </row>
        <row r="854">
          <cell r="A854" t="str">
            <v>BH1406</v>
          </cell>
          <cell r="C854" t="str">
            <v>Técnicas em Pesquisa</v>
          </cell>
          <cell r="N854">
            <v>2</v>
          </cell>
          <cell r="O854">
            <v>3</v>
          </cell>
          <cell r="R854" t="str">
            <v>CECS</v>
          </cell>
          <cell r="V854" t="str">
            <v>CECS</v>
          </cell>
        </row>
        <row r="855">
          <cell r="A855" t="str">
            <v>EN2515</v>
          </cell>
          <cell r="C855" t="str">
            <v>Tecnologia da Informação</v>
          </cell>
          <cell r="N855">
            <v>2</v>
          </cell>
          <cell r="O855">
            <v>0</v>
          </cell>
          <cell r="R855" t="str">
            <v>CECS</v>
          </cell>
          <cell r="V855">
            <v>0</v>
          </cell>
        </row>
        <row r="856">
          <cell r="A856" t="str">
            <v>EN2515</v>
          </cell>
          <cell r="C856" t="str">
            <v>Tecnologia da Informação</v>
          </cell>
          <cell r="N856">
            <v>2</v>
          </cell>
          <cell r="O856">
            <v>0</v>
          </cell>
          <cell r="R856" t="str">
            <v>CECS</v>
          </cell>
          <cell r="V856">
            <v>0</v>
          </cell>
        </row>
        <row r="857">
          <cell r="A857" t="str">
            <v>EN3419</v>
          </cell>
          <cell r="C857" t="str">
            <v>Tecnologia de Produção de Etanol</v>
          </cell>
          <cell r="N857">
            <v>4</v>
          </cell>
          <cell r="O857">
            <v>0</v>
          </cell>
          <cell r="R857" t="str">
            <v>CCNH</v>
          </cell>
          <cell r="V857">
            <v>0</v>
          </cell>
        </row>
        <row r="858">
          <cell r="A858" t="str">
            <v>EN3419</v>
          </cell>
          <cell r="C858" t="str">
            <v>Tecnologia de Produção de Etanol</v>
          </cell>
          <cell r="N858">
            <v>4</v>
          </cell>
          <cell r="O858">
            <v>0</v>
          </cell>
          <cell r="R858" t="str">
            <v>CCNH</v>
          </cell>
          <cell r="V858">
            <v>0</v>
          </cell>
        </row>
        <row r="859">
          <cell r="A859">
            <v>0</v>
          </cell>
          <cell r="C859">
            <v>0</v>
          </cell>
          <cell r="N859">
            <v>0</v>
          </cell>
          <cell r="O859">
            <v>0</v>
          </cell>
          <cell r="R859">
            <v>0</v>
          </cell>
          <cell r="V859">
            <v>0</v>
          </cell>
        </row>
        <row r="860">
          <cell r="A860">
            <v>0</v>
          </cell>
          <cell r="C860">
            <v>0</v>
          </cell>
          <cell r="N860">
            <v>0</v>
          </cell>
          <cell r="O860">
            <v>0</v>
          </cell>
          <cell r="R860">
            <v>0</v>
          </cell>
          <cell r="V860">
            <v>0</v>
          </cell>
        </row>
        <row r="861">
          <cell r="A861" t="str">
            <v>EN2619</v>
          </cell>
          <cell r="C861" t="str">
            <v>Telefonia Fixa Moderna</v>
          </cell>
          <cell r="N861">
            <v>3</v>
          </cell>
          <cell r="O861">
            <v>1</v>
          </cell>
          <cell r="R861" t="str">
            <v>CECS</v>
          </cell>
          <cell r="V861" t="str">
            <v>CECS</v>
          </cell>
        </row>
        <row r="862">
          <cell r="A862" t="str">
            <v>EN2619</v>
          </cell>
          <cell r="C862" t="str">
            <v>Telefonia Fixa Moderna</v>
          </cell>
          <cell r="N862">
            <v>3</v>
          </cell>
          <cell r="O862">
            <v>1</v>
          </cell>
          <cell r="R862" t="str">
            <v>CECS</v>
          </cell>
          <cell r="V862" t="str">
            <v>CECS</v>
          </cell>
        </row>
        <row r="863">
          <cell r="A863" t="str">
            <v>BH0201</v>
          </cell>
          <cell r="C863" t="str">
            <v>Temas e Problemas em Filosofia</v>
          </cell>
          <cell r="N863">
            <v>4</v>
          </cell>
          <cell r="O863">
            <v>0</v>
          </cell>
          <cell r="R863" t="str">
            <v>CCNH</v>
          </cell>
          <cell r="V863">
            <v>0</v>
          </cell>
        </row>
        <row r="864">
          <cell r="A864" t="str">
            <v>BH0201</v>
          </cell>
          <cell r="C864" t="str">
            <v>Temas e Problemas em Filosofia</v>
          </cell>
          <cell r="N864">
            <v>4</v>
          </cell>
          <cell r="O864">
            <v>0</v>
          </cell>
          <cell r="R864" t="str">
            <v>CCNH</v>
          </cell>
          <cell r="V864">
            <v>0</v>
          </cell>
        </row>
        <row r="865">
          <cell r="A865" t="str">
            <v>BH0201</v>
          </cell>
          <cell r="C865" t="str">
            <v>Temas e Problemas em Filosofia</v>
          </cell>
          <cell r="N865">
            <v>4</v>
          </cell>
          <cell r="O865">
            <v>0</v>
          </cell>
          <cell r="R865" t="str">
            <v>CCNH</v>
          </cell>
          <cell r="V865">
            <v>0</v>
          </cell>
        </row>
        <row r="866">
          <cell r="A866" t="str">
            <v>BH0201</v>
          </cell>
          <cell r="C866" t="str">
            <v>Temas e Problemas em Filosofia</v>
          </cell>
          <cell r="N866">
            <v>4</v>
          </cell>
          <cell r="O866">
            <v>0</v>
          </cell>
          <cell r="R866" t="str">
            <v>CCNH</v>
          </cell>
          <cell r="V866">
            <v>0</v>
          </cell>
        </row>
        <row r="867">
          <cell r="A867" t="str">
            <v>BH0201</v>
          </cell>
          <cell r="C867" t="str">
            <v>Temas e Problemas em Filosofia</v>
          </cell>
          <cell r="N867">
            <v>4</v>
          </cell>
          <cell r="O867">
            <v>0</v>
          </cell>
          <cell r="R867" t="str">
            <v>CCNH</v>
          </cell>
          <cell r="V867">
            <v>0</v>
          </cell>
        </row>
        <row r="868">
          <cell r="A868" t="str">
            <v>BH0201</v>
          </cell>
          <cell r="C868" t="str">
            <v>Temas e Problemas em Filosofia</v>
          </cell>
          <cell r="N868">
            <v>4</v>
          </cell>
          <cell r="O868">
            <v>0</v>
          </cell>
          <cell r="R868" t="str">
            <v>CCNH</v>
          </cell>
          <cell r="V868">
            <v>0</v>
          </cell>
        </row>
        <row r="869">
          <cell r="A869" t="str">
            <v>MC8209</v>
          </cell>
          <cell r="C869" t="str">
            <v>Tendências em Educação Matemática</v>
          </cell>
          <cell r="N869">
            <v>4</v>
          </cell>
          <cell r="O869">
            <v>0</v>
          </cell>
          <cell r="R869" t="str">
            <v>CMCC</v>
          </cell>
          <cell r="V869">
            <v>0</v>
          </cell>
        </row>
        <row r="870">
          <cell r="A870" t="str">
            <v>BC1405</v>
          </cell>
          <cell r="C870" t="str">
            <v>Teoria Aritmética dos Números</v>
          </cell>
          <cell r="N870">
            <v>4</v>
          </cell>
          <cell r="O870">
            <v>0</v>
          </cell>
          <cell r="R870" t="str">
            <v>CMCC</v>
          </cell>
          <cell r="V870">
            <v>0</v>
          </cell>
        </row>
        <row r="871">
          <cell r="A871" t="str">
            <v>BC1405</v>
          </cell>
          <cell r="C871" t="str">
            <v>Teoria Aritmética dos Números</v>
          </cell>
          <cell r="N871">
            <v>4</v>
          </cell>
          <cell r="O871">
            <v>0</v>
          </cell>
          <cell r="R871" t="str">
            <v>CMCC</v>
          </cell>
          <cell r="V871">
            <v>0</v>
          </cell>
        </row>
        <row r="872">
          <cell r="A872" t="str">
            <v>NH5112</v>
          </cell>
          <cell r="C872" t="str">
            <v>Teoria Crítica e Escola de Frankfurt</v>
          </cell>
          <cell r="N872">
            <v>4</v>
          </cell>
          <cell r="O872">
            <v>0</v>
          </cell>
          <cell r="R872" t="str">
            <v>CCNH</v>
          </cell>
          <cell r="V872">
            <v>0</v>
          </cell>
        </row>
        <row r="873">
          <cell r="A873" t="str">
            <v>NH5112</v>
          </cell>
          <cell r="C873" t="str">
            <v>Teoria Crítica e Escola de Frankfurt</v>
          </cell>
          <cell r="N873">
            <v>4</v>
          </cell>
          <cell r="O873">
            <v>0</v>
          </cell>
          <cell r="R873" t="str">
            <v>CCNH</v>
          </cell>
          <cell r="V873">
            <v>0</v>
          </cell>
        </row>
        <row r="874">
          <cell r="A874" t="str">
            <v>EN3213</v>
          </cell>
          <cell r="C874" t="str">
            <v>Teoria da Elasticidade</v>
          </cell>
          <cell r="N874">
            <v>4</v>
          </cell>
          <cell r="O874">
            <v>0</v>
          </cell>
          <cell r="R874" t="str">
            <v>CECS</v>
          </cell>
          <cell r="V874">
            <v>0</v>
          </cell>
        </row>
        <row r="875">
          <cell r="A875" t="str">
            <v>MC1104</v>
          </cell>
          <cell r="C875" t="str">
            <v>Teoria da Medida e Integração</v>
          </cell>
          <cell r="N875">
            <v>4</v>
          </cell>
          <cell r="O875">
            <v>0</v>
          </cell>
          <cell r="R875" t="str">
            <v>CMCC</v>
          </cell>
          <cell r="V875">
            <v>0</v>
          </cell>
        </row>
        <row r="876">
          <cell r="A876">
            <v>0</v>
          </cell>
          <cell r="N876">
            <v>0</v>
          </cell>
          <cell r="O876">
            <v>0</v>
          </cell>
          <cell r="R876">
            <v>0</v>
          </cell>
          <cell r="V876">
            <v>0</v>
          </cell>
        </row>
        <row r="877">
          <cell r="A877" t="str">
            <v>EN2102</v>
          </cell>
          <cell r="C877" t="str">
            <v>Teoria do Planejamento Urbano e Ambiental</v>
          </cell>
          <cell r="N877">
            <v>3</v>
          </cell>
          <cell r="O877">
            <v>0</v>
          </cell>
          <cell r="R877" t="str">
            <v>CECS</v>
          </cell>
          <cell r="V877">
            <v>0</v>
          </cell>
        </row>
        <row r="878">
          <cell r="A878" t="str">
            <v>EN2102</v>
          </cell>
          <cell r="C878" t="str">
            <v>Teoria do Planejamento Urbano e Ambiental</v>
          </cell>
          <cell r="N878">
            <v>3</v>
          </cell>
          <cell r="O878">
            <v>0</v>
          </cell>
          <cell r="R878" t="str">
            <v>CECS</v>
          </cell>
          <cell r="V878">
            <v>0</v>
          </cell>
        </row>
        <row r="879">
          <cell r="A879" t="str">
            <v>BH0206</v>
          </cell>
          <cell r="C879" t="str">
            <v>Teorias da Justiça</v>
          </cell>
          <cell r="N879">
            <v>4</v>
          </cell>
          <cell r="O879">
            <v>0</v>
          </cell>
          <cell r="R879" t="str">
            <v>CCNH</v>
          </cell>
          <cell r="V879">
            <v>0</v>
          </cell>
        </row>
        <row r="880">
          <cell r="A880">
            <v>0</v>
          </cell>
          <cell r="N880">
            <v>0</v>
          </cell>
          <cell r="O880">
            <v>0</v>
          </cell>
          <cell r="R880">
            <v>0</v>
          </cell>
          <cell r="V880">
            <v>0</v>
          </cell>
        </row>
        <row r="881">
          <cell r="A881" t="str">
            <v>BH0206</v>
          </cell>
          <cell r="C881" t="str">
            <v>Teorias da Justiça</v>
          </cell>
          <cell r="N881">
            <v>4</v>
          </cell>
          <cell r="O881">
            <v>0</v>
          </cell>
          <cell r="R881" t="str">
            <v>CCNH</v>
          </cell>
          <cell r="V881">
            <v>0</v>
          </cell>
        </row>
        <row r="882">
          <cell r="A882" t="str">
            <v>BH0206</v>
          </cell>
          <cell r="C882" t="str">
            <v>Teorias da Justiça</v>
          </cell>
          <cell r="N882">
            <v>4</v>
          </cell>
          <cell r="O882">
            <v>0</v>
          </cell>
          <cell r="R882" t="e">
            <v>#N/A</v>
          </cell>
          <cell r="V882">
            <v>0</v>
          </cell>
        </row>
        <row r="883">
          <cell r="A883" t="str">
            <v>BH0206</v>
          </cell>
          <cell r="C883" t="str">
            <v>Teorias da Justiça</v>
          </cell>
          <cell r="N883">
            <v>4</v>
          </cell>
          <cell r="O883">
            <v>0</v>
          </cell>
          <cell r="R883" t="str">
            <v>CCNH</v>
          </cell>
          <cell r="V883">
            <v>0</v>
          </cell>
        </row>
        <row r="884">
          <cell r="A884" t="str">
            <v>BH0206</v>
          </cell>
          <cell r="C884" t="str">
            <v>Teorias da Justiça</v>
          </cell>
          <cell r="N884">
            <v>4</v>
          </cell>
          <cell r="O884">
            <v>0</v>
          </cell>
          <cell r="R884" t="e">
            <v>#N/A</v>
          </cell>
          <cell r="V884">
            <v>0</v>
          </cell>
        </row>
        <row r="885">
          <cell r="A885" t="str">
            <v>BC1309</v>
          </cell>
          <cell r="C885" t="str">
            <v>Termodinâmica Aplicada</v>
          </cell>
          <cell r="N885">
            <v>3</v>
          </cell>
          <cell r="O885">
            <v>1</v>
          </cell>
          <cell r="R885" t="str">
            <v>CECS</v>
          </cell>
          <cell r="V885" t="str">
            <v>CECS</v>
          </cell>
        </row>
        <row r="886">
          <cell r="A886" t="str">
            <v>BC1309</v>
          </cell>
          <cell r="C886" t="str">
            <v>Termodinâmica Aplicada</v>
          </cell>
          <cell r="N886">
            <v>3</v>
          </cell>
          <cell r="O886">
            <v>1</v>
          </cell>
          <cell r="R886" t="str">
            <v>CECS</v>
          </cell>
          <cell r="V886" t="str">
            <v>CECS</v>
          </cell>
        </row>
        <row r="887">
          <cell r="A887" t="str">
            <v>BC1309</v>
          </cell>
          <cell r="C887" t="str">
            <v>Termodinâmica Aplicada</v>
          </cell>
          <cell r="N887">
            <v>3</v>
          </cell>
          <cell r="O887">
            <v>1</v>
          </cell>
          <cell r="R887" t="str">
            <v>CECS</v>
          </cell>
          <cell r="V887" t="str">
            <v>CECS</v>
          </cell>
        </row>
        <row r="888">
          <cell r="A888" t="str">
            <v>BC1309</v>
          </cell>
          <cell r="C888" t="str">
            <v>Termodinâmica Aplicada</v>
          </cell>
          <cell r="N888">
            <v>3</v>
          </cell>
          <cell r="O888">
            <v>1</v>
          </cell>
          <cell r="R888" t="str">
            <v>CECS</v>
          </cell>
          <cell r="V888" t="str">
            <v>CECS</v>
          </cell>
        </row>
        <row r="889">
          <cell r="A889" t="str">
            <v>EN2413</v>
          </cell>
          <cell r="C889" t="str">
            <v>Termodinâmica Aplicada II</v>
          </cell>
          <cell r="N889">
            <v>3</v>
          </cell>
          <cell r="O889">
            <v>1</v>
          </cell>
          <cell r="R889" t="str">
            <v>CECS</v>
          </cell>
          <cell r="V889" t="str">
            <v>CECS</v>
          </cell>
        </row>
        <row r="890">
          <cell r="A890" t="str">
            <v>EN3439</v>
          </cell>
          <cell r="C890" t="str">
            <v>Termo-Hidráulica de Reatores Nucleares I</v>
          </cell>
          <cell r="N890">
            <v>4</v>
          </cell>
          <cell r="O890">
            <v>0</v>
          </cell>
          <cell r="R890" t="str">
            <v>CECS</v>
          </cell>
          <cell r="V890">
            <v>0</v>
          </cell>
        </row>
        <row r="891">
          <cell r="A891" t="str">
            <v>NH3602</v>
          </cell>
          <cell r="C891" t="str">
            <v>Termoquímica</v>
          </cell>
          <cell r="N891">
            <v>4</v>
          </cell>
          <cell r="O891">
            <v>0</v>
          </cell>
          <cell r="R891" t="str">
            <v>CCNH</v>
          </cell>
          <cell r="V891">
            <v>0</v>
          </cell>
        </row>
        <row r="892">
          <cell r="A892" t="str">
            <v>NH3602</v>
          </cell>
          <cell r="C892" t="str">
            <v>Termoquímica</v>
          </cell>
          <cell r="N892">
            <v>4</v>
          </cell>
          <cell r="O892">
            <v>0</v>
          </cell>
          <cell r="R892" t="str">
            <v>CCNH</v>
          </cell>
          <cell r="V892">
            <v>0</v>
          </cell>
        </row>
        <row r="893">
          <cell r="A893" t="str">
            <v>NH1017</v>
          </cell>
          <cell r="C893" t="str">
            <v>Trabalho de Conclusão de Curso em Biologia</v>
          </cell>
          <cell r="N893">
            <v>2</v>
          </cell>
          <cell r="O893">
            <v>0</v>
          </cell>
          <cell r="R893" t="str">
            <v>CCNH</v>
          </cell>
          <cell r="V893">
            <v>0</v>
          </cell>
        </row>
        <row r="894">
          <cell r="A894" t="str">
            <v>NH1017</v>
          </cell>
          <cell r="C894" t="str">
            <v>Trabalho de Conclusão de Curso em Biologia</v>
          </cell>
          <cell r="N894">
            <v>2</v>
          </cell>
          <cell r="O894">
            <v>0</v>
          </cell>
          <cell r="R894" t="str">
            <v>CCNH</v>
          </cell>
          <cell r="V894">
            <v>0</v>
          </cell>
        </row>
        <row r="895">
          <cell r="A895" t="str">
            <v>NH2000</v>
          </cell>
          <cell r="C895" t="str">
            <v>Trabalho de Conclusão de Curso em Física</v>
          </cell>
          <cell r="N895">
            <v>2</v>
          </cell>
          <cell r="O895">
            <v>0</v>
          </cell>
          <cell r="R895" t="str">
            <v>CCNH</v>
          </cell>
          <cell r="V895">
            <v>0</v>
          </cell>
        </row>
        <row r="896">
          <cell r="A896" t="str">
            <v>CS3314</v>
          </cell>
          <cell r="C896" t="str">
            <v>Trajetória da OPEP e da Agência Internacional de Energia (IEA)</v>
          </cell>
          <cell r="N896">
            <v>4</v>
          </cell>
          <cell r="O896">
            <v>0</v>
          </cell>
          <cell r="R896" t="str">
            <v>CECS</v>
          </cell>
          <cell r="V896">
            <v>0</v>
          </cell>
        </row>
        <row r="897">
          <cell r="A897" t="str">
            <v>BH1402</v>
          </cell>
          <cell r="C897" t="str">
            <v>Trajetórias das Políticas de C, T &amp; I no Brasil</v>
          </cell>
          <cell r="N897">
            <v>4</v>
          </cell>
          <cell r="O897">
            <v>0</v>
          </cell>
          <cell r="R897" t="str">
            <v>CECS</v>
          </cell>
          <cell r="V897">
            <v>0</v>
          </cell>
        </row>
        <row r="898">
          <cell r="A898" t="str">
            <v>BH1402</v>
          </cell>
          <cell r="C898" t="str">
            <v>Trajetórias das Políticas de C, T &amp; I no Brasil</v>
          </cell>
          <cell r="N898">
            <v>4</v>
          </cell>
          <cell r="O898">
            <v>0</v>
          </cell>
          <cell r="R898" t="str">
            <v>CECS</v>
          </cell>
          <cell r="V898">
            <v>0</v>
          </cell>
        </row>
        <row r="899">
          <cell r="A899" t="str">
            <v>EN2410</v>
          </cell>
          <cell r="C899" t="str">
            <v>Transferência de Calor I</v>
          </cell>
          <cell r="N899">
            <v>3</v>
          </cell>
          <cell r="O899">
            <v>1</v>
          </cell>
          <cell r="R899" t="str">
            <v>CECS</v>
          </cell>
          <cell r="V899" t="str">
            <v>CECS</v>
          </cell>
        </row>
        <row r="900">
          <cell r="A900" t="str">
            <v>EN2411</v>
          </cell>
          <cell r="C900" t="str">
            <v>Transferência de Calor II</v>
          </cell>
          <cell r="N900">
            <v>3</v>
          </cell>
          <cell r="O900">
            <v>1</v>
          </cell>
          <cell r="R900" t="str">
            <v>CECS</v>
          </cell>
          <cell r="V900" t="str">
            <v>CECS</v>
          </cell>
        </row>
        <row r="901">
          <cell r="A901" t="str">
            <v>EN2103</v>
          </cell>
          <cell r="C901" t="str">
            <v>Transferência de Massa</v>
          </cell>
          <cell r="N901">
            <v>3</v>
          </cell>
          <cell r="O901">
            <v>1</v>
          </cell>
          <cell r="R901" t="str">
            <v>CECS</v>
          </cell>
          <cell r="V901" t="str">
            <v>CECS</v>
          </cell>
        </row>
        <row r="902">
          <cell r="A902" t="str">
            <v>EN2103</v>
          </cell>
          <cell r="C902" t="str">
            <v>Transferência de Massa</v>
          </cell>
          <cell r="N902">
            <v>3</v>
          </cell>
          <cell r="O902">
            <v>1</v>
          </cell>
          <cell r="R902" t="str">
            <v>CECS</v>
          </cell>
          <cell r="V902" t="str">
            <v>CECS</v>
          </cell>
        </row>
        <row r="903">
          <cell r="A903" t="str">
            <v>BC0307</v>
          </cell>
          <cell r="C903" t="str">
            <v>Transformações Químicas</v>
          </cell>
          <cell r="N903">
            <v>3</v>
          </cell>
          <cell r="O903">
            <v>2</v>
          </cell>
          <cell r="R903" t="str">
            <v>CCNH</v>
          </cell>
          <cell r="V903" t="str">
            <v>CCNH</v>
          </cell>
        </row>
        <row r="904">
          <cell r="A904" t="str">
            <v>BC0307</v>
          </cell>
          <cell r="C904" t="str">
            <v>Transformações Químicas</v>
          </cell>
          <cell r="N904">
            <v>3</v>
          </cell>
          <cell r="O904">
            <v>2</v>
          </cell>
          <cell r="R904" t="str">
            <v>CCNH</v>
          </cell>
          <cell r="V904" t="str">
            <v>CCNH</v>
          </cell>
        </row>
        <row r="905">
          <cell r="A905" t="str">
            <v>BC0307</v>
          </cell>
          <cell r="C905" t="str">
            <v>Transformações Químicas</v>
          </cell>
          <cell r="N905">
            <v>3</v>
          </cell>
          <cell r="O905">
            <v>2</v>
          </cell>
          <cell r="R905" t="str">
            <v>CCNH</v>
          </cell>
          <cell r="V905" t="str">
            <v>CCNH</v>
          </cell>
        </row>
        <row r="906">
          <cell r="A906" t="str">
            <v>BC0307</v>
          </cell>
          <cell r="C906" t="str">
            <v>Transformações Químicas</v>
          </cell>
          <cell r="N906">
            <v>3</v>
          </cell>
          <cell r="O906">
            <v>2</v>
          </cell>
          <cell r="R906" t="str">
            <v>CCNH</v>
          </cell>
          <cell r="V906" t="str">
            <v>CCNH</v>
          </cell>
        </row>
        <row r="907">
          <cell r="A907" t="str">
            <v>BC0307</v>
          </cell>
          <cell r="C907" t="str">
            <v>Transformações Químicas</v>
          </cell>
          <cell r="N907">
            <v>3</v>
          </cell>
          <cell r="O907">
            <v>2</v>
          </cell>
          <cell r="R907" t="str">
            <v>CCNH</v>
          </cell>
          <cell r="V907" t="str">
            <v>CCNH</v>
          </cell>
        </row>
        <row r="908">
          <cell r="A908">
            <v>0</v>
          </cell>
          <cell r="N908">
            <v>0</v>
          </cell>
          <cell r="O908">
            <v>0</v>
          </cell>
          <cell r="R908">
            <v>0</v>
          </cell>
          <cell r="V908">
            <v>0</v>
          </cell>
        </row>
        <row r="909">
          <cell r="A909">
            <v>0</v>
          </cell>
          <cell r="N909">
            <v>0</v>
          </cell>
          <cell r="O909">
            <v>0</v>
          </cell>
          <cell r="R909">
            <v>0</v>
          </cell>
          <cell r="V909">
            <v>0</v>
          </cell>
        </row>
        <row r="910">
          <cell r="A910">
            <v>0</v>
          </cell>
          <cell r="N910">
            <v>0</v>
          </cell>
          <cell r="O910">
            <v>0</v>
          </cell>
          <cell r="R910">
            <v>0</v>
          </cell>
          <cell r="V910">
            <v>0</v>
          </cell>
        </row>
        <row r="911">
          <cell r="A911" t="str">
            <v>BC0307</v>
          </cell>
          <cell r="C911" t="str">
            <v>Transformações Químicas</v>
          </cell>
          <cell r="N911">
            <v>0</v>
          </cell>
          <cell r="O911">
            <v>2</v>
          </cell>
          <cell r="R911" t="str">
            <v>CCNH</v>
          </cell>
          <cell r="V911" t="str">
            <v>CCNH</v>
          </cell>
        </row>
        <row r="912">
          <cell r="A912">
            <v>0</v>
          </cell>
          <cell r="N912">
            <v>0</v>
          </cell>
          <cell r="O912">
            <v>0</v>
          </cell>
          <cell r="R912">
            <v>0</v>
          </cell>
          <cell r="V912">
            <v>0</v>
          </cell>
        </row>
        <row r="913">
          <cell r="A913">
            <v>0</v>
          </cell>
          <cell r="N913">
            <v>0</v>
          </cell>
          <cell r="O913">
            <v>0</v>
          </cell>
          <cell r="R913">
            <v>0</v>
          </cell>
          <cell r="V913">
            <v>0</v>
          </cell>
        </row>
        <row r="914">
          <cell r="A914">
            <v>0</v>
          </cell>
          <cell r="N914">
            <v>0</v>
          </cell>
          <cell r="O914">
            <v>0</v>
          </cell>
          <cell r="R914">
            <v>0</v>
          </cell>
          <cell r="V914">
            <v>0</v>
          </cell>
        </row>
        <row r="915">
          <cell r="A915" t="str">
            <v>EN4419</v>
          </cell>
          <cell r="C915" t="str">
            <v>Transporte de Petróleo e Gás Natural</v>
          </cell>
          <cell r="N915">
            <v>4</v>
          </cell>
          <cell r="O915">
            <v>0</v>
          </cell>
          <cell r="R915" t="str">
            <v>CECS</v>
          </cell>
          <cell r="V915">
            <v>0</v>
          </cell>
        </row>
        <row r="916">
          <cell r="A916" t="str">
            <v>BC1511</v>
          </cell>
          <cell r="C916" t="str">
            <v>Vida Artificial na Computação</v>
          </cell>
          <cell r="N916">
            <v>2</v>
          </cell>
          <cell r="O916">
            <v>0</v>
          </cell>
          <cell r="R916" t="str">
            <v>CMCC</v>
          </cell>
          <cell r="V916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L11"/>
  <sheetViews>
    <sheetView workbookViewId="0">
      <selection activeCell="B21" sqref="B21"/>
    </sheetView>
  </sheetViews>
  <sheetFormatPr defaultRowHeight="15"/>
  <cols>
    <col min="1" max="1" width="8.85546875" customWidth="1"/>
    <col min="2" max="2" width="37" style="75" customWidth="1"/>
    <col min="3" max="4" width="4" customWidth="1"/>
    <col min="5" max="6" width="31.140625" style="75" customWidth="1"/>
    <col min="7" max="7" width="7" customWidth="1"/>
    <col min="8" max="8" width="25.28515625" style="76" customWidth="1"/>
    <col min="10" max="10" width="8.85546875" customWidth="1"/>
    <col min="11" max="11" width="26" style="76" customWidth="1"/>
  </cols>
  <sheetData>
    <row r="1" spans="1:12" s="75" customFormat="1" ht="45">
      <c r="A1" s="131" t="s">
        <v>0</v>
      </c>
      <c r="B1" s="131" t="s">
        <v>1</v>
      </c>
      <c r="C1" s="131" t="s">
        <v>2</v>
      </c>
      <c r="D1" s="131" t="s">
        <v>3</v>
      </c>
      <c r="E1" s="131" t="s">
        <v>4</v>
      </c>
      <c r="F1" s="131" t="s">
        <v>5</v>
      </c>
      <c r="G1" s="131" t="s">
        <v>6</v>
      </c>
      <c r="H1" s="132" t="s">
        <v>7</v>
      </c>
      <c r="I1" s="131" t="s">
        <v>8</v>
      </c>
      <c r="J1" s="131" t="s">
        <v>9</v>
      </c>
      <c r="K1" s="132" t="s">
        <v>10</v>
      </c>
      <c r="L1" s="131" t="s">
        <v>8</v>
      </c>
    </row>
    <row r="2" spans="1:12" ht="57.75" customHeight="1">
      <c r="A2" s="133" t="s">
        <v>11</v>
      </c>
      <c r="B2" s="134" t="s">
        <v>12</v>
      </c>
      <c r="C2" s="133">
        <v>3</v>
      </c>
      <c r="D2" s="133">
        <v>1</v>
      </c>
      <c r="E2" s="134" t="s">
        <v>13</v>
      </c>
      <c r="F2" s="134">
        <v>0</v>
      </c>
      <c r="G2" s="135">
        <v>191</v>
      </c>
      <c r="H2" s="136" t="str">
        <f>VLOOKUP(G2,docentes!A:E,2,0)</f>
        <v>FERNANDO MADEIRA</v>
      </c>
      <c r="I2" s="136" t="str">
        <f>VLOOKUP(G2,docentes!A:F,5,0)</f>
        <v>CECS</v>
      </c>
      <c r="J2" s="135">
        <v>191</v>
      </c>
      <c r="K2" s="136" t="str">
        <f>VLOOKUP(J2,docentes!A:H,2,0)</f>
        <v>FERNANDO MADEIRA</v>
      </c>
      <c r="L2" s="136" t="str">
        <f>VLOOKUP(J2,docentes!A:I,5,0)</f>
        <v>CECS</v>
      </c>
    </row>
    <row r="3" spans="1:12" ht="60" hidden="1">
      <c r="A3" s="133" t="s">
        <v>14</v>
      </c>
      <c r="B3" s="134" t="s">
        <v>15</v>
      </c>
      <c r="C3" s="133">
        <v>4</v>
      </c>
      <c r="D3" s="133">
        <v>0</v>
      </c>
      <c r="E3" s="134" t="s">
        <v>16</v>
      </c>
      <c r="F3" s="134">
        <v>0</v>
      </c>
      <c r="G3" s="135">
        <v>1003</v>
      </c>
      <c r="H3" s="136" t="str">
        <f>VLOOKUP(G3,docentes!A:E,2,0)</f>
        <v>PAULA NABUCO</v>
      </c>
      <c r="I3" s="136" t="str">
        <f>VLOOKUP(G3,docentes!A:F,5,0)</f>
        <v>não identificado</v>
      </c>
      <c r="J3" s="133"/>
      <c r="K3" s="136"/>
      <c r="L3" s="133"/>
    </row>
    <row r="4" spans="1:12" ht="60" hidden="1">
      <c r="A4" s="133" t="s">
        <v>14</v>
      </c>
      <c r="B4" s="134" t="s">
        <v>17</v>
      </c>
      <c r="C4" s="133">
        <v>4</v>
      </c>
      <c r="D4" s="133">
        <v>0</v>
      </c>
      <c r="E4" s="134" t="s">
        <v>18</v>
      </c>
      <c r="F4" s="134">
        <v>0</v>
      </c>
      <c r="G4" s="135">
        <v>1003</v>
      </c>
      <c r="H4" s="136" t="str">
        <f>VLOOKUP(G4,docentes!A:E,2,0)</f>
        <v>PAULA NABUCO</v>
      </c>
      <c r="I4" s="136" t="str">
        <f>VLOOKUP(G4,docentes!A:F,5,0)</f>
        <v>não identificado</v>
      </c>
      <c r="J4" s="133"/>
      <c r="K4" s="136"/>
      <c r="L4" s="133"/>
    </row>
    <row r="5" spans="1:12" ht="60" hidden="1">
      <c r="A5" s="133" t="s">
        <v>19</v>
      </c>
      <c r="B5" s="134" t="s">
        <v>20</v>
      </c>
      <c r="C5" s="133">
        <v>3</v>
      </c>
      <c r="D5" s="133">
        <v>1</v>
      </c>
      <c r="E5" s="134" t="s">
        <v>21</v>
      </c>
      <c r="F5" s="134" t="s">
        <v>22</v>
      </c>
      <c r="G5" s="135">
        <v>64</v>
      </c>
      <c r="H5" s="136" t="str">
        <f>VLOOKUP(G5,docentes!A:E,2,0)</f>
        <v>ANTONIO ALVARO RANHA NEVES</v>
      </c>
      <c r="I5" s="136" t="str">
        <f>VLOOKUP(G5,docentes!A:F,5,0)</f>
        <v>CCNH</v>
      </c>
      <c r="J5" s="135">
        <v>64</v>
      </c>
      <c r="K5" s="136" t="str">
        <f>VLOOKUP(J5,docentes!A:H,2,0)</f>
        <v>ANTONIO ALVARO RANHA NEVES</v>
      </c>
      <c r="L5" s="136" t="str">
        <f>VLOOKUP(J5,docentes!A:I,5,0)</f>
        <v>CCNH</v>
      </c>
    </row>
    <row r="6" spans="1:12" ht="60" hidden="1">
      <c r="A6" s="133" t="s">
        <v>19</v>
      </c>
      <c r="B6" s="134" t="s">
        <v>23</v>
      </c>
      <c r="C6" s="133">
        <v>3</v>
      </c>
      <c r="D6" s="133">
        <v>1</v>
      </c>
      <c r="E6" s="134" t="s">
        <v>24</v>
      </c>
      <c r="F6" s="134" t="s">
        <v>25</v>
      </c>
      <c r="G6" s="135">
        <v>64</v>
      </c>
      <c r="H6" s="136" t="str">
        <f>VLOOKUP(G6,docentes!A:E,2,0)</f>
        <v>ANTONIO ALVARO RANHA NEVES</v>
      </c>
      <c r="I6" s="136" t="str">
        <f>VLOOKUP(G6,docentes!A:F,5,0)</f>
        <v>CCNH</v>
      </c>
      <c r="J6" s="135">
        <v>64</v>
      </c>
      <c r="K6" s="136" t="str">
        <f>VLOOKUP(J6,docentes!A:H,2,0)</f>
        <v>ANTONIO ALVARO RANHA NEVES</v>
      </c>
      <c r="L6" s="136" t="str">
        <f>VLOOKUP(J6,docentes!A:I,5,0)</f>
        <v>CCNH</v>
      </c>
    </row>
    <row r="7" spans="1:12" ht="60" hidden="1">
      <c r="A7" s="133" t="s">
        <v>19</v>
      </c>
      <c r="B7" s="134" t="s">
        <v>26</v>
      </c>
      <c r="C7" s="133">
        <v>0</v>
      </c>
      <c r="D7" s="133">
        <v>1</v>
      </c>
      <c r="E7" s="134" t="s">
        <v>24</v>
      </c>
      <c r="F7" s="134" t="s">
        <v>27</v>
      </c>
      <c r="G7" s="135">
        <v>64</v>
      </c>
      <c r="H7" s="136" t="str">
        <f>VLOOKUP(G7,docentes!A:E,2,0)</f>
        <v>ANTONIO ALVARO RANHA NEVES</v>
      </c>
      <c r="I7" s="136" t="str">
        <f>VLOOKUP(G7,docentes!A:F,5,0)</f>
        <v>CCNH</v>
      </c>
      <c r="J7" s="135">
        <v>64</v>
      </c>
      <c r="K7" s="136" t="str">
        <f>VLOOKUP(J7,docentes!A:H,2,0)</f>
        <v>ANTONIO ALVARO RANHA NEVES</v>
      </c>
      <c r="L7" s="136" t="str">
        <f>VLOOKUP(J7,docentes!A:I,5,0)</f>
        <v>CCNH</v>
      </c>
    </row>
    <row r="8" spans="1:12" ht="30" hidden="1">
      <c r="A8" s="133" t="s">
        <v>28</v>
      </c>
      <c r="B8" s="134" t="s">
        <v>29</v>
      </c>
      <c r="C8" s="133">
        <v>2</v>
      </c>
      <c r="D8" s="133">
        <v>0</v>
      </c>
      <c r="E8" s="134" t="s">
        <v>30</v>
      </c>
      <c r="F8" s="134">
        <v>0</v>
      </c>
      <c r="G8" s="135">
        <v>193</v>
      </c>
      <c r="H8" s="136" t="str">
        <f>VLOOKUP(G8,docentes!A:E,2,0)</f>
        <v>FERNANDO SILVA DE MOURA</v>
      </c>
      <c r="I8" s="136" t="str">
        <f>VLOOKUP(G8,docentes!A:F,5,0)</f>
        <v>CECS</v>
      </c>
      <c r="J8" s="133"/>
      <c r="K8" s="136"/>
      <c r="L8" s="133"/>
    </row>
    <row r="9" spans="1:12" ht="60" hidden="1">
      <c r="A9" s="133" t="s">
        <v>31</v>
      </c>
      <c r="B9" s="134" t="s">
        <v>32</v>
      </c>
      <c r="C9" s="133">
        <v>4</v>
      </c>
      <c r="D9" s="133">
        <v>0</v>
      </c>
      <c r="E9" s="134" t="s">
        <v>33</v>
      </c>
      <c r="F9" s="134">
        <v>0</v>
      </c>
      <c r="G9" s="135">
        <v>1004</v>
      </c>
      <c r="H9" s="136" t="str">
        <f>VLOOKUP(G9,docentes!A:E,2,0)</f>
        <v>WILSON MESQUISA DE ALMEIDA</v>
      </c>
      <c r="I9" s="136" t="str">
        <f>VLOOKUP(G9,docentes!A:F,5,0)</f>
        <v>não identificado</v>
      </c>
      <c r="J9" s="133"/>
      <c r="K9" s="136"/>
      <c r="L9" s="133"/>
    </row>
    <row r="10" spans="1:12" ht="60" hidden="1">
      <c r="A10" s="133" t="s">
        <v>31</v>
      </c>
      <c r="B10" s="134" t="s">
        <v>34</v>
      </c>
      <c r="C10" s="133">
        <v>4</v>
      </c>
      <c r="D10" s="133">
        <v>0</v>
      </c>
      <c r="E10" s="134" t="s">
        <v>35</v>
      </c>
      <c r="F10" s="134">
        <v>0</v>
      </c>
      <c r="G10" s="135">
        <v>1004</v>
      </c>
      <c r="H10" s="136" t="str">
        <f>VLOOKUP(G10,docentes!A:E,2,0)</f>
        <v>WILSON MESQUISA DE ALMEIDA</v>
      </c>
      <c r="I10" s="136" t="str">
        <f>VLOOKUP(G10,docentes!A:F,5,0)</f>
        <v>não identificado</v>
      </c>
      <c r="J10" s="133"/>
      <c r="K10" s="136"/>
      <c r="L10" s="133"/>
    </row>
    <row r="11" spans="1:12" ht="30" hidden="1">
      <c r="A11" s="133" t="s">
        <v>36</v>
      </c>
      <c r="B11" s="134" t="s">
        <v>37</v>
      </c>
      <c r="C11" s="133">
        <v>2</v>
      </c>
      <c r="D11" s="133">
        <v>0</v>
      </c>
      <c r="E11" s="134" t="s">
        <v>38</v>
      </c>
      <c r="F11" s="134">
        <v>0</v>
      </c>
      <c r="G11" s="135">
        <v>151</v>
      </c>
      <c r="H11" s="136" t="str">
        <f>VLOOKUP(G11,docentes!A:E,2,0)</f>
        <v>EDUARDO DE MORAES GREGORES</v>
      </c>
      <c r="I11" s="136" t="str">
        <f>VLOOKUP(G11,docentes!A:F,5,0)</f>
        <v>CCNH</v>
      </c>
      <c r="J11" s="133"/>
      <c r="K11" s="136"/>
      <c r="L11" s="13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filterMode="1"/>
  <dimension ref="A1:AI903"/>
  <sheetViews>
    <sheetView tabSelected="1" zoomScale="70" zoomScaleNormal="70" workbookViewId="0">
      <pane ySplit="2" topLeftCell="A23" activePane="bottomLeft" state="frozen"/>
      <selection pane="bottomLeft" activeCell="S1" sqref="S1:S1048576"/>
    </sheetView>
  </sheetViews>
  <sheetFormatPr defaultColWidth="9.140625" defaultRowHeight="12.75"/>
  <cols>
    <col min="1" max="1" width="18.7109375" style="46" customWidth="1"/>
    <col min="2" max="2" width="13.5703125" style="46" hidden="1" customWidth="1"/>
    <col min="3" max="3" width="10.7109375" style="47" customWidth="1"/>
    <col min="4" max="4" width="8.7109375" style="49" hidden="1" customWidth="1"/>
    <col min="5" max="5" width="20.42578125" style="49" hidden="1" customWidth="1"/>
    <col min="6" max="6" width="30.7109375" style="48" customWidth="1"/>
    <col min="7" max="8" width="5.140625" style="47" customWidth="1"/>
    <col min="9" max="9" width="5.140625" style="51" customWidth="1"/>
    <col min="10" max="11" width="5.140625" style="47" customWidth="1"/>
    <col min="12" max="12" width="25" style="46" hidden="1" customWidth="1"/>
    <col min="13" max="13" width="28.7109375" style="45" hidden="1" customWidth="1"/>
    <col min="14" max="14" width="28.7109375" style="50" hidden="1" customWidth="1"/>
    <col min="15" max="15" width="21.85546875" style="45" hidden="1" customWidth="1"/>
    <col min="16" max="16" width="12.85546875" style="47" hidden="1" customWidth="1"/>
    <col min="17" max="18" width="8.85546875" style="47" hidden="1" customWidth="1"/>
    <col min="19" max="20" width="29.42578125" style="46" customWidth="1"/>
    <col min="21" max="21" width="8.28515625" style="85" customWidth="1"/>
    <col min="22" max="22" width="30.28515625" style="87" customWidth="1"/>
    <col min="23" max="23" width="11.7109375" style="90" customWidth="1"/>
    <col min="24" max="24" width="9.140625" style="85"/>
    <col min="25" max="25" width="30.85546875" style="87" customWidth="1"/>
    <col min="26" max="26" width="11.140625" style="90" customWidth="1"/>
    <col min="27" max="27" width="9.140625" style="45"/>
    <col min="28" max="28" width="11.5703125" style="45" bestFit="1" customWidth="1"/>
    <col min="29" max="16384" width="9.140625" style="45"/>
  </cols>
  <sheetData>
    <row r="1" spans="1:35" ht="31.5" customHeight="1">
      <c r="A1" s="137" t="s">
        <v>39</v>
      </c>
      <c r="B1" s="137" t="s">
        <v>40</v>
      </c>
      <c r="C1" s="138" t="s">
        <v>0</v>
      </c>
      <c r="D1" s="137" t="s">
        <v>41</v>
      </c>
      <c r="E1" s="137" t="s">
        <v>42</v>
      </c>
      <c r="F1" s="139" t="s">
        <v>1</v>
      </c>
      <c r="G1" s="101" t="s">
        <v>2</v>
      </c>
      <c r="H1" s="101" t="s">
        <v>3</v>
      </c>
      <c r="I1" s="137" t="s">
        <v>43</v>
      </c>
      <c r="J1" s="140" t="s">
        <v>2</v>
      </c>
      <c r="K1" s="140" t="s">
        <v>3</v>
      </c>
      <c r="L1" s="141" t="s">
        <v>44</v>
      </c>
      <c r="M1" s="142"/>
      <c r="N1" s="142"/>
      <c r="O1" s="142"/>
      <c r="P1" s="142"/>
      <c r="Q1" s="143" t="s">
        <v>45</v>
      </c>
      <c r="R1" s="143" t="s">
        <v>46</v>
      </c>
      <c r="S1" s="143" t="s">
        <v>4</v>
      </c>
      <c r="T1" s="143" t="s">
        <v>5</v>
      </c>
      <c r="U1" s="144" t="s">
        <v>6</v>
      </c>
      <c r="V1" s="145" t="s">
        <v>7</v>
      </c>
      <c r="W1" s="144" t="s">
        <v>8</v>
      </c>
      <c r="X1" s="99" t="s">
        <v>9</v>
      </c>
      <c r="Y1" s="145" t="s">
        <v>10</v>
      </c>
      <c r="Z1" s="144" t="s">
        <v>8</v>
      </c>
    </row>
    <row r="2" spans="1:35" ht="55.5" customHeight="1">
      <c r="A2" s="98"/>
      <c r="B2" s="98"/>
      <c r="C2" s="138"/>
      <c r="D2" s="98"/>
      <c r="E2" s="98"/>
      <c r="F2" s="139"/>
      <c r="G2" s="102"/>
      <c r="H2" s="102"/>
      <c r="I2" s="98"/>
      <c r="J2" s="140"/>
      <c r="K2" s="140"/>
      <c r="L2" s="146" t="s">
        <v>47</v>
      </c>
      <c r="M2" s="146" t="s">
        <v>48</v>
      </c>
      <c r="N2" s="147" t="s">
        <v>49</v>
      </c>
      <c r="O2" s="146" t="s">
        <v>50</v>
      </c>
      <c r="P2" s="146" t="s">
        <v>51</v>
      </c>
      <c r="Q2" s="143"/>
      <c r="R2" s="143"/>
      <c r="S2" s="143"/>
      <c r="T2" s="143"/>
      <c r="U2" s="97"/>
      <c r="V2" s="145"/>
      <c r="W2" s="97"/>
      <c r="X2" s="100"/>
      <c r="Y2" s="145"/>
      <c r="Z2" s="97"/>
    </row>
    <row r="3" spans="1:35" s="44" customFormat="1" ht="66.75" customHeight="1">
      <c r="A3" s="148" t="s">
        <v>52</v>
      </c>
      <c r="B3" s="146" t="s">
        <v>53</v>
      </c>
      <c r="C3" s="149" t="s">
        <v>54</v>
      </c>
      <c r="D3" s="150">
        <v>1</v>
      </c>
      <c r="E3" s="150" t="s">
        <v>55</v>
      </c>
      <c r="F3" s="151" t="s">
        <v>56</v>
      </c>
      <c r="G3" s="152">
        <v>4</v>
      </c>
      <c r="H3" s="152">
        <v>0</v>
      </c>
      <c r="I3" s="153">
        <v>5</v>
      </c>
      <c r="J3" s="154">
        <v>4</v>
      </c>
      <c r="K3" s="155">
        <v>0</v>
      </c>
      <c r="L3" s="148" t="s">
        <v>57</v>
      </c>
      <c r="M3" s="148" t="s">
        <v>58</v>
      </c>
      <c r="N3" s="156">
        <v>0</v>
      </c>
      <c r="O3" s="157" t="s">
        <v>59</v>
      </c>
      <c r="P3" s="158">
        <v>32</v>
      </c>
      <c r="Q3" s="152" t="s">
        <v>60</v>
      </c>
      <c r="R3" s="152" t="s">
        <v>61</v>
      </c>
      <c r="S3" s="148" t="s">
        <v>62</v>
      </c>
      <c r="T3" s="148">
        <v>0</v>
      </c>
      <c r="U3" s="159">
        <v>316</v>
      </c>
      <c r="V3" s="160" t="str">
        <f>VLOOKUP(U3,docentes!$A:$E,2,0)</f>
        <v>LEONARDO DE OLIVE FERREIRA</v>
      </c>
      <c r="W3" s="161" t="str">
        <f>VLOOKUP(U3,docentes!$A:$E,5,0)</f>
        <v>CECS</v>
      </c>
      <c r="X3" s="162"/>
      <c r="Y3" s="163"/>
      <c r="Z3" s="164"/>
    </row>
    <row r="4" spans="1:35" s="44" customFormat="1" ht="66.75" customHeight="1">
      <c r="A4" s="148" t="s">
        <v>52</v>
      </c>
      <c r="B4" s="146" t="s">
        <v>63</v>
      </c>
      <c r="C4" s="149" t="s">
        <v>64</v>
      </c>
      <c r="D4" s="150">
        <v>1</v>
      </c>
      <c r="E4" s="150" t="s">
        <v>65</v>
      </c>
      <c r="F4" s="151" t="s">
        <v>66</v>
      </c>
      <c r="G4" s="152">
        <v>4</v>
      </c>
      <c r="H4" s="152">
        <v>0</v>
      </c>
      <c r="I4" s="153">
        <v>5</v>
      </c>
      <c r="J4" s="154">
        <v>4</v>
      </c>
      <c r="K4" s="155">
        <v>0</v>
      </c>
      <c r="L4" s="148" t="s">
        <v>67</v>
      </c>
      <c r="M4" s="148" t="s">
        <v>68</v>
      </c>
      <c r="N4" s="156">
        <v>68</v>
      </c>
      <c r="O4" s="165" t="s">
        <v>69</v>
      </c>
      <c r="P4" s="158">
        <v>68</v>
      </c>
      <c r="Q4" s="152" t="s">
        <v>60</v>
      </c>
      <c r="R4" s="152" t="s">
        <v>70</v>
      </c>
      <c r="S4" s="148" t="s">
        <v>71</v>
      </c>
      <c r="T4" s="148">
        <v>0</v>
      </c>
      <c r="U4" s="159">
        <v>3</v>
      </c>
      <c r="V4" s="160" t="str">
        <f>VLOOKUP(U4,docentes!$A:$E,2,0)</f>
        <v>ADRIAN MARCEL ZALMANOVICI</v>
      </c>
      <c r="W4" s="161" t="str">
        <f>VLOOKUP(U4,docentes!$A:$E,5,0)</f>
        <v>CECS</v>
      </c>
      <c r="X4" s="162"/>
      <c r="Y4" s="163"/>
      <c r="Z4" s="164"/>
    </row>
    <row r="5" spans="1:35" s="44" customFormat="1" ht="66.75" customHeight="1">
      <c r="A5" s="148" t="s">
        <v>52</v>
      </c>
      <c r="B5" s="146" t="s">
        <v>72</v>
      </c>
      <c r="C5" s="149" t="s">
        <v>73</v>
      </c>
      <c r="D5" s="150">
        <v>1</v>
      </c>
      <c r="E5" s="150" t="s">
        <v>74</v>
      </c>
      <c r="F5" s="151" t="s">
        <v>75</v>
      </c>
      <c r="G5" s="152">
        <v>4</v>
      </c>
      <c r="H5" s="152">
        <v>0</v>
      </c>
      <c r="I5" s="153">
        <v>4</v>
      </c>
      <c r="J5" s="154">
        <v>4</v>
      </c>
      <c r="K5" s="155">
        <v>0</v>
      </c>
      <c r="L5" s="148" t="s">
        <v>57</v>
      </c>
      <c r="M5" s="148" t="s">
        <v>58</v>
      </c>
      <c r="N5" s="166">
        <v>0</v>
      </c>
      <c r="O5" s="157" t="s">
        <v>59</v>
      </c>
      <c r="P5" s="158">
        <v>60</v>
      </c>
      <c r="Q5" s="152" t="s">
        <v>76</v>
      </c>
      <c r="R5" s="152" t="s">
        <v>61</v>
      </c>
      <c r="S5" s="148" t="s">
        <v>77</v>
      </c>
      <c r="T5" s="167">
        <v>0</v>
      </c>
      <c r="U5" s="159">
        <v>191</v>
      </c>
      <c r="V5" s="160" t="str">
        <f>VLOOKUP(U5,docentes!$A:$E,2,0)</f>
        <v>FERNANDO MADEIRA</v>
      </c>
      <c r="W5" s="161" t="str">
        <f>VLOOKUP(U5,docentes!$A:$E,5,0)</f>
        <v>CECS</v>
      </c>
      <c r="X5" s="162"/>
      <c r="Y5" s="163"/>
      <c r="Z5" s="164"/>
    </row>
    <row r="6" spans="1:35" s="44" customFormat="1" ht="66.75" customHeight="1">
      <c r="A6" s="148" t="s">
        <v>78</v>
      </c>
      <c r="B6" s="146" t="s">
        <v>79</v>
      </c>
      <c r="C6" s="149" t="s">
        <v>80</v>
      </c>
      <c r="D6" s="150">
        <v>5</v>
      </c>
      <c r="E6" s="150" t="s">
        <v>81</v>
      </c>
      <c r="F6" s="151" t="s">
        <v>82</v>
      </c>
      <c r="G6" s="152">
        <v>6</v>
      </c>
      <c r="H6" s="152">
        <v>0</v>
      </c>
      <c r="I6" s="153">
        <v>5</v>
      </c>
      <c r="J6" s="154">
        <v>6</v>
      </c>
      <c r="K6" s="155">
        <v>0</v>
      </c>
      <c r="L6" s="148" t="s">
        <v>57</v>
      </c>
      <c r="M6" s="148" t="s">
        <v>58</v>
      </c>
      <c r="N6" s="156"/>
      <c r="O6" s="157" t="s">
        <v>59</v>
      </c>
      <c r="P6" s="158">
        <v>93</v>
      </c>
      <c r="Q6" s="152" t="s">
        <v>60</v>
      </c>
      <c r="R6" s="152" t="s">
        <v>61</v>
      </c>
      <c r="S6" s="148" t="s">
        <v>83</v>
      </c>
      <c r="T6" s="148">
        <v>0</v>
      </c>
      <c r="U6" s="159">
        <v>513</v>
      </c>
      <c r="V6" s="160" t="str">
        <f>VLOOKUP(U6,docentes!$A:$E,2,0)</f>
        <v>SANDRA MARIA ZAPATA YEPES</v>
      </c>
      <c r="W6" s="161" t="str">
        <f>VLOOKUP(U6,docentes!$A:$E,5,0)</f>
        <v>CMCC</v>
      </c>
      <c r="X6" s="162"/>
      <c r="Y6" s="163"/>
      <c r="Z6" s="164"/>
      <c r="AH6" s="45"/>
      <c r="AI6" s="45"/>
    </row>
    <row r="7" spans="1:35" s="44" customFormat="1" ht="66.75" customHeight="1">
      <c r="A7" s="148" t="s">
        <v>84</v>
      </c>
      <c r="B7" s="146" t="s">
        <v>85</v>
      </c>
      <c r="C7" s="149" t="s">
        <v>80</v>
      </c>
      <c r="D7" s="150">
        <v>5</v>
      </c>
      <c r="E7" s="150" t="s">
        <v>81</v>
      </c>
      <c r="F7" s="151" t="s">
        <v>86</v>
      </c>
      <c r="G7" s="152">
        <v>6</v>
      </c>
      <c r="H7" s="152">
        <v>0</v>
      </c>
      <c r="I7" s="153">
        <v>5</v>
      </c>
      <c r="J7" s="154">
        <v>6</v>
      </c>
      <c r="K7" s="155">
        <v>0</v>
      </c>
      <c r="L7" s="148" t="s">
        <v>57</v>
      </c>
      <c r="M7" s="148" t="s">
        <v>58</v>
      </c>
      <c r="N7" s="156"/>
      <c r="O7" s="157" t="s">
        <v>59</v>
      </c>
      <c r="P7" s="158">
        <v>90</v>
      </c>
      <c r="Q7" s="152" t="s">
        <v>76</v>
      </c>
      <c r="R7" s="152" t="s">
        <v>61</v>
      </c>
      <c r="S7" s="148" t="s">
        <v>87</v>
      </c>
      <c r="T7" s="148">
        <v>0</v>
      </c>
      <c r="U7" s="159">
        <v>65</v>
      </c>
      <c r="V7" s="160" t="str">
        <f>VLOOKUP(U7,docentes!$A:$E,2,0)</f>
        <v>ANTONIO CANDIDO FALEIROS</v>
      </c>
      <c r="W7" s="161" t="str">
        <f>VLOOKUP(U7,docentes!$A:$E,5,0)</f>
        <v>CMCC</v>
      </c>
      <c r="X7" s="162"/>
      <c r="Y7" s="163"/>
      <c r="Z7" s="164"/>
    </row>
    <row r="8" spans="1:35" s="44" customFormat="1" ht="66.75" customHeight="1">
      <c r="A8" s="148" t="s">
        <v>78</v>
      </c>
      <c r="B8" s="146" t="s">
        <v>88</v>
      </c>
      <c r="C8" s="149" t="s">
        <v>80</v>
      </c>
      <c r="D8" s="150">
        <v>5</v>
      </c>
      <c r="E8" s="150" t="s">
        <v>81</v>
      </c>
      <c r="F8" s="151" t="s">
        <v>89</v>
      </c>
      <c r="G8" s="152">
        <v>6</v>
      </c>
      <c r="H8" s="152">
        <v>0</v>
      </c>
      <c r="I8" s="153">
        <v>5</v>
      </c>
      <c r="J8" s="154">
        <v>6</v>
      </c>
      <c r="K8" s="155">
        <v>0</v>
      </c>
      <c r="L8" s="148" t="s">
        <v>90</v>
      </c>
      <c r="M8" s="148">
        <v>127</v>
      </c>
      <c r="N8" s="156"/>
      <c r="O8" s="165" t="s">
        <v>91</v>
      </c>
      <c r="P8" s="158">
        <v>127</v>
      </c>
      <c r="Q8" s="152" t="s">
        <v>60</v>
      </c>
      <c r="R8" s="152" t="s">
        <v>70</v>
      </c>
      <c r="S8" s="148" t="s">
        <v>92</v>
      </c>
      <c r="T8" s="148">
        <v>0</v>
      </c>
      <c r="U8" s="159">
        <v>148</v>
      </c>
      <c r="V8" s="160" t="str">
        <f>VLOOKUP(U8,docentes!$A:$E,2,0)</f>
        <v>EDSON ALEX ARRAZOLA IRIARTE</v>
      </c>
      <c r="W8" s="161" t="str">
        <f>VLOOKUP(U8,docentes!$A:$E,5,0)</f>
        <v>CMCC</v>
      </c>
      <c r="X8" s="162"/>
      <c r="Y8" s="163"/>
      <c r="Z8" s="164"/>
    </row>
    <row r="9" spans="1:35" s="44" customFormat="1" ht="66.75" customHeight="1">
      <c r="A9" s="148" t="s">
        <v>78</v>
      </c>
      <c r="B9" s="146" t="s">
        <v>93</v>
      </c>
      <c r="C9" s="149" t="s">
        <v>94</v>
      </c>
      <c r="D9" s="150">
        <v>2</v>
      </c>
      <c r="E9" s="150" t="s">
        <v>95</v>
      </c>
      <c r="F9" s="151" t="s">
        <v>96</v>
      </c>
      <c r="G9" s="152">
        <v>4</v>
      </c>
      <c r="H9" s="152">
        <v>0</v>
      </c>
      <c r="I9" s="153">
        <v>4</v>
      </c>
      <c r="J9" s="154">
        <v>4</v>
      </c>
      <c r="K9" s="155">
        <v>0</v>
      </c>
      <c r="L9" s="148" t="s">
        <v>97</v>
      </c>
      <c r="M9" s="148" t="s">
        <v>58</v>
      </c>
      <c r="N9" s="156"/>
      <c r="O9" s="157" t="s">
        <v>59</v>
      </c>
      <c r="P9" s="158">
        <v>32</v>
      </c>
      <c r="Q9" s="152" t="s">
        <v>60</v>
      </c>
      <c r="R9" s="152" t="s">
        <v>70</v>
      </c>
      <c r="S9" s="148" t="s">
        <v>98</v>
      </c>
      <c r="T9" s="148">
        <v>0</v>
      </c>
      <c r="U9" s="159">
        <v>381</v>
      </c>
      <c r="V9" s="160" t="str">
        <f>VLOOKUP(U9,docentes!$A:$E,2,0)</f>
        <v>MARCUS ANTONIO MENDONCA MARROCOS</v>
      </c>
      <c r="W9" s="161" t="str">
        <f>VLOOKUP(U9,docentes!$A:$E,5,0)</f>
        <v>CMCC</v>
      </c>
      <c r="X9" s="162"/>
      <c r="Y9" s="163"/>
      <c r="Z9" s="164"/>
    </row>
    <row r="10" spans="1:35" s="44" customFormat="1" ht="66.75" hidden="1" customHeight="1">
      <c r="A10" s="148" t="s">
        <v>78</v>
      </c>
      <c r="B10" s="168" t="s">
        <v>99</v>
      </c>
      <c r="C10" s="149"/>
      <c r="D10" s="150">
        <v>0</v>
      </c>
      <c r="E10" s="150" t="s">
        <v>81</v>
      </c>
      <c r="F10" s="169" t="s">
        <v>100</v>
      </c>
      <c r="G10" s="152">
        <v>6</v>
      </c>
      <c r="H10" s="152">
        <v>0</v>
      </c>
      <c r="I10" s="153">
        <v>5</v>
      </c>
      <c r="J10" s="154">
        <v>0</v>
      </c>
      <c r="K10" s="155">
        <v>0</v>
      </c>
      <c r="L10" s="148" t="s">
        <v>101</v>
      </c>
      <c r="M10" s="148" t="s">
        <v>58</v>
      </c>
      <c r="N10" s="156"/>
      <c r="O10" s="165" t="s">
        <v>102</v>
      </c>
      <c r="P10" s="158">
        <v>0</v>
      </c>
      <c r="Q10" s="152" t="s">
        <v>60</v>
      </c>
      <c r="R10" s="152" t="s">
        <v>61</v>
      </c>
      <c r="S10" s="148" t="s">
        <v>103</v>
      </c>
      <c r="T10" s="148">
        <v>0</v>
      </c>
      <c r="U10" s="170">
        <v>513</v>
      </c>
      <c r="V10" s="163" t="str">
        <f>VLOOKUP(U10,docentes!$A:$E,2,0)</f>
        <v>SANDRA MARIA ZAPATA YEPES</v>
      </c>
      <c r="W10" s="171" t="str">
        <f>VLOOKUP(U10,docentes!$A:$E,5,0)</f>
        <v>CMCC</v>
      </c>
      <c r="X10" s="162"/>
      <c r="Y10" s="163"/>
      <c r="Z10" s="164"/>
    </row>
    <row r="11" spans="1:35" s="44" customFormat="1" ht="66.75" customHeight="1">
      <c r="A11" s="148" t="s">
        <v>78</v>
      </c>
      <c r="B11" s="146" t="s">
        <v>104</v>
      </c>
      <c r="C11" s="149" t="s">
        <v>80</v>
      </c>
      <c r="D11" s="150">
        <v>5</v>
      </c>
      <c r="E11" s="150" t="s">
        <v>81</v>
      </c>
      <c r="F11" s="151" t="s">
        <v>105</v>
      </c>
      <c r="G11" s="152">
        <v>6</v>
      </c>
      <c r="H11" s="152">
        <v>0</v>
      </c>
      <c r="I11" s="153">
        <v>5</v>
      </c>
      <c r="J11" s="154">
        <v>6</v>
      </c>
      <c r="K11" s="155">
        <v>0</v>
      </c>
      <c r="L11" s="148" t="s">
        <v>97</v>
      </c>
      <c r="M11" s="148" t="s">
        <v>58</v>
      </c>
      <c r="N11" s="156"/>
      <c r="O11" s="157" t="s">
        <v>59</v>
      </c>
      <c r="P11" s="158">
        <v>86</v>
      </c>
      <c r="Q11" s="152" t="s">
        <v>60</v>
      </c>
      <c r="R11" s="152" t="s">
        <v>70</v>
      </c>
      <c r="S11" s="148" t="s">
        <v>106</v>
      </c>
      <c r="T11" s="148">
        <v>0</v>
      </c>
      <c r="U11" s="159">
        <v>148</v>
      </c>
      <c r="V11" s="160" t="str">
        <f>VLOOKUP(U11,docentes!$A:$E,2,0)</f>
        <v>EDSON ALEX ARRAZOLA IRIARTE</v>
      </c>
      <c r="W11" s="161" t="str">
        <f>VLOOKUP(U11,docentes!$A:$E,5,0)</f>
        <v>CMCC</v>
      </c>
      <c r="X11" s="162"/>
      <c r="Y11" s="163"/>
      <c r="Z11" s="164"/>
    </row>
    <row r="12" spans="1:35" s="44" customFormat="1" ht="66.75" customHeight="1">
      <c r="A12" s="148" t="s">
        <v>84</v>
      </c>
      <c r="B12" s="146" t="s">
        <v>107</v>
      </c>
      <c r="C12" s="149" t="s">
        <v>80</v>
      </c>
      <c r="D12" s="150">
        <v>5</v>
      </c>
      <c r="E12" s="150" t="s">
        <v>81</v>
      </c>
      <c r="F12" s="151" t="s">
        <v>108</v>
      </c>
      <c r="G12" s="152">
        <v>6</v>
      </c>
      <c r="H12" s="152">
        <v>0</v>
      </c>
      <c r="I12" s="153">
        <v>5</v>
      </c>
      <c r="J12" s="154">
        <v>6</v>
      </c>
      <c r="K12" s="155">
        <v>0</v>
      </c>
      <c r="L12" s="148" t="s">
        <v>57</v>
      </c>
      <c r="M12" s="148" t="s">
        <v>58</v>
      </c>
      <c r="N12" s="156"/>
      <c r="O12" s="165" t="s">
        <v>109</v>
      </c>
      <c r="P12" s="158">
        <v>90</v>
      </c>
      <c r="Q12" s="152" t="s">
        <v>76</v>
      </c>
      <c r="R12" s="152" t="s">
        <v>70</v>
      </c>
      <c r="S12" s="148" t="s">
        <v>110</v>
      </c>
      <c r="T12" s="148">
        <v>0</v>
      </c>
      <c r="U12" s="159">
        <v>276</v>
      </c>
      <c r="V12" s="160" t="str">
        <f>VLOOKUP(U12,docentes!$A:$E,2,0)</f>
        <v>JOAO PAULO PITELLI MANOEL</v>
      </c>
      <c r="W12" s="161" t="str">
        <f>VLOOKUP(U12,docentes!$A:$E,5,0)</f>
        <v>CMCC</v>
      </c>
      <c r="X12" s="162"/>
      <c r="Y12" s="163"/>
      <c r="Z12" s="164"/>
    </row>
    <row r="13" spans="1:35" s="44" customFormat="1" ht="66.75" customHeight="1">
      <c r="A13" s="148" t="s">
        <v>78</v>
      </c>
      <c r="B13" s="146" t="s">
        <v>111</v>
      </c>
      <c r="C13" s="149" t="s">
        <v>94</v>
      </c>
      <c r="D13" s="150">
        <v>2</v>
      </c>
      <c r="E13" s="150" t="s">
        <v>95</v>
      </c>
      <c r="F13" s="151" t="s">
        <v>112</v>
      </c>
      <c r="G13" s="152">
        <v>4</v>
      </c>
      <c r="H13" s="152">
        <v>0</v>
      </c>
      <c r="I13" s="153">
        <v>4</v>
      </c>
      <c r="J13" s="154">
        <v>4</v>
      </c>
      <c r="K13" s="155">
        <v>0</v>
      </c>
      <c r="L13" s="148" t="s">
        <v>97</v>
      </c>
      <c r="M13" s="148" t="s">
        <v>58</v>
      </c>
      <c r="N13" s="156"/>
      <c r="O13" s="157" t="s">
        <v>59</v>
      </c>
      <c r="P13" s="158">
        <v>70</v>
      </c>
      <c r="Q13" s="152" t="s">
        <v>60</v>
      </c>
      <c r="R13" s="152" t="s">
        <v>61</v>
      </c>
      <c r="S13" s="148" t="s">
        <v>113</v>
      </c>
      <c r="T13" s="148">
        <v>0</v>
      </c>
      <c r="U13" s="159">
        <v>381</v>
      </c>
      <c r="V13" s="160" t="str">
        <f>VLOOKUP(U13,docentes!$A:$E,2,0)</f>
        <v>MARCUS ANTONIO MENDONCA MARROCOS</v>
      </c>
      <c r="W13" s="161" t="str">
        <f>VLOOKUP(U13,docentes!$A:$E,5,0)</f>
        <v>CMCC</v>
      </c>
      <c r="X13" s="162"/>
      <c r="Y13" s="163"/>
      <c r="Z13" s="164"/>
    </row>
    <row r="14" spans="1:35" s="44" customFormat="1" ht="66.75" customHeight="1">
      <c r="A14" s="172" t="s">
        <v>114</v>
      </c>
      <c r="B14" s="146" t="s">
        <v>115</v>
      </c>
      <c r="C14" s="149" t="s">
        <v>116</v>
      </c>
      <c r="D14" s="150">
        <v>2</v>
      </c>
      <c r="E14" s="150" t="s">
        <v>117</v>
      </c>
      <c r="F14" s="151" t="s">
        <v>118</v>
      </c>
      <c r="G14" s="149">
        <v>2</v>
      </c>
      <c r="H14" s="173">
        <v>2</v>
      </c>
      <c r="I14" s="174">
        <v>4</v>
      </c>
      <c r="J14" s="155">
        <v>2</v>
      </c>
      <c r="K14" s="155">
        <v>2</v>
      </c>
      <c r="L14" s="172" t="s">
        <v>119</v>
      </c>
      <c r="M14" s="172" t="e">
        <v>#N/A</v>
      </c>
      <c r="N14" s="151"/>
      <c r="O14" s="172" t="s">
        <v>120</v>
      </c>
      <c r="P14" s="175">
        <v>48</v>
      </c>
      <c r="Q14" s="152" t="s">
        <v>60</v>
      </c>
      <c r="R14" s="152" t="s">
        <v>61</v>
      </c>
      <c r="S14" s="148" t="s">
        <v>121</v>
      </c>
      <c r="T14" s="148" t="s">
        <v>122</v>
      </c>
      <c r="U14" s="159">
        <v>268</v>
      </c>
      <c r="V14" s="160" t="str">
        <f>VLOOKUP(U14,docentes!$A:$E,2,0)</f>
        <v>JESUS PASCUAL MENA CHALCO</v>
      </c>
      <c r="W14" s="161" t="str">
        <f>VLOOKUP(U14,docentes!$A:$E,5,0)</f>
        <v>CMCC</v>
      </c>
      <c r="X14" s="176">
        <v>268</v>
      </c>
      <c r="Y14" s="160" t="str">
        <f>VLOOKUP(X14,docentes!$A:$E,2,0)</f>
        <v>JESUS PASCUAL MENA CHALCO</v>
      </c>
      <c r="Z14" s="177" t="str">
        <f>VLOOKUP(X14,docentes!$A:$E,5,0)</f>
        <v>CMCC</v>
      </c>
      <c r="AA14" s="45"/>
      <c r="AB14" s="45"/>
      <c r="AC14" s="45"/>
      <c r="AD14" s="45"/>
      <c r="AE14" s="45"/>
      <c r="AF14" s="45"/>
      <c r="AG14" s="45"/>
    </row>
    <row r="15" spans="1:35" s="44" customFormat="1" ht="66.75" customHeight="1">
      <c r="A15" s="148" t="s">
        <v>114</v>
      </c>
      <c r="B15" s="146" t="s">
        <v>123</v>
      </c>
      <c r="C15" s="149" t="s">
        <v>116</v>
      </c>
      <c r="D15" s="150">
        <v>2</v>
      </c>
      <c r="E15" s="150" t="s">
        <v>117</v>
      </c>
      <c r="F15" s="151" t="s">
        <v>124</v>
      </c>
      <c r="G15" s="152">
        <v>2</v>
      </c>
      <c r="H15" s="152">
        <v>2</v>
      </c>
      <c r="I15" s="153">
        <v>4</v>
      </c>
      <c r="J15" s="154">
        <v>2</v>
      </c>
      <c r="K15" s="155">
        <v>2</v>
      </c>
      <c r="L15" s="148" t="s">
        <v>125</v>
      </c>
      <c r="M15" s="148" t="e">
        <v>#N/A</v>
      </c>
      <c r="N15" s="151"/>
      <c r="O15" s="165" t="s">
        <v>120</v>
      </c>
      <c r="P15" s="158">
        <v>53</v>
      </c>
      <c r="Q15" s="152" t="s">
        <v>60</v>
      </c>
      <c r="R15" s="152" t="s">
        <v>70</v>
      </c>
      <c r="S15" s="148" t="s">
        <v>126</v>
      </c>
      <c r="T15" s="148" t="s">
        <v>127</v>
      </c>
      <c r="U15" s="159">
        <v>268</v>
      </c>
      <c r="V15" s="160" t="str">
        <f>VLOOKUP(U15,docentes!$A:$E,2,0)</f>
        <v>JESUS PASCUAL MENA CHALCO</v>
      </c>
      <c r="W15" s="161" t="str">
        <f>VLOOKUP(U15,docentes!$A:$E,5,0)</f>
        <v>CMCC</v>
      </c>
      <c r="X15" s="176">
        <v>268</v>
      </c>
      <c r="Y15" s="160" t="str">
        <f>VLOOKUP(X15,docentes!$A:$E,2,0)</f>
        <v>JESUS PASCUAL MENA CHALCO</v>
      </c>
      <c r="Z15" s="177" t="str">
        <f>VLOOKUP(X15,docentes!$A:$E,5,0)</f>
        <v>CMCC</v>
      </c>
    </row>
    <row r="16" spans="1:35" s="44" customFormat="1" ht="66.75" customHeight="1">
      <c r="A16" s="148" t="s">
        <v>128</v>
      </c>
      <c r="B16" s="146" t="s">
        <v>129</v>
      </c>
      <c r="C16" s="149" t="s">
        <v>130</v>
      </c>
      <c r="D16" s="150">
        <v>1</v>
      </c>
      <c r="E16" s="150" t="s">
        <v>131</v>
      </c>
      <c r="F16" s="151" t="s">
        <v>132</v>
      </c>
      <c r="G16" s="152">
        <v>4</v>
      </c>
      <c r="H16" s="152">
        <v>0</v>
      </c>
      <c r="I16" s="153">
        <v>5</v>
      </c>
      <c r="J16" s="154">
        <v>4</v>
      </c>
      <c r="K16" s="155">
        <v>0</v>
      </c>
      <c r="L16" s="148" t="s">
        <v>57</v>
      </c>
      <c r="M16" s="148" t="s">
        <v>58</v>
      </c>
      <c r="N16" s="156"/>
      <c r="O16" s="157" t="s">
        <v>59</v>
      </c>
      <c r="P16" s="158">
        <v>63</v>
      </c>
      <c r="Q16" s="152" t="s">
        <v>76</v>
      </c>
      <c r="R16" s="152" t="s">
        <v>70</v>
      </c>
      <c r="S16" s="148" t="s">
        <v>133</v>
      </c>
      <c r="T16" s="148">
        <v>0</v>
      </c>
      <c r="U16" s="159">
        <v>92</v>
      </c>
      <c r="V16" s="160" t="str">
        <f>VLOOKUP(U16,docentes!$A:$E,2,0)</f>
        <v>CAROLINA CORREA DE CARVALHO</v>
      </c>
      <c r="W16" s="161" t="str">
        <f>VLOOKUP(U16,docentes!$A:$E,5,0)</f>
        <v>CECS</v>
      </c>
      <c r="X16" s="162"/>
      <c r="Y16" s="163"/>
      <c r="Z16" s="164"/>
    </row>
    <row r="17" spans="1:35" s="44" customFormat="1" ht="66.75" customHeight="1">
      <c r="A17" s="148" t="s">
        <v>134</v>
      </c>
      <c r="B17" s="146" t="s">
        <v>135</v>
      </c>
      <c r="C17" s="149" t="s">
        <v>136</v>
      </c>
      <c r="D17" s="150">
        <v>1</v>
      </c>
      <c r="E17" s="150" t="s">
        <v>137</v>
      </c>
      <c r="F17" s="151" t="s">
        <v>138</v>
      </c>
      <c r="G17" s="152">
        <v>3</v>
      </c>
      <c r="H17" s="152">
        <v>0</v>
      </c>
      <c r="I17" s="153">
        <v>4</v>
      </c>
      <c r="J17" s="154">
        <v>3</v>
      </c>
      <c r="K17" s="155">
        <v>0</v>
      </c>
      <c r="L17" s="148"/>
      <c r="M17" s="148"/>
      <c r="N17" s="156"/>
      <c r="O17" s="165" t="s">
        <v>139</v>
      </c>
      <c r="P17" s="158">
        <v>70</v>
      </c>
      <c r="Q17" s="152" t="s">
        <v>60</v>
      </c>
      <c r="R17" s="152" t="s">
        <v>70</v>
      </c>
      <c r="S17" s="148" t="s">
        <v>140</v>
      </c>
      <c r="T17" s="148"/>
      <c r="U17" s="159">
        <v>354</v>
      </c>
      <c r="V17" s="160" t="str">
        <f>VLOOKUP(U17,docentes!$A:$E,2,0)</f>
        <v>MARAT RAFIKOV</v>
      </c>
      <c r="W17" s="161" t="str">
        <f>VLOOKUP(U17,docentes!$A:$E,5,0)</f>
        <v>CECS</v>
      </c>
      <c r="X17" s="162"/>
      <c r="Y17" s="163"/>
      <c r="Z17" s="164"/>
    </row>
    <row r="18" spans="1:35" s="44" customFormat="1" ht="66.75" customHeight="1">
      <c r="A18" s="148" t="s">
        <v>78</v>
      </c>
      <c r="B18" s="146" t="s">
        <v>141</v>
      </c>
      <c r="C18" s="149" t="s">
        <v>142</v>
      </c>
      <c r="D18" s="150">
        <v>2</v>
      </c>
      <c r="E18" s="150" t="s">
        <v>143</v>
      </c>
      <c r="F18" s="151" t="s">
        <v>144</v>
      </c>
      <c r="G18" s="152">
        <v>4</v>
      </c>
      <c r="H18" s="152">
        <v>0</v>
      </c>
      <c r="I18" s="153">
        <v>4</v>
      </c>
      <c r="J18" s="154">
        <v>4</v>
      </c>
      <c r="K18" s="155">
        <v>0</v>
      </c>
      <c r="L18" s="148" t="s">
        <v>97</v>
      </c>
      <c r="M18" s="148" t="s">
        <v>58</v>
      </c>
      <c r="N18" s="156"/>
      <c r="O18" s="157" t="s">
        <v>59</v>
      </c>
      <c r="P18" s="158">
        <v>70</v>
      </c>
      <c r="Q18" s="152" t="s">
        <v>60</v>
      </c>
      <c r="R18" s="152" t="s">
        <v>61</v>
      </c>
      <c r="S18" s="148" t="s">
        <v>145</v>
      </c>
      <c r="T18" s="148">
        <v>0</v>
      </c>
      <c r="U18" s="159">
        <v>411</v>
      </c>
      <c r="V18" s="160" t="str">
        <f>VLOOKUP(U18,docentes!$A:$E,2,0)</f>
        <v>MAURICIO RICHARTZ</v>
      </c>
      <c r="W18" s="161" t="str">
        <f>VLOOKUP(U18,docentes!$A:$E,5,0)</f>
        <v>CMCC</v>
      </c>
      <c r="X18" s="162"/>
      <c r="Y18" s="163"/>
      <c r="Z18" s="164"/>
    </row>
    <row r="19" spans="1:35" s="44" customFormat="1" ht="66.75" customHeight="1">
      <c r="A19" s="148" t="s">
        <v>78</v>
      </c>
      <c r="B19" s="146" t="s">
        <v>146</v>
      </c>
      <c r="C19" s="149" t="s">
        <v>142</v>
      </c>
      <c r="D19" s="150">
        <v>2</v>
      </c>
      <c r="E19" s="150" t="s">
        <v>143</v>
      </c>
      <c r="F19" s="151" t="s">
        <v>147</v>
      </c>
      <c r="G19" s="152">
        <v>4</v>
      </c>
      <c r="H19" s="152">
        <v>0</v>
      </c>
      <c r="I19" s="153">
        <v>4</v>
      </c>
      <c r="J19" s="154">
        <v>4</v>
      </c>
      <c r="K19" s="155">
        <v>0</v>
      </c>
      <c r="L19" s="148" t="s">
        <v>97</v>
      </c>
      <c r="M19" s="148" t="s">
        <v>58</v>
      </c>
      <c r="N19" s="166"/>
      <c r="O19" s="157" t="s">
        <v>59</v>
      </c>
      <c r="P19" s="158">
        <v>32</v>
      </c>
      <c r="Q19" s="152" t="s">
        <v>60</v>
      </c>
      <c r="R19" s="152" t="s">
        <v>70</v>
      </c>
      <c r="S19" s="148" t="s">
        <v>148</v>
      </c>
      <c r="T19" s="148">
        <v>0</v>
      </c>
      <c r="U19" s="159">
        <v>494</v>
      </c>
      <c r="V19" s="160" t="str">
        <f>VLOOKUP(U19,docentes!$A:$E,2,0)</f>
        <v>RODRIGO FRESNEDA</v>
      </c>
      <c r="W19" s="161" t="str">
        <f>VLOOKUP(U19,docentes!$A:$E,5,0)</f>
        <v>CMCC</v>
      </c>
      <c r="X19" s="162"/>
      <c r="Y19" s="163"/>
      <c r="Z19" s="164"/>
    </row>
    <row r="20" spans="1:35" s="44" customFormat="1" ht="66.75" customHeight="1">
      <c r="A20" s="148" t="s">
        <v>78</v>
      </c>
      <c r="B20" s="146" t="s">
        <v>149</v>
      </c>
      <c r="C20" s="149" t="s">
        <v>150</v>
      </c>
      <c r="D20" s="150">
        <v>2</v>
      </c>
      <c r="E20" s="150" t="s">
        <v>151</v>
      </c>
      <c r="F20" s="151" t="s">
        <v>152</v>
      </c>
      <c r="G20" s="152">
        <v>4</v>
      </c>
      <c r="H20" s="152">
        <v>0</v>
      </c>
      <c r="I20" s="153">
        <v>4</v>
      </c>
      <c r="J20" s="154">
        <v>4</v>
      </c>
      <c r="K20" s="155">
        <v>0</v>
      </c>
      <c r="L20" s="148" t="s">
        <v>97</v>
      </c>
      <c r="M20" s="148" t="s">
        <v>58</v>
      </c>
      <c r="N20" s="166"/>
      <c r="O20" s="157" t="s">
        <v>59</v>
      </c>
      <c r="P20" s="158">
        <v>52</v>
      </c>
      <c r="Q20" s="152" t="s">
        <v>60</v>
      </c>
      <c r="R20" s="152" t="s">
        <v>61</v>
      </c>
      <c r="S20" s="148" t="s">
        <v>153</v>
      </c>
      <c r="T20" s="148">
        <v>0</v>
      </c>
      <c r="U20" s="159">
        <v>150</v>
      </c>
      <c r="V20" s="160" t="str">
        <f>VLOOKUP(U20,docentes!$A:$E,2,0)</f>
        <v>EDSON RYOJI OKAMOTO IWAKI</v>
      </c>
      <c r="W20" s="161" t="str">
        <f>VLOOKUP(U20,docentes!$A:$E,5,0)</f>
        <v>CMCC</v>
      </c>
      <c r="X20" s="162"/>
      <c r="Y20" s="163"/>
      <c r="Z20" s="164"/>
    </row>
    <row r="21" spans="1:35" s="44" customFormat="1" ht="66.75" customHeight="1">
      <c r="A21" s="148" t="s">
        <v>78</v>
      </c>
      <c r="B21" s="146" t="s">
        <v>154</v>
      </c>
      <c r="C21" s="149" t="s">
        <v>150</v>
      </c>
      <c r="D21" s="150">
        <v>2</v>
      </c>
      <c r="E21" s="150" t="s">
        <v>151</v>
      </c>
      <c r="F21" s="151" t="s">
        <v>155</v>
      </c>
      <c r="G21" s="152">
        <v>4</v>
      </c>
      <c r="H21" s="152">
        <v>0</v>
      </c>
      <c r="I21" s="153">
        <v>4</v>
      </c>
      <c r="J21" s="154">
        <v>4</v>
      </c>
      <c r="K21" s="155">
        <v>0</v>
      </c>
      <c r="L21" s="148" t="s">
        <v>97</v>
      </c>
      <c r="M21" s="148" t="s">
        <v>58</v>
      </c>
      <c r="N21" s="156"/>
      <c r="O21" s="157" t="s">
        <v>59</v>
      </c>
      <c r="P21" s="158">
        <v>52</v>
      </c>
      <c r="Q21" s="152" t="s">
        <v>60</v>
      </c>
      <c r="R21" s="152" t="s">
        <v>70</v>
      </c>
      <c r="S21" s="148" t="s">
        <v>156</v>
      </c>
      <c r="T21" s="148">
        <v>0</v>
      </c>
      <c r="U21" s="159">
        <v>150</v>
      </c>
      <c r="V21" s="160" t="str">
        <f>VLOOKUP(U21,docentes!$A:$E,2,0)</f>
        <v>EDSON RYOJI OKAMOTO IWAKI</v>
      </c>
      <c r="W21" s="161" t="str">
        <f>VLOOKUP(U21,docentes!$A:$E,5,0)</f>
        <v>CMCC</v>
      </c>
      <c r="X21" s="162"/>
      <c r="Y21" s="163"/>
      <c r="Z21" s="164"/>
    </row>
    <row r="22" spans="1:35" s="44" customFormat="1" ht="66.75" customHeight="1">
      <c r="A22" s="148" t="s">
        <v>157</v>
      </c>
      <c r="B22" s="146" t="s">
        <v>158</v>
      </c>
      <c r="C22" s="149" t="s">
        <v>159</v>
      </c>
      <c r="D22" s="150">
        <v>1</v>
      </c>
      <c r="E22" s="150" t="s">
        <v>160</v>
      </c>
      <c r="F22" s="151" t="s">
        <v>161</v>
      </c>
      <c r="G22" s="152">
        <v>4</v>
      </c>
      <c r="H22" s="152">
        <v>0</v>
      </c>
      <c r="I22" s="153">
        <v>4</v>
      </c>
      <c r="J22" s="154">
        <v>4</v>
      </c>
      <c r="K22" s="155">
        <v>0</v>
      </c>
      <c r="L22" s="148" t="s">
        <v>57</v>
      </c>
      <c r="M22" s="148" t="s">
        <v>58</v>
      </c>
      <c r="N22" s="178"/>
      <c r="O22" s="157" t="s">
        <v>59</v>
      </c>
      <c r="P22" s="158">
        <v>40</v>
      </c>
      <c r="Q22" s="152" t="s">
        <v>76</v>
      </c>
      <c r="R22" s="152" t="s">
        <v>70</v>
      </c>
      <c r="S22" s="148" t="s">
        <v>162</v>
      </c>
      <c r="T22" s="148">
        <v>0</v>
      </c>
      <c r="U22" s="159">
        <v>403</v>
      </c>
      <c r="V22" s="160" t="str">
        <f>VLOOKUP(U22,docentes!$A:$E,2,0)</f>
        <v>MARILIA MELLO PISANI</v>
      </c>
      <c r="W22" s="161" t="str">
        <f>VLOOKUP(U22,docentes!$A:$E,5,0)</f>
        <v>CCNH</v>
      </c>
      <c r="X22" s="162"/>
      <c r="Y22" s="163"/>
      <c r="Z22" s="164"/>
    </row>
    <row r="23" spans="1:35" s="44" customFormat="1" ht="66.75" customHeight="1">
      <c r="A23" s="148" t="s">
        <v>52</v>
      </c>
      <c r="B23" s="146" t="s">
        <v>163</v>
      </c>
      <c r="C23" s="149" t="s">
        <v>164</v>
      </c>
      <c r="D23" s="150">
        <v>1</v>
      </c>
      <c r="E23" s="150" t="s">
        <v>165</v>
      </c>
      <c r="F23" s="151" t="s">
        <v>166</v>
      </c>
      <c r="G23" s="152">
        <v>3</v>
      </c>
      <c r="H23" s="152">
        <v>1</v>
      </c>
      <c r="I23" s="153">
        <v>4</v>
      </c>
      <c r="J23" s="154">
        <v>3</v>
      </c>
      <c r="K23" s="155">
        <v>1</v>
      </c>
      <c r="L23" s="148" t="s">
        <v>57</v>
      </c>
      <c r="M23" s="148" t="s">
        <v>58</v>
      </c>
      <c r="N23" s="156">
        <v>0</v>
      </c>
      <c r="O23" s="157" t="s">
        <v>59</v>
      </c>
      <c r="P23" s="158">
        <v>32</v>
      </c>
      <c r="Q23" s="152" t="s">
        <v>60</v>
      </c>
      <c r="R23" s="152" t="s">
        <v>61</v>
      </c>
      <c r="S23" s="148" t="s">
        <v>167</v>
      </c>
      <c r="T23" s="148" t="s">
        <v>168</v>
      </c>
      <c r="U23" s="159">
        <v>271</v>
      </c>
      <c r="V23" s="160" t="str">
        <f>VLOOKUP(U23,docentes!$A:$E,2,0)</f>
        <v>JOAO BATISTA DE AGUIAR</v>
      </c>
      <c r="W23" s="161" t="str">
        <f>VLOOKUP(U23,docentes!$A:$E,5,0)</f>
        <v>CECS</v>
      </c>
      <c r="X23" s="176">
        <v>271</v>
      </c>
      <c r="Y23" s="160" t="str">
        <f>VLOOKUP(X23,docentes!$A:$E,2,0)</f>
        <v>JOAO BATISTA DE AGUIAR</v>
      </c>
      <c r="Z23" s="177" t="str">
        <f>VLOOKUP(X23,docentes!$A:$E,5,0)</f>
        <v>CECS</v>
      </c>
    </row>
    <row r="24" spans="1:35" s="44" customFormat="1" ht="66.75" customHeight="1">
      <c r="A24" s="172" t="s">
        <v>114</v>
      </c>
      <c r="B24" s="146" t="s">
        <v>169</v>
      </c>
      <c r="C24" s="149" t="s">
        <v>170</v>
      </c>
      <c r="D24" s="150">
        <v>2</v>
      </c>
      <c r="E24" s="150" t="s">
        <v>171</v>
      </c>
      <c r="F24" s="151" t="s">
        <v>172</v>
      </c>
      <c r="G24" s="149">
        <v>4</v>
      </c>
      <c r="H24" s="173">
        <v>0</v>
      </c>
      <c r="I24" s="174">
        <v>4</v>
      </c>
      <c r="J24" s="155">
        <v>4</v>
      </c>
      <c r="K24" s="155">
        <v>0</v>
      </c>
      <c r="L24" s="172" t="s">
        <v>97</v>
      </c>
      <c r="M24" s="172" t="s">
        <v>58</v>
      </c>
      <c r="N24" s="151"/>
      <c r="O24" s="157" t="s">
        <v>59</v>
      </c>
      <c r="P24" s="175">
        <v>62</v>
      </c>
      <c r="Q24" s="152" t="s">
        <v>60</v>
      </c>
      <c r="R24" s="152" t="s">
        <v>61</v>
      </c>
      <c r="S24" s="148" t="s">
        <v>173</v>
      </c>
      <c r="T24" s="148">
        <v>0</v>
      </c>
      <c r="U24" s="159">
        <v>498</v>
      </c>
      <c r="V24" s="160" t="str">
        <f>VLOOKUP(U24,docentes!$A:$E,2,0)</f>
        <v>ROGERIO PERINO DE OLIVEIRA NEVES</v>
      </c>
      <c r="W24" s="161" t="str">
        <f>VLOOKUP(U24,docentes!$A:$E,5,0)</f>
        <v>CMCC</v>
      </c>
      <c r="X24" s="162">
        <v>498</v>
      </c>
      <c r="Y24" s="163" t="str">
        <f>VLOOKUP(X24,docentes!$A:$E,2,0)</f>
        <v>ROGERIO PERINO DE OLIVEIRA NEVES</v>
      </c>
      <c r="Z24" s="164" t="str">
        <f>VLOOKUP(X24,docentes!$A:$E,5,0)</f>
        <v>CMCC</v>
      </c>
      <c r="AA24" s="45"/>
      <c r="AB24" s="45"/>
      <c r="AC24" s="45"/>
      <c r="AD24" s="45"/>
      <c r="AE24" s="45"/>
      <c r="AF24" s="45"/>
      <c r="AG24" s="45"/>
    </row>
    <row r="25" spans="1:35" s="44" customFormat="1" ht="66.75" customHeight="1">
      <c r="A25" s="172" t="s">
        <v>114</v>
      </c>
      <c r="B25" s="146" t="s">
        <v>174</v>
      </c>
      <c r="C25" s="149" t="s">
        <v>170</v>
      </c>
      <c r="D25" s="150">
        <v>2</v>
      </c>
      <c r="E25" s="150" t="s">
        <v>171</v>
      </c>
      <c r="F25" s="151" t="s">
        <v>175</v>
      </c>
      <c r="G25" s="149">
        <v>4</v>
      </c>
      <c r="H25" s="173">
        <v>0</v>
      </c>
      <c r="I25" s="174">
        <v>4</v>
      </c>
      <c r="J25" s="155">
        <v>4</v>
      </c>
      <c r="K25" s="155">
        <v>0</v>
      </c>
      <c r="L25" s="172" t="s">
        <v>176</v>
      </c>
      <c r="M25" s="172" t="e">
        <v>#N/A</v>
      </c>
      <c r="N25" s="151"/>
      <c r="O25" s="172" t="s">
        <v>177</v>
      </c>
      <c r="P25" s="175">
        <v>70</v>
      </c>
      <c r="Q25" s="152" t="s">
        <v>60</v>
      </c>
      <c r="R25" s="152" t="s">
        <v>70</v>
      </c>
      <c r="S25" s="148" t="s">
        <v>178</v>
      </c>
      <c r="T25" s="148">
        <v>0</v>
      </c>
      <c r="U25" s="159">
        <v>232</v>
      </c>
      <c r="V25" s="160" t="str">
        <f>VLOOKUP(U25,docentes!$A:$E,2,0)</f>
        <v>GUIOU KOBAYASHI</v>
      </c>
      <c r="W25" s="161" t="str">
        <f>VLOOKUP(U25,docentes!$A:$E,5,0)</f>
        <v>CMCC</v>
      </c>
      <c r="X25" s="162">
        <v>232</v>
      </c>
      <c r="Y25" s="163" t="str">
        <f>VLOOKUP(X25,docentes!$A:$E,2,0)</f>
        <v>GUIOU KOBAYASHI</v>
      </c>
      <c r="Z25" s="164" t="str">
        <f>VLOOKUP(X25,docentes!$A:$E,5,0)</f>
        <v>CMCC</v>
      </c>
      <c r="AA25" s="45"/>
      <c r="AB25" s="45"/>
      <c r="AC25" s="45"/>
      <c r="AD25" s="45"/>
      <c r="AE25" s="45"/>
      <c r="AF25" s="45"/>
      <c r="AG25" s="45"/>
    </row>
    <row r="26" spans="1:35" ht="66.75" customHeight="1">
      <c r="A26" s="172" t="s">
        <v>114</v>
      </c>
      <c r="B26" s="146" t="s">
        <v>179</v>
      </c>
      <c r="C26" s="149" t="s">
        <v>180</v>
      </c>
      <c r="D26" s="150">
        <v>1</v>
      </c>
      <c r="E26" s="150" t="s">
        <v>181</v>
      </c>
      <c r="F26" s="151" t="s">
        <v>182</v>
      </c>
      <c r="G26" s="149">
        <v>3</v>
      </c>
      <c r="H26" s="173">
        <v>1</v>
      </c>
      <c r="I26" s="174">
        <v>4</v>
      </c>
      <c r="J26" s="155">
        <v>3</v>
      </c>
      <c r="K26" s="155">
        <v>1</v>
      </c>
      <c r="L26" s="172" t="s">
        <v>97</v>
      </c>
      <c r="M26" s="172" t="s">
        <v>58</v>
      </c>
      <c r="N26" s="151"/>
      <c r="O26" s="157" t="s">
        <v>59</v>
      </c>
      <c r="P26" s="175">
        <v>32</v>
      </c>
      <c r="Q26" s="152" t="s">
        <v>60</v>
      </c>
      <c r="R26" s="152" t="s">
        <v>61</v>
      </c>
      <c r="S26" s="148" t="s">
        <v>183</v>
      </c>
      <c r="T26" s="148">
        <v>0</v>
      </c>
      <c r="U26" s="159">
        <v>85</v>
      </c>
      <c r="V26" s="160" t="str">
        <f>VLOOKUP(U26,docentes!$A:$E,2,0)</f>
        <v>CARLOS ALBERTO KAMIENSKI</v>
      </c>
      <c r="W26" s="161" t="str">
        <f>VLOOKUP(U26,docentes!$A:$E,5,0)</f>
        <v>CMCC</v>
      </c>
      <c r="X26" s="176">
        <v>85</v>
      </c>
      <c r="Y26" s="160" t="str">
        <f>VLOOKUP(X26,docentes!$A:$E,2,0)</f>
        <v>CARLOS ALBERTO KAMIENSKI</v>
      </c>
      <c r="Z26" s="177" t="str">
        <f>VLOOKUP(X26,docentes!$A:$E,5,0)</f>
        <v>CMCC</v>
      </c>
      <c r="AH26" s="44"/>
      <c r="AI26" s="44"/>
    </row>
    <row r="27" spans="1:35" s="44" customFormat="1" ht="66.75" customHeight="1">
      <c r="A27" s="148" t="s">
        <v>184</v>
      </c>
      <c r="B27" s="146" t="s">
        <v>185</v>
      </c>
      <c r="C27" s="149" t="s">
        <v>186</v>
      </c>
      <c r="D27" s="150">
        <v>2</v>
      </c>
      <c r="E27" s="150" t="s">
        <v>187</v>
      </c>
      <c r="F27" s="151" t="s">
        <v>188</v>
      </c>
      <c r="G27" s="152">
        <v>4</v>
      </c>
      <c r="H27" s="152">
        <v>0</v>
      </c>
      <c r="I27" s="153">
        <v>3</v>
      </c>
      <c r="J27" s="154">
        <v>4</v>
      </c>
      <c r="K27" s="155">
        <v>0</v>
      </c>
      <c r="L27" s="148" t="s">
        <v>57</v>
      </c>
      <c r="M27" s="148" t="s">
        <v>58</v>
      </c>
      <c r="N27" s="156"/>
      <c r="O27" s="157" t="s">
        <v>59</v>
      </c>
      <c r="P27" s="158">
        <v>60</v>
      </c>
      <c r="Q27" s="152" t="s">
        <v>60</v>
      </c>
      <c r="R27" s="152" t="s">
        <v>61</v>
      </c>
      <c r="S27" s="148" t="s">
        <v>189</v>
      </c>
      <c r="T27" s="148">
        <v>0</v>
      </c>
      <c r="U27" s="159">
        <v>525</v>
      </c>
      <c r="V27" s="160" t="str">
        <f>VLOOKUP(U27,docentes!$A:$E,2,0)</f>
        <v>SILVIA HELENA FACCIOLLA PASSARELLI</v>
      </c>
      <c r="W27" s="161" t="str">
        <f>VLOOKUP(U27,docentes!$A:$E,5,0)</f>
        <v>CECS</v>
      </c>
      <c r="X27" s="162">
        <v>118</v>
      </c>
      <c r="Y27" s="163" t="str">
        <f>VLOOKUP(X27,docentes!$A:$E,2,0)</f>
        <v>DACIO ROBERTO MATHEUS</v>
      </c>
      <c r="Z27" s="164" t="str">
        <f>VLOOKUP(X27,docentes!$A:$E,5,0)</f>
        <v>CECS</v>
      </c>
      <c r="AB27" s="45"/>
    </row>
    <row r="28" spans="1:35" s="44" customFormat="1" ht="66.75" customHeight="1">
      <c r="A28" s="148" t="s">
        <v>184</v>
      </c>
      <c r="B28" s="146" t="s">
        <v>190</v>
      </c>
      <c r="C28" s="149" t="s">
        <v>186</v>
      </c>
      <c r="D28" s="150">
        <v>2</v>
      </c>
      <c r="E28" s="150" t="s">
        <v>187</v>
      </c>
      <c r="F28" s="151" t="s">
        <v>191</v>
      </c>
      <c r="G28" s="152">
        <v>4</v>
      </c>
      <c r="H28" s="152">
        <v>0</v>
      </c>
      <c r="I28" s="153">
        <v>3</v>
      </c>
      <c r="J28" s="154">
        <v>4</v>
      </c>
      <c r="K28" s="155">
        <v>0</v>
      </c>
      <c r="L28" s="148" t="s">
        <v>57</v>
      </c>
      <c r="M28" s="148" t="s">
        <v>58</v>
      </c>
      <c r="N28" s="156"/>
      <c r="O28" s="157" t="s">
        <v>59</v>
      </c>
      <c r="P28" s="158">
        <v>60</v>
      </c>
      <c r="Q28" s="152" t="s">
        <v>60</v>
      </c>
      <c r="R28" s="152" t="s">
        <v>70</v>
      </c>
      <c r="S28" s="148" t="s">
        <v>192</v>
      </c>
      <c r="T28" s="148">
        <v>0</v>
      </c>
      <c r="U28" s="159">
        <v>118</v>
      </c>
      <c r="V28" s="160" t="str">
        <f>VLOOKUP(U28,docentes!$A:$E,2,0)</f>
        <v>DACIO ROBERTO MATHEUS</v>
      </c>
      <c r="W28" s="161" t="str">
        <f>VLOOKUP(U28,docentes!$A:$E,5,0)</f>
        <v>CECS</v>
      </c>
      <c r="X28" s="162">
        <v>525</v>
      </c>
      <c r="Y28" s="163" t="str">
        <f>VLOOKUP(X28,docentes!$A:$E,2,0)</f>
        <v>SILVIA HELENA FACCIOLLA PASSARELLI</v>
      </c>
      <c r="Z28" s="164" t="str">
        <f>VLOOKUP(X28,docentes!$A:$E,5,0)</f>
        <v>CECS</v>
      </c>
      <c r="AB28" s="45"/>
    </row>
    <row r="29" spans="1:35" s="44" customFormat="1" ht="66.75" customHeight="1">
      <c r="A29" s="148" t="s">
        <v>193</v>
      </c>
      <c r="B29" s="146" t="s">
        <v>194</v>
      </c>
      <c r="C29" s="149" t="s">
        <v>195</v>
      </c>
      <c r="D29" s="150">
        <v>2</v>
      </c>
      <c r="E29" s="150" t="s">
        <v>196</v>
      </c>
      <c r="F29" s="151" t="s">
        <v>197</v>
      </c>
      <c r="G29" s="152">
        <v>4</v>
      </c>
      <c r="H29" s="152">
        <v>0</v>
      </c>
      <c r="I29" s="153">
        <v>4</v>
      </c>
      <c r="J29" s="154">
        <v>4</v>
      </c>
      <c r="K29" s="155">
        <v>0</v>
      </c>
      <c r="L29" s="148" t="s">
        <v>97</v>
      </c>
      <c r="M29" s="148" t="s">
        <v>58</v>
      </c>
      <c r="N29" s="156"/>
      <c r="O29" s="157" t="s">
        <v>59</v>
      </c>
      <c r="P29" s="158">
        <v>42</v>
      </c>
      <c r="Q29" s="152" t="s">
        <v>76</v>
      </c>
      <c r="R29" s="152" t="s">
        <v>61</v>
      </c>
      <c r="S29" s="148" t="s">
        <v>198</v>
      </c>
      <c r="T29" s="148">
        <v>0</v>
      </c>
      <c r="U29" s="159">
        <v>212</v>
      </c>
      <c r="V29" s="160" t="str">
        <f>VLOOKUP(U29,docentes!$A:$E,2,0)</f>
        <v>GABRIELA SPANGHERO LOTTA</v>
      </c>
      <c r="W29" s="161" t="str">
        <f>VLOOKUP(U29,docentes!$A:$E,5,0)</f>
        <v>CECS</v>
      </c>
      <c r="X29" s="162"/>
      <c r="Y29" s="163"/>
      <c r="Z29" s="164"/>
    </row>
    <row r="30" spans="1:35" s="44" customFormat="1" ht="66.75" customHeight="1">
      <c r="A30" s="148" t="s">
        <v>193</v>
      </c>
      <c r="B30" s="146" t="s">
        <v>199</v>
      </c>
      <c r="C30" s="149" t="s">
        <v>195</v>
      </c>
      <c r="D30" s="150">
        <v>2</v>
      </c>
      <c r="E30" s="150" t="s">
        <v>196</v>
      </c>
      <c r="F30" s="151" t="s">
        <v>200</v>
      </c>
      <c r="G30" s="152">
        <v>4</v>
      </c>
      <c r="H30" s="152">
        <v>0</v>
      </c>
      <c r="I30" s="153">
        <v>4</v>
      </c>
      <c r="J30" s="154">
        <v>4</v>
      </c>
      <c r="K30" s="155">
        <v>0</v>
      </c>
      <c r="L30" s="148" t="s">
        <v>97</v>
      </c>
      <c r="M30" s="148" t="s">
        <v>58</v>
      </c>
      <c r="N30" s="156"/>
      <c r="O30" s="157" t="s">
        <v>59</v>
      </c>
      <c r="P30" s="158">
        <v>42</v>
      </c>
      <c r="Q30" s="152" t="s">
        <v>76</v>
      </c>
      <c r="R30" s="152" t="s">
        <v>70</v>
      </c>
      <c r="S30" s="148" t="s">
        <v>201</v>
      </c>
      <c r="T30" s="148">
        <v>0</v>
      </c>
      <c r="U30" s="159">
        <v>212</v>
      </c>
      <c r="V30" s="160" t="str">
        <f>VLOOKUP(U30,docentes!$A:$E,2,0)</f>
        <v>GABRIELA SPANGHERO LOTTA</v>
      </c>
      <c r="W30" s="161" t="str">
        <f>VLOOKUP(U30,docentes!$A:$E,5,0)</f>
        <v>CECS</v>
      </c>
      <c r="X30" s="162"/>
      <c r="Y30" s="163"/>
      <c r="Z30" s="164"/>
    </row>
    <row r="31" spans="1:35" s="44" customFormat="1" ht="66.75" customHeight="1">
      <c r="A31" s="148" t="s">
        <v>52</v>
      </c>
      <c r="B31" s="146" t="s">
        <v>202</v>
      </c>
      <c r="C31" s="149" t="s">
        <v>203</v>
      </c>
      <c r="D31" s="150">
        <v>1</v>
      </c>
      <c r="E31" s="150" t="s">
        <v>204</v>
      </c>
      <c r="F31" s="151" t="s">
        <v>205</v>
      </c>
      <c r="G31" s="152">
        <v>4</v>
      </c>
      <c r="H31" s="152">
        <v>0</v>
      </c>
      <c r="I31" s="153">
        <v>4</v>
      </c>
      <c r="J31" s="154">
        <v>4</v>
      </c>
      <c r="K31" s="155">
        <v>0</v>
      </c>
      <c r="L31" s="148" t="s">
        <v>67</v>
      </c>
      <c r="M31" s="148" t="s">
        <v>68</v>
      </c>
      <c r="N31" s="156">
        <v>63</v>
      </c>
      <c r="O31" s="165" t="s">
        <v>206</v>
      </c>
      <c r="P31" s="158">
        <v>63</v>
      </c>
      <c r="Q31" s="152" t="s">
        <v>60</v>
      </c>
      <c r="R31" s="152" t="s">
        <v>70</v>
      </c>
      <c r="S31" s="148" t="s">
        <v>207</v>
      </c>
      <c r="T31" s="148">
        <v>0</v>
      </c>
      <c r="U31" s="159">
        <v>315</v>
      </c>
      <c r="V31" s="160" t="str">
        <f>VLOOKUP(U31,docentes!$A:$E,2,0)</f>
        <v>LEANDRO BARONI</v>
      </c>
      <c r="W31" s="161" t="str">
        <f>VLOOKUP(U31,docentes!$A:$E,5,0)</f>
        <v>CECS</v>
      </c>
      <c r="X31" s="162"/>
      <c r="Y31" s="163"/>
      <c r="Z31" s="164"/>
    </row>
    <row r="32" spans="1:35" s="44" customFormat="1" ht="66.75" customHeight="1">
      <c r="A32" s="172" t="s">
        <v>114</v>
      </c>
      <c r="B32" s="146" t="s">
        <v>208</v>
      </c>
      <c r="C32" s="149" t="s">
        <v>209</v>
      </c>
      <c r="D32" s="150">
        <v>2</v>
      </c>
      <c r="E32" s="150" t="s">
        <v>210</v>
      </c>
      <c r="F32" s="151" t="s">
        <v>211</v>
      </c>
      <c r="G32" s="149">
        <v>4</v>
      </c>
      <c r="H32" s="173">
        <v>2</v>
      </c>
      <c r="I32" s="174">
        <v>4</v>
      </c>
      <c r="J32" s="155">
        <v>4</v>
      </c>
      <c r="K32" s="155">
        <v>2</v>
      </c>
      <c r="L32" s="172" t="s">
        <v>212</v>
      </c>
      <c r="M32" s="172" t="e">
        <v>#N/A</v>
      </c>
      <c r="N32" s="151"/>
      <c r="O32" s="172" t="s">
        <v>213</v>
      </c>
      <c r="P32" s="175">
        <v>41</v>
      </c>
      <c r="Q32" s="152" t="s">
        <v>60</v>
      </c>
      <c r="R32" s="152" t="s">
        <v>61</v>
      </c>
      <c r="S32" s="148" t="s">
        <v>214</v>
      </c>
      <c r="T32" s="148" t="s">
        <v>215</v>
      </c>
      <c r="U32" s="159">
        <v>373</v>
      </c>
      <c r="V32" s="160" t="str">
        <f>VLOOKUP(U32,docentes!$A:$E,2,0)</f>
        <v>MARCIO KATSUMI OIKAWA</v>
      </c>
      <c r="W32" s="161" t="str">
        <f>VLOOKUP(U32,docentes!$A:$E,5,0)</f>
        <v>CMCC</v>
      </c>
      <c r="X32" s="176">
        <v>373</v>
      </c>
      <c r="Y32" s="160" t="str">
        <f>VLOOKUP(X32,docentes!$A:$E,2,0)</f>
        <v>MARCIO KATSUMI OIKAWA</v>
      </c>
      <c r="Z32" s="177" t="str">
        <f>VLOOKUP(X32,docentes!$A:$E,5,0)</f>
        <v>CMCC</v>
      </c>
      <c r="AA32" s="45"/>
      <c r="AB32" s="45"/>
      <c r="AC32" s="45"/>
      <c r="AD32" s="45"/>
      <c r="AE32" s="45"/>
      <c r="AF32" s="45"/>
      <c r="AG32" s="45"/>
    </row>
    <row r="33" spans="1:35" s="44" customFormat="1" ht="66.75" customHeight="1">
      <c r="A33" s="172" t="s">
        <v>114</v>
      </c>
      <c r="B33" s="146" t="s">
        <v>216</v>
      </c>
      <c r="C33" s="149" t="s">
        <v>209</v>
      </c>
      <c r="D33" s="150">
        <v>2</v>
      </c>
      <c r="E33" s="150" t="s">
        <v>210</v>
      </c>
      <c r="F33" s="151" t="s">
        <v>217</v>
      </c>
      <c r="G33" s="149">
        <v>4</v>
      </c>
      <c r="H33" s="173">
        <v>2</v>
      </c>
      <c r="I33" s="174">
        <v>4</v>
      </c>
      <c r="J33" s="155">
        <v>4</v>
      </c>
      <c r="K33" s="155">
        <v>2</v>
      </c>
      <c r="L33" s="172" t="s">
        <v>218</v>
      </c>
      <c r="M33" s="172" t="e">
        <v>#N/A</v>
      </c>
      <c r="N33" s="151"/>
      <c r="O33" s="172" t="s">
        <v>219</v>
      </c>
      <c r="P33" s="175">
        <v>64</v>
      </c>
      <c r="Q33" s="152" t="s">
        <v>60</v>
      </c>
      <c r="R33" s="152" t="s">
        <v>70</v>
      </c>
      <c r="S33" s="148" t="s">
        <v>220</v>
      </c>
      <c r="T33" s="148" t="s">
        <v>221</v>
      </c>
      <c r="U33" s="159">
        <v>424</v>
      </c>
      <c r="V33" s="160" t="str">
        <f>VLOOKUP(U33,docentes!$A:$E,2,0)</f>
        <v>MONAEL PINHEIRO RIBEIRO</v>
      </c>
      <c r="W33" s="161" t="str">
        <f>VLOOKUP(U33,docentes!$A:$E,5,0)</f>
        <v>CMCC</v>
      </c>
      <c r="X33" s="176">
        <v>424</v>
      </c>
      <c r="Y33" s="160" t="str">
        <f>VLOOKUP(X33,docentes!$A:$E,2,0)</f>
        <v>MONAEL PINHEIRO RIBEIRO</v>
      </c>
      <c r="Z33" s="177" t="str">
        <f>VLOOKUP(X33,docentes!$A:$E,5,0)</f>
        <v>CMCC</v>
      </c>
      <c r="AA33" s="45"/>
      <c r="AB33" s="45"/>
      <c r="AC33" s="45"/>
      <c r="AD33" s="45"/>
      <c r="AE33" s="45"/>
      <c r="AF33" s="45"/>
      <c r="AG33" s="45"/>
    </row>
    <row r="34" spans="1:35" s="44" customFormat="1" ht="66.75" customHeight="1">
      <c r="A34" s="172" t="s">
        <v>222</v>
      </c>
      <c r="B34" s="146" t="s">
        <v>223</v>
      </c>
      <c r="C34" s="149" t="s">
        <v>224</v>
      </c>
      <c r="D34" s="150">
        <v>52</v>
      </c>
      <c r="E34" s="150" t="s">
        <v>225</v>
      </c>
      <c r="F34" s="151" t="s">
        <v>226</v>
      </c>
      <c r="G34" s="149">
        <v>0</v>
      </c>
      <c r="H34" s="173">
        <v>3</v>
      </c>
      <c r="I34" s="174">
        <v>2</v>
      </c>
      <c r="J34" s="155">
        <v>0</v>
      </c>
      <c r="K34" s="155">
        <v>3</v>
      </c>
      <c r="L34" s="172" t="s">
        <v>57</v>
      </c>
      <c r="M34" s="172" t="s">
        <v>58</v>
      </c>
      <c r="N34" s="151"/>
      <c r="O34" s="157" t="s">
        <v>59</v>
      </c>
      <c r="P34" s="175">
        <v>30</v>
      </c>
      <c r="Q34" s="152" t="s">
        <v>60</v>
      </c>
      <c r="R34" s="152" t="s">
        <v>61</v>
      </c>
      <c r="S34" s="148">
        <v>0</v>
      </c>
      <c r="T34" s="148" t="s">
        <v>227</v>
      </c>
      <c r="U34" s="170"/>
      <c r="V34" s="163"/>
      <c r="W34" s="171"/>
      <c r="X34" s="176">
        <v>318</v>
      </c>
      <c r="Y34" s="160" t="str">
        <f>VLOOKUP(X34,docentes!$A:$E,2,0)</f>
        <v>LEONARDO JOSE STEIL</v>
      </c>
      <c r="Z34" s="177" t="str">
        <f>VLOOKUP(X34,docentes!$A:$E,5,0)</f>
        <v>CCNH</v>
      </c>
      <c r="AA34" s="45"/>
      <c r="AB34" s="45"/>
      <c r="AC34" s="45"/>
      <c r="AD34" s="45"/>
      <c r="AE34" s="45"/>
      <c r="AF34" s="45"/>
      <c r="AG34" s="45"/>
    </row>
    <row r="35" spans="1:35" s="44" customFormat="1" ht="66.75" customHeight="1">
      <c r="A35" s="172" t="s">
        <v>222</v>
      </c>
      <c r="B35" s="146" t="s">
        <v>228</v>
      </c>
      <c r="C35" s="149" t="s">
        <v>224</v>
      </c>
      <c r="D35" s="150">
        <v>52</v>
      </c>
      <c r="E35" s="150" t="s">
        <v>225</v>
      </c>
      <c r="F35" s="151" t="s">
        <v>229</v>
      </c>
      <c r="G35" s="149">
        <v>0</v>
      </c>
      <c r="H35" s="173">
        <v>3</v>
      </c>
      <c r="I35" s="174">
        <v>2</v>
      </c>
      <c r="J35" s="155">
        <v>0</v>
      </c>
      <c r="K35" s="155">
        <v>3</v>
      </c>
      <c r="L35" s="172" t="s">
        <v>57</v>
      </c>
      <c r="M35" s="172" t="s">
        <v>58</v>
      </c>
      <c r="N35" s="151"/>
      <c r="O35" s="157" t="s">
        <v>59</v>
      </c>
      <c r="P35" s="175">
        <v>32</v>
      </c>
      <c r="Q35" s="149" t="s">
        <v>76</v>
      </c>
      <c r="R35" s="152" t="s">
        <v>61</v>
      </c>
      <c r="S35" s="148">
        <v>0</v>
      </c>
      <c r="T35" s="148" t="s">
        <v>230</v>
      </c>
      <c r="U35" s="170"/>
      <c r="V35" s="163"/>
      <c r="W35" s="171"/>
      <c r="X35" s="176">
        <v>475</v>
      </c>
      <c r="Y35" s="160" t="str">
        <f>VLOOKUP(X35,docentes!$A:$E,2,0)</f>
        <v>RENATA SIMOES</v>
      </c>
      <c r="Z35" s="177" t="str">
        <f>VLOOKUP(X35,docentes!$A:$E,5,0)</f>
        <v>CCNH</v>
      </c>
      <c r="AA35" s="45"/>
      <c r="AB35" s="45"/>
      <c r="AC35" s="45"/>
      <c r="AD35" s="45"/>
      <c r="AE35" s="45"/>
      <c r="AF35" s="45"/>
      <c r="AG35" s="45"/>
    </row>
    <row r="36" spans="1:35" s="44" customFormat="1" ht="66.75" hidden="1" customHeight="1">
      <c r="A36" s="148" t="s">
        <v>222</v>
      </c>
      <c r="B36" s="168" t="s">
        <v>231</v>
      </c>
      <c r="C36" s="149"/>
      <c r="D36" s="150">
        <v>0</v>
      </c>
      <c r="E36" s="150" t="s">
        <v>225</v>
      </c>
      <c r="F36" s="169" t="s">
        <v>232</v>
      </c>
      <c r="G36" s="152">
        <v>0</v>
      </c>
      <c r="H36" s="152">
        <v>3</v>
      </c>
      <c r="I36" s="153">
        <v>2</v>
      </c>
      <c r="J36" s="154">
        <v>0</v>
      </c>
      <c r="K36" s="155">
        <v>0</v>
      </c>
      <c r="L36" s="148" t="s">
        <v>57</v>
      </c>
      <c r="M36" s="148" t="s">
        <v>58</v>
      </c>
      <c r="N36" s="166"/>
      <c r="O36" s="165" t="s">
        <v>233</v>
      </c>
      <c r="P36" s="158">
        <v>0</v>
      </c>
      <c r="Q36" s="152" t="s">
        <v>60</v>
      </c>
      <c r="R36" s="152" t="s">
        <v>70</v>
      </c>
      <c r="S36" s="148">
        <v>0</v>
      </c>
      <c r="T36" s="148" t="s">
        <v>234</v>
      </c>
      <c r="U36" s="170"/>
      <c r="V36" s="163"/>
      <c r="W36" s="171"/>
      <c r="X36" s="162"/>
      <c r="Y36" s="163"/>
      <c r="Z36" s="164"/>
    </row>
    <row r="37" spans="1:35" s="44" customFormat="1" ht="66.75" customHeight="1">
      <c r="A37" s="148" t="s">
        <v>222</v>
      </c>
      <c r="B37" s="146" t="s">
        <v>235</v>
      </c>
      <c r="C37" s="149" t="s">
        <v>224</v>
      </c>
      <c r="D37" s="150">
        <v>52</v>
      </c>
      <c r="E37" s="150" t="s">
        <v>225</v>
      </c>
      <c r="F37" s="151" t="s">
        <v>236</v>
      </c>
      <c r="G37" s="152">
        <v>0</v>
      </c>
      <c r="H37" s="152">
        <v>3</v>
      </c>
      <c r="I37" s="153">
        <v>2</v>
      </c>
      <c r="J37" s="154">
        <v>0</v>
      </c>
      <c r="K37" s="155">
        <v>3</v>
      </c>
      <c r="L37" s="148" t="s">
        <v>57</v>
      </c>
      <c r="M37" s="148" t="s">
        <v>58</v>
      </c>
      <c r="N37" s="156"/>
      <c r="O37" s="157" t="s">
        <v>59</v>
      </c>
      <c r="P37" s="158">
        <v>32</v>
      </c>
      <c r="Q37" s="149" t="s">
        <v>76</v>
      </c>
      <c r="R37" s="152" t="s">
        <v>70</v>
      </c>
      <c r="S37" s="148">
        <v>0</v>
      </c>
      <c r="T37" s="148" t="s">
        <v>237</v>
      </c>
      <c r="U37" s="170"/>
      <c r="V37" s="163"/>
      <c r="W37" s="171"/>
      <c r="X37" s="176">
        <v>475</v>
      </c>
      <c r="Y37" s="160" t="str">
        <f>VLOOKUP(X37,docentes!$A:$E,2,0)</f>
        <v>RENATA SIMOES</v>
      </c>
      <c r="Z37" s="177" t="str">
        <f>VLOOKUP(X37,docentes!$A:$E,5,0)</f>
        <v>CCNH</v>
      </c>
    </row>
    <row r="38" spans="1:35" s="44" customFormat="1" ht="66.75" customHeight="1">
      <c r="A38" s="172" t="s">
        <v>222</v>
      </c>
      <c r="B38" s="146" t="s">
        <v>238</v>
      </c>
      <c r="C38" s="149" t="s">
        <v>224</v>
      </c>
      <c r="D38" s="150">
        <v>52</v>
      </c>
      <c r="E38" s="150" t="s">
        <v>225</v>
      </c>
      <c r="F38" s="151" t="s">
        <v>239</v>
      </c>
      <c r="G38" s="149">
        <v>0</v>
      </c>
      <c r="H38" s="173">
        <v>3</v>
      </c>
      <c r="I38" s="174">
        <v>2</v>
      </c>
      <c r="J38" s="155">
        <v>0</v>
      </c>
      <c r="K38" s="155">
        <v>3</v>
      </c>
      <c r="L38" s="172" t="s">
        <v>57</v>
      </c>
      <c r="M38" s="172" t="s">
        <v>58</v>
      </c>
      <c r="N38" s="179"/>
      <c r="O38" s="157" t="s">
        <v>59</v>
      </c>
      <c r="P38" s="175">
        <v>30</v>
      </c>
      <c r="Q38" s="152" t="s">
        <v>60</v>
      </c>
      <c r="R38" s="152" t="s">
        <v>61</v>
      </c>
      <c r="S38" s="148">
        <v>0</v>
      </c>
      <c r="T38" s="148" t="s">
        <v>240</v>
      </c>
      <c r="U38" s="170"/>
      <c r="V38" s="163"/>
      <c r="W38" s="171"/>
      <c r="X38" s="176">
        <v>300</v>
      </c>
      <c r="Y38" s="160" t="str">
        <f>VLOOKUP(X38,docentes!$A:$E,2,0)</f>
        <v>JULIANA MARCHI</v>
      </c>
      <c r="Z38" s="177" t="str">
        <f>VLOOKUP(X38,docentes!$A:$E,5,0)</f>
        <v>CCNH</v>
      </c>
      <c r="AA38" s="45"/>
      <c r="AB38" s="45"/>
      <c r="AC38" s="45"/>
      <c r="AD38" s="45"/>
      <c r="AE38" s="45"/>
      <c r="AF38" s="45"/>
      <c r="AG38" s="45"/>
    </row>
    <row r="39" spans="1:35" s="44" customFormat="1" ht="66.75" customHeight="1">
      <c r="A39" s="172" t="s">
        <v>222</v>
      </c>
      <c r="B39" s="146" t="s">
        <v>241</v>
      </c>
      <c r="C39" s="149" t="s">
        <v>224</v>
      </c>
      <c r="D39" s="150">
        <v>52</v>
      </c>
      <c r="E39" s="150" t="s">
        <v>225</v>
      </c>
      <c r="F39" s="151" t="s">
        <v>242</v>
      </c>
      <c r="G39" s="149">
        <v>0</v>
      </c>
      <c r="H39" s="173">
        <v>3</v>
      </c>
      <c r="I39" s="174">
        <v>2</v>
      </c>
      <c r="J39" s="155">
        <v>0</v>
      </c>
      <c r="K39" s="155">
        <v>3</v>
      </c>
      <c r="L39" s="172" t="s">
        <v>57</v>
      </c>
      <c r="M39" s="172" t="s">
        <v>58</v>
      </c>
      <c r="N39" s="151"/>
      <c r="O39" s="157" t="s">
        <v>59</v>
      </c>
      <c r="P39" s="175">
        <v>32</v>
      </c>
      <c r="Q39" s="149" t="s">
        <v>76</v>
      </c>
      <c r="R39" s="152" t="s">
        <v>61</v>
      </c>
      <c r="S39" s="148">
        <v>0</v>
      </c>
      <c r="T39" s="148" t="s">
        <v>243</v>
      </c>
      <c r="U39" s="170"/>
      <c r="V39" s="163"/>
      <c r="W39" s="171"/>
      <c r="X39" s="176">
        <v>238</v>
      </c>
      <c r="Y39" s="160" t="str">
        <f>VLOOKUP(X39,docentes!$A:$E,2,0)</f>
        <v>HANA PAULA MASUDA</v>
      </c>
      <c r="Z39" s="177" t="str">
        <f>VLOOKUP(X39,docentes!$A:$E,5,0)</f>
        <v>CCNH</v>
      </c>
      <c r="AA39" s="45"/>
      <c r="AB39" s="45"/>
      <c r="AC39" s="45"/>
      <c r="AD39" s="45"/>
      <c r="AE39" s="45"/>
      <c r="AF39" s="45"/>
      <c r="AG39" s="45"/>
    </row>
    <row r="40" spans="1:35" s="44" customFormat="1" ht="66.75" customHeight="1">
      <c r="A40" s="148" t="s">
        <v>222</v>
      </c>
      <c r="B40" s="146" t="s">
        <v>244</v>
      </c>
      <c r="C40" s="149" t="s">
        <v>224</v>
      </c>
      <c r="D40" s="150">
        <v>52</v>
      </c>
      <c r="E40" s="150" t="s">
        <v>225</v>
      </c>
      <c r="F40" s="151" t="s">
        <v>245</v>
      </c>
      <c r="G40" s="152">
        <v>0</v>
      </c>
      <c r="H40" s="152">
        <v>3</v>
      </c>
      <c r="I40" s="153">
        <v>2</v>
      </c>
      <c r="J40" s="154">
        <v>0</v>
      </c>
      <c r="K40" s="155">
        <v>3</v>
      </c>
      <c r="L40" s="148" t="s">
        <v>57</v>
      </c>
      <c r="M40" s="148" t="s">
        <v>58</v>
      </c>
      <c r="N40" s="156"/>
      <c r="O40" s="157" t="s">
        <v>59</v>
      </c>
      <c r="P40" s="158">
        <v>30</v>
      </c>
      <c r="Q40" s="152" t="s">
        <v>60</v>
      </c>
      <c r="R40" s="152" t="s">
        <v>70</v>
      </c>
      <c r="S40" s="148">
        <v>0</v>
      </c>
      <c r="T40" s="148" t="s">
        <v>246</v>
      </c>
      <c r="U40" s="170"/>
      <c r="V40" s="163"/>
      <c r="W40" s="171"/>
      <c r="X40" s="176">
        <v>1008</v>
      </c>
      <c r="Y40" s="160" t="str">
        <f>VLOOKUP(X40,docentes!$A:$E,2,0)</f>
        <v>Prof Visitante/Bioquímica 2 BCB</v>
      </c>
      <c r="Z40" s="177" t="str">
        <f>VLOOKUP(X40,docentes!$A:$E,5,0)</f>
        <v>em contratação</v>
      </c>
    </row>
    <row r="41" spans="1:35" s="44" customFormat="1" ht="66.75" customHeight="1">
      <c r="A41" s="148" t="s">
        <v>222</v>
      </c>
      <c r="B41" s="146" t="s">
        <v>247</v>
      </c>
      <c r="C41" s="149" t="s">
        <v>224</v>
      </c>
      <c r="D41" s="150">
        <v>52</v>
      </c>
      <c r="E41" s="150" t="s">
        <v>225</v>
      </c>
      <c r="F41" s="151" t="s">
        <v>248</v>
      </c>
      <c r="G41" s="152">
        <v>0</v>
      </c>
      <c r="H41" s="152">
        <v>3</v>
      </c>
      <c r="I41" s="153">
        <v>2</v>
      </c>
      <c r="J41" s="154">
        <v>0</v>
      </c>
      <c r="K41" s="155">
        <v>3</v>
      </c>
      <c r="L41" s="148" t="s">
        <v>57</v>
      </c>
      <c r="M41" s="148" t="s">
        <v>58</v>
      </c>
      <c r="N41" s="156"/>
      <c r="O41" s="157" t="s">
        <v>59</v>
      </c>
      <c r="P41" s="158">
        <v>32</v>
      </c>
      <c r="Q41" s="149" t="s">
        <v>76</v>
      </c>
      <c r="R41" s="152" t="s">
        <v>70</v>
      </c>
      <c r="S41" s="148">
        <v>0</v>
      </c>
      <c r="T41" s="148" t="s">
        <v>249</v>
      </c>
      <c r="U41" s="170"/>
      <c r="V41" s="163"/>
      <c r="W41" s="171"/>
      <c r="X41" s="176">
        <v>431</v>
      </c>
      <c r="Y41" s="160" t="str">
        <f>VLOOKUP(X41,docentes!$A:$E,2,0)</f>
        <v>NATHALIA DE SETTA COSTA</v>
      </c>
      <c r="Z41" s="177" t="str">
        <f>VLOOKUP(X41,docentes!$A:$E,5,0)</f>
        <v>CCNH</v>
      </c>
    </row>
    <row r="42" spans="1:35" s="44" customFormat="1" ht="66.75" customHeight="1">
      <c r="A42" s="172" t="s">
        <v>222</v>
      </c>
      <c r="B42" s="146" t="s">
        <v>250</v>
      </c>
      <c r="C42" s="149" t="s">
        <v>224</v>
      </c>
      <c r="D42" s="150">
        <v>52</v>
      </c>
      <c r="E42" s="150" t="s">
        <v>225</v>
      </c>
      <c r="F42" s="151" t="s">
        <v>251</v>
      </c>
      <c r="G42" s="149">
        <v>0</v>
      </c>
      <c r="H42" s="173">
        <v>3</v>
      </c>
      <c r="I42" s="174">
        <v>2</v>
      </c>
      <c r="J42" s="155">
        <v>0</v>
      </c>
      <c r="K42" s="155">
        <v>3</v>
      </c>
      <c r="L42" s="172" t="s">
        <v>57</v>
      </c>
      <c r="M42" s="172" t="s">
        <v>58</v>
      </c>
      <c r="N42" s="151"/>
      <c r="O42" s="157" t="s">
        <v>59</v>
      </c>
      <c r="P42" s="175">
        <v>30</v>
      </c>
      <c r="Q42" s="152" t="s">
        <v>60</v>
      </c>
      <c r="R42" s="152" t="s">
        <v>61</v>
      </c>
      <c r="S42" s="148">
        <v>0</v>
      </c>
      <c r="T42" s="148" t="s">
        <v>252</v>
      </c>
      <c r="U42" s="170"/>
      <c r="V42" s="163"/>
      <c r="W42" s="171"/>
      <c r="X42" s="176">
        <v>90</v>
      </c>
      <c r="Y42" s="160" t="str">
        <f>VLOOKUP(X42,docentes!$A:$E,2,0)</f>
        <v>CARLOS SUETOSHI MIYAZAWA</v>
      </c>
      <c r="Z42" s="177" t="str">
        <f>VLOOKUP(X42,docentes!$A:$E,5,0)</f>
        <v>CCNH</v>
      </c>
      <c r="AA42" s="45"/>
      <c r="AB42" s="45"/>
      <c r="AC42" s="45"/>
      <c r="AD42" s="45"/>
      <c r="AE42" s="45"/>
      <c r="AF42" s="45"/>
      <c r="AG42" s="45"/>
    </row>
    <row r="43" spans="1:35" s="44" customFormat="1" ht="66.75" customHeight="1">
      <c r="A43" s="172" t="s">
        <v>222</v>
      </c>
      <c r="B43" s="146" t="s">
        <v>253</v>
      </c>
      <c r="C43" s="149" t="s">
        <v>224</v>
      </c>
      <c r="D43" s="150">
        <v>52</v>
      </c>
      <c r="E43" s="150" t="s">
        <v>225</v>
      </c>
      <c r="F43" s="151" t="s">
        <v>254</v>
      </c>
      <c r="G43" s="149">
        <v>0</v>
      </c>
      <c r="H43" s="173">
        <v>3</v>
      </c>
      <c r="I43" s="174">
        <v>2</v>
      </c>
      <c r="J43" s="155">
        <v>0</v>
      </c>
      <c r="K43" s="155">
        <v>3</v>
      </c>
      <c r="L43" s="172" t="s">
        <v>57</v>
      </c>
      <c r="M43" s="172" t="s">
        <v>58</v>
      </c>
      <c r="N43" s="151"/>
      <c r="O43" s="157" t="s">
        <v>59</v>
      </c>
      <c r="P43" s="175">
        <v>32</v>
      </c>
      <c r="Q43" s="149" t="s">
        <v>76</v>
      </c>
      <c r="R43" s="152" t="s">
        <v>61</v>
      </c>
      <c r="S43" s="148">
        <v>0</v>
      </c>
      <c r="T43" s="148" t="s">
        <v>255</v>
      </c>
      <c r="U43" s="170"/>
      <c r="V43" s="163"/>
      <c r="W43" s="171"/>
      <c r="X43" s="176">
        <v>83</v>
      </c>
      <c r="Y43" s="160" t="str">
        <f>VLOOKUP(X43,docentes!$A:$E,2,0)</f>
        <v>CARLOS ALBERTO DA SILVA</v>
      </c>
      <c r="Z43" s="177" t="str">
        <f>VLOOKUP(X43,docentes!$A:$E,5,0)</f>
        <v>CCNH</v>
      </c>
      <c r="AA43" s="45"/>
      <c r="AB43" s="45"/>
      <c r="AC43" s="45"/>
      <c r="AD43" s="45"/>
      <c r="AE43" s="45"/>
      <c r="AF43" s="45"/>
      <c r="AG43" s="45"/>
      <c r="AH43" s="45"/>
      <c r="AI43" s="45"/>
    </row>
    <row r="44" spans="1:35" s="44" customFormat="1" ht="66.75" customHeight="1">
      <c r="A44" s="148" t="s">
        <v>222</v>
      </c>
      <c r="B44" s="146" t="s">
        <v>256</v>
      </c>
      <c r="C44" s="149" t="s">
        <v>224</v>
      </c>
      <c r="D44" s="150">
        <v>52</v>
      </c>
      <c r="E44" s="150" t="s">
        <v>225</v>
      </c>
      <c r="F44" s="151" t="s">
        <v>257</v>
      </c>
      <c r="G44" s="152">
        <v>0</v>
      </c>
      <c r="H44" s="152">
        <v>3</v>
      </c>
      <c r="I44" s="153">
        <v>2</v>
      </c>
      <c r="J44" s="154">
        <v>0</v>
      </c>
      <c r="K44" s="155">
        <v>3</v>
      </c>
      <c r="L44" s="148" t="s">
        <v>57</v>
      </c>
      <c r="M44" s="148" t="s">
        <v>58</v>
      </c>
      <c r="N44" s="156"/>
      <c r="O44" s="157" t="s">
        <v>59</v>
      </c>
      <c r="P44" s="158">
        <v>30</v>
      </c>
      <c r="Q44" s="152" t="s">
        <v>60</v>
      </c>
      <c r="R44" s="152" t="s">
        <v>70</v>
      </c>
      <c r="S44" s="148">
        <v>0</v>
      </c>
      <c r="T44" s="148" t="s">
        <v>258</v>
      </c>
      <c r="U44" s="170"/>
      <c r="V44" s="163"/>
      <c r="W44" s="171"/>
      <c r="X44" s="176">
        <v>408</v>
      </c>
      <c r="Y44" s="160" t="str">
        <f>VLOOKUP(X44,docentes!$A:$E,2,0)</f>
        <v>MARISELMA FERREIRA</v>
      </c>
      <c r="Z44" s="177" t="str">
        <f>VLOOKUP(X44,docentes!$A:$E,5,0)</f>
        <v>CCNH</v>
      </c>
    </row>
    <row r="45" spans="1:35" s="44" customFormat="1" ht="66.75" customHeight="1">
      <c r="A45" s="148" t="s">
        <v>222</v>
      </c>
      <c r="B45" s="146" t="s">
        <v>259</v>
      </c>
      <c r="C45" s="149" t="s">
        <v>224</v>
      </c>
      <c r="D45" s="150">
        <v>52</v>
      </c>
      <c r="E45" s="150" t="s">
        <v>225</v>
      </c>
      <c r="F45" s="151" t="s">
        <v>260</v>
      </c>
      <c r="G45" s="152">
        <v>0</v>
      </c>
      <c r="H45" s="152">
        <v>3</v>
      </c>
      <c r="I45" s="153">
        <v>2</v>
      </c>
      <c r="J45" s="154">
        <v>0</v>
      </c>
      <c r="K45" s="155">
        <v>3</v>
      </c>
      <c r="L45" s="148" t="s">
        <v>57</v>
      </c>
      <c r="M45" s="148" t="s">
        <v>58</v>
      </c>
      <c r="N45" s="156"/>
      <c r="O45" s="157" t="s">
        <v>59</v>
      </c>
      <c r="P45" s="158">
        <v>32</v>
      </c>
      <c r="Q45" s="149" t="s">
        <v>76</v>
      </c>
      <c r="R45" s="152" t="s">
        <v>70</v>
      </c>
      <c r="S45" s="148">
        <v>0</v>
      </c>
      <c r="T45" s="148" t="s">
        <v>261</v>
      </c>
      <c r="U45" s="170"/>
      <c r="V45" s="163"/>
      <c r="W45" s="171"/>
      <c r="X45" s="176">
        <v>361</v>
      </c>
      <c r="Y45" s="160" t="str">
        <f>VLOOKUP(X45,docentes!$A:$E,2,0)</f>
        <v>MARCELO BUSSOTTI REYES</v>
      </c>
      <c r="Z45" s="177" t="str">
        <f>VLOOKUP(X45,docentes!$A:$E,5,0)</f>
        <v>CMCC</v>
      </c>
      <c r="AH45" s="45"/>
      <c r="AI45" s="45"/>
    </row>
    <row r="46" spans="1:35" ht="66.75" customHeight="1">
      <c r="A46" s="148" t="s">
        <v>222</v>
      </c>
      <c r="B46" s="146" t="s">
        <v>262</v>
      </c>
      <c r="C46" s="149" t="s">
        <v>224</v>
      </c>
      <c r="D46" s="150">
        <v>52</v>
      </c>
      <c r="E46" s="150" t="s">
        <v>225</v>
      </c>
      <c r="F46" s="151" t="s">
        <v>263</v>
      </c>
      <c r="G46" s="152">
        <v>0</v>
      </c>
      <c r="H46" s="152">
        <v>3</v>
      </c>
      <c r="I46" s="153">
        <v>2</v>
      </c>
      <c r="J46" s="154">
        <v>0</v>
      </c>
      <c r="K46" s="155">
        <v>3</v>
      </c>
      <c r="L46" s="148" t="s">
        <v>57</v>
      </c>
      <c r="M46" s="148" t="s">
        <v>58</v>
      </c>
      <c r="N46" s="156"/>
      <c r="O46" s="157" t="s">
        <v>59</v>
      </c>
      <c r="P46" s="158">
        <v>30</v>
      </c>
      <c r="Q46" s="152" t="s">
        <v>60</v>
      </c>
      <c r="R46" s="152" t="s">
        <v>61</v>
      </c>
      <c r="S46" s="148">
        <v>0</v>
      </c>
      <c r="T46" s="148" t="s">
        <v>264</v>
      </c>
      <c r="U46" s="170"/>
      <c r="V46" s="163"/>
      <c r="W46" s="171"/>
      <c r="X46" s="176">
        <v>265</v>
      </c>
      <c r="Y46" s="160" t="str">
        <f>VLOOKUP(X46,docentes!$A:$E,2,0)</f>
        <v>JEROEN SCHOENMAKER</v>
      </c>
      <c r="Z46" s="177" t="str">
        <f>VLOOKUP(X46,docentes!$A:$E,5,0)</f>
        <v>CECS</v>
      </c>
      <c r="AA46" s="44"/>
      <c r="AB46" s="44"/>
      <c r="AC46" s="44"/>
      <c r="AD46" s="44"/>
      <c r="AE46" s="44"/>
      <c r="AF46" s="44"/>
      <c r="AG46" s="44"/>
      <c r="AH46" s="44"/>
      <c r="AI46" s="44"/>
    </row>
    <row r="47" spans="1:35" s="44" customFormat="1" ht="66.75" customHeight="1">
      <c r="A47" s="148" t="s">
        <v>222</v>
      </c>
      <c r="B47" s="146" t="s">
        <v>265</v>
      </c>
      <c r="C47" s="149" t="s">
        <v>224</v>
      </c>
      <c r="D47" s="150">
        <v>52</v>
      </c>
      <c r="E47" s="150" t="s">
        <v>225</v>
      </c>
      <c r="F47" s="151" t="s">
        <v>266</v>
      </c>
      <c r="G47" s="152">
        <v>0</v>
      </c>
      <c r="H47" s="152">
        <v>3</v>
      </c>
      <c r="I47" s="153">
        <v>2</v>
      </c>
      <c r="J47" s="154">
        <v>0</v>
      </c>
      <c r="K47" s="155">
        <v>3</v>
      </c>
      <c r="L47" s="148" t="s">
        <v>57</v>
      </c>
      <c r="M47" s="148" t="s">
        <v>58</v>
      </c>
      <c r="N47" s="156"/>
      <c r="O47" s="157" t="s">
        <v>59</v>
      </c>
      <c r="P47" s="158">
        <v>30</v>
      </c>
      <c r="Q47" s="152" t="s">
        <v>60</v>
      </c>
      <c r="R47" s="152" t="s">
        <v>70</v>
      </c>
      <c r="S47" s="148">
        <v>0</v>
      </c>
      <c r="T47" s="148" t="s">
        <v>267</v>
      </c>
      <c r="U47" s="170"/>
      <c r="V47" s="163"/>
      <c r="W47" s="171"/>
      <c r="X47" s="176">
        <v>1009</v>
      </c>
      <c r="Y47" s="160" t="str">
        <f>VLOOKUP(X47,docentes!$A:$E,2,0)</f>
        <v>Prof Visitante/Bioquímica 1 BCB</v>
      </c>
      <c r="Z47" s="177" t="str">
        <f>VLOOKUP(X47,docentes!$A:$E,5,0)</f>
        <v>em contratação</v>
      </c>
    </row>
    <row r="48" spans="1:35" s="44" customFormat="1" ht="66.75" customHeight="1">
      <c r="A48" s="148" t="s">
        <v>222</v>
      </c>
      <c r="B48" s="146" t="s">
        <v>268</v>
      </c>
      <c r="C48" s="149" t="s">
        <v>224</v>
      </c>
      <c r="D48" s="150">
        <v>52</v>
      </c>
      <c r="E48" s="150" t="s">
        <v>225</v>
      </c>
      <c r="F48" s="151" t="s">
        <v>269</v>
      </c>
      <c r="G48" s="152">
        <v>0</v>
      </c>
      <c r="H48" s="152">
        <v>3</v>
      </c>
      <c r="I48" s="153">
        <v>2</v>
      </c>
      <c r="J48" s="154">
        <v>0</v>
      </c>
      <c r="K48" s="155">
        <v>3</v>
      </c>
      <c r="L48" s="148" t="s">
        <v>57</v>
      </c>
      <c r="M48" s="148" t="s">
        <v>58</v>
      </c>
      <c r="N48" s="166"/>
      <c r="O48" s="157" t="s">
        <v>59</v>
      </c>
      <c r="P48" s="158">
        <v>30</v>
      </c>
      <c r="Q48" s="152" t="s">
        <v>60</v>
      </c>
      <c r="R48" s="152" t="s">
        <v>61</v>
      </c>
      <c r="S48" s="148">
        <v>0</v>
      </c>
      <c r="T48" s="148" t="s">
        <v>270</v>
      </c>
      <c r="U48" s="170"/>
      <c r="V48" s="163"/>
      <c r="W48" s="171"/>
      <c r="X48" s="176">
        <v>44</v>
      </c>
      <c r="Y48" s="160" t="str">
        <f>VLOOKUP(X48,docentes!$A:$E,2,0)</f>
        <v>ANDERSON ORZARI RIBEIRO</v>
      </c>
      <c r="Z48" s="177" t="str">
        <f>VLOOKUP(X48,docentes!$A:$E,5,0)</f>
        <v>CCNH</v>
      </c>
    </row>
    <row r="49" spans="1:35" s="44" customFormat="1" ht="66.75" customHeight="1">
      <c r="A49" s="148" t="s">
        <v>222</v>
      </c>
      <c r="B49" s="146" t="s">
        <v>271</v>
      </c>
      <c r="C49" s="149" t="s">
        <v>224</v>
      </c>
      <c r="D49" s="150">
        <v>52</v>
      </c>
      <c r="E49" s="150" t="s">
        <v>225</v>
      </c>
      <c r="F49" s="151" t="s">
        <v>272</v>
      </c>
      <c r="G49" s="152">
        <v>0</v>
      </c>
      <c r="H49" s="152">
        <v>3</v>
      </c>
      <c r="I49" s="153">
        <v>2</v>
      </c>
      <c r="J49" s="154">
        <v>0</v>
      </c>
      <c r="K49" s="155">
        <v>3</v>
      </c>
      <c r="L49" s="148" t="s">
        <v>57</v>
      </c>
      <c r="M49" s="148" t="s">
        <v>58</v>
      </c>
      <c r="N49" s="156"/>
      <c r="O49" s="157" t="s">
        <v>59</v>
      </c>
      <c r="P49" s="158">
        <v>30</v>
      </c>
      <c r="Q49" s="152" t="s">
        <v>60</v>
      </c>
      <c r="R49" s="152" t="s">
        <v>70</v>
      </c>
      <c r="S49" s="148">
        <v>0</v>
      </c>
      <c r="T49" s="148" t="s">
        <v>273</v>
      </c>
      <c r="U49" s="170"/>
      <c r="V49" s="163"/>
      <c r="W49" s="171"/>
      <c r="X49" s="176">
        <v>83</v>
      </c>
      <c r="Y49" s="160" t="str">
        <f>VLOOKUP(X49,docentes!$A:$E,2,0)</f>
        <v>CARLOS ALBERTO DA SILVA</v>
      </c>
      <c r="Z49" s="177" t="str">
        <f>VLOOKUP(X49,docentes!$A:$E,5,0)</f>
        <v>CCNH</v>
      </c>
    </row>
    <row r="50" spans="1:35" s="44" customFormat="1" ht="66.75" customHeight="1">
      <c r="A50" s="148" t="s">
        <v>222</v>
      </c>
      <c r="B50" s="146" t="s">
        <v>274</v>
      </c>
      <c r="C50" s="149" t="s">
        <v>224</v>
      </c>
      <c r="D50" s="150">
        <v>52</v>
      </c>
      <c r="E50" s="150" t="s">
        <v>225</v>
      </c>
      <c r="F50" s="151" t="s">
        <v>275</v>
      </c>
      <c r="G50" s="152">
        <v>0</v>
      </c>
      <c r="H50" s="152">
        <v>3</v>
      </c>
      <c r="I50" s="153">
        <v>2</v>
      </c>
      <c r="J50" s="154">
        <v>0</v>
      </c>
      <c r="K50" s="155">
        <v>3</v>
      </c>
      <c r="L50" s="148" t="s">
        <v>57</v>
      </c>
      <c r="M50" s="148" t="s">
        <v>58</v>
      </c>
      <c r="N50" s="156"/>
      <c r="O50" s="157" t="s">
        <v>59</v>
      </c>
      <c r="P50" s="158">
        <v>30</v>
      </c>
      <c r="Q50" s="152" t="s">
        <v>60</v>
      </c>
      <c r="R50" s="152" t="s">
        <v>61</v>
      </c>
      <c r="S50" s="148">
        <v>0</v>
      </c>
      <c r="T50" s="148" t="s">
        <v>276</v>
      </c>
      <c r="U50" s="170"/>
      <c r="V50" s="163"/>
      <c r="W50" s="171"/>
      <c r="X50" s="176">
        <v>1008</v>
      </c>
      <c r="Y50" s="160" t="str">
        <f>VLOOKUP(X50,docentes!$A:$E,2,0)</f>
        <v>Prof Visitante/Bioquímica 2 BCB</v>
      </c>
      <c r="Z50" s="177" t="str">
        <f>VLOOKUP(X50,docentes!$A:$E,5,0)</f>
        <v>em contratação</v>
      </c>
    </row>
    <row r="51" spans="1:35" s="44" customFormat="1" ht="66.75" customHeight="1">
      <c r="A51" s="148" t="s">
        <v>222</v>
      </c>
      <c r="B51" s="146" t="s">
        <v>277</v>
      </c>
      <c r="C51" s="149" t="s">
        <v>224</v>
      </c>
      <c r="D51" s="150">
        <v>52</v>
      </c>
      <c r="E51" s="150" t="s">
        <v>225</v>
      </c>
      <c r="F51" s="151" t="s">
        <v>278</v>
      </c>
      <c r="G51" s="152">
        <v>0</v>
      </c>
      <c r="H51" s="152">
        <v>3</v>
      </c>
      <c r="I51" s="153">
        <v>2</v>
      </c>
      <c r="J51" s="154">
        <v>0</v>
      </c>
      <c r="K51" s="155">
        <v>3</v>
      </c>
      <c r="L51" s="148" t="s">
        <v>57</v>
      </c>
      <c r="M51" s="148" t="s">
        <v>58</v>
      </c>
      <c r="N51" s="166"/>
      <c r="O51" s="157" t="s">
        <v>59</v>
      </c>
      <c r="P51" s="158">
        <v>30</v>
      </c>
      <c r="Q51" s="152" t="s">
        <v>60</v>
      </c>
      <c r="R51" s="152" t="s">
        <v>70</v>
      </c>
      <c r="S51" s="148">
        <v>0</v>
      </c>
      <c r="T51" s="148" t="s">
        <v>279</v>
      </c>
      <c r="U51" s="170"/>
      <c r="V51" s="163"/>
      <c r="W51" s="171"/>
      <c r="X51" s="176">
        <v>29</v>
      </c>
      <c r="Y51" s="160" t="str">
        <f>VLOOKUP(X51,docentes!$A:$E,2,0)</f>
        <v>ALVARO TAKEO OMORI</v>
      </c>
      <c r="Z51" s="177" t="str">
        <f>VLOOKUP(X51,docentes!$A:$E,5,0)</f>
        <v>CCNH</v>
      </c>
    </row>
    <row r="52" spans="1:35" ht="66.75" hidden="1" customHeight="1">
      <c r="A52" s="148" t="s">
        <v>222</v>
      </c>
      <c r="B52" s="168" t="s">
        <v>280</v>
      </c>
      <c r="C52" s="149"/>
      <c r="D52" s="150">
        <v>0</v>
      </c>
      <c r="E52" s="150" t="s">
        <v>225</v>
      </c>
      <c r="F52" s="169" t="s">
        <v>281</v>
      </c>
      <c r="G52" s="152">
        <v>0</v>
      </c>
      <c r="H52" s="152">
        <v>3</v>
      </c>
      <c r="I52" s="153">
        <v>2</v>
      </c>
      <c r="J52" s="154">
        <v>0</v>
      </c>
      <c r="K52" s="155">
        <v>0</v>
      </c>
      <c r="L52" s="148" t="s">
        <v>57</v>
      </c>
      <c r="M52" s="148" t="s">
        <v>58</v>
      </c>
      <c r="N52" s="156"/>
      <c r="O52" s="165" t="s">
        <v>233</v>
      </c>
      <c r="P52" s="158">
        <v>0</v>
      </c>
      <c r="Q52" s="152" t="s">
        <v>60</v>
      </c>
      <c r="R52" s="152" t="s">
        <v>70</v>
      </c>
      <c r="S52" s="148">
        <v>0</v>
      </c>
      <c r="T52" s="148" t="s">
        <v>282</v>
      </c>
      <c r="U52" s="170"/>
      <c r="V52" s="163"/>
      <c r="W52" s="171"/>
      <c r="X52" s="162"/>
      <c r="Y52" s="163"/>
      <c r="Z52" s="164"/>
      <c r="AA52" s="44"/>
      <c r="AB52" s="44"/>
      <c r="AC52" s="44"/>
      <c r="AD52" s="44"/>
      <c r="AE52" s="44"/>
      <c r="AF52" s="44"/>
      <c r="AG52" s="44"/>
      <c r="AH52" s="44"/>
      <c r="AI52" s="44"/>
    </row>
    <row r="53" spans="1:35" s="44" customFormat="1" ht="66.75" customHeight="1">
      <c r="A53" s="148" t="s">
        <v>222</v>
      </c>
      <c r="B53" s="146" t="s">
        <v>283</v>
      </c>
      <c r="C53" s="149" t="s">
        <v>224</v>
      </c>
      <c r="D53" s="150">
        <v>52</v>
      </c>
      <c r="E53" s="150" t="s">
        <v>225</v>
      </c>
      <c r="F53" s="151" t="s">
        <v>284</v>
      </c>
      <c r="G53" s="152">
        <v>0</v>
      </c>
      <c r="H53" s="152">
        <v>3</v>
      </c>
      <c r="I53" s="153">
        <v>2</v>
      </c>
      <c r="J53" s="154">
        <v>0</v>
      </c>
      <c r="K53" s="155">
        <v>3</v>
      </c>
      <c r="L53" s="148" t="s">
        <v>57</v>
      </c>
      <c r="M53" s="148" t="s">
        <v>58</v>
      </c>
      <c r="N53" s="156"/>
      <c r="O53" s="157" t="s">
        <v>59</v>
      </c>
      <c r="P53" s="158">
        <v>30</v>
      </c>
      <c r="Q53" s="152" t="s">
        <v>60</v>
      </c>
      <c r="R53" s="152" t="s">
        <v>61</v>
      </c>
      <c r="S53" s="148">
        <v>0</v>
      </c>
      <c r="T53" s="148" t="s">
        <v>285</v>
      </c>
      <c r="U53" s="170"/>
      <c r="V53" s="163"/>
      <c r="W53" s="171"/>
      <c r="X53" s="176">
        <v>300</v>
      </c>
      <c r="Y53" s="160" t="str">
        <f>VLOOKUP(X53,docentes!$A:$E,2,0)</f>
        <v>JULIANA MARCHI</v>
      </c>
      <c r="Z53" s="177" t="str">
        <f>VLOOKUP(X53,docentes!$A:$E,5,0)</f>
        <v>CCNH</v>
      </c>
      <c r="AH53" s="45"/>
      <c r="AI53" s="45"/>
    </row>
    <row r="54" spans="1:35" s="44" customFormat="1" ht="66.75" customHeight="1">
      <c r="A54" s="148" t="s">
        <v>222</v>
      </c>
      <c r="B54" s="146" t="s">
        <v>286</v>
      </c>
      <c r="C54" s="149" t="s">
        <v>224</v>
      </c>
      <c r="D54" s="150">
        <v>52</v>
      </c>
      <c r="E54" s="150" t="s">
        <v>225</v>
      </c>
      <c r="F54" s="151" t="s">
        <v>287</v>
      </c>
      <c r="G54" s="152">
        <v>0</v>
      </c>
      <c r="H54" s="152">
        <v>3</v>
      </c>
      <c r="I54" s="153">
        <v>2</v>
      </c>
      <c r="J54" s="154">
        <v>0</v>
      </c>
      <c r="K54" s="155">
        <v>3</v>
      </c>
      <c r="L54" s="148" t="s">
        <v>57</v>
      </c>
      <c r="M54" s="148" t="s">
        <v>58</v>
      </c>
      <c r="N54" s="156"/>
      <c r="O54" s="157" t="s">
        <v>59</v>
      </c>
      <c r="P54" s="158">
        <v>32</v>
      </c>
      <c r="Q54" s="149" t="s">
        <v>76</v>
      </c>
      <c r="R54" s="152" t="s">
        <v>61</v>
      </c>
      <c r="S54" s="148">
        <v>0</v>
      </c>
      <c r="T54" s="148" t="s">
        <v>288</v>
      </c>
      <c r="U54" s="170"/>
      <c r="V54" s="163"/>
      <c r="W54" s="171"/>
      <c r="X54" s="176">
        <v>235</v>
      </c>
      <c r="Y54" s="160" t="str">
        <f>VLOOKUP(X54,docentes!$A:$E,2,0)</f>
        <v>GUSTAVO MORARI DO NASCIMENTO</v>
      </c>
      <c r="Z54" s="177" t="str">
        <f>VLOOKUP(X54,docentes!$A:$E,5,0)</f>
        <v>CCNH</v>
      </c>
    </row>
    <row r="55" spans="1:35" s="44" customFormat="1" ht="66.75" customHeight="1">
      <c r="A55" s="148" t="s">
        <v>222</v>
      </c>
      <c r="B55" s="146" t="s">
        <v>289</v>
      </c>
      <c r="C55" s="149" t="s">
        <v>224</v>
      </c>
      <c r="D55" s="150">
        <v>52</v>
      </c>
      <c r="E55" s="150" t="s">
        <v>225</v>
      </c>
      <c r="F55" s="151" t="s">
        <v>290</v>
      </c>
      <c r="G55" s="152">
        <v>0</v>
      </c>
      <c r="H55" s="152">
        <v>3</v>
      </c>
      <c r="I55" s="153">
        <v>2</v>
      </c>
      <c r="J55" s="154">
        <v>0</v>
      </c>
      <c r="K55" s="155">
        <v>3</v>
      </c>
      <c r="L55" s="148" t="s">
        <v>57</v>
      </c>
      <c r="M55" s="148" t="s">
        <v>58</v>
      </c>
      <c r="N55" s="156"/>
      <c r="O55" s="157" t="s">
        <v>59</v>
      </c>
      <c r="P55" s="158">
        <v>30</v>
      </c>
      <c r="Q55" s="152" t="s">
        <v>60</v>
      </c>
      <c r="R55" s="152" t="s">
        <v>70</v>
      </c>
      <c r="S55" s="148">
        <v>0</v>
      </c>
      <c r="T55" s="148" t="s">
        <v>291</v>
      </c>
      <c r="U55" s="170"/>
      <c r="V55" s="163"/>
      <c r="W55" s="171"/>
      <c r="X55" s="176">
        <v>265</v>
      </c>
      <c r="Y55" s="160" t="str">
        <f>VLOOKUP(X55,docentes!$A:$E,2,0)</f>
        <v>JEROEN SCHOENMAKER</v>
      </c>
      <c r="Z55" s="177" t="str">
        <f>VLOOKUP(X55,docentes!$A:$E,5,0)</f>
        <v>CECS</v>
      </c>
    </row>
    <row r="56" spans="1:35" s="44" customFormat="1" ht="66.75" customHeight="1">
      <c r="A56" s="148" t="s">
        <v>222</v>
      </c>
      <c r="B56" s="146" t="s">
        <v>292</v>
      </c>
      <c r="C56" s="149" t="s">
        <v>224</v>
      </c>
      <c r="D56" s="150">
        <v>52</v>
      </c>
      <c r="E56" s="150" t="s">
        <v>225</v>
      </c>
      <c r="F56" s="151" t="s">
        <v>293</v>
      </c>
      <c r="G56" s="152">
        <v>0</v>
      </c>
      <c r="H56" s="152">
        <v>3</v>
      </c>
      <c r="I56" s="153">
        <v>2</v>
      </c>
      <c r="J56" s="154">
        <v>0</v>
      </c>
      <c r="K56" s="155">
        <v>3</v>
      </c>
      <c r="L56" s="148" t="s">
        <v>57</v>
      </c>
      <c r="M56" s="148" t="s">
        <v>58</v>
      </c>
      <c r="N56" s="156"/>
      <c r="O56" s="157" t="s">
        <v>59</v>
      </c>
      <c r="P56" s="158">
        <v>32</v>
      </c>
      <c r="Q56" s="149" t="s">
        <v>76</v>
      </c>
      <c r="R56" s="152" t="s">
        <v>70</v>
      </c>
      <c r="S56" s="148">
        <v>0</v>
      </c>
      <c r="T56" s="148" t="s">
        <v>294</v>
      </c>
      <c r="U56" s="170"/>
      <c r="V56" s="163"/>
      <c r="W56" s="171"/>
      <c r="X56" s="176">
        <v>238</v>
      </c>
      <c r="Y56" s="160" t="str">
        <f>VLOOKUP(X56,docentes!$A:$E,2,0)</f>
        <v>HANA PAULA MASUDA</v>
      </c>
      <c r="Z56" s="177" t="str">
        <f>VLOOKUP(X56,docentes!$A:$E,5,0)</f>
        <v>CCNH</v>
      </c>
    </row>
    <row r="57" spans="1:35" s="44" customFormat="1" ht="66.75" customHeight="1">
      <c r="A57" s="148" t="s">
        <v>222</v>
      </c>
      <c r="B57" s="146" t="s">
        <v>295</v>
      </c>
      <c r="C57" s="149" t="s">
        <v>224</v>
      </c>
      <c r="D57" s="150">
        <v>52</v>
      </c>
      <c r="E57" s="150" t="s">
        <v>225</v>
      </c>
      <c r="F57" s="151" t="s">
        <v>296</v>
      </c>
      <c r="G57" s="152">
        <v>0</v>
      </c>
      <c r="H57" s="152">
        <v>3</v>
      </c>
      <c r="I57" s="153">
        <v>2</v>
      </c>
      <c r="J57" s="154">
        <v>0</v>
      </c>
      <c r="K57" s="155">
        <v>3</v>
      </c>
      <c r="L57" s="148" t="s">
        <v>57</v>
      </c>
      <c r="M57" s="148" t="s">
        <v>58</v>
      </c>
      <c r="N57" s="156"/>
      <c r="O57" s="157" t="s">
        <v>59</v>
      </c>
      <c r="P57" s="158">
        <v>30</v>
      </c>
      <c r="Q57" s="152" t="s">
        <v>60</v>
      </c>
      <c r="R57" s="152" t="s">
        <v>61</v>
      </c>
      <c r="S57" s="148">
        <v>0</v>
      </c>
      <c r="T57" s="148" t="s">
        <v>297</v>
      </c>
      <c r="U57" s="170"/>
      <c r="V57" s="163"/>
      <c r="W57" s="171"/>
      <c r="X57" s="176">
        <v>90</v>
      </c>
      <c r="Y57" s="160" t="str">
        <f>VLOOKUP(X57,docentes!$A:$E,2,0)</f>
        <v>CARLOS SUETOSHI MIYAZAWA</v>
      </c>
      <c r="Z57" s="177" t="str">
        <f>VLOOKUP(X57,docentes!$A:$E,5,0)</f>
        <v>CCNH</v>
      </c>
    </row>
    <row r="58" spans="1:35" s="44" customFormat="1" ht="66.75" customHeight="1">
      <c r="A58" s="148" t="s">
        <v>222</v>
      </c>
      <c r="B58" s="146" t="s">
        <v>298</v>
      </c>
      <c r="C58" s="149" t="s">
        <v>224</v>
      </c>
      <c r="D58" s="150">
        <v>52</v>
      </c>
      <c r="E58" s="150" t="s">
        <v>225</v>
      </c>
      <c r="F58" s="151" t="s">
        <v>299</v>
      </c>
      <c r="G58" s="152">
        <v>0</v>
      </c>
      <c r="H58" s="152">
        <v>3</v>
      </c>
      <c r="I58" s="153">
        <v>2</v>
      </c>
      <c r="J58" s="154">
        <v>0</v>
      </c>
      <c r="K58" s="155">
        <v>3</v>
      </c>
      <c r="L58" s="148" t="s">
        <v>57</v>
      </c>
      <c r="M58" s="148" t="s">
        <v>58</v>
      </c>
      <c r="N58" s="156"/>
      <c r="O58" s="157" t="s">
        <v>59</v>
      </c>
      <c r="P58" s="158">
        <v>32</v>
      </c>
      <c r="Q58" s="149" t="s">
        <v>76</v>
      </c>
      <c r="R58" s="152" t="s">
        <v>61</v>
      </c>
      <c r="S58" s="148">
        <v>0</v>
      </c>
      <c r="T58" s="148" t="s">
        <v>300</v>
      </c>
      <c r="U58" s="170"/>
      <c r="V58" s="163"/>
      <c r="W58" s="171"/>
      <c r="X58" s="176">
        <v>475</v>
      </c>
      <c r="Y58" s="160" t="str">
        <f>VLOOKUP(X58,docentes!$A:$E,2,0)</f>
        <v>RENATA SIMOES</v>
      </c>
      <c r="Z58" s="177" t="str">
        <f>VLOOKUP(X58,docentes!$A:$E,5,0)</f>
        <v>CCNH</v>
      </c>
      <c r="AH58" s="45"/>
      <c r="AI58" s="45"/>
    </row>
    <row r="59" spans="1:35" s="44" customFormat="1" ht="66.75" customHeight="1">
      <c r="A59" s="148" t="s">
        <v>222</v>
      </c>
      <c r="B59" s="146" t="s">
        <v>301</v>
      </c>
      <c r="C59" s="149" t="s">
        <v>224</v>
      </c>
      <c r="D59" s="150">
        <v>52</v>
      </c>
      <c r="E59" s="150" t="s">
        <v>225</v>
      </c>
      <c r="F59" s="151" t="s">
        <v>302</v>
      </c>
      <c r="G59" s="152">
        <v>0</v>
      </c>
      <c r="H59" s="152">
        <v>3</v>
      </c>
      <c r="I59" s="153">
        <v>2</v>
      </c>
      <c r="J59" s="154">
        <v>0</v>
      </c>
      <c r="K59" s="155">
        <v>3</v>
      </c>
      <c r="L59" s="148" t="s">
        <v>57</v>
      </c>
      <c r="M59" s="148" t="s">
        <v>58</v>
      </c>
      <c r="N59" s="156"/>
      <c r="O59" s="157" t="s">
        <v>59</v>
      </c>
      <c r="P59" s="158">
        <v>30</v>
      </c>
      <c r="Q59" s="152" t="s">
        <v>60</v>
      </c>
      <c r="R59" s="152" t="s">
        <v>70</v>
      </c>
      <c r="S59" s="148">
        <v>0</v>
      </c>
      <c r="T59" s="148" t="s">
        <v>303</v>
      </c>
      <c r="U59" s="170"/>
      <c r="V59" s="163"/>
      <c r="W59" s="171"/>
      <c r="X59" s="176">
        <v>1008</v>
      </c>
      <c r="Y59" s="160" t="str">
        <f>VLOOKUP(X59,docentes!$A:$E,2,0)</f>
        <v>Prof Visitante/Bioquímica 2 BCB</v>
      </c>
      <c r="Z59" s="177" t="str">
        <f>VLOOKUP(X59,docentes!$A:$E,5,0)</f>
        <v>em contratação</v>
      </c>
    </row>
    <row r="60" spans="1:35" s="44" customFormat="1" ht="66.75" customHeight="1">
      <c r="A60" s="148" t="s">
        <v>222</v>
      </c>
      <c r="B60" s="146" t="s">
        <v>304</v>
      </c>
      <c r="C60" s="149" t="s">
        <v>224</v>
      </c>
      <c r="D60" s="150">
        <v>52</v>
      </c>
      <c r="E60" s="150" t="s">
        <v>225</v>
      </c>
      <c r="F60" s="151" t="s">
        <v>305</v>
      </c>
      <c r="G60" s="152">
        <v>0</v>
      </c>
      <c r="H60" s="152">
        <v>3</v>
      </c>
      <c r="I60" s="153">
        <v>2</v>
      </c>
      <c r="J60" s="154">
        <v>0</v>
      </c>
      <c r="K60" s="155">
        <v>3</v>
      </c>
      <c r="L60" s="148" t="s">
        <v>57</v>
      </c>
      <c r="M60" s="148" t="s">
        <v>58</v>
      </c>
      <c r="N60" s="156"/>
      <c r="O60" s="157" t="s">
        <v>59</v>
      </c>
      <c r="P60" s="158">
        <v>32</v>
      </c>
      <c r="Q60" s="149" t="s">
        <v>76</v>
      </c>
      <c r="R60" s="152" t="s">
        <v>70</v>
      </c>
      <c r="S60" s="148">
        <v>0</v>
      </c>
      <c r="T60" s="148" t="s">
        <v>306</v>
      </c>
      <c r="U60" s="170"/>
      <c r="V60" s="163"/>
      <c r="W60" s="171"/>
      <c r="X60" s="176">
        <v>431</v>
      </c>
      <c r="Y60" s="160" t="str">
        <f>VLOOKUP(X60,docentes!$A:$E,2,0)</f>
        <v>NATHALIA DE SETTA COSTA</v>
      </c>
      <c r="Z60" s="177" t="str">
        <f>VLOOKUP(X60,docentes!$A:$E,5,0)</f>
        <v>CCNH</v>
      </c>
    </row>
    <row r="61" spans="1:35" s="44" customFormat="1" ht="66.75" customHeight="1">
      <c r="A61" s="148" t="s">
        <v>222</v>
      </c>
      <c r="B61" s="146" t="s">
        <v>307</v>
      </c>
      <c r="C61" s="149" t="s">
        <v>224</v>
      </c>
      <c r="D61" s="150">
        <v>52</v>
      </c>
      <c r="E61" s="150" t="s">
        <v>225</v>
      </c>
      <c r="F61" s="151" t="s">
        <v>308</v>
      </c>
      <c r="G61" s="152">
        <v>0</v>
      </c>
      <c r="H61" s="152">
        <v>3</v>
      </c>
      <c r="I61" s="153">
        <v>2</v>
      </c>
      <c r="J61" s="154">
        <v>0</v>
      </c>
      <c r="K61" s="155">
        <v>3</v>
      </c>
      <c r="L61" s="148" t="s">
        <v>57</v>
      </c>
      <c r="M61" s="148" t="s">
        <v>58</v>
      </c>
      <c r="N61" s="156"/>
      <c r="O61" s="157" t="s">
        <v>59</v>
      </c>
      <c r="P61" s="158">
        <v>30</v>
      </c>
      <c r="Q61" s="152" t="s">
        <v>60</v>
      </c>
      <c r="R61" s="152" t="s">
        <v>61</v>
      </c>
      <c r="S61" s="148">
        <v>0</v>
      </c>
      <c r="T61" s="148" t="s">
        <v>309</v>
      </c>
      <c r="U61" s="170"/>
      <c r="V61" s="163"/>
      <c r="W61" s="171"/>
      <c r="X61" s="176">
        <v>258</v>
      </c>
      <c r="Y61" s="160" t="str">
        <f>VLOOKUP(X61,docentes!$A:$E,2,0)</f>
        <v>IVANISE GAUBEUR</v>
      </c>
      <c r="Z61" s="177" t="str">
        <f>VLOOKUP(X61,docentes!$A:$E,5,0)</f>
        <v>CCNH</v>
      </c>
    </row>
    <row r="62" spans="1:35" ht="66.75" customHeight="1">
      <c r="A62" s="148" t="s">
        <v>222</v>
      </c>
      <c r="B62" s="146" t="s">
        <v>310</v>
      </c>
      <c r="C62" s="149" t="s">
        <v>224</v>
      </c>
      <c r="D62" s="150">
        <v>52</v>
      </c>
      <c r="E62" s="150" t="s">
        <v>225</v>
      </c>
      <c r="F62" s="151" t="s">
        <v>311</v>
      </c>
      <c r="G62" s="152">
        <v>0</v>
      </c>
      <c r="H62" s="152">
        <v>3</v>
      </c>
      <c r="I62" s="153">
        <v>2</v>
      </c>
      <c r="J62" s="154">
        <v>0</v>
      </c>
      <c r="K62" s="155">
        <v>3</v>
      </c>
      <c r="L62" s="148" t="s">
        <v>57</v>
      </c>
      <c r="M62" s="148" t="s">
        <v>58</v>
      </c>
      <c r="N62" s="156"/>
      <c r="O62" s="157" t="s">
        <v>59</v>
      </c>
      <c r="P62" s="158">
        <v>32</v>
      </c>
      <c r="Q62" s="149" t="s">
        <v>76</v>
      </c>
      <c r="R62" s="152" t="s">
        <v>61</v>
      </c>
      <c r="S62" s="148">
        <v>0</v>
      </c>
      <c r="T62" s="148" t="s">
        <v>312</v>
      </c>
      <c r="U62" s="170"/>
      <c r="V62" s="163"/>
      <c r="W62" s="171"/>
      <c r="X62" s="176">
        <v>83</v>
      </c>
      <c r="Y62" s="160" t="str">
        <f>VLOOKUP(X62,docentes!$A:$E,2,0)</f>
        <v>CARLOS ALBERTO DA SILVA</v>
      </c>
      <c r="Z62" s="177" t="str">
        <f>VLOOKUP(X62,docentes!$A:$E,5,0)</f>
        <v>CCNH</v>
      </c>
      <c r="AA62" s="44"/>
      <c r="AB62" s="44"/>
      <c r="AC62" s="44"/>
      <c r="AD62" s="44"/>
      <c r="AE62" s="44"/>
      <c r="AF62" s="44"/>
      <c r="AG62" s="44"/>
      <c r="AH62" s="44"/>
      <c r="AI62" s="44"/>
    </row>
    <row r="63" spans="1:35" s="44" customFormat="1" ht="66.75" customHeight="1">
      <c r="A63" s="148" t="s">
        <v>222</v>
      </c>
      <c r="B63" s="146" t="s">
        <v>313</v>
      </c>
      <c r="C63" s="149" t="s">
        <v>224</v>
      </c>
      <c r="D63" s="150">
        <v>52</v>
      </c>
      <c r="E63" s="150" t="s">
        <v>225</v>
      </c>
      <c r="F63" s="151" t="s">
        <v>314</v>
      </c>
      <c r="G63" s="152">
        <v>0</v>
      </c>
      <c r="H63" s="152">
        <v>3</v>
      </c>
      <c r="I63" s="153">
        <v>2</v>
      </c>
      <c r="J63" s="154">
        <v>0</v>
      </c>
      <c r="K63" s="155">
        <v>3</v>
      </c>
      <c r="L63" s="148" t="s">
        <v>57</v>
      </c>
      <c r="M63" s="148" t="s">
        <v>58</v>
      </c>
      <c r="N63" s="156"/>
      <c r="O63" s="157" t="s">
        <v>59</v>
      </c>
      <c r="P63" s="158">
        <v>30</v>
      </c>
      <c r="Q63" s="152" t="s">
        <v>60</v>
      </c>
      <c r="R63" s="152" t="s">
        <v>70</v>
      </c>
      <c r="S63" s="148">
        <v>0</v>
      </c>
      <c r="T63" s="148" t="s">
        <v>315</v>
      </c>
      <c r="U63" s="170"/>
      <c r="V63" s="163"/>
      <c r="W63" s="171"/>
      <c r="X63" s="176">
        <v>408</v>
      </c>
      <c r="Y63" s="160" t="str">
        <f>VLOOKUP(X63,docentes!$A:$E,2,0)</f>
        <v>MARISELMA FERREIRA</v>
      </c>
      <c r="Z63" s="177" t="str">
        <f>VLOOKUP(X63,docentes!$A:$E,5,0)</f>
        <v>CCNH</v>
      </c>
    </row>
    <row r="64" spans="1:35" s="44" customFormat="1" ht="66.75" customHeight="1">
      <c r="A64" s="148" t="s">
        <v>222</v>
      </c>
      <c r="B64" s="146" t="s">
        <v>316</v>
      </c>
      <c r="C64" s="149" t="s">
        <v>224</v>
      </c>
      <c r="D64" s="150">
        <v>52</v>
      </c>
      <c r="E64" s="150" t="s">
        <v>225</v>
      </c>
      <c r="F64" s="151" t="s">
        <v>317</v>
      </c>
      <c r="G64" s="152">
        <v>0</v>
      </c>
      <c r="H64" s="152">
        <v>3</v>
      </c>
      <c r="I64" s="153">
        <v>2</v>
      </c>
      <c r="J64" s="154">
        <v>0</v>
      </c>
      <c r="K64" s="155">
        <v>3</v>
      </c>
      <c r="L64" s="148" t="s">
        <v>57</v>
      </c>
      <c r="M64" s="148" t="s">
        <v>58</v>
      </c>
      <c r="N64" s="156"/>
      <c r="O64" s="157" t="s">
        <v>59</v>
      </c>
      <c r="P64" s="158">
        <v>32</v>
      </c>
      <c r="Q64" s="149" t="s">
        <v>76</v>
      </c>
      <c r="R64" s="152" t="s">
        <v>70</v>
      </c>
      <c r="S64" s="148">
        <v>0</v>
      </c>
      <c r="T64" s="148" t="s">
        <v>318</v>
      </c>
      <c r="U64" s="170"/>
      <c r="V64" s="163"/>
      <c r="W64" s="171"/>
      <c r="X64" s="176">
        <v>392</v>
      </c>
      <c r="Y64" s="160" t="str">
        <f>VLOOKUP(X64,docentes!$A:$E,2,0)</f>
        <v>MARIA CRISTINA CARLAN DA SILVA</v>
      </c>
      <c r="Z64" s="177" t="str">
        <f>VLOOKUP(X64,docentes!$A:$E,5,0)</f>
        <v>CCNH</v>
      </c>
    </row>
    <row r="65" spans="1:35" s="44" customFormat="1" ht="66.75" customHeight="1">
      <c r="A65" s="148" t="s">
        <v>222</v>
      </c>
      <c r="B65" s="146" t="s">
        <v>319</v>
      </c>
      <c r="C65" s="149" t="s">
        <v>224</v>
      </c>
      <c r="D65" s="150">
        <v>52</v>
      </c>
      <c r="E65" s="150" t="s">
        <v>225</v>
      </c>
      <c r="F65" s="151" t="s">
        <v>320</v>
      </c>
      <c r="G65" s="152">
        <v>0</v>
      </c>
      <c r="H65" s="152">
        <v>3</v>
      </c>
      <c r="I65" s="153">
        <v>2</v>
      </c>
      <c r="J65" s="154">
        <v>0</v>
      </c>
      <c r="K65" s="155">
        <v>3</v>
      </c>
      <c r="L65" s="148" t="s">
        <v>57</v>
      </c>
      <c r="M65" s="148" t="s">
        <v>58</v>
      </c>
      <c r="N65" s="156"/>
      <c r="O65" s="157" t="s">
        <v>59</v>
      </c>
      <c r="P65" s="158">
        <v>30</v>
      </c>
      <c r="Q65" s="152" t="s">
        <v>60</v>
      </c>
      <c r="R65" s="152" t="s">
        <v>61</v>
      </c>
      <c r="S65" s="148">
        <v>0</v>
      </c>
      <c r="T65" s="148" t="s">
        <v>321</v>
      </c>
      <c r="U65" s="170"/>
      <c r="V65" s="163"/>
      <c r="W65" s="171"/>
      <c r="X65" s="176">
        <v>361</v>
      </c>
      <c r="Y65" s="160" t="str">
        <f>VLOOKUP(X65,docentes!$A:$E,2,0)</f>
        <v>MARCELO BUSSOTTI REYES</v>
      </c>
      <c r="Z65" s="177" t="str">
        <f>VLOOKUP(X65,docentes!$A:$E,5,0)</f>
        <v>CMCC</v>
      </c>
    </row>
    <row r="66" spans="1:35" s="44" customFormat="1" ht="66.75" customHeight="1">
      <c r="A66" s="148" t="s">
        <v>222</v>
      </c>
      <c r="B66" s="146" t="s">
        <v>322</v>
      </c>
      <c r="C66" s="149" t="s">
        <v>224</v>
      </c>
      <c r="D66" s="150">
        <v>52</v>
      </c>
      <c r="E66" s="150" t="s">
        <v>225</v>
      </c>
      <c r="F66" s="151" t="s">
        <v>323</v>
      </c>
      <c r="G66" s="152">
        <v>0</v>
      </c>
      <c r="H66" s="152">
        <v>3</v>
      </c>
      <c r="I66" s="153">
        <v>2</v>
      </c>
      <c r="J66" s="154">
        <v>0</v>
      </c>
      <c r="K66" s="155">
        <v>3</v>
      </c>
      <c r="L66" s="148" t="s">
        <v>57</v>
      </c>
      <c r="M66" s="148" t="s">
        <v>58</v>
      </c>
      <c r="N66" s="156"/>
      <c r="O66" s="157" t="s">
        <v>59</v>
      </c>
      <c r="P66" s="158">
        <v>30</v>
      </c>
      <c r="Q66" s="152" t="s">
        <v>60</v>
      </c>
      <c r="R66" s="152" t="s">
        <v>70</v>
      </c>
      <c r="S66" s="148">
        <v>0</v>
      </c>
      <c r="T66" s="148" t="s">
        <v>324</v>
      </c>
      <c r="U66" s="170"/>
      <c r="V66" s="163"/>
      <c r="W66" s="171"/>
      <c r="X66" s="176">
        <v>1009</v>
      </c>
      <c r="Y66" s="160" t="str">
        <f>VLOOKUP(X66,docentes!$A:$E,2,0)</f>
        <v>Prof Visitante/Bioquímica 1 BCB</v>
      </c>
      <c r="Z66" s="177" t="str">
        <f>VLOOKUP(X66,docentes!$A:$E,5,0)</f>
        <v>em contratação</v>
      </c>
    </row>
    <row r="67" spans="1:35" s="44" customFormat="1" ht="66.75" customHeight="1">
      <c r="A67" s="148" t="s">
        <v>222</v>
      </c>
      <c r="B67" s="146" t="s">
        <v>325</v>
      </c>
      <c r="C67" s="149" t="s">
        <v>224</v>
      </c>
      <c r="D67" s="150">
        <v>52</v>
      </c>
      <c r="E67" s="150" t="s">
        <v>225</v>
      </c>
      <c r="F67" s="151" t="s">
        <v>326</v>
      </c>
      <c r="G67" s="152">
        <v>0</v>
      </c>
      <c r="H67" s="152">
        <v>3</v>
      </c>
      <c r="I67" s="153">
        <v>2</v>
      </c>
      <c r="J67" s="154">
        <v>0</v>
      </c>
      <c r="K67" s="155">
        <v>3</v>
      </c>
      <c r="L67" s="148" t="s">
        <v>57</v>
      </c>
      <c r="M67" s="148" t="s">
        <v>58</v>
      </c>
      <c r="N67" s="156"/>
      <c r="O67" s="157" t="s">
        <v>59</v>
      </c>
      <c r="P67" s="158">
        <v>30</v>
      </c>
      <c r="Q67" s="152" t="s">
        <v>60</v>
      </c>
      <c r="R67" s="152" t="s">
        <v>61</v>
      </c>
      <c r="S67" s="148">
        <v>0</v>
      </c>
      <c r="T67" s="148" t="s">
        <v>327</v>
      </c>
      <c r="U67" s="170"/>
      <c r="V67" s="163"/>
      <c r="W67" s="171"/>
      <c r="X67" s="176">
        <v>265</v>
      </c>
      <c r="Y67" s="160" t="str">
        <f>VLOOKUP(X67,docentes!$A:$E,2,0)</f>
        <v>JEROEN SCHOENMAKER</v>
      </c>
      <c r="Z67" s="177" t="str">
        <f>VLOOKUP(X67,docentes!$A:$E,5,0)</f>
        <v>CECS</v>
      </c>
    </row>
    <row r="68" spans="1:35" s="44" customFormat="1" ht="66.75" customHeight="1">
      <c r="A68" s="148" t="s">
        <v>222</v>
      </c>
      <c r="B68" s="146" t="s">
        <v>328</v>
      </c>
      <c r="C68" s="149" t="s">
        <v>224</v>
      </c>
      <c r="D68" s="150">
        <v>52</v>
      </c>
      <c r="E68" s="150" t="s">
        <v>225</v>
      </c>
      <c r="F68" s="151" t="s">
        <v>329</v>
      </c>
      <c r="G68" s="152">
        <v>0</v>
      </c>
      <c r="H68" s="152">
        <v>3</v>
      </c>
      <c r="I68" s="153">
        <v>2</v>
      </c>
      <c r="J68" s="154">
        <v>0</v>
      </c>
      <c r="K68" s="155">
        <v>3</v>
      </c>
      <c r="L68" s="148" t="s">
        <v>57</v>
      </c>
      <c r="M68" s="148" t="s">
        <v>58</v>
      </c>
      <c r="N68" s="156"/>
      <c r="O68" s="157" t="s">
        <v>59</v>
      </c>
      <c r="P68" s="158">
        <v>30</v>
      </c>
      <c r="Q68" s="152" t="s">
        <v>60</v>
      </c>
      <c r="R68" s="152" t="s">
        <v>70</v>
      </c>
      <c r="S68" s="148">
        <v>0</v>
      </c>
      <c r="T68" s="148" t="s">
        <v>330</v>
      </c>
      <c r="U68" s="170"/>
      <c r="V68" s="163"/>
      <c r="W68" s="171"/>
      <c r="X68" s="176">
        <v>83</v>
      </c>
      <c r="Y68" s="160" t="str">
        <f>VLOOKUP(X68,docentes!$A:$E,2,0)</f>
        <v>CARLOS ALBERTO DA SILVA</v>
      </c>
      <c r="Z68" s="177" t="str">
        <f>VLOOKUP(X68,docentes!$A:$E,5,0)</f>
        <v>CCNH</v>
      </c>
    </row>
    <row r="69" spans="1:35" ht="66.75" customHeight="1">
      <c r="A69" s="148" t="s">
        <v>222</v>
      </c>
      <c r="B69" s="146" t="s">
        <v>331</v>
      </c>
      <c r="C69" s="149" t="s">
        <v>224</v>
      </c>
      <c r="D69" s="150">
        <v>52</v>
      </c>
      <c r="E69" s="150" t="s">
        <v>225</v>
      </c>
      <c r="F69" s="151" t="s">
        <v>332</v>
      </c>
      <c r="G69" s="152">
        <v>0</v>
      </c>
      <c r="H69" s="152">
        <v>3</v>
      </c>
      <c r="I69" s="153">
        <v>2</v>
      </c>
      <c r="J69" s="154">
        <v>0</v>
      </c>
      <c r="K69" s="155">
        <v>3</v>
      </c>
      <c r="L69" s="148" t="s">
        <v>57</v>
      </c>
      <c r="M69" s="148" t="s">
        <v>58</v>
      </c>
      <c r="N69" s="156"/>
      <c r="O69" s="157" t="s">
        <v>59</v>
      </c>
      <c r="P69" s="158">
        <v>30</v>
      </c>
      <c r="Q69" s="152" t="s">
        <v>60</v>
      </c>
      <c r="R69" s="152" t="s">
        <v>61</v>
      </c>
      <c r="S69" s="148">
        <v>0</v>
      </c>
      <c r="T69" s="148" t="s">
        <v>333</v>
      </c>
      <c r="U69" s="170"/>
      <c r="V69" s="163"/>
      <c r="W69" s="171"/>
      <c r="X69" s="176">
        <v>1009</v>
      </c>
      <c r="Y69" s="160" t="str">
        <f>VLOOKUP(X69,docentes!$A:$E,2,0)</f>
        <v>Prof Visitante/Bioquímica 1 BCB</v>
      </c>
      <c r="Z69" s="177" t="str">
        <f>VLOOKUP(X69,docentes!$A:$E,5,0)</f>
        <v>em contratação</v>
      </c>
      <c r="AA69" s="44"/>
      <c r="AB69" s="44"/>
      <c r="AC69" s="44"/>
      <c r="AD69" s="44"/>
      <c r="AE69" s="44"/>
      <c r="AF69" s="44"/>
      <c r="AG69" s="44"/>
      <c r="AH69" s="44"/>
      <c r="AI69" s="44"/>
    </row>
    <row r="70" spans="1:35" s="44" customFormat="1" ht="66.75" customHeight="1">
      <c r="A70" s="148" t="s">
        <v>222</v>
      </c>
      <c r="B70" s="146" t="s">
        <v>334</v>
      </c>
      <c r="C70" s="149" t="s">
        <v>224</v>
      </c>
      <c r="D70" s="150">
        <v>52</v>
      </c>
      <c r="E70" s="150" t="s">
        <v>225</v>
      </c>
      <c r="F70" s="151" t="s">
        <v>335</v>
      </c>
      <c r="G70" s="152">
        <v>0</v>
      </c>
      <c r="H70" s="152">
        <v>3</v>
      </c>
      <c r="I70" s="153">
        <v>2</v>
      </c>
      <c r="J70" s="154">
        <v>0</v>
      </c>
      <c r="K70" s="155">
        <v>3</v>
      </c>
      <c r="L70" s="148" t="s">
        <v>57</v>
      </c>
      <c r="M70" s="148" t="s">
        <v>58</v>
      </c>
      <c r="N70" s="156"/>
      <c r="O70" s="157" t="s">
        <v>59</v>
      </c>
      <c r="P70" s="158">
        <v>30</v>
      </c>
      <c r="Q70" s="152" t="s">
        <v>60</v>
      </c>
      <c r="R70" s="152" t="s">
        <v>70</v>
      </c>
      <c r="S70" s="148">
        <v>0</v>
      </c>
      <c r="T70" s="148" t="s">
        <v>336</v>
      </c>
      <c r="U70" s="170"/>
      <c r="V70" s="163"/>
      <c r="W70" s="171"/>
      <c r="X70" s="176">
        <v>29</v>
      </c>
      <c r="Y70" s="160" t="str">
        <f>VLOOKUP(X70,docentes!$A:$E,2,0)</f>
        <v>ALVARO TAKEO OMORI</v>
      </c>
      <c r="Z70" s="177" t="str">
        <f>VLOOKUP(X70,docentes!$A:$E,5,0)</f>
        <v>CCNH</v>
      </c>
      <c r="AH70" s="45"/>
      <c r="AI70" s="45"/>
    </row>
    <row r="71" spans="1:35" s="44" customFormat="1" ht="66.75" customHeight="1">
      <c r="A71" s="148" t="s">
        <v>222</v>
      </c>
      <c r="B71" s="146" t="s">
        <v>337</v>
      </c>
      <c r="C71" s="149" t="s">
        <v>224</v>
      </c>
      <c r="D71" s="150">
        <v>52</v>
      </c>
      <c r="E71" s="150" t="s">
        <v>225</v>
      </c>
      <c r="F71" s="151" t="s">
        <v>338</v>
      </c>
      <c r="G71" s="152">
        <v>0</v>
      </c>
      <c r="H71" s="152">
        <v>3</v>
      </c>
      <c r="I71" s="153">
        <v>2</v>
      </c>
      <c r="J71" s="154">
        <v>0</v>
      </c>
      <c r="K71" s="155">
        <v>3</v>
      </c>
      <c r="L71" s="148" t="s">
        <v>57</v>
      </c>
      <c r="M71" s="148" t="s">
        <v>58</v>
      </c>
      <c r="N71" s="156"/>
      <c r="O71" s="157" t="s">
        <v>59</v>
      </c>
      <c r="P71" s="158">
        <v>30</v>
      </c>
      <c r="Q71" s="152" t="s">
        <v>60</v>
      </c>
      <c r="R71" s="152" t="s">
        <v>70</v>
      </c>
      <c r="S71" s="148">
        <v>0</v>
      </c>
      <c r="T71" s="148" t="s">
        <v>339</v>
      </c>
      <c r="U71" s="170"/>
      <c r="V71" s="163"/>
      <c r="W71" s="171"/>
      <c r="X71" s="176">
        <v>361</v>
      </c>
      <c r="Y71" s="160" t="str">
        <f>VLOOKUP(X71,docentes!$A:$E,2,0)</f>
        <v>MARCELO BUSSOTTI REYES</v>
      </c>
      <c r="Z71" s="177" t="str">
        <f>VLOOKUP(X71,docentes!$A:$E,5,0)</f>
        <v>CMCC</v>
      </c>
    </row>
    <row r="72" spans="1:35" s="44" customFormat="1" ht="66.75" customHeight="1">
      <c r="A72" s="148" t="s">
        <v>222</v>
      </c>
      <c r="B72" s="146" t="s">
        <v>340</v>
      </c>
      <c r="C72" s="149" t="s">
        <v>224</v>
      </c>
      <c r="D72" s="150">
        <v>52</v>
      </c>
      <c r="E72" s="150" t="s">
        <v>225</v>
      </c>
      <c r="F72" s="151" t="s">
        <v>341</v>
      </c>
      <c r="G72" s="152">
        <v>0</v>
      </c>
      <c r="H72" s="152">
        <v>3</v>
      </c>
      <c r="I72" s="153">
        <v>2</v>
      </c>
      <c r="J72" s="154">
        <v>0</v>
      </c>
      <c r="K72" s="155">
        <v>3</v>
      </c>
      <c r="L72" s="148" t="s">
        <v>57</v>
      </c>
      <c r="M72" s="148" t="s">
        <v>58</v>
      </c>
      <c r="N72" s="156"/>
      <c r="O72" s="157" t="s">
        <v>59</v>
      </c>
      <c r="P72" s="158">
        <v>30</v>
      </c>
      <c r="Q72" s="152" t="s">
        <v>60</v>
      </c>
      <c r="R72" s="152" t="s">
        <v>61</v>
      </c>
      <c r="S72" s="148">
        <v>0</v>
      </c>
      <c r="T72" s="148" t="s">
        <v>342</v>
      </c>
      <c r="U72" s="170"/>
      <c r="V72" s="163"/>
      <c r="W72" s="171"/>
      <c r="X72" s="176">
        <v>24</v>
      </c>
      <c r="Y72" s="160" t="str">
        <f>VLOOKUP(X72,docentes!$A:$E,2,0)</f>
        <v>ALEXSANDRE FIGUEIREDO LAGO</v>
      </c>
      <c r="Z72" s="177" t="str">
        <f>VLOOKUP(X72,docentes!$A:$E,5,0)</f>
        <v>CCNH</v>
      </c>
    </row>
    <row r="73" spans="1:35" s="44" customFormat="1" ht="66.75" customHeight="1">
      <c r="A73" s="148" t="s">
        <v>222</v>
      </c>
      <c r="B73" s="146" t="s">
        <v>343</v>
      </c>
      <c r="C73" s="149" t="s">
        <v>224</v>
      </c>
      <c r="D73" s="150">
        <v>52</v>
      </c>
      <c r="E73" s="150" t="s">
        <v>225</v>
      </c>
      <c r="F73" s="151" t="s">
        <v>344</v>
      </c>
      <c r="G73" s="152">
        <v>0</v>
      </c>
      <c r="H73" s="152">
        <v>3</v>
      </c>
      <c r="I73" s="153">
        <v>2</v>
      </c>
      <c r="J73" s="154">
        <v>0</v>
      </c>
      <c r="K73" s="155">
        <v>3</v>
      </c>
      <c r="L73" s="148" t="s">
        <v>57</v>
      </c>
      <c r="M73" s="148" t="s">
        <v>58</v>
      </c>
      <c r="N73" s="156"/>
      <c r="O73" s="157" t="s">
        <v>59</v>
      </c>
      <c r="P73" s="158">
        <v>32</v>
      </c>
      <c r="Q73" s="149" t="s">
        <v>76</v>
      </c>
      <c r="R73" s="152" t="s">
        <v>61</v>
      </c>
      <c r="S73" s="148">
        <v>0</v>
      </c>
      <c r="T73" s="148" t="s">
        <v>345</v>
      </c>
      <c r="U73" s="170"/>
      <c r="V73" s="163"/>
      <c r="W73" s="171"/>
      <c r="X73" s="176">
        <v>475</v>
      </c>
      <c r="Y73" s="160" t="str">
        <f>VLOOKUP(X73,docentes!$A:$E,2,0)</f>
        <v>RENATA SIMOES</v>
      </c>
      <c r="Z73" s="177" t="str">
        <f>VLOOKUP(X73,docentes!$A:$E,5,0)</f>
        <v>CCNH</v>
      </c>
    </row>
    <row r="74" spans="1:35" s="44" customFormat="1" ht="66.75" customHeight="1">
      <c r="A74" s="148" t="s">
        <v>222</v>
      </c>
      <c r="B74" s="146" t="s">
        <v>346</v>
      </c>
      <c r="C74" s="149" t="s">
        <v>224</v>
      </c>
      <c r="D74" s="150">
        <v>52</v>
      </c>
      <c r="E74" s="150" t="s">
        <v>225</v>
      </c>
      <c r="F74" s="151" t="s">
        <v>347</v>
      </c>
      <c r="G74" s="152">
        <v>0</v>
      </c>
      <c r="H74" s="152">
        <v>3</v>
      </c>
      <c r="I74" s="153">
        <v>2</v>
      </c>
      <c r="J74" s="154">
        <v>0</v>
      </c>
      <c r="K74" s="155">
        <v>3</v>
      </c>
      <c r="L74" s="148" t="s">
        <v>57</v>
      </c>
      <c r="M74" s="148" t="s">
        <v>58</v>
      </c>
      <c r="N74" s="156"/>
      <c r="O74" s="157" t="s">
        <v>59</v>
      </c>
      <c r="P74" s="158">
        <v>30</v>
      </c>
      <c r="Q74" s="152" t="s">
        <v>60</v>
      </c>
      <c r="R74" s="152" t="s">
        <v>70</v>
      </c>
      <c r="S74" s="148">
        <v>0</v>
      </c>
      <c r="T74" s="148" t="s">
        <v>348</v>
      </c>
      <c r="U74" s="170"/>
      <c r="V74" s="163"/>
      <c r="W74" s="171"/>
      <c r="X74" s="176">
        <v>160</v>
      </c>
      <c r="Y74" s="160" t="str">
        <f>VLOOKUP(X74,docentes!$A:$E,2,0)</f>
        <v>ELIZABETH TEODOROV</v>
      </c>
      <c r="Z74" s="177" t="str">
        <f>VLOOKUP(X74,docentes!$A:$E,5,0)</f>
        <v>CMCC</v>
      </c>
    </row>
    <row r="75" spans="1:35" s="44" customFormat="1" ht="66.75" customHeight="1">
      <c r="A75" s="148" t="s">
        <v>222</v>
      </c>
      <c r="B75" s="146" t="s">
        <v>349</v>
      </c>
      <c r="C75" s="149" t="s">
        <v>224</v>
      </c>
      <c r="D75" s="150">
        <v>52</v>
      </c>
      <c r="E75" s="150" t="s">
        <v>225</v>
      </c>
      <c r="F75" s="151" t="s">
        <v>350</v>
      </c>
      <c r="G75" s="152">
        <v>0</v>
      </c>
      <c r="H75" s="152">
        <v>3</v>
      </c>
      <c r="I75" s="153">
        <v>2</v>
      </c>
      <c r="J75" s="154">
        <v>0</v>
      </c>
      <c r="K75" s="155">
        <v>3</v>
      </c>
      <c r="L75" s="148" t="s">
        <v>57</v>
      </c>
      <c r="M75" s="148" t="s">
        <v>58</v>
      </c>
      <c r="N75" s="156"/>
      <c r="O75" s="157" t="s">
        <v>59</v>
      </c>
      <c r="P75" s="158">
        <v>32</v>
      </c>
      <c r="Q75" s="149" t="s">
        <v>76</v>
      </c>
      <c r="R75" s="152" t="s">
        <v>70</v>
      </c>
      <c r="S75" s="148">
        <v>0</v>
      </c>
      <c r="T75" s="148" t="s">
        <v>351</v>
      </c>
      <c r="U75" s="170"/>
      <c r="V75" s="163"/>
      <c r="W75" s="171"/>
      <c r="X75" s="176">
        <v>1010</v>
      </c>
      <c r="Y75" s="160" t="str">
        <f>VLOOKUP(X75,docentes!$A:$E,2,0)</f>
        <v>Prof. Visitante 2 Química</v>
      </c>
      <c r="Z75" s="177" t="str">
        <f>VLOOKUP(X75,docentes!$A:$E,5,0)</f>
        <v>em contratação</v>
      </c>
    </row>
    <row r="76" spans="1:35" s="44" customFormat="1" ht="66.75" customHeight="1">
      <c r="A76" s="148" t="s">
        <v>222</v>
      </c>
      <c r="B76" s="146" t="s">
        <v>352</v>
      </c>
      <c r="C76" s="149" t="s">
        <v>224</v>
      </c>
      <c r="D76" s="150">
        <v>52</v>
      </c>
      <c r="E76" s="150" t="s">
        <v>225</v>
      </c>
      <c r="F76" s="151" t="s">
        <v>353</v>
      </c>
      <c r="G76" s="152">
        <v>0</v>
      </c>
      <c r="H76" s="152">
        <v>3</v>
      </c>
      <c r="I76" s="153">
        <v>2</v>
      </c>
      <c r="J76" s="154">
        <v>0</v>
      </c>
      <c r="K76" s="155">
        <v>3</v>
      </c>
      <c r="L76" s="148" t="s">
        <v>57</v>
      </c>
      <c r="M76" s="148" t="s">
        <v>58</v>
      </c>
      <c r="N76" s="156"/>
      <c r="O76" s="157" t="s">
        <v>59</v>
      </c>
      <c r="P76" s="158">
        <v>30</v>
      </c>
      <c r="Q76" s="152" t="s">
        <v>60</v>
      </c>
      <c r="R76" s="152" t="s">
        <v>61</v>
      </c>
      <c r="S76" s="148">
        <v>0</v>
      </c>
      <c r="T76" s="148" t="s">
        <v>354</v>
      </c>
      <c r="U76" s="170"/>
      <c r="V76" s="163"/>
      <c r="W76" s="171"/>
      <c r="X76" s="176">
        <v>258</v>
      </c>
      <c r="Y76" s="160" t="str">
        <f>VLOOKUP(X76,docentes!$A:$E,2,0)</f>
        <v>IVANISE GAUBEUR</v>
      </c>
      <c r="Z76" s="177" t="str">
        <f>VLOOKUP(X76,docentes!$A:$E,5,0)</f>
        <v>CCNH</v>
      </c>
    </row>
    <row r="77" spans="1:35" s="44" customFormat="1" ht="66.75" customHeight="1">
      <c r="A77" s="148" t="s">
        <v>222</v>
      </c>
      <c r="B77" s="146" t="s">
        <v>355</v>
      </c>
      <c r="C77" s="149" t="s">
        <v>224</v>
      </c>
      <c r="D77" s="150">
        <v>52</v>
      </c>
      <c r="E77" s="150" t="s">
        <v>225</v>
      </c>
      <c r="F77" s="151" t="s">
        <v>356</v>
      </c>
      <c r="G77" s="152">
        <v>0</v>
      </c>
      <c r="H77" s="152">
        <v>3</v>
      </c>
      <c r="I77" s="153">
        <v>2</v>
      </c>
      <c r="J77" s="154">
        <v>0</v>
      </c>
      <c r="K77" s="155">
        <v>3</v>
      </c>
      <c r="L77" s="148" t="s">
        <v>57</v>
      </c>
      <c r="M77" s="148" t="s">
        <v>58</v>
      </c>
      <c r="N77" s="156"/>
      <c r="O77" s="157" t="s">
        <v>59</v>
      </c>
      <c r="P77" s="158">
        <v>30</v>
      </c>
      <c r="Q77" s="149" t="s">
        <v>76</v>
      </c>
      <c r="R77" s="152" t="s">
        <v>61</v>
      </c>
      <c r="S77" s="148">
        <v>0</v>
      </c>
      <c r="T77" s="148" t="s">
        <v>357</v>
      </c>
      <c r="U77" s="170"/>
      <c r="V77" s="163"/>
      <c r="W77" s="171"/>
      <c r="X77" s="176">
        <v>238</v>
      </c>
      <c r="Y77" s="160" t="str">
        <f>VLOOKUP(X77,docentes!$A:$E,2,0)</f>
        <v>HANA PAULA MASUDA</v>
      </c>
      <c r="Z77" s="177" t="str">
        <f>VLOOKUP(X77,docentes!$A:$E,5,0)</f>
        <v>CCNH</v>
      </c>
    </row>
    <row r="78" spans="1:35" s="44" customFormat="1" ht="66.75" customHeight="1">
      <c r="A78" s="148" t="s">
        <v>222</v>
      </c>
      <c r="B78" s="146" t="s">
        <v>358</v>
      </c>
      <c r="C78" s="149" t="s">
        <v>224</v>
      </c>
      <c r="D78" s="150">
        <v>52</v>
      </c>
      <c r="E78" s="150" t="s">
        <v>225</v>
      </c>
      <c r="F78" s="151" t="s">
        <v>359</v>
      </c>
      <c r="G78" s="152">
        <v>0</v>
      </c>
      <c r="H78" s="152">
        <v>3</v>
      </c>
      <c r="I78" s="153">
        <v>2</v>
      </c>
      <c r="J78" s="154">
        <v>0</v>
      </c>
      <c r="K78" s="155">
        <v>3</v>
      </c>
      <c r="L78" s="148" t="s">
        <v>57</v>
      </c>
      <c r="M78" s="148" t="s">
        <v>58</v>
      </c>
      <c r="N78" s="156"/>
      <c r="O78" s="157" t="s">
        <v>59</v>
      </c>
      <c r="P78" s="158">
        <v>30</v>
      </c>
      <c r="Q78" s="152" t="s">
        <v>60</v>
      </c>
      <c r="R78" s="152" t="s">
        <v>70</v>
      </c>
      <c r="S78" s="148">
        <v>0</v>
      </c>
      <c r="T78" s="148" t="s">
        <v>360</v>
      </c>
      <c r="U78" s="170"/>
      <c r="V78" s="163"/>
      <c r="W78" s="171"/>
      <c r="X78" s="176">
        <v>1009</v>
      </c>
      <c r="Y78" s="160" t="str">
        <f>VLOOKUP(X78,docentes!$A:$E,2,0)</f>
        <v>Prof Visitante/Bioquímica 1 BCB</v>
      </c>
      <c r="Z78" s="177" t="str">
        <f>VLOOKUP(X78,docentes!$A:$E,5,0)</f>
        <v>em contratação</v>
      </c>
    </row>
    <row r="79" spans="1:35" s="44" customFormat="1" ht="66.75" customHeight="1">
      <c r="A79" s="148" t="s">
        <v>222</v>
      </c>
      <c r="B79" s="146" t="s">
        <v>361</v>
      </c>
      <c r="C79" s="149" t="s">
        <v>224</v>
      </c>
      <c r="D79" s="150">
        <v>52</v>
      </c>
      <c r="E79" s="150" t="s">
        <v>225</v>
      </c>
      <c r="F79" s="151" t="s">
        <v>362</v>
      </c>
      <c r="G79" s="152">
        <v>0</v>
      </c>
      <c r="H79" s="152">
        <v>3</v>
      </c>
      <c r="I79" s="153">
        <v>2</v>
      </c>
      <c r="J79" s="154">
        <v>0</v>
      </c>
      <c r="K79" s="155">
        <v>3</v>
      </c>
      <c r="L79" s="148" t="s">
        <v>57</v>
      </c>
      <c r="M79" s="148" t="s">
        <v>58</v>
      </c>
      <c r="N79" s="156"/>
      <c r="O79" s="157" t="s">
        <v>59</v>
      </c>
      <c r="P79" s="158">
        <v>32</v>
      </c>
      <c r="Q79" s="149" t="s">
        <v>76</v>
      </c>
      <c r="R79" s="152" t="s">
        <v>70</v>
      </c>
      <c r="S79" s="148">
        <v>0</v>
      </c>
      <c r="T79" s="148" t="s">
        <v>363</v>
      </c>
      <c r="U79" s="170"/>
      <c r="V79" s="163"/>
      <c r="W79" s="171"/>
      <c r="X79" s="176">
        <v>1011</v>
      </c>
      <c r="Y79" s="160" t="str">
        <f>VLOOKUP(X79,docentes!$A:$E,2,0)</f>
        <v>Prof. Visitante 1 Química</v>
      </c>
      <c r="Z79" s="177" t="str">
        <f>VLOOKUP(X79,docentes!$A:$E,5,0)</f>
        <v>em contratação</v>
      </c>
    </row>
    <row r="80" spans="1:35" s="44" customFormat="1" ht="66.75" customHeight="1">
      <c r="A80" s="148" t="s">
        <v>222</v>
      </c>
      <c r="B80" s="146" t="s">
        <v>364</v>
      </c>
      <c r="C80" s="149" t="s">
        <v>224</v>
      </c>
      <c r="D80" s="150">
        <v>52</v>
      </c>
      <c r="E80" s="150" t="s">
        <v>225</v>
      </c>
      <c r="F80" s="151" t="s">
        <v>365</v>
      </c>
      <c r="G80" s="152">
        <v>0</v>
      </c>
      <c r="H80" s="152">
        <v>3</v>
      </c>
      <c r="I80" s="153">
        <v>2</v>
      </c>
      <c r="J80" s="154">
        <v>0</v>
      </c>
      <c r="K80" s="155">
        <v>3</v>
      </c>
      <c r="L80" s="148" t="s">
        <v>57</v>
      </c>
      <c r="M80" s="148" t="s">
        <v>58</v>
      </c>
      <c r="N80" s="156"/>
      <c r="O80" s="157" t="s">
        <v>59</v>
      </c>
      <c r="P80" s="158">
        <v>30</v>
      </c>
      <c r="Q80" s="152" t="s">
        <v>60</v>
      </c>
      <c r="R80" s="152" t="s">
        <v>61</v>
      </c>
      <c r="S80" s="148">
        <v>0</v>
      </c>
      <c r="T80" s="148" t="s">
        <v>366</v>
      </c>
      <c r="U80" s="170"/>
      <c r="V80" s="163"/>
      <c r="W80" s="171"/>
      <c r="X80" s="176">
        <v>1011</v>
      </c>
      <c r="Y80" s="160" t="str">
        <f>VLOOKUP(X80,docentes!$A:$E,2,0)</f>
        <v>Prof. Visitante 1 Química</v>
      </c>
      <c r="Z80" s="177" t="str">
        <f>VLOOKUP(X80,docentes!$A:$E,5,0)</f>
        <v>em contratação</v>
      </c>
    </row>
    <row r="81" spans="1:35" s="44" customFormat="1" ht="66.75" customHeight="1">
      <c r="A81" s="148" t="s">
        <v>222</v>
      </c>
      <c r="B81" s="146" t="s">
        <v>367</v>
      </c>
      <c r="C81" s="149" t="s">
        <v>224</v>
      </c>
      <c r="D81" s="150">
        <v>52</v>
      </c>
      <c r="E81" s="150" t="s">
        <v>225</v>
      </c>
      <c r="F81" s="151" t="s">
        <v>368</v>
      </c>
      <c r="G81" s="152">
        <v>0</v>
      </c>
      <c r="H81" s="152">
        <v>3</v>
      </c>
      <c r="I81" s="153">
        <v>2</v>
      </c>
      <c r="J81" s="154">
        <v>0</v>
      </c>
      <c r="K81" s="155">
        <v>3</v>
      </c>
      <c r="L81" s="148" t="s">
        <v>57</v>
      </c>
      <c r="M81" s="148" t="s">
        <v>58</v>
      </c>
      <c r="N81" s="156"/>
      <c r="O81" s="157" t="s">
        <v>59</v>
      </c>
      <c r="P81" s="158">
        <v>30</v>
      </c>
      <c r="Q81" s="152" t="s">
        <v>60</v>
      </c>
      <c r="R81" s="152" t="s">
        <v>70</v>
      </c>
      <c r="S81" s="148">
        <v>0</v>
      </c>
      <c r="T81" s="148" t="s">
        <v>369</v>
      </c>
      <c r="U81" s="170"/>
      <c r="V81" s="163"/>
      <c r="W81" s="171"/>
      <c r="X81" s="176">
        <v>1008</v>
      </c>
      <c r="Y81" s="160" t="str">
        <f>VLOOKUP(X81,docentes!$A:$E,2,0)</f>
        <v>Prof Visitante/Bioquímica 2 BCB</v>
      </c>
      <c r="Z81" s="177" t="str">
        <f>VLOOKUP(X81,docentes!$A:$E,5,0)</f>
        <v>em contratação</v>
      </c>
    </row>
    <row r="82" spans="1:35" s="44" customFormat="1" ht="66.75" customHeight="1">
      <c r="A82" s="148" t="s">
        <v>222</v>
      </c>
      <c r="B82" s="146" t="s">
        <v>370</v>
      </c>
      <c r="C82" s="149" t="s">
        <v>224</v>
      </c>
      <c r="D82" s="150">
        <v>52</v>
      </c>
      <c r="E82" s="150" t="s">
        <v>225</v>
      </c>
      <c r="F82" s="151" t="s">
        <v>371</v>
      </c>
      <c r="G82" s="152">
        <v>0</v>
      </c>
      <c r="H82" s="152">
        <v>3</v>
      </c>
      <c r="I82" s="153">
        <v>2</v>
      </c>
      <c r="J82" s="154">
        <v>0</v>
      </c>
      <c r="K82" s="155">
        <v>3</v>
      </c>
      <c r="L82" s="148" t="s">
        <v>57</v>
      </c>
      <c r="M82" s="148" t="s">
        <v>58</v>
      </c>
      <c r="N82" s="156"/>
      <c r="O82" s="157" t="s">
        <v>59</v>
      </c>
      <c r="P82" s="158">
        <v>30</v>
      </c>
      <c r="Q82" s="152" t="s">
        <v>60</v>
      </c>
      <c r="R82" s="152" t="s">
        <v>61</v>
      </c>
      <c r="S82" s="148">
        <v>0</v>
      </c>
      <c r="T82" s="148" t="s">
        <v>372</v>
      </c>
      <c r="U82" s="170"/>
      <c r="V82" s="163"/>
      <c r="W82" s="171"/>
      <c r="X82" s="176">
        <v>160</v>
      </c>
      <c r="Y82" s="160" t="str">
        <f>VLOOKUP(X82,docentes!$A:$E,2,0)</f>
        <v>ELIZABETH TEODOROV</v>
      </c>
      <c r="Z82" s="177" t="str">
        <f>VLOOKUP(X82,docentes!$A:$E,5,0)</f>
        <v>CMCC</v>
      </c>
    </row>
    <row r="83" spans="1:35" s="44" customFormat="1" ht="66.75" customHeight="1">
      <c r="A83" s="148" t="s">
        <v>222</v>
      </c>
      <c r="B83" s="146" t="s">
        <v>373</v>
      </c>
      <c r="C83" s="149" t="s">
        <v>224</v>
      </c>
      <c r="D83" s="150">
        <v>52</v>
      </c>
      <c r="E83" s="150" t="s">
        <v>225</v>
      </c>
      <c r="F83" s="151" t="s">
        <v>374</v>
      </c>
      <c r="G83" s="152">
        <v>0</v>
      </c>
      <c r="H83" s="152">
        <v>3</v>
      </c>
      <c r="I83" s="153">
        <v>2</v>
      </c>
      <c r="J83" s="154">
        <v>0</v>
      </c>
      <c r="K83" s="155">
        <v>3</v>
      </c>
      <c r="L83" s="148" t="s">
        <v>57</v>
      </c>
      <c r="M83" s="148" t="s">
        <v>58</v>
      </c>
      <c r="N83" s="156"/>
      <c r="O83" s="157" t="s">
        <v>59</v>
      </c>
      <c r="P83" s="158">
        <v>30</v>
      </c>
      <c r="Q83" s="152" t="s">
        <v>60</v>
      </c>
      <c r="R83" s="152" t="s">
        <v>70</v>
      </c>
      <c r="S83" s="148">
        <v>0</v>
      </c>
      <c r="T83" s="148" t="s">
        <v>375</v>
      </c>
      <c r="U83" s="170"/>
      <c r="V83" s="163"/>
      <c r="W83" s="171"/>
      <c r="X83" s="176">
        <v>1011</v>
      </c>
      <c r="Y83" s="160" t="str">
        <f>VLOOKUP(X83,docentes!$A:$E,2,0)</f>
        <v>Prof. Visitante 1 Química</v>
      </c>
      <c r="Z83" s="177" t="str">
        <f>VLOOKUP(X83,docentes!$A:$E,5,0)</f>
        <v>em contratação</v>
      </c>
    </row>
    <row r="84" spans="1:35" s="44" customFormat="1" ht="66.75" customHeight="1">
      <c r="A84" s="148" t="s">
        <v>222</v>
      </c>
      <c r="B84" s="146" t="s">
        <v>376</v>
      </c>
      <c r="C84" s="149" t="s">
        <v>224</v>
      </c>
      <c r="D84" s="150">
        <v>52</v>
      </c>
      <c r="E84" s="150" t="s">
        <v>225</v>
      </c>
      <c r="F84" s="151" t="s">
        <v>377</v>
      </c>
      <c r="G84" s="152">
        <v>0</v>
      </c>
      <c r="H84" s="152">
        <v>3</v>
      </c>
      <c r="I84" s="153">
        <v>2</v>
      </c>
      <c r="J84" s="154">
        <v>0</v>
      </c>
      <c r="K84" s="155">
        <v>3</v>
      </c>
      <c r="L84" s="148" t="s">
        <v>57</v>
      </c>
      <c r="M84" s="148" t="s">
        <v>58</v>
      </c>
      <c r="N84" s="156"/>
      <c r="O84" s="157" t="s">
        <v>59</v>
      </c>
      <c r="P84" s="158">
        <v>30</v>
      </c>
      <c r="Q84" s="152" t="s">
        <v>60</v>
      </c>
      <c r="R84" s="152" t="s">
        <v>70</v>
      </c>
      <c r="S84" s="148">
        <v>0</v>
      </c>
      <c r="T84" s="148" t="s">
        <v>378</v>
      </c>
      <c r="U84" s="170"/>
      <c r="V84" s="163"/>
      <c r="W84" s="171"/>
      <c r="X84" s="176">
        <v>1010</v>
      </c>
      <c r="Y84" s="160" t="str">
        <f>VLOOKUP(X84,docentes!$A:$E,2,0)</f>
        <v>Prof. Visitante 2 Química</v>
      </c>
      <c r="Z84" s="177" t="str">
        <f>VLOOKUP(X84,docentes!$A:$E,5,0)</f>
        <v>em contratação</v>
      </c>
    </row>
    <row r="85" spans="1:35" ht="66.75" customHeight="1">
      <c r="A85" s="148" t="s">
        <v>222</v>
      </c>
      <c r="B85" s="146" t="s">
        <v>379</v>
      </c>
      <c r="C85" s="149" t="s">
        <v>224</v>
      </c>
      <c r="D85" s="150">
        <v>52</v>
      </c>
      <c r="E85" s="150" t="s">
        <v>225</v>
      </c>
      <c r="F85" s="151" t="s">
        <v>380</v>
      </c>
      <c r="G85" s="152">
        <v>0</v>
      </c>
      <c r="H85" s="152">
        <v>3</v>
      </c>
      <c r="I85" s="153">
        <v>2</v>
      </c>
      <c r="J85" s="154">
        <v>0</v>
      </c>
      <c r="K85" s="155">
        <v>3</v>
      </c>
      <c r="L85" s="148" t="s">
        <v>57</v>
      </c>
      <c r="M85" s="148" t="s">
        <v>58</v>
      </c>
      <c r="N85" s="156"/>
      <c r="O85" s="157" t="s">
        <v>59</v>
      </c>
      <c r="P85" s="158">
        <v>30</v>
      </c>
      <c r="Q85" s="152" t="s">
        <v>60</v>
      </c>
      <c r="R85" s="152" t="s">
        <v>61</v>
      </c>
      <c r="S85" s="148">
        <v>0</v>
      </c>
      <c r="T85" s="148" t="s">
        <v>381</v>
      </c>
      <c r="U85" s="170"/>
      <c r="V85" s="163"/>
      <c r="W85" s="171"/>
      <c r="X85" s="176">
        <v>160</v>
      </c>
      <c r="Y85" s="160" t="str">
        <f>VLOOKUP(X85,docentes!$A:$E,2,0)</f>
        <v>ELIZABETH TEODOROV</v>
      </c>
      <c r="Z85" s="177" t="str">
        <f>VLOOKUP(X85,docentes!$A:$E,5,0)</f>
        <v>CMCC</v>
      </c>
      <c r="AA85" s="44"/>
      <c r="AB85" s="44"/>
      <c r="AC85" s="44"/>
      <c r="AD85" s="44"/>
      <c r="AE85" s="44"/>
      <c r="AF85" s="44"/>
      <c r="AG85" s="44"/>
      <c r="AH85" s="44"/>
      <c r="AI85" s="44"/>
    </row>
    <row r="86" spans="1:35" s="44" customFormat="1" ht="66.75" customHeight="1">
      <c r="A86" s="148" t="s">
        <v>222</v>
      </c>
      <c r="B86" s="146" t="s">
        <v>382</v>
      </c>
      <c r="C86" s="149" t="s">
        <v>224</v>
      </c>
      <c r="D86" s="150">
        <v>52</v>
      </c>
      <c r="E86" s="150" t="s">
        <v>225</v>
      </c>
      <c r="F86" s="151" t="s">
        <v>383</v>
      </c>
      <c r="G86" s="152">
        <v>0</v>
      </c>
      <c r="H86" s="152">
        <v>3</v>
      </c>
      <c r="I86" s="153">
        <v>2</v>
      </c>
      <c r="J86" s="154">
        <v>0</v>
      </c>
      <c r="K86" s="155">
        <v>3</v>
      </c>
      <c r="L86" s="148" t="s">
        <v>57</v>
      </c>
      <c r="M86" s="148" t="s">
        <v>58</v>
      </c>
      <c r="N86" s="156"/>
      <c r="O86" s="157" t="s">
        <v>59</v>
      </c>
      <c r="P86" s="158">
        <v>30</v>
      </c>
      <c r="Q86" s="152" t="s">
        <v>60</v>
      </c>
      <c r="R86" s="152" t="s">
        <v>61</v>
      </c>
      <c r="S86" s="148">
        <v>0</v>
      </c>
      <c r="T86" s="148" t="s">
        <v>384</v>
      </c>
      <c r="U86" s="170"/>
      <c r="V86" s="163"/>
      <c r="W86" s="171"/>
      <c r="X86" s="176">
        <v>537</v>
      </c>
      <c r="Y86" s="160" t="str">
        <f>VLOOKUP(X86,docentes!$A:$E,2,0)</f>
        <v>TATIANE ARAUJO DE JESUS</v>
      </c>
      <c r="Z86" s="177" t="str">
        <f>VLOOKUP(X86,docentes!$A:$E,5,0)</f>
        <v>CECS</v>
      </c>
      <c r="AH86" s="45"/>
      <c r="AI86" s="45"/>
    </row>
    <row r="87" spans="1:35" ht="66.75" customHeight="1">
      <c r="A87" s="148" t="s">
        <v>222</v>
      </c>
      <c r="B87" s="146" t="s">
        <v>385</v>
      </c>
      <c r="C87" s="149" t="s">
        <v>224</v>
      </c>
      <c r="D87" s="150">
        <v>52</v>
      </c>
      <c r="E87" s="150" t="s">
        <v>225</v>
      </c>
      <c r="F87" s="151" t="s">
        <v>386</v>
      </c>
      <c r="G87" s="152">
        <v>0</v>
      </c>
      <c r="H87" s="152">
        <v>3</v>
      </c>
      <c r="I87" s="153">
        <v>2</v>
      </c>
      <c r="J87" s="154">
        <v>0</v>
      </c>
      <c r="K87" s="155">
        <v>3</v>
      </c>
      <c r="L87" s="148" t="s">
        <v>57</v>
      </c>
      <c r="M87" s="148" t="s">
        <v>58</v>
      </c>
      <c r="N87" s="156"/>
      <c r="O87" s="157" t="s">
        <v>59</v>
      </c>
      <c r="P87" s="158">
        <v>30</v>
      </c>
      <c r="Q87" s="152" t="s">
        <v>60</v>
      </c>
      <c r="R87" s="152" t="s">
        <v>61</v>
      </c>
      <c r="S87" s="148">
        <v>0</v>
      </c>
      <c r="T87" s="148" t="s">
        <v>387</v>
      </c>
      <c r="U87" s="170"/>
      <c r="V87" s="163"/>
      <c r="W87" s="171"/>
      <c r="X87" s="176">
        <v>507</v>
      </c>
      <c r="Y87" s="160" t="str">
        <f>VLOOKUP(X87,docentes!$A:$E,2,0)</f>
        <v>ROSELI FREDERIGI BENASSI</v>
      </c>
      <c r="Z87" s="177" t="str">
        <f>VLOOKUP(X87,docentes!$A:$E,5,0)</f>
        <v>CECS</v>
      </c>
      <c r="AA87" s="44"/>
      <c r="AB87" s="44"/>
      <c r="AC87" s="44"/>
      <c r="AD87" s="44"/>
      <c r="AE87" s="44"/>
      <c r="AF87" s="44"/>
      <c r="AG87" s="44"/>
      <c r="AH87" s="44"/>
      <c r="AI87" s="44"/>
    </row>
    <row r="88" spans="1:35" s="44" customFormat="1" ht="66.75" customHeight="1">
      <c r="A88" s="172" t="s">
        <v>222</v>
      </c>
      <c r="B88" s="146" t="s">
        <v>388</v>
      </c>
      <c r="C88" s="149" t="s">
        <v>389</v>
      </c>
      <c r="D88" s="150">
        <v>52</v>
      </c>
      <c r="E88" s="150" t="s">
        <v>390</v>
      </c>
      <c r="F88" s="151" t="s">
        <v>391</v>
      </c>
      <c r="G88" s="149">
        <v>0</v>
      </c>
      <c r="H88" s="173">
        <v>2</v>
      </c>
      <c r="I88" s="174">
        <v>2</v>
      </c>
      <c r="J88" s="155">
        <v>0</v>
      </c>
      <c r="K88" s="155">
        <v>2</v>
      </c>
      <c r="L88" s="172" t="s">
        <v>57</v>
      </c>
      <c r="M88" s="172" t="s">
        <v>58</v>
      </c>
      <c r="N88" s="151"/>
      <c r="O88" s="157" t="s">
        <v>59</v>
      </c>
      <c r="P88" s="175">
        <v>30</v>
      </c>
      <c r="Q88" s="152" t="s">
        <v>60</v>
      </c>
      <c r="R88" s="152" t="s">
        <v>61</v>
      </c>
      <c r="S88" s="148">
        <v>0</v>
      </c>
      <c r="T88" s="148" t="s">
        <v>392</v>
      </c>
      <c r="U88" s="170"/>
      <c r="V88" s="163"/>
      <c r="W88" s="171"/>
      <c r="X88" s="176">
        <v>524</v>
      </c>
      <c r="Y88" s="160" t="str">
        <f>VLOOKUP(X88,docentes!$A:$E,2,0)</f>
        <v>SILVIA CRISTINA DOTTA</v>
      </c>
      <c r="Z88" s="177" t="str">
        <f>VLOOKUP(X88,docentes!$A:$E,5,0)</f>
        <v>CMCC</v>
      </c>
      <c r="AA88" s="45"/>
      <c r="AB88" s="45"/>
      <c r="AC88" s="45"/>
      <c r="AD88" s="45"/>
      <c r="AE88" s="45"/>
      <c r="AF88" s="45"/>
      <c r="AG88" s="45"/>
      <c r="AH88" s="45"/>
      <c r="AI88" s="45"/>
    </row>
    <row r="89" spans="1:35" s="44" customFormat="1" ht="66.75" customHeight="1">
      <c r="A89" s="148" t="s">
        <v>222</v>
      </c>
      <c r="B89" s="146" t="s">
        <v>393</v>
      </c>
      <c r="C89" s="149" t="s">
        <v>389</v>
      </c>
      <c r="D89" s="150">
        <v>52</v>
      </c>
      <c r="E89" s="150" t="s">
        <v>390</v>
      </c>
      <c r="F89" s="151" t="s">
        <v>394</v>
      </c>
      <c r="G89" s="152">
        <v>0</v>
      </c>
      <c r="H89" s="152">
        <v>2</v>
      </c>
      <c r="I89" s="153">
        <v>2</v>
      </c>
      <c r="J89" s="154">
        <v>0</v>
      </c>
      <c r="K89" s="155">
        <v>2</v>
      </c>
      <c r="L89" s="148" t="s">
        <v>57</v>
      </c>
      <c r="M89" s="148" t="s">
        <v>58</v>
      </c>
      <c r="N89" s="166"/>
      <c r="O89" s="165" t="s">
        <v>395</v>
      </c>
      <c r="P89" s="158">
        <v>30</v>
      </c>
      <c r="Q89" s="152" t="s">
        <v>60</v>
      </c>
      <c r="R89" s="152" t="s">
        <v>70</v>
      </c>
      <c r="S89" s="148">
        <v>0</v>
      </c>
      <c r="T89" s="148" t="s">
        <v>396</v>
      </c>
      <c r="U89" s="170"/>
      <c r="V89" s="163"/>
      <c r="W89" s="171"/>
      <c r="X89" s="176">
        <v>488</v>
      </c>
      <c r="Y89" s="160" t="str">
        <f>VLOOKUP(X89,docentes!$A:$E,2,0)</f>
        <v>RICARDO SUYAMA</v>
      </c>
      <c r="Z89" s="177" t="str">
        <f>VLOOKUP(X89,docentes!$A:$E,5,0)</f>
        <v>CECS</v>
      </c>
    </row>
    <row r="90" spans="1:35" s="44" customFormat="1" ht="66.75" customHeight="1">
      <c r="A90" s="172" t="s">
        <v>222</v>
      </c>
      <c r="B90" s="146" t="s">
        <v>397</v>
      </c>
      <c r="C90" s="149" t="s">
        <v>389</v>
      </c>
      <c r="D90" s="150">
        <v>52</v>
      </c>
      <c r="E90" s="150" t="s">
        <v>390</v>
      </c>
      <c r="F90" s="151" t="s">
        <v>398</v>
      </c>
      <c r="G90" s="149">
        <v>0</v>
      </c>
      <c r="H90" s="173">
        <v>2</v>
      </c>
      <c r="I90" s="174">
        <v>2</v>
      </c>
      <c r="J90" s="155">
        <v>0</v>
      </c>
      <c r="K90" s="155">
        <v>2</v>
      </c>
      <c r="L90" s="172" t="s">
        <v>57</v>
      </c>
      <c r="M90" s="172" t="s">
        <v>58</v>
      </c>
      <c r="N90" s="151"/>
      <c r="O90" s="157" t="s">
        <v>59</v>
      </c>
      <c r="P90" s="175">
        <v>30</v>
      </c>
      <c r="Q90" s="152" t="s">
        <v>60</v>
      </c>
      <c r="R90" s="152" t="s">
        <v>61</v>
      </c>
      <c r="S90" s="148">
        <v>0</v>
      </c>
      <c r="T90" s="148" t="s">
        <v>399</v>
      </c>
      <c r="U90" s="170"/>
      <c r="V90" s="163"/>
      <c r="W90" s="171"/>
      <c r="X90" s="176">
        <v>131</v>
      </c>
      <c r="Y90" s="160" t="str">
        <f>VLOOKUP(X90,docentes!$A:$E,2,0)</f>
        <v>DAVID CORREA MARTINS JUNIOR</v>
      </c>
      <c r="Z90" s="177" t="str">
        <f>VLOOKUP(X90,docentes!$A:$E,5,0)</f>
        <v>CMCC</v>
      </c>
      <c r="AA90" s="45"/>
      <c r="AB90" s="45"/>
      <c r="AC90" s="45"/>
      <c r="AD90" s="45"/>
      <c r="AE90" s="45"/>
      <c r="AF90" s="45"/>
      <c r="AG90" s="45"/>
    </row>
    <row r="91" spans="1:35" s="44" customFormat="1" ht="66.75" customHeight="1">
      <c r="A91" s="148" t="s">
        <v>222</v>
      </c>
      <c r="B91" s="146" t="s">
        <v>400</v>
      </c>
      <c r="C91" s="149" t="s">
        <v>389</v>
      </c>
      <c r="D91" s="150">
        <v>52</v>
      </c>
      <c r="E91" s="150" t="s">
        <v>390</v>
      </c>
      <c r="F91" s="151" t="s">
        <v>401</v>
      </c>
      <c r="G91" s="152">
        <v>0</v>
      </c>
      <c r="H91" s="152">
        <v>2</v>
      </c>
      <c r="I91" s="153">
        <v>2</v>
      </c>
      <c r="J91" s="154">
        <v>0</v>
      </c>
      <c r="K91" s="155">
        <v>2</v>
      </c>
      <c r="L91" s="148" t="s">
        <v>57</v>
      </c>
      <c r="M91" s="148" t="s">
        <v>58</v>
      </c>
      <c r="N91" s="166"/>
      <c r="O91" s="165" t="s">
        <v>402</v>
      </c>
      <c r="P91" s="158">
        <v>30</v>
      </c>
      <c r="Q91" s="152" t="s">
        <v>60</v>
      </c>
      <c r="R91" s="152" t="s">
        <v>70</v>
      </c>
      <c r="S91" s="148">
        <v>0</v>
      </c>
      <c r="T91" s="148" t="s">
        <v>403</v>
      </c>
      <c r="U91" s="170"/>
      <c r="V91" s="163"/>
      <c r="W91" s="171"/>
      <c r="X91" s="176">
        <v>132</v>
      </c>
      <c r="Y91" s="160" t="str">
        <f>VLOOKUP(X91,docentes!$A:$E,2,0)</f>
        <v>DEBORA MARIA ROSSI DE MEDEIROS</v>
      </c>
      <c r="Z91" s="177" t="str">
        <f>VLOOKUP(X91,docentes!$A:$E,5,0)</f>
        <v>CMCC</v>
      </c>
    </row>
    <row r="92" spans="1:35" s="44" customFormat="1" ht="66.75" customHeight="1">
      <c r="A92" s="172" t="s">
        <v>222</v>
      </c>
      <c r="B92" s="146" t="s">
        <v>404</v>
      </c>
      <c r="C92" s="149" t="s">
        <v>389</v>
      </c>
      <c r="D92" s="150">
        <v>52</v>
      </c>
      <c r="E92" s="150" t="s">
        <v>390</v>
      </c>
      <c r="F92" s="151" t="s">
        <v>405</v>
      </c>
      <c r="G92" s="149">
        <v>0</v>
      </c>
      <c r="H92" s="173">
        <v>2</v>
      </c>
      <c r="I92" s="174">
        <v>2</v>
      </c>
      <c r="J92" s="155">
        <v>0</v>
      </c>
      <c r="K92" s="155">
        <v>2</v>
      </c>
      <c r="L92" s="172" t="s">
        <v>57</v>
      </c>
      <c r="M92" s="172" t="s">
        <v>58</v>
      </c>
      <c r="N92" s="151"/>
      <c r="O92" s="157" t="s">
        <v>59</v>
      </c>
      <c r="P92" s="175">
        <v>30</v>
      </c>
      <c r="Q92" s="152" t="s">
        <v>60</v>
      </c>
      <c r="R92" s="152" t="s">
        <v>61</v>
      </c>
      <c r="S92" s="148">
        <v>0</v>
      </c>
      <c r="T92" s="148" t="s">
        <v>406</v>
      </c>
      <c r="U92" s="170"/>
      <c r="V92" s="163"/>
      <c r="W92" s="171"/>
      <c r="X92" s="176">
        <v>110</v>
      </c>
      <c r="Y92" s="160" t="str">
        <f>VLOOKUP(X92,docentes!$A:$E,2,0)</f>
        <v>CLAUDIO NOGUEIRA DE MENESES</v>
      </c>
      <c r="Z92" s="177" t="str">
        <f>VLOOKUP(X92,docentes!$A:$E,5,0)</f>
        <v>CMCC</v>
      </c>
      <c r="AA92" s="45"/>
      <c r="AB92" s="45"/>
      <c r="AC92" s="45"/>
      <c r="AD92" s="45"/>
      <c r="AE92" s="45"/>
      <c r="AF92" s="45"/>
      <c r="AG92" s="45"/>
    </row>
    <row r="93" spans="1:35" s="44" customFormat="1" ht="66.75" customHeight="1">
      <c r="A93" s="172" t="s">
        <v>222</v>
      </c>
      <c r="B93" s="146" t="s">
        <v>407</v>
      </c>
      <c r="C93" s="149" t="s">
        <v>389</v>
      </c>
      <c r="D93" s="150">
        <v>52</v>
      </c>
      <c r="E93" s="150" t="s">
        <v>390</v>
      </c>
      <c r="F93" s="151" t="s">
        <v>408</v>
      </c>
      <c r="G93" s="149">
        <v>0</v>
      </c>
      <c r="H93" s="173">
        <v>2</v>
      </c>
      <c r="I93" s="174">
        <v>2</v>
      </c>
      <c r="J93" s="155">
        <v>0</v>
      </c>
      <c r="K93" s="155">
        <v>2</v>
      </c>
      <c r="L93" s="172" t="s">
        <v>57</v>
      </c>
      <c r="M93" s="172" t="s">
        <v>58</v>
      </c>
      <c r="N93" s="151"/>
      <c r="O93" s="157" t="s">
        <v>59</v>
      </c>
      <c r="P93" s="175">
        <v>42</v>
      </c>
      <c r="Q93" s="149" t="s">
        <v>76</v>
      </c>
      <c r="R93" s="152" t="s">
        <v>61</v>
      </c>
      <c r="S93" s="148">
        <v>0</v>
      </c>
      <c r="T93" s="148" t="s">
        <v>409</v>
      </c>
      <c r="U93" s="170"/>
      <c r="V93" s="163"/>
      <c r="W93" s="171"/>
      <c r="X93" s="176">
        <v>51</v>
      </c>
      <c r="Y93" s="160" t="str">
        <f>VLOOKUP(X93,docentes!$A:$E,2,0)</f>
        <v>ANDRE MASCIOLI CRAVO</v>
      </c>
      <c r="Z93" s="177" t="str">
        <f>VLOOKUP(X93,docentes!$A:$E,5,0)</f>
        <v>CMCC</v>
      </c>
      <c r="AA93" s="45"/>
      <c r="AB93" s="45"/>
      <c r="AC93" s="45"/>
      <c r="AD93" s="45"/>
      <c r="AE93" s="45"/>
      <c r="AF93" s="45"/>
      <c r="AG93" s="45"/>
    </row>
    <row r="94" spans="1:35" s="44" customFormat="1" ht="66.75" customHeight="1">
      <c r="A94" s="148" t="s">
        <v>222</v>
      </c>
      <c r="B94" s="146" t="s">
        <v>410</v>
      </c>
      <c r="C94" s="149" t="s">
        <v>389</v>
      </c>
      <c r="D94" s="150">
        <v>52</v>
      </c>
      <c r="E94" s="150" t="s">
        <v>390</v>
      </c>
      <c r="F94" s="151" t="s">
        <v>411</v>
      </c>
      <c r="G94" s="152">
        <v>0</v>
      </c>
      <c r="H94" s="152">
        <v>2</v>
      </c>
      <c r="I94" s="153">
        <v>2</v>
      </c>
      <c r="J94" s="154">
        <v>0</v>
      </c>
      <c r="K94" s="155">
        <v>2</v>
      </c>
      <c r="L94" s="148" t="s">
        <v>57</v>
      </c>
      <c r="M94" s="148" t="s">
        <v>58</v>
      </c>
      <c r="N94" s="156"/>
      <c r="O94" s="165" t="s">
        <v>395</v>
      </c>
      <c r="P94" s="158">
        <v>30</v>
      </c>
      <c r="Q94" s="152" t="s">
        <v>60</v>
      </c>
      <c r="R94" s="152" t="s">
        <v>70</v>
      </c>
      <c r="S94" s="148">
        <v>0</v>
      </c>
      <c r="T94" s="148" t="s">
        <v>412</v>
      </c>
      <c r="U94" s="170"/>
      <c r="V94" s="163"/>
      <c r="W94" s="171"/>
      <c r="X94" s="176">
        <v>232</v>
      </c>
      <c r="Y94" s="160" t="str">
        <f>VLOOKUP(X94,docentes!$A:$E,2,0)</f>
        <v>GUIOU KOBAYASHI</v>
      </c>
      <c r="Z94" s="177" t="str">
        <f>VLOOKUP(X94,docentes!$A:$E,5,0)</f>
        <v>CMCC</v>
      </c>
    </row>
    <row r="95" spans="1:35" s="44" customFormat="1" ht="66.75" customHeight="1">
      <c r="A95" s="148" t="s">
        <v>222</v>
      </c>
      <c r="B95" s="146" t="s">
        <v>413</v>
      </c>
      <c r="C95" s="149" t="s">
        <v>389</v>
      </c>
      <c r="D95" s="150">
        <v>52</v>
      </c>
      <c r="E95" s="150" t="s">
        <v>390</v>
      </c>
      <c r="F95" s="151" t="s">
        <v>414</v>
      </c>
      <c r="G95" s="152">
        <v>0</v>
      </c>
      <c r="H95" s="152">
        <v>2</v>
      </c>
      <c r="I95" s="153">
        <v>2</v>
      </c>
      <c r="J95" s="154">
        <v>0</v>
      </c>
      <c r="K95" s="155">
        <v>2</v>
      </c>
      <c r="L95" s="148" t="s">
        <v>57</v>
      </c>
      <c r="M95" s="148" t="s">
        <v>58</v>
      </c>
      <c r="N95" s="156"/>
      <c r="O95" s="157" t="s">
        <v>59</v>
      </c>
      <c r="P95" s="158">
        <v>42</v>
      </c>
      <c r="Q95" s="149" t="s">
        <v>76</v>
      </c>
      <c r="R95" s="152" t="s">
        <v>70</v>
      </c>
      <c r="S95" s="148">
        <v>0</v>
      </c>
      <c r="T95" s="148" t="s">
        <v>415</v>
      </c>
      <c r="U95" s="170"/>
      <c r="V95" s="163"/>
      <c r="W95" s="171"/>
      <c r="X95" s="176">
        <v>434</v>
      </c>
      <c r="Y95" s="160" t="str">
        <f>VLOOKUP(X95,docentes!$A:$E,2,0)</f>
        <v>NUNZIO MARCO TORRISI</v>
      </c>
      <c r="Z95" s="177" t="str">
        <f>VLOOKUP(X95,docentes!$A:$E,5,0)</f>
        <v>CMCC</v>
      </c>
    </row>
    <row r="96" spans="1:35" s="44" customFormat="1" ht="66.75" customHeight="1">
      <c r="A96" s="172" t="s">
        <v>222</v>
      </c>
      <c r="B96" s="146" t="s">
        <v>416</v>
      </c>
      <c r="C96" s="149" t="s">
        <v>389</v>
      </c>
      <c r="D96" s="150">
        <v>52</v>
      </c>
      <c r="E96" s="150" t="s">
        <v>390</v>
      </c>
      <c r="F96" s="151" t="s">
        <v>417</v>
      </c>
      <c r="G96" s="149">
        <v>0</v>
      </c>
      <c r="H96" s="173">
        <v>2</v>
      </c>
      <c r="I96" s="174">
        <v>2</v>
      </c>
      <c r="J96" s="155">
        <v>0</v>
      </c>
      <c r="K96" s="155">
        <v>2</v>
      </c>
      <c r="L96" s="172" t="s">
        <v>57</v>
      </c>
      <c r="M96" s="172" t="s">
        <v>58</v>
      </c>
      <c r="N96" s="151"/>
      <c r="O96" s="157" t="s">
        <v>59</v>
      </c>
      <c r="P96" s="175">
        <v>30</v>
      </c>
      <c r="Q96" s="152" t="s">
        <v>60</v>
      </c>
      <c r="R96" s="152" t="s">
        <v>61</v>
      </c>
      <c r="S96" s="148">
        <v>0</v>
      </c>
      <c r="T96" s="148" t="s">
        <v>418</v>
      </c>
      <c r="U96" s="170"/>
      <c r="V96" s="163"/>
      <c r="W96" s="171"/>
      <c r="X96" s="176">
        <v>232</v>
      </c>
      <c r="Y96" s="160" t="str">
        <f>VLOOKUP(X96,docentes!$A:$E,2,0)</f>
        <v>GUIOU KOBAYASHI</v>
      </c>
      <c r="Z96" s="177" t="str">
        <f>VLOOKUP(X96,docentes!$A:$E,5,0)</f>
        <v>CMCC</v>
      </c>
      <c r="AA96" s="45"/>
      <c r="AB96" s="45"/>
      <c r="AC96" s="45"/>
      <c r="AD96" s="45"/>
      <c r="AE96" s="45"/>
      <c r="AF96" s="45"/>
      <c r="AG96" s="45"/>
    </row>
    <row r="97" spans="1:35" s="44" customFormat="1" ht="66.75" customHeight="1">
      <c r="A97" s="172" t="s">
        <v>222</v>
      </c>
      <c r="B97" s="146" t="s">
        <v>419</v>
      </c>
      <c r="C97" s="149" t="s">
        <v>389</v>
      </c>
      <c r="D97" s="150">
        <v>52</v>
      </c>
      <c r="E97" s="150" t="s">
        <v>390</v>
      </c>
      <c r="F97" s="151" t="s">
        <v>420</v>
      </c>
      <c r="G97" s="149">
        <v>0</v>
      </c>
      <c r="H97" s="173">
        <v>2</v>
      </c>
      <c r="I97" s="174">
        <v>2</v>
      </c>
      <c r="J97" s="155">
        <v>0</v>
      </c>
      <c r="K97" s="155">
        <v>2</v>
      </c>
      <c r="L97" s="172" t="s">
        <v>57</v>
      </c>
      <c r="M97" s="172" t="s">
        <v>58</v>
      </c>
      <c r="N97" s="151"/>
      <c r="O97" s="157" t="s">
        <v>59</v>
      </c>
      <c r="P97" s="175">
        <v>42</v>
      </c>
      <c r="Q97" s="149" t="s">
        <v>76</v>
      </c>
      <c r="R97" s="152" t="s">
        <v>61</v>
      </c>
      <c r="S97" s="148">
        <v>0</v>
      </c>
      <c r="T97" s="148" t="s">
        <v>421</v>
      </c>
      <c r="U97" s="170"/>
      <c r="V97" s="163"/>
      <c r="W97" s="171"/>
      <c r="X97" s="176">
        <v>49</v>
      </c>
      <c r="Y97" s="160" t="str">
        <f>VLOOKUP(X97,docentes!$A:$E,2,0)</f>
        <v>ANDRE LUIZ BRANDAO</v>
      </c>
      <c r="Z97" s="177" t="str">
        <f>VLOOKUP(X97,docentes!$A:$E,5,0)</f>
        <v>CMCC</v>
      </c>
      <c r="AA97" s="45"/>
      <c r="AB97" s="45"/>
      <c r="AC97" s="45"/>
      <c r="AD97" s="45"/>
      <c r="AE97" s="45"/>
      <c r="AF97" s="45"/>
      <c r="AG97" s="45"/>
    </row>
    <row r="98" spans="1:35" ht="66.75" customHeight="1">
      <c r="A98" s="148" t="s">
        <v>222</v>
      </c>
      <c r="B98" s="146" t="s">
        <v>422</v>
      </c>
      <c r="C98" s="149" t="s">
        <v>389</v>
      </c>
      <c r="D98" s="150">
        <v>52</v>
      </c>
      <c r="E98" s="150" t="s">
        <v>390</v>
      </c>
      <c r="F98" s="151" t="s">
        <v>423</v>
      </c>
      <c r="G98" s="152">
        <v>0</v>
      </c>
      <c r="H98" s="152">
        <v>2</v>
      </c>
      <c r="I98" s="153">
        <v>2</v>
      </c>
      <c r="J98" s="154">
        <v>0</v>
      </c>
      <c r="K98" s="155">
        <v>2</v>
      </c>
      <c r="L98" s="148" t="s">
        <v>57</v>
      </c>
      <c r="M98" s="148" t="s">
        <v>58</v>
      </c>
      <c r="N98" s="156"/>
      <c r="O98" s="148" t="s">
        <v>395</v>
      </c>
      <c r="P98" s="158">
        <v>30</v>
      </c>
      <c r="Q98" s="152" t="s">
        <v>60</v>
      </c>
      <c r="R98" s="152" t="s">
        <v>70</v>
      </c>
      <c r="S98" s="148">
        <v>0</v>
      </c>
      <c r="T98" s="148" t="s">
        <v>424</v>
      </c>
      <c r="U98" s="170"/>
      <c r="V98" s="163"/>
      <c r="W98" s="171"/>
      <c r="X98" s="176">
        <v>500</v>
      </c>
      <c r="Y98" s="160" t="str">
        <f>VLOOKUP(X98,docentes!$A:$E,2,0)</f>
        <v>RONALDO CRISTIANO PRATI</v>
      </c>
      <c r="Z98" s="177" t="str">
        <f>VLOOKUP(X98,docentes!$A:$E,5,0)</f>
        <v>CMCC</v>
      </c>
      <c r="AA98" s="44"/>
      <c r="AB98" s="44"/>
      <c r="AC98" s="44"/>
      <c r="AD98" s="44"/>
      <c r="AE98" s="44"/>
      <c r="AF98" s="44"/>
      <c r="AG98" s="44"/>
      <c r="AH98" s="44"/>
      <c r="AI98" s="44"/>
    </row>
    <row r="99" spans="1:35" s="44" customFormat="1" ht="66.75" customHeight="1">
      <c r="A99" s="148" t="s">
        <v>222</v>
      </c>
      <c r="B99" s="146" t="s">
        <v>425</v>
      </c>
      <c r="C99" s="149" t="s">
        <v>389</v>
      </c>
      <c r="D99" s="150">
        <v>52</v>
      </c>
      <c r="E99" s="150" t="s">
        <v>390</v>
      </c>
      <c r="F99" s="151" t="s">
        <v>426</v>
      </c>
      <c r="G99" s="152">
        <v>0</v>
      </c>
      <c r="H99" s="152">
        <v>2</v>
      </c>
      <c r="I99" s="153">
        <v>2</v>
      </c>
      <c r="J99" s="154">
        <v>0</v>
      </c>
      <c r="K99" s="155">
        <v>2</v>
      </c>
      <c r="L99" s="148" t="s">
        <v>57</v>
      </c>
      <c r="M99" s="148" t="s">
        <v>58</v>
      </c>
      <c r="N99" s="151"/>
      <c r="O99" s="157" t="s">
        <v>59</v>
      </c>
      <c r="P99" s="158">
        <v>42</v>
      </c>
      <c r="Q99" s="149" t="s">
        <v>76</v>
      </c>
      <c r="R99" s="152" t="s">
        <v>70</v>
      </c>
      <c r="S99" s="148">
        <v>0</v>
      </c>
      <c r="T99" s="148" t="s">
        <v>427</v>
      </c>
      <c r="U99" s="170"/>
      <c r="V99" s="163"/>
      <c r="W99" s="171"/>
      <c r="X99" s="176">
        <v>49</v>
      </c>
      <c r="Y99" s="160" t="str">
        <f>VLOOKUP(X99,docentes!$A:$E,2,0)</f>
        <v>ANDRE LUIZ BRANDAO</v>
      </c>
      <c r="Z99" s="177" t="str">
        <f>VLOOKUP(X99,docentes!$A:$E,5,0)</f>
        <v>CMCC</v>
      </c>
      <c r="AH99" s="45"/>
      <c r="AI99" s="45"/>
    </row>
    <row r="100" spans="1:35" s="44" customFormat="1" ht="66.75" customHeight="1">
      <c r="A100" s="148" t="s">
        <v>222</v>
      </c>
      <c r="B100" s="180" t="s">
        <v>428</v>
      </c>
      <c r="C100" s="149" t="s">
        <v>389</v>
      </c>
      <c r="D100" s="150">
        <v>52</v>
      </c>
      <c r="E100" s="150" t="s">
        <v>390</v>
      </c>
      <c r="F100" s="151" t="s">
        <v>429</v>
      </c>
      <c r="G100" s="152">
        <v>0</v>
      </c>
      <c r="H100" s="167">
        <v>2</v>
      </c>
      <c r="I100" s="153">
        <v>2</v>
      </c>
      <c r="J100" s="154">
        <v>0</v>
      </c>
      <c r="K100" s="155">
        <v>2</v>
      </c>
      <c r="L100" s="148" t="s">
        <v>57</v>
      </c>
      <c r="M100" s="148" t="s">
        <v>58</v>
      </c>
      <c r="N100" s="178"/>
      <c r="O100" s="157" t="s">
        <v>59</v>
      </c>
      <c r="P100" s="158">
        <v>30</v>
      </c>
      <c r="Q100" s="152" t="s">
        <v>60</v>
      </c>
      <c r="R100" s="152" t="s">
        <v>61</v>
      </c>
      <c r="S100" s="148">
        <v>0</v>
      </c>
      <c r="T100" s="148" t="s">
        <v>430</v>
      </c>
      <c r="U100" s="170"/>
      <c r="V100" s="163"/>
      <c r="W100" s="171"/>
      <c r="X100" s="176">
        <v>122</v>
      </c>
      <c r="Y100" s="160" t="str">
        <f>VLOOKUP(X100,docentes!$A:$E,2,0)</f>
        <v>DANIEL MORGATO MARTIN</v>
      </c>
      <c r="Z100" s="177" t="str">
        <f>VLOOKUP(X100,docentes!$A:$E,5,0)</f>
        <v>CMCC</v>
      </c>
    </row>
    <row r="101" spans="1:35" s="44" customFormat="1" ht="66.75" customHeight="1">
      <c r="A101" s="148" t="s">
        <v>222</v>
      </c>
      <c r="B101" s="180" t="s">
        <v>431</v>
      </c>
      <c r="C101" s="149" t="s">
        <v>389</v>
      </c>
      <c r="D101" s="150">
        <v>52</v>
      </c>
      <c r="E101" s="150" t="s">
        <v>390</v>
      </c>
      <c r="F101" s="151" t="s">
        <v>432</v>
      </c>
      <c r="G101" s="152">
        <v>0</v>
      </c>
      <c r="H101" s="167">
        <v>2</v>
      </c>
      <c r="I101" s="153">
        <v>2</v>
      </c>
      <c r="J101" s="154">
        <v>0</v>
      </c>
      <c r="K101" s="155">
        <v>2</v>
      </c>
      <c r="L101" s="148" t="s">
        <v>57</v>
      </c>
      <c r="M101" s="148" t="s">
        <v>58</v>
      </c>
      <c r="N101" s="178"/>
      <c r="O101" s="157" t="s">
        <v>59</v>
      </c>
      <c r="P101" s="158">
        <v>42</v>
      </c>
      <c r="Q101" s="149" t="s">
        <v>76</v>
      </c>
      <c r="R101" s="152" t="s">
        <v>61</v>
      </c>
      <c r="S101" s="148">
        <v>0</v>
      </c>
      <c r="T101" s="148" t="s">
        <v>433</v>
      </c>
      <c r="U101" s="170"/>
      <c r="V101" s="163"/>
      <c r="W101" s="171"/>
      <c r="X101" s="176">
        <v>573</v>
      </c>
      <c r="Y101" s="160" t="str">
        <f>VLOOKUP(X101,docentes!$A:$E,2,0)</f>
        <v>YOSSI ZANA</v>
      </c>
      <c r="Z101" s="177" t="str">
        <f>VLOOKUP(X101,docentes!$A:$E,5,0)</f>
        <v>CMCC</v>
      </c>
    </row>
    <row r="102" spans="1:35" ht="66.75" customHeight="1">
      <c r="A102" s="148" t="s">
        <v>222</v>
      </c>
      <c r="B102" s="146" t="s">
        <v>434</v>
      </c>
      <c r="C102" s="149" t="s">
        <v>389</v>
      </c>
      <c r="D102" s="150">
        <v>52</v>
      </c>
      <c r="E102" s="150" t="s">
        <v>390</v>
      </c>
      <c r="F102" s="151" t="s">
        <v>435</v>
      </c>
      <c r="G102" s="152">
        <v>0</v>
      </c>
      <c r="H102" s="152">
        <v>2</v>
      </c>
      <c r="I102" s="153">
        <v>2</v>
      </c>
      <c r="J102" s="154">
        <v>0</v>
      </c>
      <c r="K102" s="155">
        <v>2</v>
      </c>
      <c r="L102" s="148" t="s">
        <v>57</v>
      </c>
      <c r="M102" s="148" t="s">
        <v>58</v>
      </c>
      <c r="N102" s="156"/>
      <c r="O102" s="165" t="s">
        <v>395</v>
      </c>
      <c r="P102" s="158">
        <v>30</v>
      </c>
      <c r="Q102" s="152" t="s">
        <v>60</v>
      </c>
      <c r="R102" s="152" t="s">
        <v>70</v>
      </c>
      <c r="S102" s="148">
        <v>0</v>
      </c>
      <c r="T102" s="148" t="s">
        <v>436</v>
      </c>
      <c r="U102" s="170"/>
      <c r="V102" s="163"/>
      <c r="W102" s="171"/>
      <c r="X102" s="176">
        <v>122</v>
      </c>
      <c r="Y102" s="160" t="str">
        <f>VLOOKUP(X102,docentes!$A:$E,2,0)</f>
        <v>DANIEL MORGATO MARTIN</v>
      </c>
      <c r="Z102" s="177" t="str">
        <f>VLOOKUP(X102,docentes!$A:$E,5,0)</f>
        <v>CMCC</v>
      </c>
      <c r="AA102" s="44"/>
      <c r="AB102" s="44"/>
      <c r="AC102" s="44"/>
      <c r="AD102" s="44"/>
      <c r="AE102" s="44"/>
      <c r="AF102" s="44"/>
      <c r="AG102" s="44"/>
      <c r="AH102" s="44"/>
      <c r="AI102" s="44"/>
    </row>
    <row r="103" spans="1:35" s="44" customFormat="1" ht="66.75" customHeight="1">
      <c r="A103" s="148" t="s">
        <v>222</v>
      </c>
      <c r="B103" s="146" t="s">
        <v>437</v>
      </c>
      <c r="C103" s="149" t="s">
        <v>389</v>
      </c>
      <c r="D103" s="150">
        <v>52</v>
      </c>
      <c r="E103" s="150" t="s">
        <v>390</v>
      </c>
      <c r="F103" s="151" t="s">
        <v>438</v>
      </c>
      <c r="G103" s="152">
        <v>0</v>
      </c>
      <c r="H103" s="152">
        <v>2</v>
      </c>
      <c r="I103" s="153">
        <v>2</v>
      </c>
      <c r="J103" s="154">
        <v>0</v>
      </c>
      <c r="K103" s="155">
        <v>2</v>
      </c>
      <c r="L103" s="148" t="s">
        <v>57</v>
      </c>
      <c r="M103" s="148" t="s">
        <v>58</v>
      </c>
      <c r="N103" s="151"/>
      <c r="O103" s="157" t="s">
        <v>59</v>
      </c>
      <c r="P103" s="158">
        <v>42</v>
      </c>
      <c r="Q103" s="149" t="s">
        <v>76</v>
      </c>
      <c r="R103" s="152" t="s">
        <v>70</v>
      </c>
      <c r="S103" s="148">
        <v>0</v>
      </c>
      <c r="T103" s="148" t="s">
        <v>439</v>
      </c>
      <c r="U103" s="170"/>
      <c r="V103" s="163"/>
      <c r="W103" s="171"/>
      <c r="X103" s="176">
        <v>51</v>
      </c>
      <c r="Y103" s="160" t="str">
        <f>VLOOKUP(X103,docentes!$A:$E,2,0)</f>
        <v>ANDRE MASCIOLI CRAVO</v>
      </c>
      <c r="Z103" s="177" t="str">
        <f>VLOOKUP(X103,docentes!$A:$E,5,0)</f>
        <v>CMCC</v>
      </c>
    </row>
    <row r="104" spans="1:35" s="44" customFormat="1" ht="66.75" customHeight="1">
      <c r="A104" s="148" t="s">
        <v>222</v>
      </c>
      <c r="B104" s="146" t="s">
        <v>440</v>
      </c>
      <c r="C104" s="149" t="s">
        <v>389</v>
      </c>
      <c r="D104" s="150">
        <v>52</v>
      </c>
      <c r="E104" s="150" t="s">
        <v>390</v>
      </c>
      <c r="F104" s="151" t="s">
        <v>441</v>
      </c>
      <c r="G104" s="152">
        <v>0</v>
      </c>
      <c r="H104" s="152">
        <v>2</v>
      </c>
      <c r="I104" s="153">
        <v>2</v>
      </c>
      <c r="J104" s="154">
        <v>0</v>
      </c>
      <c r="K104" s="155">
        <v>2</v>
      </c>
      <c r="L104" s="148" t="s">
        <v>57</v>
      </c>
      <c r="M104" s="148" t="s">
        <v>58</v>
      </c>
      <c r="N104" s="166"/>
      <c r="O104" s="157" t="s">
        <v>59</v>
      </c>
      <c r="P104" s="158">
        <v>30</v>
      </c>
      <c r="Q104" s="152" t="s">
        <v>60</v>
      </c>
      <c r="R104" s="152" t="s">
        <v>61</v>
      </c>
      <c r="S104" s="148">
        <v>0</v>
      </c>
      <c r="T104" s="148" t="s">
        <v>442</v>
      </c>
      <c r="U104" s="170"/>
      <c r="V104" s="163"/>
      <c r="W104" s="171"/>
      <c r="X104" s="176">
        <v>423</v>
      </c>
      <c r="Y104" s="160" t="str">
        <f>VLOOKUP(X104,docentes!$A:$E,2,0)</f>
        <v>MIRTHA LINA FERNANDEZ VENERO</v>
      </c>
      <c r="Z104" s="177" t="str">
        <f>VLOOKUP(X104,docentes!$A:$E,5,0)</f>
        <v>CMCC</v>
      </c>
    </row>
    <row r="105" spans="1:35" s="44" customFormat="1" ht="66.75" customHeight="1">
      <c r="A105" s="148" t="s">
        <v>222</v>
      </c>
      <c r="B105" s="146" t="s">
        <v>443</v>
      </c>
      <c r="C105" s="149" t="s">
        <v>389</v>
      </c>
      <c r="D105" s="150">
        <v>52</v>
      </c>
      <c r="E105" s="150" t="s">
        <v>390</v>
      </c>
      <c r="F105" s="151" t="s">
        <v>444</v>
      </c>
      <c r="G105" s="152">
        <v>0</v>
      </c>
      <c r="H105" s="152">
        <v>2</v>
      </c>
      <c r="I105" s="153">
        <v>2</v>
      </c>
      <c r="J105" s="154">
        <v>0</v>
      </c>
      <c r="K105" s="155">
        <v>2</v>
      </c>
      <c r="L105" s="148" t="s">
        <v>57</v>
      </c>
      <c r="M105" s="148" t="s">
        <v>58</v>
      </c>
      <c r="N105" s="166"/>
      <c r="O105" s="157" t="s">
        <v>59</v>
      </c>
      <c r="P105" s="158">
        <v>42</v>
      </c>
      <c r="Q105" s="149" t="s">
        <v>76</v>
      </c>
      <c r="R105" s="152" t="s">
        <v>61</v>
      </c>
      <c r="S105" s="148">
        <v>0</v>
      </c>
      <c r="T105" s="148" t="s">
        <v>445</v>
      </c>
      <c r="U105" s="170"/>
      <c r="V105" s="163"/>
      <c r="W105" s="171"/>
      <c r="X105" s="176">
        <v>567</v>
      </c>
      <c r="Y105" s="160" t="str">
        <f>VLOOKUP(X105,docentes!$A:$E,2,0)</f>
        <v>WAGNER TANAKA BOTELHO</v>
      </c>
      <c r="Z105" s="177" t="str">
        <f>VLOOKUP(X105,docentes!$A:$E,5,0)</f>
        <v>CMCC</v>
      </c>
      <c r="AH105" s="45"/>
      <c r="AI105" s="45"/>
    </row>
    <row r="106" spans="1:35" ht="66.75" customHeight="1">
      <c r="A106" s="148" t="s">
        <v>222</v>
      </c>
      <c r="B106" s="146" t="s">
        <v>446</v>
      </c>
      <c r="C106" s="149" t="s">
        <v>389</v>
      </c>
      <c r="D106" s="150">
        <v>52</v>
      </c>
      <c r="E106" s="150" t="s">
        <v>390</v>
      </c>
      <c r="F106" s="151" t="s">
        <v>447</v>
      </c>
      <c r="G106" s="152">
        <v>0</v>
      </c>
      <c r="H106" s="152">
        <v>2</v>
      </c>
      <c r="I106" s="153">
        <v>2</v>
      </c>
      <c r="J106" s="154">
        <v>0</v>
      </c>
      <c r="K106" s="155">
        <v>2</v>
      </c>
      <c r="L106" s="148" t="s">
        <v>57</v>
      </c>
      <c r="M106" s="148" t="s">
        <v>58</v>
      </c>
      <c r="N106" s="156"/>
      <c r="O106" s="165" t="s">
        <v>395</v>
      </c>
      <c r="P106" s="158">
        <v>30</v>
      </c>
      <c r="Q106" s="152" t="s">
        <v>60</v>
      </c>
      <c r="R106" s="152" t="s">
        <v>70</v>
      </c>
      <c r="S106" s="148">
        <v>0</v>
      </c>
      <c r="T106" s="148" t="s">
        <v>448</v>
      </c>
      <c r="U106" s="170"/>
      <c r="V106" s="163"/>
      <c r="W106" s="171"/>
      <c r="X106" s="176">
        <v>112</v>
      </c>
      <c r="Y106" s="160" t="str">
        <f>VLOOKUP(X106,docentes!$A:$E,2,0)</f>
        <v>CRISTIANE MARIA SATO</v>
      </c>
      <c r="Z106" s="177" t="str">
        <f>VLOOKUP(X106,docentes!$A:$E,5,0)</f>
        <v>CMCC</v>
      </c>
      <c r="AA106" s="44"/>
      <c r="AB106" s="44"/>
      <c r="AC106" s="44"/>
      <c r="AD106" s="44"/>
      <c r="AE106" s="44"/>
      <c r="AF106" s="44"/>
      <c r="AG106" s="44"/>
      <c r="AH106" s="44"/>
      <c r="AI106" s="44"/>
    </row>
    <row r="107" spans="1:35" s="44" customFormat="1" ht="66.75" customHeight="1">
      <c r="A107" s="148" t="s">
        <v>222</v>
      </c>
      <c r="B107" s="146" t="s">
        <v>449</v>
      </c>
      <c r="C107" s="149" t="s">
        <v>389</v>
      </c>
      <c r="D107" s="150">
        <v>52</v>
      </c>
      <c r="E107" s="150" t="s">
        <v>390</v>
      </c>
      <c r="F107" s="151" t="s">
        <v>450</v>
      </c>
      <c r="G107" s="152">
        <v>0</v>
      </c>
      <c r="H107" s="152">
        <v>2</v>
      </c>
      <c r="I107" s="153">
        <v>2</v>
      </c>
      <c r="J107" s="154">
        <v>0</v>
      </c>
      <c r="K107" s="155">
        <v>2</v>
      </c>
      <c r="L107" s="148" t="s">
        <v>57</v>
      </c>
      <c r="M107" s="148" t="s">
        <v>58</v>
      </c>
      <c r="N107" s="156"/>
      <c r="O107" s="157" t="s">
        <v>59</v>
      </c>
      <c r="P107" s="158">
        <v>42</v>
      </c>
      <c r="Q107" s="149" t="s">
        <v>76</v>
      </c>
      <c r="R107" s="152" t="s">
        <v>70</v>
      </c>
      <c r="S107" s="148">
        <v>0</v>
      </c>
      <c r="T107" s="148" t="s">
        <v>451</v>
      </c>
      <c r="U107" s="170"/>
      <c r="V107" s="163"/>
      <c r="W107" s="171"/>
      <c r="X107" s="176">
        <v>567</v>
      </c>
      <c r="Y107" s="160" t="str">
        <f>VLOOKUP(X107,docentes!$A:$E,2,0)</f>
        <v>WAGNER TANAKA BOTELHO</v>
      </c>
      <c r="Z107" s="177" t="str">
        <f>VLOOKUP(X107,docentes!$A:$E,5,0)</f>
        <v>CMCC</v>
      </c>
    </row>
    <row r="108" spans="1:35" s="44" customFormat="1" ht="66.75" customHeight="1">
      <c r="A108" s="148" t="s">
        <v>222</v>
      </c>
      <c r="B108" s="146" t="s">
        <v>452</v>
      </c>
      <c r="C108" s="149" t="s">
        <v>389</v>
      </c>
      <c r="D108" s="150">
        <v>52</v>
      </c>
      <c r="E108" s="150" t="s">
        <v>390</v>
      </c>
      <c r="F108" s="151" t="s">
        <v>453</v>
      </c>
      <c r="G108" s="152">
        <v>0</v>
      </c>
      <c r="H108" s="152">
        <v>2</v>
      </c>
      <c r="I108" s="153">
        <v>2</v>
      </c>
      <c r="J108" s="154">
        <v>0</v>
      </c>
      <c r="K108" s="155">
        <v>2</v>
      </c>
      <c r="L108" s="148" t="s">
        <v>57</v>
      </c>
      <c r="M108" s="148" t="s">
        <v>58</v>
      </c>
      <c r="N108" s="166"/>
      <c r="O108" s="157" t="s">
        <v>59</v>
      </c>
      <c r="P108" s="158">
        <v>30</v>
      </c>
      <c r="Q108" s="152" t="s">
        <v>60</v>
      </c>
      <c r="R108" s="152" t="s">
        <v>61</v>
      </c>
      <c r="S108" s="148">
        <v>0</v>
      </c>
      <c r="T108" s="148" t="s">
        <v>454</v>
      </c>
      <c r="U108" s="170"/>
      <c r="V108" s="163"/>
      <c r="W108" s="171"/>
      <c r="X108" s="176">
        <v>498</v>
      </c>
      <c r="Y108" s="160" t="str">
        <f>VLOOKUP(X108,docentes!$A:$E,2,0)</f>
        <v>ROGERIO PERINO DE OLIVEIRA NEVES</v>
      </c>
      <c r="Z108" s="177" t="str">
        <f>VLOOKUP(X108,docentes!$A:$E,5,0)</f>
        <v>CMCC</v>
      </c>
    </row>
    <row r="109" spans="1:35" s="44" customFormat="1" ht="66.75" customHeight="1">
      <c r="A109" s="148" t="s">
        <v>222</v>
      </c>
      <c r="B109" s="146" t="s">
        <v>455</v>
      </c>
      <c r="C109" s="149" t="s">
        <v>389</v>
      </c>
      <c r="D109" s="150">
        <v>52</v>
      </c>
      <c r="E109" s="150" t="s">
        <v>390</v>
      </c>
      <c r="F109" s="151" t="s">
        <v>456</v>
      </c>
      <c r="G109" s="152">
        <v>0</v>
      </c>
      <c r="H109" s="152">
        <v>2</v>
      </c>
      <c r="I109" s="153">
        <v>2</v>
      </c>
      <c r="J109" s="154">
        <v>0</v>
      </c>
      <c r="K109" s="155">
        <v>2</v>
      </c>
      <c r="L109" s="148" t="s">
        <v>57</v>
      </c>
      <c r="M109" s="148" t="s">
        <v>58</v>
      </c>
      <c r="N109" s="151"/>
      <c r="O109" s="172" t="s">
        <v>395</v>
      </c>
      <c r="P109" s="158">
        <v>30</v>
      </c>
      <c r="Q109" s="152" t="s">
        <v>60</v>
      </c>
      <c r="R109" s="152" t="s">
        <v>70</v>
      </c>
      <c r="S109" s="148">
        <v>0</v>
      </c>
      <c r="T109" s="148" t="s">
        <v>457</v>
      </c>
      <c r="U109" s="170"/>
      <c r="V109" s="163"/>
      <c r="W109" s="171"/>
      <c r="X109" s="176">
        <v>423</v>
      </c>
      <c r="Y109" s="160" t="str">
        <f>VLOOKUP(X109,docentes!$A:$E,2,0)</f>
        <v>MIRTHA LINA FERNANDEZ VENERO</v>
      </c>
      <c r="Z109" s="177" t="str">
        <f>VLOOKUP(X109,docentes!$A:$E,5,0)</f>
        <v>CMCC</v>
      </c>
    </row>
    <row r="110" spans="1:35" s="44" customFormat="1" ht="66.75" customHeight="1">
      <c r="A110" s="148" t="s">
        <v>222</v>
      </c>
      <c r="B110" s="146" t="s">
        <v>458</v>
      </c>
      <c r="C110" s="149" t="s">
        <v>389</v>
      </c>
      <c r="D110" s="150">
        <v>52</v>
      </c>
      <c r="E110" s="150" t="s">
        <v>390</v>
      </c>
      <c r="F110" s="151" t="s">
        <v>459</v>
      </c>
      <c r="G110" s="152">
        <v>0</v>
      </c>
      <c r="H110" s="152">
        <v>2</v>
      </c>
      <c r="I110" s="153">
        <v>2</v>
      </c>
      <c r="J110" s="154">
        <v>0</v>
      </c>
      <c r="K110" s="155">
        <v>2</v>
      </c>
      <c r="L110" s="148" t="s">
        <v>57</v>
      </c>
      <c r="M110" s="148" t="s">
        <v>58</v>
      </c>
      <c r="N110" s="156"/>
      <c r="O110" s="157" t="s">
        <v>59</v>
      </c>
      <c r="P110" s="158">
        <v>30</v>
      </c>
      <c r="Q110" s="152" t="s">
        <v>60</v>
      </c>
      <c r="R110" s="152" t="s">
        <v>61</v>
      </c>
      <c r="S110" s="148">
        <v>0</v>
      </c>
      <c r="T110" s="148" t="s">
        <v>460</v>
      </c>
      <c r="U110" s="170"/>
      <c r="V110" s="163"/>
      <c r="W110" s="171"/>
      <c r="X110" s="176">
        <v>307</v>
      </c>
      <c r="Y110" s="160" t="str">
        <f>VLOOKUP(X110,docentes!$A:$E,2,0)</f>
        <v>KARLA VITTORI</v>
      </c>
      <c r="Z110" s="177" t="str">
        <f>VLOOKUP(X110,docentes!$A:$E,5,0)</f>
        <v>CMCC</v>
      </c>
    </row>
    <row r="111" spans="1:35" s="44" customFormat="1" ht="66.75" customHeight="1">
      <c r="A111" s="148" t="s">
        <v>222</v>
      </c>
      <c r="B111" s="146" t="s">
        <v>461</v>
      </c>
      <c r="C111" s="149" t="s">
        <v>389</v>
      </c>
      <c r="D111" s="150">
        <v>52</v>
      </c>
      <c r="E111" s="150" t="s">
        <v>390</v>
      </c>
      <c r="F111" s="151" t="s">
        <v>462</v>
      </c>
      <c r="G111" s="152">
        <v>0</v>
      </c>
      <c r="H111" s="152">
        <v>2</v>
      </c>
      <c r="I111" s="153">
        <v>2</v>
      </c>
      <c r="J111" s="154">
        <v>0</v>
      </c>
      <c r="K111" s="155">
        <v>2</v>
      </c>
      <c r="L111" s="148" t="s">
        <v>57</v>
      </c>
      <c r="M111" s="148" t="s">
        <v>58</v>
      </c>
      <c r="N111" s="156"/>
      <c r="O111" s="165" t="s">
        <v>395</v>
      </c>
      <c r="P111" s="158">
        <v>30</v>
      </c>
      <c r="Q111" s="152" t="s">
        <v>60</v>
      </c>
      <c r="R111" s="152" t="s">
        <v>70</v>
      </c>
      <c r="S111" s="148">
        <v>0</v>
      </c>
      <c r="T111" s="148" t="s">
        <v>463</v>
      </c>
      <c r="U111" s="170"/>
      <c r="V111" s="163"/>
      <c r="W111" s="171"/>
      <c r="X111" s="176">
        <v>404</v>
      </c>
      <c r="Y111" s="160" t="str">
        <f>VLOOKUP(X111,docentes!$A:$E,2,0)</f>
        <v>MARINA SPARVOLI DE MEDEIROS</v>
      </c>
      <c r="Z111" s="177" t="str">
        <f>VLOOKUP(X111,docentes!$A:$E,5,0)</f>
        <v>CMCC</v>
      </c>
    </row>
    <row r="112" spans="1:35" s="44" customFormat="1" ht="66.75" customHeight="1">
      <c r="A112" s="148" t="s">
        <v>222</v>
      </c>
      <c r="B112" s="146" t="s">
        <v>464</v>
      </c>
      <c r="C112" s="149" t="s">
        <v>389</v>
      </c>
      <c r="D112" s="150">
        <v>52</v>
      </c>
      <c r="E112" s="150" t="s">
        <v>390</v>
      </c>
      <c r="F112" s="151" t="s">
        <v>465</v>
      </c>
      <c r="G112" s="152">
        <v>0</v>
      </c>
      <c r="H112" s="152">
        <v>2</v>
      </c>
      <c r="I112" s="153">
        <v>2</v>
      </c>
      <c r="J112" s="154">
        <v>0</v>
      </c>
      <c r="K112" s="155">
        <v>2</v>
      </c>
      <c r="L112" s="148" t="s">
        <v>57</v>
      </c>
      <c r="M112" s="148" t="s">
        <v>58</v>
      </c>
      <c r="N112" s="156"/>
      <c r="O112" s="157" t="s">
        <v>59</v>
      </c>
      <c r="P112" s="158">
        <v>30</v>
      </c>
      <c r="Q112" s="152" t="s">
        <v>60</v>
      </c>
      <c r="R112" s="152" t="s">
        <v>61</v>
      </c>
      <c r="S112" s="148">
        <v>0</v>
      </c>
      <c r="T112" s="148" t="s">
        <v>466</v>
      </c>
      <c r="U112" s="170"/>
      <c r="V112" s="163"/>
      <c r="W112" s="171"/>
      <c r="X112" s="176">
        <v>112</v>
      </c>
      <c r="Y112" s="160" t="str">
        <f>VLOOKUP(X112,docentes!$A:$E,2,0)</f>
        <v>CRISTIANE MARIA SATO</v>
      </c>
      <c r="Z112" s="177" t="str">
        <f>VLOOKUP(X112,docentes!$A:$E,5,0)</f>
        <v>CMCC</v>
      </c>
    </row>
    <row r="113" spans="1:35" s="44" customFormat="1" ht="66.75" customHeight="1">
      <c r="A113" s="148" t="s">
        <v>222</v>
      </c>
      <c r="B113" s="146" t="s">
        <v>467</v>
      </c>
      <c r="C113" s="149" t="s">
        <v>389</v>
      </c>
      <c r="D113" s="150">
        <v>52</v>
      </c>
      <c r="E113" s="150" t="s">
        <v>390</v>
      </c>
      <c r="F113" s="151" t="s">
        <v>468</v>
      </c>
      <c r="G113" s="152">
        <v>0</v>
      </c>
      <c r="H113" s="152">
        <v>2</v>
      </c>
      <c r="I113" s="153">
        <v>2</v>
      </c>
      <c r="J113" s="154">
        <v>0</v>
      </c>
      <c r="K113" s="155">
        <v>2</v>
      </c>
      <c r="L113" s="148" t="s">
        <v>57</v>
      </c>
      <c r="M113" s="148" t="s">
        <v>58</v>
      </c>
      <c r="N113" s="156"/>
      <c r="O113" s="148" t="s">
        <v>395</v>
      </c>
      <c r="P113" s="158">
        <v>30</v>
      </c>
      <c r="Q113" s="152" t="s">
        <v>60</v>
      </c>
      <c r="R113" s="152" t="s">
        <v>70</v>
      </c>
      <c r="S113" s="148">
        <v>0</v>
      </c>
      <c r="T113" s="148" t="s">
        <v>469</v>
      </c>
      <c r="U113" s="170"/>
      <c r="V113" s="163"/>
      <c r="W113" s="171"/>
      <c r="X113" s="176">
        <v>307</v>
      </c>
      <c r="Y113" s="160" t="str">
        <f>VLOOKUP(X113,docentes!$A:$E,2,0)</f>
        <v>KARLA VITTORI</v>
      </c>
      <c r="Z113" s="177" t="str">
        <f>VLOOKUP(X113,docentes!$A:$E,5,0)</f>
        <v>CMCC</v>
      </c>
    </row>
    <row r="114" spans="1:35" ht="66.75" customHeight="1">
      <c r="A114" s="148" t="s">
        <v>222</v>
      </c>
      <c r="B114" s="146" t="s">
        <v>470</v>
      </c>
      <c r="C114" s="149" t="s">
        <v>389</v>
      </c>
      <c r="D114" s="150">
        <v>52</v>
      </c>
      <c r="E114" s="150" t="s">
        <v>390</v>
      </c>
      <c r="F114" s="151" t="s">
        <v>471</v>
      </c>
      <c r="G114" s="152">
        <v>0</v>
      </c>
      <c r="H114" s="152">
        <v>2</v>
      </c>
      <c r="I114" s="153">
        <v>2</v>
      </c>
      <c r="J114" s="154">
        <v>0</v>
      </c>
      <c r="K114" s="155">
        <v>2</v>
      </c>
      <c r="L114" s="148" t="s">
        <v>57</v>
      </c>
      <c r="M114" s="148" t="s">
        <v>58</v>
      </c>
      <c r="N114" s="156"/>
      <c r="O114" s="157" t="s">
        <v>59</v>
      </c>
      <c r="P114" s="158">
        <v>30</v>
      </c>
      <c r="Q114" s="152" t="s">
        <v>60</v>
      </c>
      <c r="R114" s="152" t="s">
        <v>61</v>
      </c>
      <c r="S114" s="148">
        <v>0</v>
      </c>
      <c r="T114" s="148" t="s">
        <v>472</v>
      </c>
      <c r="U114" s="170"/>
      <c r="V114" s="163"/>
      <c r="W114" s="171"/>
      <c r="X114" s="176">
        <v>383</v>
      </c>
      <c r="Y114" s="160" t="str">
        <f>VLOOKUP(X114,docentes!$A:$E,2,0)</f>
        <v>MARGARETHE STEINBERGER ELIAS BORN</v>
      </c>
      <c r="Z114" s="177" t="str">
        <f>VLOOKUP(X114,docentes!$A:$E,5,0)</f>
        <v>CECS</v>
      </c>
      <c r="AA114" s="44"/>
      <c r="AB114" s="44"/>
      <c r="AC114" s="44"/>
      <c r="AD114" s="44"/>
      <c r="AE114" s="44"/>
      <c r="AF114" s="44"/>
      <c r="AG114" s="44"/>
      <c r="AH114" s="44"/>
      <c r="AI114" s="44"/>
    </row>
    <row r="115" spans="1:35" s="44" customFormat="1" ht="66.75" customHeight="1">
      <c r="A115" s="148" t="s">
        <v>222</v>
      </c>
      <c r="B115" s="146" t="s">
        <v>473</v>
      </c>
      <c r="C115" s="149" t="s">
        <v>389</v>
      </c>
      <c r="D115" s="150">
        <v>52</v>
      </c>
      <c r="E115" s="150" t="s">
        <v>390</v>
      </c>
      <c r="F115" s="151" t="s">
        <v>474</v>
      </c>
      <c r="G115" s="152">
        <v>0</v>
      </c>
      <c r="H115" s="152">
        <v>2</v>
      </c>
      <c r="I115" s="153">
        <v>2</v>
      </c>
      <c r="J115" s="154">
        <v>0</v>
      </c>
      <c r="K115" s="155">
        <v>2</v>
      </c>
      <c r="L115" s="148" t="s">
        <v>57</v>
      </c>
      <c r="M115" s="148" t="s">
        <v>58</v>
      </c>
      <c r="N115" s="156"/>
      <c r="O115" s="148" t="s">
        <v>395</v>
      </c>
      <c r="P115" s="158">
        <v>30</v>
      </c>
      <c r="Q115" s="152" t="s">
        <v>60</v>
      </c>
      <c r="R115" s="152" t="s">
        <v>70</v>
      </c>
      <c r="S115" s="148">
        <v>0</v>
      </c>
      <c r="T115" s="148" t="s">
        <v>475</v>
      </c>
      <c r="U115" s="170"/>
      <c r="V115" s="163"/>
      <c r="W115" s="171"/>
      <c r="X115" s="176">
        <v>427</v>
      </c>
      <c r="Y115" s="160" t="str">
        <f>VLOOKUP(X115,docentes!$A:$E,2,0)</f>
        <v>MURILO BELLEZONI LOIOLA</v>
      </c>
      <c r="Z115" s="177" t="str">
        <f>VLOOKUP(X115,docentes!$A:$E,5,0)</f>
        <v>CECS</v>
      </c>
    </row>
    <row r="116" spans="1:35" ht="66.75" customHeight="1">
      <c r="A116" s="148" t="s">
        <v>222</v>
      </c>
      <c r="B116" s="146" t="s">
        <v>476</v>
      </c>
      <c r="C116" s="149" t="s">
        <v>389</v>
      </c>
      <c r="D116" s="150">
        <v>52</v>
      </c>
      <c r="E116" s="150" t="s">
        <v>390</v>
      </c>
      <c r="F116" s="151" t="s">
        <v>477</v>
      </c>
      <c r="G116" s="152">
        <v>0</v>
      </c>
      <c r="H116" s="152">
        <v>2</v>
      </c>
      <c r="I116" s="153">
        <v>2</v>
      </c>
      <c r="J116" s="154">
        <v>0</v>
      </c>
      <c r="K116" s="155">
        <v>2</v>
      </c>
      <c r="L116" s="148" t="s">
        <v>57</v>
      </c>
      <c r="M116" s="148" t="s">
        <v>58</v>
      </c>
      <c r="N116" s="156"/>
      <c r="O116" s="157" t="s">
        <v>59</v>
      </c>
      <c r="P116" s="158">
        <v>30</v>
      </c>
      <c r="Q116" s="152" t="s">
        <v>60</v>
      </c>
      <c r="R116" s="152" t="s">
        <v>61</v>
      </c>
      <c r="S116" s="148">
        <v>0</v>
      </c>
      <c r="T116" s="148" t="s">
        <v>478</v>
      </c>
      <c r="U116" s="170"/>
      <c r="V116" s="163"/>
      <c r="W116" s="171"/>
      <c r="X116" s="176">
        <v>342</v>
      </c>
      <c r="Y116" s="160" t="str">
        <f>VLOOKUP(X116,docentes!$A:$E,2,0)</f>
        <v>LUIZ CARLOS DA SILVA ROZANTE</v>
      </c>
      <c r="Z116" s="177" t="str">
        <f>VLOOKUP(X116,docentes!$A:$E,5,0)</f>
        <v>CMCC</v>
      </c>
      <c r="AA116" s="44"/>
      <c r="AB116" s="44"/>
      <c r="AC116" s="44"/>
      <c r="AD116" s="44"/>
      <c r="AE116" s="44"/>
      <c r="AF116" s="44"/>
      <c r="AG116" s="44"/>
      <c r="AH116" s="44"/>
      <c r="AI116" s="44"/>
    </row>
    <row r="117" spans="1:35" s="44" customFormat="1" ht="66.75" customHeight="1">
      <c r="A117" s="148" t="s">
        <v>222</v>
      </c>
      <c r="B117" s="146" t="s">
        <v>479</v>
      </c>
      <c r="C117" s="149" t="s">
        <v>389</v>
      </c>
      <c r="D117" s="150">
        <v>52</v>
      </c>
      <c r="E117" s="150" t="s">
        <v>390</v>
      </c>
      <c r="F117" s="151" t="s">
        <v>480</v>
      </c>
      <c r="G117" s="152">
        <v>0</v>
      </c>
      <c r="H117" s="152">
        <v>2</v>
      </c>
      <c r="I117" s="153">
        <v>2</v>
      </c>
      <c r="J117" s="154">
        <v>0</v>
      </c>
      <c r="K117" s="155">
        <v>2</v>
      </c>
      <c r="L117" s="148" t="s">
        <v>57</v>
      </c>
      <c r="M117" s="148" t="s">
        <v>58</v>
      </c>
      <c r="N117" s="156">
        <v>250</v>
      </c>
      <c r="O117" s="165" t="s">
        <v>395</v>
      </c>
      <c r="P117" s="158">
        <v>30</v>
      </c>
      <c r="Q117" s="152" t="s">
        <v>60</v>
      </c>
      <c r="R117" s="152" t="s">
        <v>70</v>
      </c>
      <c r="S117" s="148">
        <v>0</v>
      </c>
      <c r="T117" s="148" t="s">
        <v>481</v>
      </c>
      <c r="U117" s="170"/>
      <c r="V117" s="163"/>
      <c r="W117" s="171"/>
      <c r="X117" s="176">
        <v>342</v>
      </c>
      <c r="Y117" s="160" t="str">
        <f>VLOOKUP(X117,docentes!$A:$E,2,0)</f>
        <v>LUIZ CARLOS DA SILVA ROZANTE</v>
      </c>
      <c r="Z117" s="177" t="str">
        <f>VLOOKUP(X117,docentes!$A:$E,5,0)</f>
        <v>CMCC</v>
      </c>
    </row>
    <row r="118" spans="1:35" ht="66.75" customHeight="1">
      <c r="A118" s="148" t="s">
        <v>222</v>
      </c>
      <c r="B118" s="146" t="s">
        <v>482</v>
      </c>
      <c r="C118" s="149" t="s">
        <v>389</v>
      </c>
      <c r="D118" s="150">
        <v>52</v>
      </c>
      <c r="E118" s="150" t="s">
        <v>390</v>
      </c>
      <c r="F118" s="151" t="s">
        <v>483</v>
      </c>
      <c r="G118" s="152">
        <v>0</v>
      </c>
      <c r="H118" s="152">
        <v>2</v>
      </c>
      <c r="I118" s="153">
        <v>2</v>
      </c>
      <c r="J118" s="154">
        <v>0</v>
      </c>
      <c r="K118" s="155">
        <v>2</v>
      </c>
      <c r="L118" s="148" t="s">
        <v>57</v>
      </c>
      <c r="M118" s="148" t="s">
        <v>58</v>
      </c>
      <c r="N118" s="156"/>
      <c r="O118" s="157" t="s">
        <v>59</v>
      </c>
      <c r="P118" s="158">
        <v>30</v>
      </c>
      <c r="Q118" s="152" t="s">
        <v>60</v>
      </c>
      <c r="R118" s="152" t="s">
        <v>61</v>
      </c>
      <c r="S118" s="148">
        <v>0</v>
      </c>
      <c r="T118" s="148" t="s">
        <v>484</v>
      </c>
      <c r="U118" s="170"/>
      <c r="V118" s="163"/>
      <c r="W118" s="171"/>
      <c r="X118" s="176">
        <v>110</v>
      </c>
      <c r="Y118" s="160" t="str">
        <f>VLOOKUP(X118,docentes!$A:$E,2,0)</f>
        <v>CLAUDIO NOGUEIRA DE MENESES</v>
      </c>
      <c r="Z118" s="177" t="str">
        <f>VLOOKUP(X118,docentes!$A:$E,5,0)</f>
        <v>CMCC</v>
      </c>
      <c r="AA118" s="44"/>
      <c r="AB118" s="44"/>
      <c r="AC118" s="44"/>
      <c r="AD118" s="44"/>
      <c r="AE118" s="44"/>
      <c r="AF118" s="44"/>
      <c r="AG118" s="44"/>
    </row>
    <row r="119" spans="1:35" s="44" customFormat="1" ht="66.75" customHeight="1">
      <c r="A119" s="148" t="s">
        <v>222</v>
      </c>
      <c r="B119" s="146" t="s">
        <v>485</v>
      </c>
      <c r="C119" s="149" t="s">
        <v>389</v>
      </c>
      <c r="D119" s="150">
        <v>52</v>
      </c>
      <c r="E119" s="150" t="s">
        <v>390</v>
      </c>
      <c r="F119" s="151" t="s">
        <v>486</v>
      </c>
      <c r="G119" s="152">
        <v>0</v>
      </c>
      <c r="H119" s="152">
        <v>2</v>
      </c>
      <c r="I119" s="153">
        <v>2</v>
      </c>
      <c r="J119" s="154">
        <v>0</v>
      </c>
      <c r="K119" s="155">
        <v>2</v>
      </c>
      <c r="L119" s="148" t="s">
        <v>57</v>
      </c>
      <c r="M119" s="148" t="s">
        <v>58</v>
      </c>
      <c r="N119" s="156"/>
      <c r="O119" s="157" t="s">
        <v>59</v>
      </c>
      <c r="P119" s="158">
        <v>42</v>
      </c>
      <c r="Q119" s="149" t="s">
        <v>76</v>
      </c>
      <c r="R119" s="152" t="s">
        <v>61</v>
      </c>
      <c r="S119" s="148">
        <v>0</v>
      </c>
      <c r="T119" s="148" t="s">
        <v>487</v>
      </c>
      <c r="U119" s="170"/>
      <c r="V119" s="163"/>
      <c r="W119" s="171"/>
      <c r="X119" s="176">
        <v>573</v>
      </c>
      <c r="Y119" s="160" t="str">
        <f>VLOOKUP(X119,docentes!$A:$E,2,0)</f>
        <v>YOSSI ZANA</v>
      </c>
      <c r="Z119" s="177" t="str">
        <f>VLOOKUP(X119,docentes!$A:$E,5,0)</f>
        <v>CMCC</v>
      </c>
    </row>
    <row r="120" spans="1:35" s="44" customFormat="1" ht="66.75" customHeight="1">
      <c r="A120" s="148" t="s">
        <v>222</v>
      </c>
      <c r="B120" s="146" t="s">
        <v>488</v>
      </c>
      <c r="C120" s="149" t="s">
        <v>389</v>
      </c>
      <c r="D120" s="150">
        <v>52</v>
      </c>
      <c r="E120" s="150" t="s">
        <v>390</v>
      </c>
      <c r="F120" s="151" t="s">
        <v>489</v>
      </c>
      <c r="G120" s="152">
        <v>0</v>
      </c>
      <c r="H120" s="152">
        <v>2</v>
      </c>
      <c r="I120" s="153">
        <v>2</v>
      </c>
      <c r="J120" s="154">
        <v>0</v>
      </c>
      <c r="K120" s="155">
        <v>2</v>
      </c>
      <c r="L120" s="148" t="s">
        <v>57</v>
      </c>
      <c r="M120" s="148" t="s">
        <v>58</v>
      </c>
      <c r="N120" s="156">
        <v>240</v>
      </c>
      <c r="O120" s="157" t="s">
        <v>59</v>
      </c>
      <c r="P120" s="158">
        <v>30</v>
      </c>
      <c r="Q120" s="152" t="s">
        <v>60</v>
      </c>
      <c r="R120" s="152" t="s">
        <v>70</v>
      </c>
      <c r="S120" s="148">
        <v>0</v>
      </c>
      <c r="T120" s="148" t="s">
        <v>490</v>
      </c>
      <c r="U120" s="170"/>
      <c r="V120" s="163"/>
      <c r="W120" s="171"/>
      <c r="X120" s="176">
        <v>232</v>
      </c>
      <c r="Y120" s="160" t="str">
        <f>VLOOKUP(X120,docentes!$A:$E,2,0)</f>
        <v>GUIOU KOBAYASHI</v>
      </c>
      <c r="Z120" s="177" t="str">
        <f>VLOOKUP(X120,docentes!$A:$E,5,0)</f>
        <v>CMCC</v>
      </c>
    </row>
    <row r="121" spans="1:35" s="44" customFormat="1" ht="66.75" customHeight="1">
      <c r="A121" s="148" t="s">
        <v>222</v>
      </c>
      <c r="B121" s="146" t="s">
        <v>491</v>
      </c>
      <c r="C121" s="149" t="s">
        <v>389</v>
      </c>
      <c r="D121" s="150">
        <v>52</v>
      </c>
      <c r="E121" s="150" t="s">
        <v>390</v>
      </c>
      <c r="F121" s="151" t="s">
        <v>492</v>
      </c>
      <c r="G121" s="152">
        <v>0</v>
      </c>
      <c r="H121" s="152">
        <v>2</v>
      </c>
      <c r="I121" s="153">
        <v>2</v>
      </c>
      <c r="J121" s="154">
        <v>0</v>
      </c>
      <c r="K121" s="155">
        <v>2</v>
      </c>
      <c r="L121" s="148" t="s">
        <v>57</v>
      </c>
      <c r="M121" s="148" t="s">
        <v>58</v>
      </c>
      <c r="N121" s="156"/>
      <c r="O121" s="157" t="s">
        <v>59</v>
      </c>
      <c r="P121" s="158">
        <v>42</v>
      </c>
      <c r="Q121" s="149" t="s">
        <v>76</v>
      </c>
      <c r="R121" s="152" t="s">
        <v>70</v>
      </c>
      <c r="S121" s="148">
        <v>0</v>
      </c>
      <c r="T121" s="148" t="s">
        <v>493</v>
      </c>
      <c r="U121" s="170"/>
      <c r="V121" s="163"/>
      <c r="W121" s="171"/>
      <c r="X121" s="176">
        <v>567</v>
      </c>
      <c r="Y121" s="160" t="str">
        <f>VLOOKUP(X121,docentes!$A:$E,2,0)</f>
        <v>WAGNER TANAKA BOTELHO</v>
      </c>
      <c r="Z121" s="177" t="str">
        <f>VLOOKUP(X121,docentes!$A:$E,5,0)</f>
        <v>CMCC</v>
      </c>
    </row>
    <row r="122" spans="1:35" s="44" customFormat="1" ht="66.75" customHeight="1">
      <c r="A122" s="148" t="s">
        <v>222</v>
      </c>
      <c r="B122" s="146" t="s">
        <v>494</v>
      </c>
      <c r="C122" s="149" t="s">
        <v>389</v>
      </c>
      <c r="D122" s="150">
        <v>52</v>
      </c>
      <c r="E122" s="150" t="s">
        <v>390</v>
      </c>
      <c r="F122" s="151" t="s">
        <v>495</v>
      </c>
      <c r="G122" s="152">
        <v>0</v>
      </c>
      <c r="H122" s="152">
        <v>2</v>
      </c>
      <c r="I122" s="153">
        <v>2</v>
      </c>
      <c r="J122" s="154">
        <v>0</v>
      </c>
      <c r="K122" s="155">
        <v>2</v>
      </c>
      <c r="L122" s="148" t="s">
        <v>57</v>
      </c>
      <c r="M122" s="148" t="s">
        <v>58</v>
      </c>
      <c r="N122" s="156"/>
      <c r="O122" s="157" t="s">
        <v>59</v>
      </c>
      <c r="P122" s="158">
        <v>30</v>
      </c>
      <c r="Q122" s="152" t="s">
        <v>60</v>
      </c>
      <c r="R122" s="152" t="s">
        <v>61</v>
      </c>
      <c r="S122" s="148">
        <v>0</v>
      </c>
      <c r="T122" s="148" t="s">
        <v>496</v>
      </c>
      <c r="U122" s="170"/>
      <c r="V122" s="163"/>
      <c r="W122" s="171"/>
      <c r="X122" s="176">
        <v>131</v>
      </c>
      <c r="Y122" s="160" t="str">
        <f>VLOOKUP(X122,docentes!$A:$E,2,0)</f>
        <v>DAVID CORREA MARTINS JUNIOR</v>
      </c>
      <c r="Z122" s="177" t="str">
        <f>VLOOKUP(X122,docentes!$A:$E,5,0)</f>
        <v>CMCC</v>
      </c>
    </row>
    <row r="123" spans="1:35" s="44" customFormat="1" ht="66.75" customHeight="1">
      <c r="A123" s="148" t="s">
        <v>222</v>
      </c>
      <c r="B123" s="146" t="s">
        <v>497</v>
      </c>
      <c r="C123" s="149" t="s">
        <v>389</v>
      </c>
      <c r="D123" s="150">
        <v>52</v>
      </c>
      <c r="E123" s="150" t="s">
        <v>390</v>
      </c>
      <c r="F123" s="151" t="s">
        <v>498</v>
      </c>
      <c r="G123" s="152">
        <v>0</v>
      </c>
      <c r="H123" s="152">
        <v>2</v>
      </c>
      <c r="I123" s="153">
        <v>2</v>
      </c>
      <c r="J123" s="154">
        <v>0</v>
      </c>
      <c r="K123" s="155">
        <v>2</v>
      </c>
      <c r="L123" s="148" t="s">
        <v>57</v>
      </c>
      <c r="M123" s="148" t="s">
        <v>58</v>
      </c>
      <c r="N123" s="151"/>
      <c r="O123" s="157" t="s">
        <v>59</v>
      </c>
      <c r="P123" s="158">
        <v>42</v>
      </c>
      <c r="Q123" s="149" t="s">
        <v>76</v>
      </c>
      <c r="R123" s="152" t="s">
        <v>61</v>
      </c>
      <c r="S123" s="148">
        <v>0</v>
      </c>
      <c r="T123" s="148" t="s">
        <v>499</v>
      </c>
      <c r="U123" s="170"/>
      <c r="V123" s="163"/>
      <c r="W123" s="171"/>
      <c r="X123" s="176">
        <v>49</v>
      </c>
      <c r="Y123" s="160" t="str">
        <f>VLOOKUP(X123,docentes!$A:$E,2,0)</f>
        <v>ANDRE LUIZ BRANDAO</v>
      </c>
      <c r="Z123" s="177" t="str">
        <f>VLOOKUP(X123,docentes!$A:$E,5,0)</f>
        <v>CMCC</v>
      </c>
    </row>
    <row r="124" spans="1:35" s="44" customFormat="1" ht="66.75" customHeight="1">
      <c r="A124" s="148" t="s">
        <v>222</v>
      </c>
      <c r="B124" s="146" t="s">
        <v>500</v>
      </c>
      <c r="C124" s="149" t="s">
        <v>389</v>
      </c>
      <c r="D124" s="150">
        <v>52</v>
      </c>
      <c r="E124" s="150" t="s">
        <v>390</v>
      </c>
      <c r="F124" s="151" t="s">
        <v>501</v>
      </c>
      <c r="G124" s="152">
        <v>0</v>
      </c>
      <c r="H124" s="152">
        <v>2</v>
      </c>
      <c r="I124" s="153">
        <v>2</v>
      </c>
      <c r="J124" s="154">
        <v>0</v>
      </c>
      <c r="K124" s="155">
        <v>2</v>
      </c>
      <c r="L124" s="148" t="s">
        <v>57</v>
      </c>
      <c r="M124" s="148" t="s">
        <v>58</v>
      </c>
      <c r="N124" s="156">
        <v>269</v>
      </c>
      <c r="O124" s="157" t="s">
        <v>59</v>
      </c>
      <c r="P124" s="158">
        <v>30</v>
      </c>
      <c r="Q124" s="152" t="s">
        <v>60</v>
      </c>
      <c r="R124" s="152" t="s">
        <v>70</v>
      </c>
      <c r="S124" s="148">
        <v>0</v>
      </c>
      <c r="T124" s="148" t="s">
        <v>502</v>
      </c>
      <c r="U124" s="170"/>
      <c r="V124" s="163"/>
      <c r="W124" s="171"/>
      <c r="X124" s="176">
        <v>373</v>
      </c>
      <c r="Y124" s="160" t="str">
        <f>VLOOKUP(X124,docentes!$A:$E,2,0)</f>
        <v>MARCIO KATSUMI OIKAWA</v>
      </c>
      <c r="Z124" s="177" t="str">
        <f>VLOOKUP(X124,docentes!$A:$E,5,0)</f>
        <v>CMCC</v>
      </c>
    </row>
    <row r="125" spans="1:35" s="44" customFormat="1" ht="66.75" customHeight="1">
      <c r="A125" s="148" t="s">
        <v>222</v>
      </c>
      <c r="B125" s="146" t="s">
        <v>503</v>
      </c>
      <c r="C125" s="149" t="s">
        <v>389</v>
      </c>
      <c r="D125" s="150">
        <v>52</v>
      </c>
      <c r="E125" s="150" t="s">
        <v>390</v>
      </c>
      <c r="F125" s="151" t="s">
        <v>504</v>
      </c>
      <c r="G125" s="152">
        <v>0</v>
      </c>
      <c r="H125" s="152">
        <v>2</v>
      </c>
      <c r="I125" s="153">
        <v>2</v>
      </c>
      <c r="J125" s="154">
        <v>0</v>
      </c>
      <c r="K125" s="155">
        <v>2</v>
      </c>
      <c r="L125" s="148" t="s">
        <v>57</v>
      </c>
      <c r="M125" s="148" t="s">
        <v>58</v>
      </c>
      <c r="N125" s="156"/>
      <c r="O125" s="157" t="s">
        <v>59</v>
      </c>
      <c r="P125" s="158">
        <v>42</v>
      </c>
      <c r="Q125" s="149" t="s">
        <v>76</v>
      </c>
      <c r="R125" s="152" t="s">
        <v>70</v>
      </c>
      <c r="S125" s="148">
        <v>0</v>
      </c>
      <c r="T125" s="148" t="s">
        <v>505</v>
      </c>
      <c r="U125" s="170"/>
      <c r="V125" s="163"/>
      <c r="W125" s="171"/>
      <c r="X125" s="176">
        <v>49</v>
      </c>
      <c r="Y125" s="160" t="str">
        <f>VLOOKUP(X125,docentes!$A:$E,2,0)</f>
        <v>ANDRE LUIZ BRANDAO</v>
      </c>
      <c r="Z125" s="177" t="str">
        <f>VLOOKUP(X125,docentes!$A:$E,5,0)</f>
        <v>CMCC</v>
      </c>
    </row>
    <row r="126" spans="1:35" s="44" customFormat="1" ht="66.75" customHeight="1">
      <c r="A126" s="148" t="s">
        <v>222</v>
      </c>
      <c r="B126" s="146" t="s">
        <v>506</v>
      </c>
      <c r="C126" s="149" t="s">
        <v>389</v>
      </c>
      <c r="D126" s="150">
        <v>52</v>
      </c>
      <c r="E126" s="150" t="s">
        <v>390</v>
      </c>
      <c r="F126" s="151" t="s">
        <v>507</v>
      </c>
      <c r="G126" s="152">
        <v>0</v>
      </c>
      <c r="H126" s="152">
        <v>2</v>
      </c>
      <c r="I126" s="153">
        <v>2</v>
      </c>
      <c r="J126" s="154">
        <v>0</v>
      </c>
      <c r="K126" s="155">
        <v>2</v>
      </c>
      <c r="L126" s="148" t="s">
        <v>57</v>
      </c>
      <c r="M126" s="148" t="s">
        <v>58</v>
      </c>
      <c r="N126" s="156"/>
      <c r="O126" s="157" t="s">
        <v>59</v>
      </c>
      <c r="P126" s="158">
        <v>30</v>
      </c>
      <c r="Q126" s="152" t="s">
        <v>60</v>
      </c>
      <c r="R126" s="152" t="s">
        <v>61</v>
      </c>
      <c r="S126" s="148">
        <v>0</v>
      </c>
      <c r="T126" s="148" t="s">
        <v>508</v>
      </c>
      <c r="U126" s="170"/>
      <c r="V126" s="163"/>
      <c r="W126" s="171"/>
      <c r="X126" s="176">
        <v>122</v>
      </c>
      <c r="Y126" s="160" t="str">
        <f>VLOOKUP(X126,docentes!$A:$E,2,0)</f>
        <v>DANIEL MORGATO MARTIN</v>
      </c>
      <c r="Z126" s="177" t="str">
        <f>VLOOKUP(X126,docentes!$A:$E,5,0)</f>
        <v>CMCC</v>
      </c>
      <c r="AH126" s="45"/>
      <c r="AI126" s="45"/>
    </row>
    <row r="127" spans="1:35" s="44" customFormat="1" ht="66.75" customHeight="1">
      <c r="A127" s="148" t="s">
        <v>222</v>
      </c>
      <c r="B127" s="146" t="s">
        <v>509</v>
      </c>
      <c r="C127" s="149" t="s">
        <v>389</v>
      </c>
      <c r="D127" s="150">
        <v>52</v>
      </c>
      <c r="E127" s="150" t="s">
        <v>390</v>
      </c>
      <c r="F127" s="151" t="s">
        <v>510</v>
      </c>
      <c r="G127" s="152">
        <v>0</v>
      </c>
      <c r="H127" s="152">
        <v>2</v>
      </c>
      <c r="I127" s="153">
        <v>2</v>
      </c>
      <c r="J127" s="154">
        <v>0</v>
      </c>
      <c r="K127" s="155">
        <v>2</v>
      </c>
      <c r="L127" s="148" t="s">
        <v>57</v>
      </c>
      <c r="M127" s="148" t="s">
        <v>58</v>
      </c>
      <c r="N127" s="156">
        <v>24.454545454545453</v>
      </c>
      <c r="O127" s="157" t="s">
        <v>59</v>
      </c>
      <c r="P127" s="158">
        <v>30</v>
      </c>
      <c r="Q127" s="152" t="s">
        <v>60</v>
      </c>
      <c r="R127" s="152" t="s">
        <v>70</v>
      </c>
      <c r="S127" s="148">
        <v>0</v>
      </c>
      <c r="T127" s="148" t="s">
        <v>511</v>
      </c>
      <c r="U127" s="170"/>
      <c r="V127" s="163"/>
      <c r="W127" s="171"/>
      <c r="X127" s="176">
        <v>122</v>
      </c>
      <c r="Y127" s="160" t="str">
        <f>VLOOKUP(X127,docentes!$A:$E,2,0)</f>
        <v>DANIEL MORGATO MARTIN</v>
      </c>
      <c r="Z127" s="177" t="str">
        <f>VLOOKUP(X127,docentes!$A:$E,5,0)</f>
        <v>CMCC</v>
      </c>
      <c r="AH127" s="45"/>
      <c r="AI127" s="45"/>
    </row>
    <row r="128" spans="1:35" s="44" customFormat="1" ht="66.75" customHeight="1">
      <c r="A128" s="148" t="s">
        <v>222</v>
      </c>
      <c r="B128" s="146" t="s">
        <v>512</v>
      </c>
      <c r="C128" s="149" t="s">
        <v>389</v>
      </c>
      <c r="D128" s="150">
        <v>52</v>
      </c>
      <c r="E128" s="150" t="s">
        <v>390</v>
      </c>
      <c r="F128" s="151" t="s">
        <v>513</v>
      </c>
      <c r="G128" s="152">
        <v>0</v>
      </c>
      <c r="H128" s="152">
        <v>2</v>
      </c>
      <c r="I128" s="153">
        <v>2</v>
      </c>
      <c r="J128" s="154">
        <v>0</v>
      </c>
      <c r="K128" s="155">
        <v>2</v>
      </c>
      <c r="L128" s="148" t="s">
        <v>57</v>
      </c>
      <c r="M128" s="148" t="s">
        <v>58</v>
      </c>
      <c r="N128" s="156"/>
      <c r="O128" s="157" t="s">
        <v>59</v>
      </c>
      <c r="P128" s="158">
        <v>42</v>
      </c>
      <c r="Q128" s="149" t="s">
        <v>76</v>
      </c>
      <c r="R128" s="152" t="s">
        <v>70</v>
      </c>
      <c r="S128" s="148">
        <v>0</v>
      </c>
      <c r="T128" s="148" t="s">
        <v>514</v>
      </c>
      <c r="U128" s="170"/>
      <c r="V128" s="163"/>
      <c r="W128" s="171"/>
      <c r="X128" s="176">
        <v>51</v>
      </c>
      <c r="Y128" s="160" t="str">
        <f>VLOOKUP(X128,docentes!$A:$E,2,0)</f>
        <v>ANDRE MASCIOLI CRAVO</v>
      </c>
      <c r="Z128" s="177" t="str">
        <f>VLOOKUP(X128,docentes!$A:$E,5,0)</f>
        <v>CMCC</v>
      </c>
    </row>
    <row r="129" spans="1:35" ht="66.75" customHeight="1">
      <c r="A129" s="148" t="s">
        <v>222</v>
      </c>
      <c r="B129" s="146" t="s">
        <v>515</v>
      </c>
      <c r="C129" s="149" t="s">
        <v>389</v>
      </c>
      <c r="D129" s="150">
        <v>52</v>
      </c>
      <c r="E129" s="150" t="s">
        <v>390</v>
      </c>
      <c r="F129" s="151" t="s">
        <v>516</v>
      </c>
      <c r="G129" s="152">
        <v>0</v>
      </c>
      <c r="H129" s="152">
        <v>2</v>
      </c>
      <c r="I129" s="153">
        <v>2</v>
      </c>
      <c r="J129" s="154">
        <v>0</v>
      </c>
      <c r="K129" s="155">
        <v>2</v>
      </c>
      <c r="L129" s="148" t="s">
        <v>57</v>
      </c>
      <c r="M129" s="148" t="s">
        <v>58</v>
      </c>
      <c r="N129" s="156"/>
      <c r="O129" s="157" t="s">
        <v>59</v>
      </c>
      <c r="P129" s="158">
        <v>30</v>
      </c>
      <c r="Q129" s="152" t="s">
        <v>60</v>
      </c>
      <c r="R129" s="152" t="s">
        <v>61</v>
      </c>
      <c r="S129" s="148">
        <v>0</v>
      </c>
      <c r="T129" s="148" t="s">
        <v>517</v>
      </c>
      <c r="U129" s="170"/>
      <c r="V129" s="163"/>
      <c r="W129" s="171"/>
      <c r="X129" s="176">
        <v>342</v>
      </c>
      <c r="Y129" s="160" t="str">
        <f>VLOOKUP(X129,docentes!$A:$E,2,0)</f>
        <v>LUIZ CARLOS DA SILVA ROZANTE</v>
      </c>
      <c r="Z129" s="177" t="str">
        <f>VLOOKUP(X129,docentes!$A:$E,5,0)</f>
        <v>CMCC</v>
      </c>
      <c r="AA129" s="44"/>
      <c r="AB129" s="44"/>
      <c r="AC129" s="44"/>
      <c r="AD129" s="44"/>
      <c r="AE129" s="44"/>
      <c r="AF129" s="44"/>
      <c r="AG129" s="44"/>
      <c r="AH129" s="44"/>
      <c r="AI129" s="44"/>
    </row>
    <row r="130" spans="1:35" ht="66.75" customHeight="1">
      <c r="A130" s="148" t="s">
        <v>222</v>
      </c>
      <c r="B130" s="146" t="s">
        <v>518</v>
      </c>
      <c r="C130" s="149" t="s">
        <v>389</v>
      </c>
      <c r="D130" s="150">
        <v>52</v>
      </c>
      <c r="E130" s="150" t="s">
        <v>390</v>
      </c>
      <c r="F130" s="151" t="s">
        <v>519</v>
      </c>
      <c r="G130" s="152">
        <v>0</v>
      </c>
      <c r="H130" s="152">
        <v>2</v>
      </c>
      <c r="I130" s="153">
        <v>2</v>
      </c>
      <c r="J130" s="154">
        <v>0</v>
      </c>
      <c r="K130" s="155">
        <v>2</v>
      </c>
      <c r="L130" s="148" t="s">
        <v>57</v>
      </c>
      <c r="M130" s="148" t="s">
        <v>58</v>
      </c>
      <c r="N130" s="156"/>
      <c r="O130" s="157" t="s">
        <v>59</v>
      </c>
      <c r="P130" s="158">
        <v>30</v>
      </c>
      <c r="Q130" s="152" t="s">
        <v>60</v>
      </c>
      <c r="R130" s="152" t="s">
        <v>70</v>
      </c>
      <c r="S130" s="148">
        <v>0</v>
      </c>
      <c r="T130" s="148" t="s">
        <v>520</v>
      </c>
      <c r="U130" s="170"/>
      <c r="V130" s="163"/>
      <c r="W130" s="171"/>
      <c r="X130" s="176">
        <v>112</v>
      </c>
      <c r="Y130" s="160" t="str">
        <f>VLOOKUP(X130,docentes!$A:$E,2,0)</f>
        <v>CRISTIANE MARIA SATO</v>
      </c>
      <c r="Z130" s="177" t="str">
        <f>VLOOKUP(X130,docentes!$A:$E,5,0)</f>
        <v>CMCC</v>
      </c>
      <c r="AA130" s="44"/>
      <c r="AB130" s="44"/>
      <c r="AC130" s="44"/>
      <c r="AD130" s="44"/>
      <c r="AE130" s="44"/>
      <c r="AF130" s="44"/>
      <c r="AG130" s="44"/>
      <c r="AH130" s="44"/>
      <c r="AI130" s="44"/>
    </row>
    <row r="131" spans="1:35" s="44" customFormat="1" ht="66.75" customHeight="1">
      <c r="A131" s="148" t="s">
        <v>222</v>
      </c>
      <c r="B131" s="146" t="s">
        <v>521</v>
      </c>
      <c r="C131" s="149" t="s">
        <v>389</v>
      </c>
      <c r="D131" s="150">
        <v>52</v>
      </c>
      <c r="E131" s="150" t="s">
        <v>390</v>
      </c>
      <c r="F131" s="151" t="s">
        <v>522</v>
      </c>
      <c r="G131" s="152">
        <v>0</v>
      </c>
      <c r="H131" s="152">
        <v>2</v>
      </c>
      <c r="I131" s="153">
        <v>2</v>
      </c>
      <c r="J131" s="154">
        <v>0</v>
      </c>
      <c r="K131" s="155">
        <v>2</v>
      </c>
      <c r="L131" s="148" t="s">
        <v>57</v>
      </c>
      <c r="M131" s="148" t="s">
        <v>58</v>
      </c>
      <c r="N131" s="156"/>
      <c r="O131" s="157" t="s">
        <v>59</v>
      </c>
      <c r="P131" s="158">
        <v>30</v>
      </c>
      <c r="Q131" s="152" t="s">
        <v>60</v>
      </c>
      <c r="R131" s="152" t="s">
        <v>61</v>
      </c>
      <c r="S131" s="148">
        <v>0</v>
      </c>
      <c r="T131" s="148" t="s">
        <v>523</v>
      </c>
      <c r="U131" s="170"/>
      <c r="V131" s="163"/>
      <c r="W131" s="171"/>
      <c r="X131" s="176">
        <v>498</v>
      </c>
      <c r="Y131" s="160" t="str">
        <f>VLOOKUP(X131,docentes!$A:$E,2,0)</f>
        <v>ROGERIO PERINO DE OLIVEIRA NEVES</v>
      </c>
      <c r="Z131" s="177" t="str">
        <f>VLOOKUP(X131,docentes!$A:$E,5,0)</f>
        <v>CMCC</v>
      </c>
    </row>
    <row r="132" spans="1:35" s="44" customFormat="1" ht="66.75" customHeight="1">
      <c r="A132" s="148" t="s">
        <v>222</v>
      </c>
      <c r="B132" s="146" t="s">
        <v>524</v>
      </c>
      <c r="C132" s="149" t="s">
        <v>389</v>
      </c>
      <c r="D132" s="150">
        <v>52</v>
      </c>
      <c r="E132" s="150" t="s">
        <v>390</v>
      </c>
      <c r="F132" s="151" t="s">
        <v>525</v>
      </c>
      <c r="G132" s="152">
        <v>0</v>
      </c>
      <c r="H132" s="152">
        <v>2</v>
      </c>
      <c r="I132" s="153">
        <v>2</v>
      </c>
      <c r="J132" s="154">
        <v>0</v>
      </c>
      <c r="K132" s="155">
        <v>2</v>
      </c>
      <c r="L132" s="148" t="s">
        <v>57</v>
      </c>
      <c r="M132" s="148" t="s">
        <v>58</v>
      </c>
      <c r="N132" s="156"/>
      <c r="O132" s="157" t="s">
        <v>59</v>
      </c>
      <c r="P132" s="158">
        <v>30</v>
      </c>
      <c r="Q132" s="152" t="s">
        <v>60</v>
      </c>
      <c r="R132" s="152" t="s">
        <v>70</v>
      </c>
      <c r="S132" s="148">
        <v>0</v>
      </c>
      <c r="T132" s="148" t="s">
        <v>526</v>
      </c>
      <c r="U132" s="170"/>
      <c r="V132" s="163"/>
      <c r="W132" s="171"/>
      <c r="X132" s="176">
        <v>423</v>
      </c>
      <c r="Y132" s="160" t="str">
        <f>VLOOKUP(X132,docentes!$A:$E,2,0)</f>
        <v>MIRTHA LINA FERNANDEZ VENERO</v>
      </c>
      <c r="Z132" s="177" t="str">
        <f>VLOOKUP(X132,docentes!$A:$E,5,0)</f>
        <v>CMCC</v>
      </c>
    </row>
    <row r="133" spans="1:35" s="44" customFormat="1" ht="66.75" customHeight="1">
      <c r="A133" s="148" t="s">
        <v>222</v>
      </c>
      <c r="B133" s="146" t="s">
        <v>527</v>
      </c>
      <c r="C133" s="149" t="s">
        <v>389</v>
      </c>
      <c r="D133" s="150">
        <v>52</v>
      </c>
      <c r="E133" s="150" t="s">
        <v>390</v>
      </c>
      <c r="F133" s="151" t="s">
        <v>528</v>
      </c>
      <c r="G133" s="152">
        <v>0</v>
      </c>
      <c r="H133" s="152">
        <v>2</v>
      </c>
      <c r="I133" s="153">
        <v>2</v>
      </c>
      <c r="J133" s="154">
        <v>0</v>
      </c>
      <c r="K133" s="155">
        <v>2</v>
      </c>
      <c r="L133" s="172" t="s">
        <v>57</v>
      </c>
      <c r="M133" s="148" t="s">
        <v>58</v>
      </c>
      <c r="N133" s="156"/>
      <c r="O133" s="157" t="s">
        <v>59</v>
      </c>
      <c r="P133" s="158">
        <v>30</v>
      </c>
      <c r="Q133" s="152" t="s">
        <v>60</v>
      </c>
      <c r="R133" s="152" t="s">
        <v>61</v>
      </c>
      <c r="S133" s="148">
        <v>0</v>
      </c>
      <c r="T133" s="148" t="s">
        <v>529</v>
      </c>
      <c r="U133" s="170"/>
      <c r="V133" s="163"/>
      <c r="W133" s="171"/>
      <c r="X133" s="176">
        <v>307</v>
      </c>
      <c r="Y133" s="160" t="str">
        <f>VLOOKUP(X133,docentes!$A:$E,2,0)</f>
        <v>KARLA VITTORI</v>
      </c>
      <c r="Z133" s="177" t="str">
        <f>VLOOKUP(X133,docentes!$A:$E,5,0)</f>
        <v>CMCC</v>
      </c>
    </row>
    <row r="134" spans="1:35" s="44" customFormat="1" ht="66.75" customHeight="1">
      <c r="A134" s="148" t="s">
        <v>222</v>
      </c>
      <c r="B134" s="146" t="s">
        <v>530</v>
      </c>
      <c r="C134" s="149" t="s">
        <v>389</v>
      </c>
      <c r="D134" s="150">
        <v>52</v>
      </c>
      <c r="E134" s="150" t="s">
        <v>390</v>
      </c>
      <c r="F134" s="151" t="s">
        <v>531</v>
      </c>
      <c r="G134" s="152">
        <v>0</v>
      </c>
      <c r="H134" s="152">
        <v>2</v>
      </c>
      <c r="I134" s="153">
        <v>2</v>
      </c>
      <c r="J134" s="154">
        <v>0</v>
      </c>
      <c r="K134" s="155">
        <v>2</v>
      </c>
      <c r="L134" s="148" t="s">
        <v>57</v>
      </c>
      <c r="M134" s="148" t="s">
        <v>58</v>
      </c>
      <c r="N134" s="156"/>
      <c r="O134" s="157" t="s">
        <v>59</v>
      </c>
      <c r="P134" s="158">
        <v>30</v>
      </c>
      <c r="Q134" s="152" t="s">
        <v>60</v>
      </c>
      <c r="R134" s="152" t="s">
        <v>70</v>
      </c>
      <c r="S134" s="148">
        <v>0</v>
      </c>
      <c r="T134" s="148" t="s">
        <v>532</v>
      </c>
      <c r="U134" s="170"/>
      <c r="V134" s="163"/>
      <c r="W134" s="171"/>
      <c r="X134" s="176">
        <v>498</v>
      </c>
      <c r="Y134" s="160" t="str">
        <f>VLOOKUP(X134,docentes!$A:$E,2,0)</f>
        <v>ROGERIO PERINO DE OLIVEIRA NEVES</v>
      </c>
      <c r="Z134" s="177" t="str">
        <f>VLOOKUP(X134,docentes!$A:$E,5,0)</f>
        <v>CMCC</v>
      </c>
    </row>
    <row r="135" spans="1:35" s="44" customFormat="1" ht="66.75" customHeight="1">
      <c r="A135" s="148" t="s">
        <v>222</v>
      </c>
      <c r="B135" s="146" t="s">
        <v>533</v>
      </c>
      <c r="C135" s="149" t="s">
        <v>389</v>
      </c>
      <c r="D135" s="150">
        <v>52</v>
      </c>
      <c r="E135" s="150" t="s">
        <v>390</v>
      </c>
      <c r="F135" s="151" t="s">
        <v>534</v>
      </c>
      <c r="G135" s="152">
        <v>0</v>
      </c>
      <c r="H135" s="152">
        <v>2</v>
      </c>
      <c r="I135" s="153">
        <v>2</v>
      </c>
      <c r="J135" s="154">
        <v>0</v>
      </c>
      <c r="K135" s="155">
        <v>2</v>
      </c>
      <c r="L135" s="148" t="s">
        <v>57</v>
      </c>
      <c r="M135" s="148" t="s">
        <v>58</v>
      </c>
      <c r="N135" s="156"/>
      <c r="O135" s="157" t="s">
        <v>59</v>
      </c>
      <c r="P135" s="158">
        <v>30</v>
      </c>
      <c r="Q135" s="152" t="s">
        <v>60</v>
      </c>
      <c r="R135" s="152" t="s">
        <v>61</v>
      </c>
      <c r="S135" s="148">
        <v>0</v>
      </c>
      <c r="T135" s="148" t="s">
        <v>535</v>
      </c>
      <c r="U135" s="170"/>
      <c r="V135" s="163"/>
      <c r="W135" s="171"/>
      <c r="X135" s="176">
        <v>47</v>
      </c>
      <c r="Y135" s="160" t="str">
        <f>VLOOKUP(X135,docentes!$A:$E,2,0)</f>
        <v>ANDRE GUILHERME RIBEIRO BALAN</v>
      </c>
      <c r="Z135" s="177" t="str">
        <f>VLOOKUP(X135,docentes!$A:$E,5,0)</f>
        <v>CMCC</v>
      </c>
    </row>
    <row r="136" spans="1:35" s="44" customFormat="1" ht="66.75" customHeight="1">
      <c r="A136" s="148" t="s">
        <v>222</v>
      </c>
      <c r="B136" s="146" t="s">
        <v>536</v>
      </c>
      <c r="C136" s="149" t="s">
        <v>389</v>
      </c>
      <c r="D136" s="150">
        <v>52</v>
      </c>
      <c r="E136" s="150" t="s">
        <v>390</v>
      </c>
      <c r="F136" s="151" t="s">
        <v>537</v>
      </c>
      <c r="G136" s="152">
        <v>0</v>
      </c>
      <c r="H136" s="152">
        <v>2</v>
      </c>
      <c r="I136" s="153">
        <v>2</v>
      </c>
      <c r="J136" s="154">
        <v>0</v>
      </c>
      <c r="K136" s="155">
        <v>2</v>
      </c>
      <c r="L136" s="148" t="s">
        <v>57</v>
      </c>
      <c r="M136" s="148" t="s">
        <v>58</v>
      </c>
      <c r="N136" s="151"/>
      <c r="O136" s="157" t="s">
        <v>59</v>
      </c>
      <c r="P136" s="158">
        <v>30</v>
      </c>
      <c r="Q136" s="152" t="s">
        <v>60</v>
      </c>
      <c r="R136" s="152" t="s">
        <v>70</v>
      </c>
      <c r="S136" s="148">
        <v>0</v>
      </c>
      <c r="T136" s="148" t="s">
        <v>538</v>
      </c>
      <c r="U136" s="170"/>
      <c r="V136" s="163"/>
      <c r="W136" s="171"/>
      <c r="X136" s="176">
        <v>342</v>
      </c>
      <c r="Y136" s="160" t="str">
        <f>VLOOKUP(X136,docentes!$A:$E,2,0)</f>
        <v>LUIZ CARLOS DA SILVA ROZANTE</v>
      </c>
      <c r="Z136" s="177" t="str">
        <f>VLOOKUP(X136,docentes!$A:$E,5,0)</f>
        <v>CMCC</v>
      </c>
    </row>
    <row r="137" spans="1:35" s="44" customFormat="1" ht="66.75" customHeight="1">
      <c r="A137" s="148" t="s">
        <v>222</v>
      </c>
      <c r="B137" s="146" t="s">
        <v>539</v>
      </c>
      <c r="C137" s="149" t="s">
        <v>389</v>
      </c>
      <c r="D137" s="150">
        <v>52</v>
      </c>
      <c r="E137" s="150" t="s">
        <v>390</v>
      </c>
      <c r="F137" s="151" t="s">
        <v>540</v>
      </c>
      <c r="G137" s="152">
        <v>0</v>
      </c>
      <c r="H137" s="152">
        <v>2</v>
      </c>
      <c r="I137" s="153">
        <v>2</v>
      </c>
      <c r="J137" s="154">
        <v>0</v>
      </c>
      <c r="K137" s="155">
        <v>2</v>
      </c>
      <c r="L137" s="148" t="s">
        <v>57</v>
      </c>
      <c r="M137" s="148" t="s">
        <v>58</v>
      </c>
      <c r="N137" s="156"/>
      <c r="O137" s="157" t="s">
        <v>59</v>
      </c>
      <c r="P137" s="158">
        <v>30</v>
      </c>
      <c r="Q137" s="152" t="s">
        <v>60</v>
      </c>
      <c r="R137" s="152" t="s">
        <v>61</v>
      </c>
      <c r="S137" s="148">
        <v>0</v>
      </c>
      <c r="T137" s="148" t="s">
        <v>541</v>
      </c>
      <c r="U137" s="170"/>
      <c r="V137" s="163"/>
      <c r="W137" s="171"/>
      <c r="X137" s="176">
        <v>383</v>
      </c>
      <c r="Y137" s="160" t="str">
        <f>VLOOKUP(X137,docentes!$A:$E,2,0)</f>
        <v>MARGARETHE STEINBERGER ELIAS BORN</v>
      </c>
      <c r="Z137" s="177" t="str">
        <f>VLOOKUP(X137,docentes!$A:$E,5,0)</f>
        <v>CECS</v>
      </c>
    </row>
    <row r="138" spans="1:35" s="44" customFormat="1" ht="66.75" customHeight="1">
      <c r="A138" s="148" t="s">
        <v>222</v>
      </c>
      <c r="B138" s="146" t="s">
        <v>542</v>
      </c>
      <c r="C138" s="149" t="s">
        <v>389</v>
      </c>
      <c r="D138" s="150">
        <v>52</v>
      </c>
      <c r="E138" s="150" t="s">
        <v>390</v>
      </c>
      <c r="F138" s="151" t="s">
        <v>543</v>
      </c>
      <c r="G138" s="152">
        <v>0</v>
      </c>
      <c r="H138" s="152">
        <v>2</v>
      </c>
      <c r="I138" s="153">
        <v>2</v>
      </c>
      <c r="J138" s="154">
        <v>0</v>
      </c>
      <c r="K138" s="155">
        <v>2</v>
      </c>
      <c r="L138" s="148" t="s">
        <v>57</v>
      </c>
      <c r="M138" s="148" t="s">
        <v>58</v>
      </c>
      <c r="N138" s="156"/>
      <c r="O138" s="157" t="s">
        <v>59</v>
      </c>
      <c r="P138" s="158">
        <v>30</v>
      </c>
      <c r="Q138" s="152" t="s">
        <v>60</v>
      </c>
      <c r="R138" s="152" t="s">
        <v>70</v>
      </c>
      <c r="S138" s="148">
        <v>0</v>
      </c>
      <c r="T138" s="148" t="s">
        <v>544</v>
      </c>
      <c r="U138" s="170"/>
      <c r="V138" s="163"/>
      <c r="W138" s="171"/>
      <c r="X138" s="176">
        <v>131</v>
      </c>
      <c r="Y138" s="160" t="str">
        <f>VLOOKUP(X138,docentes!$A:$E,2,0)</f>
        <v>DAVID CORREA MARTINS JUNIOR</v>
      </c>
      <c r="Z138" s="177" t="str">
        <f>VLOOKUP(X138,docentes!$A:$E,5,0)</f>
        <v>CMCC</v>
      </c>
    </row>
    <row r="139" spans="1:35" s="44" customFormat="1" ht="66.75" customHeight="1">
      <c r="A139" s="148" t="s">
        <v>222</v>
      </c>
      <c r="B139" s="146" t="s">
        <v>545</v>
      </c>
      <c r="C139" s="149" t="s">
        <v>389</v>
      </c>
      <c r="D139" s="150">
        <v>52</v>
      </c>
      <c r="E139" s="150" t="s">
        <v>390</v>
      </c>
      <c r="F139" s="151" t="s">
        <v>546</v>
      </c>
      <c r="G139" s="152">
        <v>0</v>
      </c>
      <c r="H139" s="152">
        <v>2</v>
      </c>
      <c r="I139" s="153">
        <v>2</v>
      </c>
      <c r="J139" s="154">
        <v>0</v>
      </c>
      <c r="K139" s="155">
        <v>2</v>
      </c>
      <c r="L139" s="148" t="s">
        <v>57</v>
      </c>
      <c r="M139" s="148" t="s">
        <v>58</v>
      </c>
      <c r="N139" s="156"/>
      <c r="O139" s="157" t="s">
        <v>59</v>
      </c>
      <c r="P139" s="158">
        <v>42</v>
      </c>
      <c r="Q139" s="149" t="s">
        <v>76</v>
      </c>
      <c r="R139" s="152" t="s">
        <v>61</v>
      </c>
      <c r="S139" s="148">
        <v>0</v>
      </c>
      <c r="T139" s="148" t="s">
        <v>547</v>
      </c>
      <c r="U139" s="170"/>
      <c r="V139" s="163"/>
      <c r="W139" s="171"/>
      <c r="X139" s="176">
        <v>434</v>
      </c>
      <c r="Y139" s="160" t="str">
        <f>VLOOKUP(X139,docentes!$A:$E,2,0)</f>
        <v>NUNZIO MARCO TORRISI</v>
      </c>
      <c r="Z139" s="177" t="str">
        <f>VLOOKUP(X139,docentes!$A:$E,5,0)</f>
        <v>CMCC</v>
      </c>
    </row>
    <row r="140" spans="1:35" s="44" customFormat="1" ht="66.75" customHeight="1">
      <c r="A140" s="148" t="s">
        <v>222</v>
      </c>
      <c r="B140" s="146" t="s">
        <v>548</v>
      </c>
      <c r="C140" s="149" t="s">
        <v>549</v>
      </c>
      <c r="D140" s="150">
        <v>6</v>
      </c>
      <c r="E140" s="150" t="s">
        <v>550</v>
      </c>
      <c r="F140" s="151" t="s">
        <v>551</v>
      </c>
      <c r="G140" s="152">
        <v>3</v>
      </c>
      <c r="H140" s="152">
        <v>0</v>
      </c>
      <c r="I140" s="153">
        <v>4</v>
      </c>
      <c r="J140" s="154">
        <v>3</v>
      </c>
      <c r="K140" s="155">
        <v>0</v>
      </c>
      <c r="L140" s="148" t="s">
        <v>57</v>
      </c>
      <c r="M140" s="148" t="s">
        <v>58</v>
      </c>
      <c r="N140" s="156"/>
      <c r="O140" s="157" t="s">
        <v>59</v>
      </c>
      <c r="P140" s="158">
        <v>72</v>
      </c>
      <c r="Q140" s="152" t="s">
        <v>60</v>
      </c>
      <c r="R140" s="152" t="s">
        <v>61</v>
      </c>
      <c r="S140" s="148" t="s">
        <v>552</v>
      </c>
      <c r="T140" s="148">
        <v>0</v>
      </c>
      <c r="U140" s="159">
        <v>42</v>
      </c>
      <c r="V140" s="160" t="str">
        <f>VLOOKUP(U140,docentes!$A:$E,2,0)</f>
        <v>ANASTASIA GUIDI ITOKAZU</v>
      </c>
      <c r="W140" s="161" t="str">
        <f>VLOOKUP(U140,docentes!$A:$E,5,0)</f>
        <v>CCNH</v>
      </c>
      <c r="X140" s="162"/>
      <c r="Y140" s="163"/>
      <c r="Z140" s="164"/>
    </row>
    <row r="141" spans="1:35" s="44" customFormat="1" ht="66.75" customHeight="1">
      <c r="A141" s="148" t="s">
        <v>222</v>
      </c>
      <c r="B141" s="146" t="s">
        <v>553</v>
      </c>
      <c r="C141" s="149" t="s">
        <v>549</v>
      </c>
      <c r="D141" s="150">
        <v>6</v>
      </c>
      <c r="E141" s="150" t="s">
        <v>550</v>
      </c>
      <c r="F141" s="151" t="s">
        <v>554</v>
      </c>
      <c r="G141" s="152">
        <v>3</v>
      </c>
      <c r="H141" s="152">
        <v>0</v>
      </c>
      <c r="I141" s="153">
        <v>4</v>
      </c>
      <c r="J141" s="154">
        <v>3</v>
      </c>
      <c r="K141" s="155">
        <v>0</v>
      </c>
      <c r="L141" s="148" t="s">
        <v>57</v>
      </c>
      <c r="M141" s="148" t="s">
        <v>58</v>
      </c>
      <c r="N141" s="156"/>
      <c r="O141" s="157" t="s">
        <v>59</v>
      </c>
      <c r="P141" s="158">
        <v>90</v>
      </c>
      <c r="Q141" s="152" t="s">
        <v>76</v>
      </c>
      <c r="R141" s="152" t="s">
        <v>61</v>
      </c>
      <c r="S141" s="148" t="s">
        <v>555</v>
      </c>
      <c r="T141" s="148">
        <v>0</v>
      </c>
      <c r="U141" s="159">
        <v>478</v>
      </c>
      <c r="V141" s="160" t="str">
        <f>VLOOKUP(U141,docentes!$A:$E,2,0)</f>
        <v>RENATO RODRIGUES KINOUCHI</v>
      </c>
      <c r="W141" s="161" t="str">
        <f>VLOOKUP(U141,docentes!$A:$E,5,0)</f>
        <v>CCNH</v>
      </c>
      <c r="X141" s="162"/>
      <c r="Y141" s="163"/>
      <c r="Z141" s="164"/>
    </row>
    <row r="142" spans="1:35" s="44" customFormat="1" ht="66.75" customHeight="1">
      <c r="A142" s="148" t="s">
        <v>222</v>
      </c>
      <c r="B142" s="146" t="s">
        <v>556</v>
      </c>
      <c r="C142" s="149" t="s">
        <v>549</v>
      </c>
      <c r="D142" s="150">
        <v>6</v>
      </c>
      <c r="E142" s="150" t="s">
        <v>550</v>
      </c>
      <c r="F142" s="151" t="s">
        <v>557</v>
      </c>
      <c r="G142" s="152">
        <v>3</v>
      </c>
      <c r="H142" s="152">
        <v>0</v>
      </c>
      <c r="I142" s="153">
        <v>4</v>
      </c>
      <c r="J142" s="154">
        <v>3</v>
      </c>
      <c r="K142" s="155">
        <v>0</v>
      </c>
      <c r="L142" s="148" t="s">
        <v>57</v>
      </c>
      <c r="M142" s="148" t="s">
        <v>58</v>
      </c>
      <c r="N142" s="156"/>
      <c r="O142" s="157" t="s">
        <v>59</v>
      </c>
      <c r="P142" s="158">
        <v>72</v>
      </c>
      <c r="Q142" s="152" t="s">
        <v>60</v>
      </c>
      <c r="R142" s="152" t="s">
        <v>70</v>
      </c>
      <c r="S142" s="148" t="s">
        <v>558</v>
      </c>
      <c r="T142" s="148">
        <v>0</v>
      </c>
      <c r="U142" s="159">
        <v>368</v>
      </c>
      <c r="V142" s="160" t="str">
        <f>VLOOKUP(U142,docentes!$A:$E,2,0)</f>
        <v>MARCIA HELENA ALVIM</v>
      </c>
      <c r="W142" s="161" t="str">
        <f>VLOOKUP(U142,docentes!$A:$E,5,0)</f>
        <v>CCNH</v>
      </c>
      <c r="X142" s="162"/>
      <c r="Y142" s="163"/>
      <c r="Z142" s="164"/>
      <c r="AH142" s="45"/>
      <c r="AI142" s="45"/>
    </row>
    <row r="143" spans="1:35" ht="66.75" customHeight="1">
      <c r="A143" s="148" t="s">
        <v>222</v>
      </c>
      <c r="B143" s="146" t="s">
        <v>559</v>
      </c>
      <c r="C143" s="149" t="s">
        <v>549</v>
      </c>
      <c r="D143" s="150">
        <v>6</v>
      </c>
      <c r="E143" s="150" t="s">
        <v>550</v>
      </c>
      <c r="F143" s="151" t="s">
        <v>560</v>
      </c>
      <c r="G143" s="152">
        <v>3</v>
      </c>
      <c r="H143" s="152">
        <v>0</v>
      </c>
      <c r="I143" s="153">
        <v>4</v>
      </c>
      <c r="J143" s="154">
        <v>3</v>
      </c>
      <c r="K143" s="155">
        <v>0</v>
      </c>
      <c r="L143" s="148" t="s">
        <v>57</v>
      </c>
      <c r="M143" s="148" t="s">
        <v>58</v>
      </c>
      <c r="N143" s="156"/>
      <c r="O143" s="157" t="s">
        <v>59</v>
      </c>
      <c r="P143" s="158">
        <v>90</v>
      </c>
      <c r="Q143" s="152" t="s">
        <v>76</v>
      </c>
      <c r="R143" s="152" t="s">
        <v>70</v>
      </c>
      <c r="S143" s="148" t="s">
        <v>561</v>
      </c>
      <c r="T143" s="148">
        <v>0</v>
      </c>
      <c r="U143" s="159">
        <v>478</v>
      </c>
      <c r="V143" s="160" t="str">
        <f>VLOOKUP(U143,docentes!$A:$E,2,0)</f>
        <v>RENATO RODRIGUES KINOUCHI</v>
      </c>
      <c r="W143" s="161" t="str">
        <f>VLOOKUP(U143,docentes!$A:$E,5,0)</f>
        <v>CCNH</v>
      </c>
      <c r="X143" s="162"/>
      <c r="Y143" s="163"/>
      <c r="Z143" s="164"/>
      <c r="AA143" s="44"/>
      <c r="AB143" s="44"/>
      <c r="AC143" s="44"/>
      <c r="AD143" s="44"/>
      <c r="AE143" s="44"/>
      <c r="AF143" s="44"/>
      <c r="AG143" s="44"/>
    </row>
    <row r="144" spans="1:35" ht="66.75" customHeight="1">
      <c r="A144" s="148" t="s">
        <v>222</v>
      </c>
      <c r="B144" s="146" t="s">
        <v>562</v>
      </c>
      <c r="C144" s="149" t="s">
        <v>549</v>
      </c>
      <c r="D144" s="150">
        <v>6</v>
      </c>
      <c r="E144" s="150" t="s">
        <v>550</v>
      </c>
      <c r="F144" s="151" t="s">
        <v>563</v>
      </c>
      <c r="G144" s="152">
        <v>3</v>
      </c>
      <c r="H144" s="152">
        <v>0</v>
      </c>
      <c r="I144" s="153">
        <v>4</v>
      </c>
      <c r="J144" s="154">
        <v>3</v>
      </c>
      <c r="K144" s="155">
        <v>0</v>
      </c>
      <c r="L144" s="148" t="s">
        <v>57</v>
      </c>
      <c r="M144" s="148" t="s">
        <v>58</v>
      </c>
      <c r="N144" s="156"/>
      <c r="O144" s="157" t="s">
        <v>59</v>
      </c>
      <c r="P144" s="158">
        <v>72</v>
      </c>
      <c r="Q144" s="152" t="s">
        <v>60</v>
      </c>
      <c r="R144" s="152" t="s">
        <v>61</v>
      </c>
      <c r="S144" s="148" t="s">
        <v>564</v>
      </c>
      <c r="T144" s="148">
        <v>0</v>
      </c>
      <c r="U144" s="159">
        <v>42</v>
      </c>
      <c r="V144" s="160" t="str">
        <f>VLOOKUP(U144,docentes!$A:$E,2,0)</f>
        <v>ANASTASIA GUIDI ITOKAZU</v>
      </c>
      <c r="W144" s="161" t="str">
        <f>VLOOKUP(U144,docentes!$A:$E,5,0)</f>
        <v>CCNH</v>
      </c>
      <c r="X144" s="162"/>
      <c r="Y144" s="163"/>
      <c r="Z144" s="164"/>
      <c r="AA144" s="44"/>
      <c r="AB144" s="44"/>
      <c r="AC144" s="44"/>
      <c r="AD144" s="44"/>
      <c r="AE144" s="44"/>
      <c r="AF144" s="44"/>
      <c r="AG144" s="44"/>
      <c r="AH144" s="44"/>
      <c r="AI144" s="44"/>
    </row>
    <row r="145" spans="1:35" s="44" customFormat="1" ht="66.75" customHeight="1">
      <c r="A145" s="148" t="s">
        <v>222</v>
      </c>
      <c r="B145" s="146" t="s">
        <v>565</v>
      </c>
      <c r="C145" s="149" t="s">
        <v>549</v>
      </c>
      <c r="D145" s="150">
        <v>6</v>
      </c>
      <c r="E145" s="150" t="s">
        <v>550</v>
      </c>
      <c r="F145" s="151" t="s">
        <v>566</v>
      </c>
      <c r="G145" s="152">
        <v>3</v>
      </c>
      <c r="H145" s="152">
        <v>0</v>
      </c>
      <c r="I145" s="153">
        <v>4</v>
      </c>
      <c r="J145" s="154">
        <v>3</v>
      </c>
      <c r="K145" s="155">
        <v>0</v>
      </c>
      <c r="L145" s="148" t="s">
        <v>57</v>
      </c>
      <c r="M145" s="148" t="s">
        <v>58</v>
      </c>
      <c r="N145" s="156"/>
      <c r="O145" s="157" t="s">
        <v>59</v>
      </c>
      <c r="P145" s="158">
        <v>72</v>
      </c>
      <c r="Q145" s="152" t="s">
        <v>60</v>
      </c>
      <c r="R145" s="152" t="s">
        <v>70</v>
      </c>
      <c r="S145" s="148" t="s">
        <v>567</v>
      </c>
      <c r="T145" s="148">
        <v>0</v>
      </c>
      <c r="U145" s="159">
        <v>310</v>
      </c>
      <c r="V145" s="160" t="str">
        <f>VLOOKUP(U145,docentes!$A:$E,2,0)</f>
        <v>KATYA MARGARETH AURANI</v>
      </c>
      <c r="W145" s="161" t="str">
        <f>VLOOKUP(U145,docentes!$A:$E,5,0)</f>
        <v>CCNH</v>
      </c>
      <c r="X145" s="162"/>
      <c r="Y145" s="163"/>
      <c r="Z145" s="164"/>
    </row>
    <row r="146" spans="1:35" s="44" customFormat="1" ht="66.75" customHeight="1">
      <c r="A146" s="172" t="s">
        <v>222</v>
      </c>
      <c r="B146" s="146" t="s">
        <v>568</v>
      </c>
      <c r="C146" s="149" t="s">
        <v>569</v>
      </c>
      <c r="D146" s="150">
        <v>21</v>
      </c>
      <c r="E146" s="150" t="s">
        <v>570</v>
      </c>
      <c r="F146" s="151" t="s">
        <v>571</v>
      </c>
      <c r="G146" s="149">
        <v>4</v>
      </c>
      <c r="H146" s="173">
        <v>0</v>
      </c>
      <c r="I146" s="174">
        <v>5</v>
      </c>
      <c r="J146" s="155">
        <v>4</v>
      </c>
      <c r="K146" s="155">
        <v>0</v>
      </c>
      <c r="L146" s="172" t="s">
        <v>57</v>
      </c>
      <c r="M146" s="172" t="s">
        <v>58</v>
      </c>
      <c r="N146" s="151"/>
      <c r="O146" s="157" t="s">
        <v>59</v>
      </c>
      <c r="P146" s="175">
        <v>127</v>
      </c>
      <c r="Q146" s="152" t="s">
        <v>60</v>
      </c>
      <c r="R146" s="152" t="s">
        <v>61</v>
      </c>
      <c r="S146" s="148" t="s">
        <v>572</v>
      </c>
      <c r="T146" s="148">
        <v>0</v>
      </c>
      <c r="U146" s="159">
        <v>372</v>
      </c>
      <c r="V146" s="160" t="str">
        <f>VLOOKUP(U146,docentes!$A:$E,2,0)</f>
        <v>MARCIO FABIANO DA SILVA</v>
      </c>
      <c r="W146" s="161" t="str">
        <f>VLOOKUP(U146,docentes!$A:$E,5,0)</f>
        <v>CMCC</v>
      </c>
      <c r="X146" s="162"/>
      <c r="Y146" s="163"/>
      <c r="Z146" s="164"/>
      <c r="AA146" s="45"/>
      <c r="AB146" s="45"/>
      <c r="AC146" s="45"/>
      <c r="AD146" s="45"/>
      <c r="AE146" s="45"/>
      <c r="AF146" s="45"/>
      <c r="AG146" s="45"/>
    </row>
    <row r="147" spans="1:35" s="44" customFormat="1" ht="66.75" customHeight="1">
      <c r="A147" s="172" t="s">
        <v>222</v>
      </c>
      <c r="B147" s="146" t="s">
        <v>573</v>
      </c>
      <c r="C147" s="149" t="s">
        <v>569</v>
      </c>
      <c r="D147" s="150">
        <v>21</v>
      </c>
      <c r="E147" s="150" t="s">
        <v>570</v>
      </c>
      <c r="F147" s="151" t="s">
        <v>574</v>
      </c>
      <c r="G147" s="149">
        <v>4</v>
      </c>
      <c r="H147" s="173">
        <v>0</v>
      </c>
      <c r="I147" s="174">
        <v>5</v>
      </c>
      <c r="J147" s="155">
        <v>4</v>
      </c>
      <c r="K147" s="155">
        <v>0</v>
      </c>
      <c r="L147" s="172" t="s">
        <v>57</v>
      </c>
      <c r="M147" s="172" t="s">
        <v>58</v>
      </c>
      <c r="N147" s="151"/>
      <c r="O147" s="157" t="s">
        <v>59</v>
      </c>
      <c r="P147" s="175">
        <v>90</v>
      </c>
      <c r="Q147" s="149" t="s">
        <v>76</v>
      </c>
      <c r="R147" s="152" t="s">
        <v>61</v>
      </c>
      <c r="S147" s="148" t="s">
        <v>575</v>
      </c>
      <c r="T147" s="148">
        <v>0</v>
      </c>
      <c r="U147" s="159">
        <v>410</v>
      </c>
      <c r="V147" s="160" t="str">
        <f>VLOOKUP(U147,docentes!$A:$E,2,0)</f>
        <v>MAURICIO FIRMINO SILVA LIMA</v>
      </c>
      <c r="W147" s="161" t="str">
        <f>VLOOKUP(U147,docentes!$A:$E,5,0)</f>
        <v>CMCC</v>
      </c>
      <c r="X147" s="162"/>
      <c r="Y147" s="163"/>
      <c r="Z147" s="164"/>
      <c r="AA147" s="45"/>
      <c r="AB147" s="45"/>
      <c r="AC147" s="45"/>
      <c r="AD147" s="45"/>
      <c r="AE147" s="45"/>
      <c r="AF147" s="45"/>
      <c r="AG147" s="45"/>
    </row>
    <row r="148" spans="1:35" s="44" customFormat="1" ht="66.75" customHeight="1">
      <c r="A148" s="148" t="s">
        <v>222</v>
      </c>
      <c r="B148" s="146" t="s">
        <v>576</v>
      </c>
      <c r="C148" s="149" t="s">
        <v>569</v>
      </c>
      <c r="D148" s="150">
        <v>21</v>
      </c>
      <c r="E148" s="150" t="s">
        <v>570</v>
      </c>
      <c r="F148" s="151" t="s">
        <v>577</v>
      </c>
      <c r="G148" s="152">
        <v>4</v>
      </c>
      <c r="H148" s="152">
        <v>0</v>
      </c>
      <c r="I148" s="153">
        <v>5</v>
      </c>
      <c r="J148" s="154">
        <v>4</v>
      </c>
      <c r="K148" s="155">
        <v>0</v>
      </c>
      <c r="L148" s="148" t="s">
        <v>57</v>
      </c>
      <c r="M148" s="148" t="s">
        <v>58</v>
      </c>
      <c r="N148" s="156"/>
      <c r="O148" s="165" t="s">
        <v>578</v>
      </c>
      <c r="P148" s="158">
        <v>127</v>
      </c>
      <c r="Q148" s="152" t="s">
        <v>60</v>
      </c>
      <c r="R148" s="152" t="s">
        <v>70</v>
      </c>
      <c r="S148" s="148" t="s">
        <v>579</v>
      </c>
      <c r="T148" s="148">
        <v>0</v>
      </c>
      <c r="U148" s="159">
        <v>32</v>
      </c>
      <c r="V148" s="160" t="str">
        <f>VLOOKUP(U148,docentes!$A:$E,2,0)</f>
        <v>ANA CAROLINA BOERO</v>
      </c>
      <c r="W148" s="161" t="str">
        <f>VLOOKUP(U148,docentes!$A:$E,5,0)</f>
        <v>CMCC</v>
      </c>
      <c r="X148" s="162"/>
      <c r="Y148" s="163"/>
      <c r="Z148" s="164"/>
    </row>
    <row r="149" spans="1:35" s="44" customFormat="1" ht="66.75" customHeight="1">
      <c r="A149" s="148" t="s">
        <v>222</v>
      </c>
      <c r="B149" s="146" t="s">
        <v>580</v>
      </c>
      <c r="C149" s="149" t="s">
        <v>569</v>
      </c>
      <c r="D149" s="150">
        <v>21</v>
      </c>
      <c r="E149" s="150" t="s">
        <v>570</v>
      </c>
      <c r="F149" s="151" t="s">
        <v>581</v>
      </c>
      <c r="G149" s="152">
        <v>4</v>
      </c>
      <c r="H149" s="152">
        <v>0</v>
      </c>
      <c r="I149" s="153">
        <v>5</v>
      </c>
      <c r="J149" s="154">
        <v>4</v>
      </c>
      <c r="K149" s="155">
        <v>0</v>
      </c>
      <c r="L149" s="148" t="s">
        <v>57</v>
      </c>
      <c r="M149" s="148" t="s">
        <v>58</v>
      </c>
      <c r="N149" s="156"/>
      <c r="O149" s="157" t="s">
        <v>59</v>
      </c>
      <c r="P149" s="158">
        <v>90</v>
      </c>
      <c r="Q149" s="152" t="s">
        <v>76</v>
      </c>
      <c r="R149" s="152" t="s">
        <v>70</v>
      </c>
      <c r="S149" s="148" t="s">
        <v>582</v>
      </c>
      <c r="T149" s="148">
        <v>0</v>
      </c>
      <c r="U149" s="159">
        <v>153</v>
      </c>
      <c r="V149" s="160" t="str">
        <f>VLOOKUP(U149,docentes!$A:$E,2,0)</f>
        <v>EDUARDO GUERON</v>
      </c>
      <c r="W149" s="161" t="str">
        <f>VLOOKUP(U149,docentes!$A:$E,5,0)</f>
        <v>CMCC</v>
      </c>
      <c r="X149" s="162"/>
      <c r="Y149" s="163"/>
      <c r="Z149" s="164"/>
    </row>
    <row r="150" spans="1:35" s="44" customFormat="1" ht="66.75" customHeight="1">
      <c r="A150" s="172" t="s">
        <v>222</v>
      </c>
      <c r="B150" s="146" t="s">
        <v>583</v>
      </c>
      <c r="C150" s="149" t="s">
        <v>569</v>
      </c>
      <c r="D150" s="150">
        <v>21</v>
      </c>
      <c r="E150" s="150" t="s">
        <v>570</v>
      </c>
      <c r="F150" s="151" t="s">
        <v>584</v>
      </c>
      <c r="G150" s="149">
        <v>4</v>
      </c>
      <c r="H150" s="173">
        <v>0</v>
      </c>
      <c r="I150" s="174">
        <v>5</v>
      </c>
      <c r="J150" s="155">
        <v>4</v>
      </c>
      <c r="K150" s="155">
        <v>0</v>
      </c>
      <c r="L150" s="172" t="s">
        <v>57</v>
      </c>
      <c r="M150" s="172" t="s">
        <v>58</v>
      </c>
      <c r="N150" s="151"/>
      <c r="O150" s="157" t="s">
        <v>59</v>
      </c>
      <c r="P150" s="175">
        <v>109</v>
      </c>
      <c r="Q150" s="152" t="s">
        <v>60</v>
      </c>
      <c r="R150" s="152" t="s">
        <v>61</v>
      </c>
      <c r="S150" s="148" t="s">
        <v>585</v>
      </c>
      <c r="T150" s="148">
        <v>0</v>
      </c>
      <c r="U150" s="159">
        <v>67</v>
      </c>
      <c r="V150" s="160" t="str">
        <f>VLOOKUP(U150,docentes!$A:$E,2,0)</f>
        <v>ANTONIO GIL VICENTE DE BRUM</v>
      </c>
      <c r="W150" s="161" t="str">
        <f>VLOOKUP(U150,docentes!$A:$E,5,0)</f>
        <v>CECS</v>
      </c>
      <c r="X150" s="162"/>
      <c r="Y150" s="163"/>
      <c r="Z150" s="164"/>
      <c r="AA150" s="45"/>
      <c r="AB150" s="45"/>
      <c r="AC150" s="45"/>
      <c r="AD150" s="45"/>
      <c r="AE150" s="45"/>
      <c r="AF150" s="45"/>
      <c r="AG150" s="45"/>
    </row>
    <row r="151" spans="1:35" s="44" customFormat="1" ht="66.75" customHeight="1">
      <c r="A151" s="172" t="s">
        <v>222</v>
      </c>
      <c r="B151" s="146" t="s">
        <v>586</v>
      </c>
      <c r="C151" s="149" t="s">
        <v>569</v>
      </c>
      <c r="D151" s="150">
        <v>21</v>
      </c>
      <c r="E151" s="150" t="s">
        <v>570</v>
      </c>
      <c r="F151" s="151" t="s">
        <v>587</v>
      </c>
      <c r="G151" s="149">
        <v>4</v>
      </c>
      <c r="H151" s="173">
        <v>0</v>
      </c>
      <c r="I151" s="174">
        <v>5</v>
      </c>
      <c r="J151" s="155">
        <v>4</v>
      </c>
      <c r="K151" s="155">
        <v>0</v>
      </c>
      <c r="L151" s="172" t="s">
        <v>57</v>
      </c>
      <c r="M151" s="172" t="s">
        <v>58</v>
      </c>
      <c r="N151" s="151"/>
      <c r="O151" s="157" t="s">
        <v>59</v>
      </c>
      <c r="P151" s="175">
        <v>90</v>
      </c>
      <c r="Q151" s="152" t="s">
        <v>76</v>
      </c>
      <c r="R151" s="152" t="s">
        <v>61</v>
      </c>
      <c r="S151" s="148" t="s">
        <v>588</v>
      </c>
      <c r="T151" s="148">
        <v>0</v>
      </c>
      <c r="U151" s="159">
        <v>221</v>
      </c>
      <c r="V151" s="160" t="str">
        <f>VLOOKUP(U151,docentes!$A:$E,2,0)</f>
        <v>GISELE CRISTINA DUCATI</v>
      </c>
      <c r="W151" s="161" t="str">
        <f>VLOOKUP(U151,docentes!$A:$E,5,0)</f>
        <v>CMCC</v>
      </c>
      <c r="X151" s="162"/>
      <c r="Y151" s="163"/>
      <c r="Z151" s="164"/>
      <c r="AA151" s="45"/>
      <c r="AB151" s="45"/>
      <c r="AC151" s="45"/>
      <c r="AD151" s="45"/>
      <c r="AE151" s="45"/>
      <c r="AF151" s="45"/>
      <c r="AG151" s="45"/>
      <c r="AH151" s="45"/>
      <c r="AI151" s="45"/>
    </row>
    <row r="152" spans="1:35" s="44" customFormat="1" ht="66.75" customHeight="1">
      <c r="A152" s="148" t="s">
        <v>222</v>
      </c>
      <c r="B152" s="146" t="s">
        <v>589</v>
      </c>
      <c r="C152" s="149" t="s">
        <v>569</v>
      </c>
      <c r="D152" s="150">
        <v>21</v>
      </c>
      <c r="E152" s="150" t="s">
        <v>570</v>
      </c>
      <c r="F152" s="151" t="s">
        <v>590</v>
      </c>
      <c r="G152" s="152">
        <v>4</v>
      </c>
      <c r="H152" s="152">
        <v>0</v>
      </c>
      <c r="I152" s="153">
        <v>5</v>
      </c>
      <c r="J152" s="154">
        <v>4</v>
      </c>
      <c r="K152" s="155">
        <v>0</v>
      </c>
      <c r="L152" s="148" t="s">
        <v>57</v>
      </c>
      <c r="M152" s="148" t="s">
        <v>58</v>
      </c>
      <c r="N152" s="156"/>
      <c r="O152" s="165" t="s">
        <v>591</v>
      </c>
      <c r="P152" s="158">
        <v>109</v>
      </c>
      <c r="Q152" s="152" t="s">
        <v>60</v>
      </c>
      <c r="R152" s="152" t="s">
        <v>70</v>
      </c>
      <c r="S152" s="148" t="s">
        <v>592</v>
      </c>
      <c r="T152" s="148">
        <v>0</v>
      </c>
      <c r="U152" s="159">
        <v>1001</v>
      </c>
      <c r="V152" s="160" t="str">
        <f>VLOOKUP(U152,docentes!$A:$E,2,0)</f>
        <v>LUCAS DE ALMEIDA MIRANDA BARRETO</v>
      </c>
      <c r="W152" s="161" t="str">
        <f>VLOOKUP(U152,docentes!$A:$E,5,0)</f>
        <v>não identificado</v>
      </c>
      <c r="X152" s="162"/>
      <c r="Y152" s="163"/>
      <c r="Z152" s="164"/>
    </row>
    <row r="153" spans="1:35" s="44" customFormat="1" ht="66.75" customHeight="1">
      <c r="A153" s="148" t="s">
        <v>222</v>
      </c>
      <c r="B153" s="146" t="s">
        <v>593</v>
      </c>
      <c r="C153" s="149" t="s">
        <v>569</v>
      </c>
      <c r="D153" s="150">
        <v>21</v>
      </c>
      <c r="E153" s="150" t="s">
        <v>570</v>
      </c>
      <c r="F153" s="151" t="s">
        <v>594</v>
      </c>
      <c r="G153" s="152">
        <v>4</v>
      </c>
      <c r="H153" s="152">
        <v>0</v>
      </c>
      <c r="I153" s="153">
        <v>5</v>
      </c>
      <c r="J153" s="154">
        <v>4</v>
      </c>
      <c r="K153" s="155">
        <v>0</v>
      </c>
      <c r="L153" s="148" t="s">
        <v>57</v>
      </c>
      <c r="M153" s="148" t="s">
        <v>58</v>
      </c>
      <c r="N153" s="156"/>
      <c r="O153" s="157" t="s">
        <v>59</v>
      </c>
      <c r="P153" s="158">
        <v>90</v>
      </c>
      <c r="Q153" s="152" t="s">
        <v>76</v>
      </c>
      <c r="R153" s="152" t="s">
        <v>70</v>
      </c>
      <c r="S153" s="148" t="s">
        <v>595</v>
      </c>
      <c r="T153" s="148">
        <v>0</v>
      </c>
      <c r="U153" s="159">
        <v>53</v>
      </c>
      <c r="V153" s="160" t="str">
        <f>VLOOKUP(U153,docentes!$A:$E,2,0)</f>
        <v>ANDRE RICARDO OLIVEIRA DA FONSECA</v>
      </c>
      <c r="W153" s="161" t="str">
        <f>VLOOKUP(U153,docentes!$A:$E,5,0)</f>
        <v>CMCC</v>
      </c>
      <c r="X153" s="162"/>
      <c r="Y153" s="163"/>
      <c r="Z153" s="164"/>
    </row>
    <row r="154" spans="1:35" s="44" customFormat="1" ht="66.75" customHeight="1">
      <c r="A154" s="148" t="s">
        <v>222</v>
      </c>
      <c r="B154" s="180" t="s">
        <v>596</v>
      </c>
      <c r="C154" s="149" t="s">
        <v>569</v>
      </c>
      <c r="D154" s="150">
        <v>21</v>
      </c>
      <c r="E154" s="150" t="s">
        <v>570</v>
      </c>
      <c r="F154" s="181" t="s">
        <v>597</v>
      </c>
      <c r="G154" s="152">
        <v>4</v>
      </c>
      <c r="H154" s="167">
        <v>0</v>
      </c>
      <c r="I154" s="153">
        <v>5</v>
      </c>
      <c r="J154" s="154">
        <v>4</v>
      </c>
      <c r="K154" s="155">
        <v>0</v>
      </c>
      <c r="L154" s="148" t="s">
        <v>57</v>
      </c>
      <c r="M154" s="148" t="s">
        <v>58</v>
      </c>
      <c r="N154" s="178"/>
      <c r="O154" s="157" t="s">
        <v>59</v>
      </c>
      <c r="P154" s="158">
        <v>93</v>
      </c>
      <c r="Q154" s="152" t="s">
        <v>60</v>
      </c>
      <c r="R154" s="152" t="s">
        <v>61</v>
      </c>
      <c r="S154" s="148" t="s">
        <v>598</v>
      </c>
      <c r="T154" s="148">
        <v>0</v>
      </c>
      <c r="U154" s="159">
        <v>252</v>
      </c>
      <c r="V154" s="160" t="str">
        <f>VLOOKUP(U154,docentes!$A:$E,2,0)</f>
        <v>ILMA APARECIDA MARQUES SILVA</v>
      </c>
      <c r="W154" s="161" t="str">
        <f>VLOOKUP(U154,docentes!$A:$E,5,0)</f>
        <v>CMCC</v>
      </c>
      <c r="X154" s="162"/>
      <c r="Y154" s="163"/>
      <c r="Z154" s="164"/>
    </row>
    <row r="155" spans="1:35" s="44" customFormat="1" ht="66.75" customHeight="1">
      <c r="A155" s="148" t="s">
        <v>222</v>
      </c>
      <c r="B155" s="146" t="s">
        <v>599</v>
      </c>
      <c r="C155" s="149" t="s">
        <v>569</v>
      </c>
      <c r="D155" s="150">
        <v>21</v>
      </c>
      <c r="E155" s="150" t="s">
        <v>570</v>
      </c>
      <c r="F155" s="151" t="s">
        <v>600</v>
      </c>
      <c r="G155" s="152">
        <v>4</v>
      </c>
      <c r="H155" s="152">
        <v>0</v>
      </c>
      <c r="I155" s="153">
        <v>5</v>
      </c>
      <c r="J155" s="154">
        <v>4</v>
      </c>
      <c r="K155" s="155">
        <v>0</v>
      </c>
      <c r="L155" s="148" t="s">
        <v>57</v>
      </c>
      <c r="M155" s="148" t="s">
        <v>58</v>
      </c>
      <c r="N155" s="156"/>
      <c r="O155" s="165" t="s">
        <v>601</v>
      </c>
      <c r="P155" s="158">
        <v>93</v>
      </c>
      <c r="Q155" s="152" t="s">
        <v>60</v>
      </c>
      <c r="R155" s="152" t="s">
        <v>70</v>
      </c>
      <c r="S155" s="148" t="s">
        <v>602</v>
      </c>
      <c r="T155" s="148">
        <v>0</v>
      </c>
      <c r="U155" s="159">
        <v>165</v>
      </c>
      <c r="V155" s="160" t="str">
        <f>VLOOKUP(U155,docentes!$A:$E,2,0)</f>
        <v>ERCILIO CARVALHO DA SILVA</v>
      </c>
      <c r="W155" s="161" t="str">
        <f>VLOOKUP(U155,docentes!$A:$E,5,0)</f>
        <v>CMCC</v>
      </c>
      <c r="X155" s="162"/>
      <c r="Y155" s="163"/>
      <c r="Z155" s="164"/>
    </row>
    <row r="156" spans="1:35" s="44" customFormat="1" ht="66.75" customHeight="1">
      <c r="A156" s="148" t="s">
        <v>222</v>
      </c>
      <c r="B156" s="146" t="s">
        <v>603</v>
      </c>
      <c r="C156" s="149" t="s">
        <v>569</v>
      </c>
      <c r="D156" s="150">
        <v>21</v>
      </c>
      <c r="E156" s="150" t="s">
        <v>570</v>
      </c>
      <c r="F156" s="151" t="s">
        <v>604</v>
      </c>
      <c r="G156" s="152">
        <v>4</v>
      </c>
      <c r="H156" s="152">
        <v>0</v>
      </c>
      <c r="I156" s="153">
        <v>5</v>
      </c>
      <c r="J156" s="154">
        <v>4</v>
      </c>
      <c r="K156" s="155">
        <v>0</v>
      </c>
      <c r="L156" s="148" t="s">
        <v>57</v>
      </c>
      <c r="M156" s="148" t="s">
        <v>58</v>
      </c>
      <c r="N156" s="156"/>
      <c r="O156" s="157" t="s">
        <v>59</v>
      </c>
      <c r="P156" s="158">
        <v>95</v>
      </c>
      <c r="Q156" s="152" t="s">
        <v>60</v>
      </c>
      <c r="R156" s="152" t="s">
        <v>61</v>
      </c>
      <c r="S156" s="148" t="s">
        <v>605</v>
      </c>
      <c r="T156" s="148">
        <v>0</v>
      </c>
      <c r="U156" s="159">
        <v>110</v>
      </c>
      <c r="V156" s="160" t="str">
        <f>VLOOKUP(U156,docentes!$A:$E,2,0)</f>
        <v>CLAUDIO NOGUEIRA DE MENESES</v>
      </c>
      <c r="W156" s="161" t="str">
        <f>VLOOKUP(U156,docentes!$A:$E,5,0)</f>
        <v>CMCC</v>
      </c>
      <c r="X156" s="162"/>
      <c r="Y156" s="163"/>
      <c r="Z156" s="164"/>
      <c r="AH156" s="45"/>
      <c r="AI156" s="45"/>
    </row>
    <row r="157" spans="1:35" s="44" customFormat="1" ht="66.75" customHeight="1">
      <c r="A157" s="148" t="s">
        <v>222</v>
      </c>
      <c r="B157" s="146" t="s">
        <v>606</v>
      </c>
      <c r="C157" s="149" t="s">
        <v>569</v>
      </c>
      <c r="D157" s="150">
        <v>21</v>
      </c>
      <c r="E157" s="150" t="s">
        <v>570</v>
      </c>
      <c r="F157" s="151" t="s">
        <v>607</v>
      </c>
      <c r="G157" s="152">
        <v>4</v>
      </c>
      <c r="H157" s="152">
        <v>0</v>
      </c>
      <c r="I157" s="153">
        <v>5</v>
      </c>
      <c r="J157" s="154">
        <v>4</v>
      </c>
      <c r="K157" s="155">
        <v>0</v>
      </c>
      <c r="L157" s="148" t="s">
        <v>57</v>
      </c>
      <c r="M157" s="148" t="s">
        <v>58</v>
      </c>
      <c r="N157" s="156"/>
      <c r="O157" s="165" t="s">
        <v>601</v>
      </c>
      <c r="P157" s="158">
        <v>95</v>
      </c>
      <c r="Q157" s="152" t="s">
        <v>60</v>
      </c>
      <c r="R157" s="152" t="s">
        <v>70</v>
      </c>
      <c r="S157" s="148" t="s">
        <v>608</v>
      </c>
      <c r="T157" s="148">
        <v>0</v>
      </c>
      <c r="U157" s="159">
        <v>263</v>
      </c>
      <c r="V157" s="160" t="str">
        <f>VLOOKUP(U157,docentes!$A:$E,2,0)</f>
        <v>JEFERSON CASSIANO</v>
      </c>
      <c r="W157" s="161" t="str">
        <f>VLOOKUP(U157,docentes!$A:$E,5,0)</f>
        <v>CMCC</v>
      </c>
      <c r="X157" s="162"/>
      <c r="Y157" s="163"/>
      <c r="Z157" s="164"/>
    </row>
    <row r="158" spans="1:35" s="44" customFormat="1" ht="66.75" customHeight="1">
      <c r="A158" s="148" t="s">
        <v>222</v>
      </c>
      <c r="B158" s="146" t="s">
        <v>609</v>
      </c>
      <c r="C158" s="149" t="s">
        <v>569</v>
      </c>
      <c r="D158" s="150">
        <v>21</v>
      </c>
      <c r="E158" s="150" t="s">
        <v>570</v>
      </c>
      <c r="F158" s="151" t="s">
        <v>610</v>
      </c>
      <c r="G158" s="152">
        <v>4</v>
      </c>
      <c r="H158" s="152">
        <v>0</v>
      </c>
      <c r="I158" s="153">
        <v>5</v>
      </c>
      <c r="J158" s="154">
        <v>4</v>
      </c>
      <c r="K158" s="155">
        <v>0</v>
      </c>
      <c r="L158" s="148" t="s">
        <v>57</v>
      </c>
      <c r="M158" s="148" t="s">
        <v>58</v>
      </c>
      <c r="N158" s="156"/>
      <c r="O158" s="157" t="s">
        <v>59</v>
      </c>
      <c r="P158" s="158">
        <v>111</v>
      </c>
      <c r="Q158" s="152" t="s">
        <v>60</v>
      </c>
      <c r="R158" s="152" t="s">
        <v>61</v>
      </c>
      <c r="S158" s="148" t="s">
        <v>611</v>
      </c>
      <c r="T158" s="148">
        <v>0</v>
      </c>
      <c r="U158" s="159">
        <v>372</v>
      </c>
      <c r="V158" s="160" t="str">
        <f>VLOOKUP(U158,docentes!$A:$E,2,0)</f>
        <v>MARCIO FABIANO DA SILVA</v>
      </c>
      <c r="W158" s="161" t="str">
        <f>VLOOKUP(U158,docentes!$A:$E,5,0)</f>
        <v>CMCC</v>
      </c>
      <c r="X158" s="162"/>
      <c r="Y158" s="163"/>
      <c r="Z158" s="164"/>
    </row>
    <row r="159" spans="1:35" s="44" customFormat="1" ht="66.75" customHeight="1">
      <c r="A159" s="148" t="s">
        <v>222</v>
      </c>
      <c r="B159" s="146" t="s">
        <v>612</v>
      </c>
      <c r="C159" s="149" t="s">
        <v>569</v>
      </c>
      <c r="D159" s="150">
        <v>21</v>
      </c>
      <c r="E159" s="150" t="s">
        <v>570</v>
      </c>
      <c r="F159" s="151" t="s">
        <v>613</v>
      </c>
      <c r="G159" s="152">
        <v>4</v>
      </c>
      <c r="H159" s="152">
        <v>0</v>
      </c>
      <c r="I159" s="153">
        <v>5</v>
      </c>
      <c r="J159" s="154">
        <v>4</v>
      </c>
      <c r="K159" s="155">
        <v>0</v>
      </c>
      <c r="L159" s="148" t="s">
        <v>57</v>
      </c>
      <c r="M159" s="148" t="s">
        <v>58</v>
      </c>
      <c r="N159" s="156"/>
      <c r="O159" s="157" t="s">
        <v>59</v>
      </c>
      <c r="P159" s="158">
        <v>111</v>
      </c>
      <c r="Q159" s="152" t="s">
        <v>60</v>
      </c>
      <c r="R159" s="152" t="s">
        <v>70</v>
      </c>
      <c r="S159" s="148" t="s">
        <v>614</v>
      </c>
      <c r="T159" s="148">
        <v>0</v>
      </c>
      <c r="U159" s="159">
        <v>32</v>
      </c>
      <c r="V159" s="160" t="str">
        <f>VLOOKUP(U159,docentes!$A:$E,2,0)</f>
        <v>ANA CAROLINA BOERO</v>
      </c>
      <c r="W159" s="161" t="str">
        <f>VLOOKUP(U159,docentes!$A:$E,5,0)</f>
        <v>CMCC</v>
      </c>
      <c r="X159" s="162"/>
      <c r="Y159" s="163"/>
      <c r="Z159" s="164"/>
    </row>
    <row r="160" spans="1:35" s="44" customFormat="1" ht="66.75" customHeight="1">
      <c r="A160" s="148" t="s">
        <v>222</v>
      </c>
      <c r="B160" s="146" t="s">
        <v>615</v>
      </c>
      <c r="C160" s="149" t="s">
        <v>569</v>
      </c>
      <c r="D160" s="150">
        <v>21</v>
      </c>
      <c r="E160" s="150" t="s">
        <v>570</v>
      </c>
      <c r="F160" s="151" t="s">
        <v>616</v>
      </c>
      <c r="G160" s="152">
        <v>4</v>
      </c>
      <c r="H160" s="152">
        <v>0</v>
      </c>
      <c r="I160" s="153">
        <v>5</v>
      </c>
      <c r="J160" s="154">
        <v>4</v>
      </c>
      <c r="K160" s="155">
        <v>0</v>
      </c>
      <c r="L160" s="148" t="s">
        <v>57</v>
      </c>
      <c r="M160" s="148" t="s">
        <v>58</v>
      </c>
      <c r="N160" s="156"/>
      <c r="O160" s="157" t="s">
        <v>59</v>
      </c>
      <c r="P160" s="158">
        <v>86</v>
      </c>
      <c r="Q160" s="152" t="s">
        <v>60</v>
      </c>
      <c r="R160" s="152" t="s">
        <v>61</v>
      </c>
      <c r="S160" s="148" t="s">
        <v>617</v>
      </c>
      <c r="T160" s="148">
        <v>0</v>
      </c>
      <c r="U160" s="159">
        <v>72</v>
      </c>
      <c r="V160" s="160" t="str">
        <f>VLOOKUP(U160,docentes!$A:$E,2,0)</f>
        <v>ARMANDO CAPUTI</v>
      </c>
      <c r="W160" s="161" t="str">
        <f>VLOOKUP(U160,docentes!$A:$E,5,0)</f>
        <v>CMCC</v>
      </c>
      <c r="X160" s="162"/>
      <c r="Y160" s="163"/>
      <c r="Z160" s="164"/>
    </row>
    <row r="161" spans="1:35" s="44" customFormat="1" ht="66.75" customHeight="1">
      <c r="A161" s="148" t="s">
        <v>222</v>
      </c>
      <c r="B161" s="146" t="s">
        <v>618</v>
      </c>
      <c r="C161" s="149" t="s">
        <v>569</v>
      </c>
      <c r="D161" s="150">
        <v>21</v>
      </c>
      <c r="E161" s="150" t="s">
        <v>570</v>
      </c>
      <c r="F161" s="151" t="s">
        <v>619</v>
      </c>
      <c r="G161" s="152">
        <v>4</v>
      </c>
      <c r="H161" s="152">
        <v>0</v>
      </c>
      <c r="I161" s="153">
        <v>5</v>
      </c>
      <c r="J161" s="154">
        <v>4</v>
      </c>
      <c r="K161" s="155">
        <v>0</v>
      </c>
      <c r="L161" s="148" t="s">
        <v>57</v>
      </c>
      <c r="M161" s="148" t="s">
        <v>58</v>
      </c>
      <c r="N161" s="156"/>
      <c r="O161" s="157" t="s">
        <v>59</v>
      </c>
      <c r="P161" s="158">
        <v>86</v>
      </c>
      <c r="Q161" s="152" t="s">
        <v>60</v>
      </c>
      <c r="R161" s="152" t="s">
        <v>70</v>
      </c>
      <c r="S161" s="148" t="s">
        <v>620</v>
      </c>
      <c r="T161" s="148">
        <v>0</v>
      </c>
      <c r="U161" s="159">
        <v>1001</v>
      </c>
      <c r="V161" s="160" t="str">
        <f>VLOOKUP(U161,docentes!$A:$E,2,0)</f>
        <v>LUCAS DE ALMEIDA MIRANDA BARRETO</v>
      </c>
      <c r="W161" s="161" t="str">
        <f>VLOOKUP(U161,docentes!$A:$E,5,0)</f>
        <v>não identificado</v>
      </c>
      <c r="X161" s="162"/>
      <c r="Y161" s="163"/>
      <c r="Z161" s="164"/>
    </row>
    <row r="162" spans="1:35" s="44" customFormat="1" ht="66.75" customHeight="1">
      <c r="A162" s="148" t="s">
        <v>222</v>
      </c>
      <c r="B162" s="146" t="s">
        <v>621</v>
      </c>
      <c r="C162" s="149" t="s">
        <v>569</v>
      </c>
      <c r="D162" s="150">
        <v>21</v>
      </c>
      <c r="E162" s="150" t="s">
        <v>570</v>
      </c>
      <c r="F162" s="151" t="s">
        <v>622</v>
      </c>
      <c r="G162" s="152">
        <v>4</v>
      </c>
      <c r="H162" s="152">
        <v>0</v>
      </c>
      <c r="I162" s="153">
        <v>5</v>
      </c>
      <c r="J162" s="154">
        <v>4</v>
      </c>
      <c r="K162" s="155">
        <v>0</v>
      </c>
      <c r="L162" s="148" t="s">
        <v>57</v>
      </c>
      <c r="M162" s="148" t="s">
        <v>58</v>
      </c>
      <c r="N162" s="156"/>
      <c r="O162" s="157" t="s">
        <v>59</v>
      </c>
      <c r="P162" s="158">
        <v>86</v>
      </c>
      <c r="Q162" s="152" t="s">
        <v>60</v>
      </c>
      <c r="R162" s="152" t="s">
        <v>61</v>
      </c>
      <c r="S162" s="148" t="s">
        <v>623</v>
      </c>
      <c r="T162" s="148">
        <v>0</v>
      </c>
      <c r="U162" s="159">
        <v>252</v>
      </c>
      <c r="V162" s="160" t="str">
        <f>VLOOKUP(U162,docentes!$A:$E,2,0)</f>
        <v>ILMA APARECIDA MARQUES SILVA</v>
      </c>
      <c r="W162" s="161" t="str">
        <f>VLOOKUP(U162,docentes!$A:$E,5,0)</f>
        <v>CMCC</v>
      </c>
      <c r="X162" s="162"/>
      <c r="Y162" s="163"/>
      <c r="Z162" s="164"/>
      <c r="AH162" s="45"/>
      <c r="AI162" s="45"/>
    </row>
    <row r="163" spans="1:35" s="44" customFormat="1" ht="66.75" customHeight="1">
      <c r="A163" s="148" t="s">
        <v>222</v>
      </c>
      <c r="B163" s="146" t="s">
        <v>624</v>
      </c>
      <c r="C163" s="149" t="s">
        <v>569</v>
      </c>
      <c r="D163" s="150">
        <v>21</v>
      </c>
      <c r="E163" s="150" t="s">
        <v>570</v>
      </c>
      <c r="F163" s="151" t="s">
        <v>625</v>
      </c>
      <c r="G163" s="152">
        <v>4</v>
      </c>
      <c r="H163" s="152">
        <v>0</v>
      </c>
      <c r="I163" s="153">
        <v>5</v>
      </c>
      <c r="J163" s="154">
        <v>4</v>
      </c>
      <c r="K163" s="155">
        <v>0</v>
      </c>
      <c r="L163" s="148" t="s">
        <v>57</v>
      </c>
      <c r="M163" s="148" t="s">
        <v>58</v>
      </c>
      <c r="N163" s="156"/>
      <c r="O163" s="157" t="s">
        <v>59</v>
      </c>
      <c r="P163" s="158">
        <v>86</v>
      </c>
      <c r="Q163" s="152" t="s">
        <v>60</v>
      </c>
      <c r="R163" s="152" t="s">
        <v>70</v>
      </c>
      <c r="S163" s="148" t="s">
        <v>626</v>
      </c>
      <c r="T163" s="148">
        <v>0</v>
      </c>
      <c r="U163" s="159">
        <v>165</v>
      </c>
      <c r="V163" s="160" t="str">
        <f>VLOOKUP(U163,docentes!$A:$E,2,0)</f>
        <v>ERCILIO CARVALHO DA SILVA</v>
      </c>
      <c r="W163" s="161" t="str">
        <f>VLOOKUP(U163,docentes!$A:$E,5,0)</f>
        <v>CMCC</v>
      </c>
      <c r="X163" s="162"/>
      <c r="Y163" s="163"/>
      <c r="Z163" s="164"/>
    </row>
    <row r="164" spans="1:35" s="44" customFormat="1" ht="66.75" customHeight="1">
      <c r="A164" s="148" t="s">
        <v>222</v>
      </c>
      <c r="B164" s="146" t="s">
        <v>627</v>
      </c>
      <c r="C164" s="149" t="s">
        <v>569</v>
      </c>
      <c r="D164" s="150">
        <v>21</v>
      </c>
      <c r="E164" s="150" t="s">
        <v>570</v>
      </c>
      <c r="F164" s="151" t="s">
        <v>628</v>
      </c>
      <c r="G164" s="152">
        <v>4</v>
      </c>
      <c r="H164" s="152">
        <v>0</v>
      </c>
      <c r="I164" s="153">
        <v>5</v>
      </c>
      <c r="J164" s="154">
        <v>4</v>
      </c>
      <c r="K164" s="155">
        <v>0</v>
      </c>
      <c r="L164" s="148" t="s">
        <v>57</v>
      </c>
      <c r="M164" s="148" t="s">
        <v>58</v>
      </c>
      <c r="N164" s="156"/>
      <c r="O164" s="157" t="s">
        <v>59</v>
      </c>
      <c r="P164" s="158">
        <v>75</v>
      </c>
      <c r="Q164" s="152" t="s">
        <v>60</v>
      </c>
      <c r="R164" s="152" t="s">
        <v>70</v>
      </c>
      <c r="S164" s="148" t="s">
        <v>629</v>
      </c>
      <c r="T164" s="148">
        <v>0</v>
      </c>
      <c r="U164" s="159">
        <v>263</v>
      </c>
      <c r="V164" s="160" t="str">
        <f>VLOOKUP(U164,docentes!$A:$E,2,0)</f>
        <v>JEFERSON CASSIANO</v>
      </c>
      <c r="W164" s="161" t="str">
        <f>VLOOKUP(U164,docentes!$A:$E,5,0)</f>
        <v>CMCC</v>
      </c>
      <c r="X164" s="162"/>
      <c r="Y164" s="163"/>
      <c r="Z164" s="164"/>
    </row>
    <row r="165" spans="1:35" s="44" customFormat="1" ht="66.75" customHeight="1">
      <c r="A165" s="148" t="s">
        <v>222</v>
      </c>
      <c r="B165" s="146" t="s">
        <v>630</v>
      </c>
      <c r="C165" s="149" t="s">
        <v>569</v>
      </c>
      <c r="D165" s="150">
        <v>21</v>
      </c>
      <c r="E165" s="150" t="s">
        <v>570</v>
      </c>
      <c r="F165" s="151" t="s">
        <v>631</v>
      </c>
      <c r="G165" s="152">
        <v>4</v>
      </c>
      <c r="H165" s="152">
        <v>0</v>
      </c>
      <c r="I165" s="153">
        <v>5</v>
      </c>
      <c r="J165" s="154">
        <v>4</v>
      </c>
      <c r="K165" s="155">
        <v>0</v>
      </c>
      <c r="L165" s="148" t="s">
        <v>57</v>
      </c>
      <c r="M165" s="148" t="s">
        <v>58</v>
      </c>
      <c r="N165" s="156"/>
      <c r="O165" s="157" t="s">
        <v>59</v>
      </c>
      <c r="P165" s="158">
        <v>90</v>
      </c>
      <c r="Q165" s="152" t="s">
        <v>76</v>
      </c>
      <c r="R165" s="152" t="s">
        <v>61</v>
      </c>
      <c r="S165" s="148" t="s">
        <v>632</v>
      </c>
      <c r="T165" s="148">
        <v>0</v>
      </c>
      <c r="U165" s="159">
        <v>410</v>
      </c>
      <c r="V165" s="160" t="str">
        <f>VLOOKUP(U165,docentes!$A:$E,2,0)</f>
        <v>MAURICIO FIRMINO SILVA LIMA</v>
      </c>
      <c r="W165" s="161" t="str">
        <f>VLOOKUP(U165,docentes!$A:$E,5,0)</f>
        <v>CMCC</v>
      </c>
      <c r="X165" s="162"/>
      <c r="Y165" s="163"/>
      <c r="Z165" s="164"/>
    </row>
    <row r="166" spans="1:35" s="44" customFormat="1" ht="66.75" customHeight="1">
      <c r="A166" s="148" t="s">
        <v>222</v>
      </c>
      <c r="B166" s="146" t="s">
        <v>633</v>
      </c>
      <c r="C166" s="149" t="s">
        <v>569</v>
      </c>
      <c r="D166" s="150">
        <v>21</v>
      </c>
      <c r="E166" s="150" t="s">
        <v>570</v>
      </c>
      <c r="F166" s="151" t="s">
        <v>634</v>
      </c>
      <c r="G166" s="152">
        <v>4</v>
      </c>
      <c r="H166" s="152">
        <v>0</v>
      </c>
      <c r="I166" s="153">
        <v>5</v>
      </c>
      <c r="J166" s="154">
        <v>4</v>
      </c>
      <c r="K166" s="155">
        <v>0</v>
      </c>
      <c r="L166" s="148" t="s">
        <v>57</v>
      </c>
      <c r="M166" s="148" t="s">
        <v>58</v>
      </c>
      <c r="N166" s="156"/>
      <c r="O166" s="157" t="s">
        <v>59</v>
      </c>
      <c r="P166" s="158">
        <v>90</v>
      </c>
      <c r="Q166" s="152" t="s">
        <v>76</v>
      </c>
      <c r="R166" s="152" t="s">
        <v>70</v>
      </c>
      <c r="S166" s="148" t="s">
        <v>635</v>
      </c>
      <c r="T166" s="148">
        <v>0</v>
      </c>
      <c r="U166" s="159">
        <v>153</v>
      </c>
      <c r="V166" s="160" t="str">
        <f>VLOOKUP(U166,docentes!$A:$E,2,0)</f>
        <v>EDUARDO GUERON</v>
      </c>
      <c r="W166" s="161" t="str">
        <f>VLOOKUP(U166,docentes!$A:$E,5,0)</f>
        <v>CMCC</v>
      </c>
      <c r="X166" s="162"/>
      <c r="Y166" s="163"/>
      <c r="Z166" s="164"/>
    </row>
    <row r="167" spans="1:35" s="44" customFormat="1" ht="66.75" customHeight="1">
      <c r="A167" s="148" t="s">
        <v>636</v>
      </c>
      <c r="B167" s="146" t="s">
        <v>637</v>
      </c>
      <c r="C167" s="149" t="s">
        <v>638</v>
      </c>
      <c r="D167" s="150">
        <v>1</v>
      </c>
      <c r="E167" s="150" t="s">
        <v>639</v>
      </c>
      <c r="F167" s="151" t="s">
        <v>640</v>
      </c>
      <c r="G167" s="152">
        <v>4</v>
      </c>
      <c r="H167" s="152">
        <v>0</v>
      </c>
      <c r="I167" s="153">
        <v>4</v>
      </c>
      <c r="J167" s="154">
        <v>4</v>
      </c>
      <c r="K167" s="155">
        <v>0</v>
      </c>
      <c r="L167" s="148" t="s">
        <v>57</v>
      </c>
      <c r="M167" s="148" t="s">
        <v>58</v>
      </c>
      <c r="N167" s="156"/>
      <c r="O167" s="157" t="s">
        <v>59</v>
      </c>
      <c r="P167" s="158">
        <v>40</v>
      </c>
      <c r="Q167" s="152" t="s">
        <v>76</v>
      </c>
      <c r="R167" s="152" t="s">
        <v>61</v>
      </c>
      <c r="S167" s="148" t="s">
        <v>641</v>
      </c>
      <c r="T167" s="148">
        <v>0</v>
      </c>
      <c r="U167" s="159">
        <v>355</v>
      </c>
      <c r="V167" s="160" t="str">
        <f>VLOOKUP(U167,docentes!$A:$E,2,0)</f>
        <v>MARCELA BERMUDEZ ECHEVERRY</v>
      </c>
      <c r="W167" s="161" t="str">
        <f>VLOOKUP(U167,docentes!$A:$E,5,0)</f>
        <v>CMCC</v>
      </c>
      <c r="X167" s="162"/>
      <c r="Y167" s="163"/>
      <c r="Z167" s="164"/>
    </row>
    <row r="168" spans="1:35" s="44" customFormat="1" ht="66.75" hidden="1" customHeight="1">
      <c r="A168" s="148" t="s">
        <v>636</v>
      </c>
      <c r="B168" s="168" t="s">
        <v>642</v>
      </c>
      <c r="C168" s="149"/>
      <c r="D168" s="150">
        <v>0</v>
      </c>
      <c r="E168" s="150" t="s">
        <v>639</v>
      </c>
      <c r="F168" s="169" t="s">
        <v>643</v>
      </c>
      <c r="G168" s="152">
        <v>4</v>
      </c>
      <c r="H168" s="152">
        <v>0</v>
      </c>
      <c r="I168" s="153">
        <v>4</v>
      </c>
      <c r="J168" s="154">
        <v>0</v>
      </c>
      <c r="K168" s="155">
        <v>0</v>
      </c>
      <c r="L168" s="148" t="s">
        <v>644</v>
      </c>
      <c r="M168" s="148" t="s">
        <v>58</v>
      </c>
      <c r="N168" s="156"/>
      <c r="O168" s="165" t="s">
        <v>102</v>
      </c>
      <c r="P168" s="158">
        <v>0</v>
      </c>
      <c r="Q168" s="152" t="s">
        <v>76</v>
      </c>
      <c r="R168" s="152" t="s">
        <v>70</v>
      </c>
      <c r="S168" s="148" t="s">
        <v>645</v>
      </c>
      <c r="T168" s="148">
        <v>0</v>
      </c>
      <c r="U168" s="170">
        <v>355</v>
      </c>
      <c r="V168" s="163" t="str">
        <f>VLOOKUP(U168,docentes!$A:$E,2,0)</f>
        <v>MARCELA BERMUDEZ ECHEVERRY</v>
      </c>
      <c r="W168" s="171" t="str">
        <f>VLOOKUP(U168,docentes!$A:$E,5,0)</f>
        <v>CMCC</v>
      </c>
      <c r="X168" s="162"/>
      <c r="Y168" s="163"/>
      <c r="Z168" s="164"/>
    </row>
    <row r="169" spans="1:35" s="44" customFormat="1" ht="66.75" customHeight="1">
      <c r="A169" s="148" t="s">
        <v>646</v>
      </c>
      <c r="B169" s="146" t="s">
        <v>647</v>
      </c>
      <c r="C169" s="149" t="s">
        <v>648</v>
      </c>
      <c r="D169" s="150">
        <v>2</v>
      </c>
      <c r="E169" s="150" t="s">
        <v>649</v>
      </c>
      <c r="F169" s="151" t="s">
        <v>650</v>
      </c>
      <c r="G169" s="152">
        <v>3</v>
      </c>
      <c r="H169" s="152">
        <v>2</v>
      </c>
      <c r="I169" s="153">
        <v>3</v>
      </c>
      <c r="J169" s="154">
        <v>3</v>
      </c>
      <c r="K169" s="155">
        <v>2</v>
      </c>
      <c r="L169" s="148" t="s">
        <v>57</v>
      </c>
      <c r="M169" s="148" t="s">
        <v>58</v>
      </c>
      <c r="N169" s="156"/>
      <c r="O169" s="157" t="s">
        <v>59</v>
      </c>
      <c r="P169" s="158">
        <v>30</v>
      </c>
      <c r="Q169" s="152" t="s">
        <v>60</v>
      </c>
      <c r="R169" s="152" t="s">
        <v>61</v>
      </c>
      <c r="S169" s="148" t="s">
        <v>651</v>
      </c>
      <c r="T169" s="148" t="s">
        <v>652</v>
      </c>
      <c r="U169" s="159">
        <v>10</v>
      </c>
      <c r="V169" s="160" t="str">
        <f>VLOOKUP(U169,docentes!$A:$E,2,0)</f>
        <v>ALBERTO JOSE OLAVARRIETA ARAB</v>
      </c>
      <c r="W169" s="161" t="str">
        <f>VLOOKUP(U169,docentes!$A:$E,5,0)</f>
        <v>CCNH</v>
      </c>
      <c r="X169" s="176">
        <v>10</v>
      </c>
      <c r="Y169" s="160" t="str">
        <f>VLOOKUP(X169,docentes!$A:$E,2,0)</f>
        <v>ALBERTO JOSE OLAVARRIETA ARAB</v>
      </c>
      <c r="Z169" s="177" t="str">
        <f>VLOOKUP(X169,docentes!$A:$E,5,0)</f>
        <v>CCNH</v>
      </c>
    </row>
    <row r="170" spans="1:35" s="44" customFormat="1" ht="66.75" customHeight="1">
      <c r="A170" s="148" t="s">
        <v>646</v>
      </c>
      <c r="B170" s="146" t="s">
        <v>653</v>
      </c>
      <c r="C170" s="149" t="s">
        <v>648</v>
      </c>
      <c r="D170" s="150">
        <v>2</v>
      </c>
      <c r="E170" s="150" t="s">
        <v>649</v>
      </c>
      <c r="F170" s="151" t="s">
        <v>654</v>
      </c>
      <c r="G170" s="152">
        <v>3</v>
      </c>
      <c r="H170" s="152">
        <v>2</v>
      </c>
      <c r="I170" s="153">
        <v>3</v>
      </c>
      <c r="J170" s="154">
        <v>3</v>
      </c>
      <c r="K170" s="155">
        <v>2</v>
      </c>
      <c r="L170" s="148" t="s">
        <v>57</v>
      </c>
      <c r="M170" s="148" t="s">
        <v>58</v>
      </c>
      <c r="N170" s="156"/>
      <c r="O170" s="157" t="s">
        <v>59</v>
      </c>
      <c r="P170" s="158">
        <v>30</v>
      </c>
      <c r="Q170" s="152" t="s">
        <v>60</v>
      </c>
      <c r="R170" s="152" t="s">
        <v>70</v>
      </c>
      <c r="S170" s="148" t="s">
        <v>655</v>
      </c>
      <c r="T170" s="148" t="s">
        <v>656</v>
      </c>
      <c r="U170" s="159">
        <v>438</v>
      </c>
      <c r="V170" s="160" t="str">
        <f>VLOOKUP(U170,docentes!$A:$E,2,0)</f>
        <v>OTTO MULLER PATRAO DE OLIVEIRA</v>
      </c>
      <c r="W170" s="161" t="str">
        <f>VLOOKUP(U170,docentes!$A:$E,5,0)</f>
        <v>CCNH</v>
      </c>
      <c r="X170" s="176">
        <v>438</v>
      </c>
      <c r="Y170" s="160" t="str">
        <f>VLOOKUP(X170,docentes!$A:$E,2,0)</f>
        <v>OTTO MULLER PATRAO DE OLIVEIRA</v>
      </c>
      <c r="Z170" s="177" t="str">
        <f>VLOOKUP(X170,docentes!$A:$E,5,0)</f>
        <v>CCNH</v>
      </c>
    </row>
    <row r="171" spans="1:35" s="44" customFormat="1" ht="66.75" customHeight="1">
      <c r="A171" s="148" t="s">
        <v>646</v>
      </c>
      <c r="B171" s="146" t="s">
        <v>657</v>
      </c>
      <c r="C171" s="149" t="s">
        <v>658</v>
      </c>
      <c r="D171" s="150">
        <v>2</v>
      </c>
      <c r="E171" s="150" t="s">
        <v>659</v>
      </c>
      <c r="F171" s="151" t="s">
        <v>660</v>
      </c>
      <c r="G171" s="152">
        <v>3</v>
      </c>
      <c r="H171" s="152">
        <v>0</v>
      </c>
      <c r="I171" s="153">
        <v>3</v>
      </c>
      <c r="J171" s="154">
        <v>3</v>
      </c>
      <c r="K171" s="155">
        <v>0</v>
      </c>
      <c r="L171" s="148" t="s">
        <v>57</v>
      </c>
      <c r="M171" s="148" t="s">
        <v>58</v>
      </c>
      <c r="N171" s="156"/>
      <c r="O171" s="157" t="s">
        <v>59</v>
      </c>
      <c r="P171" s="158">
        <v>30</v>
      </c>
      <c r="Q171" s="152" t="s">
        <v>60</v>
      </c>
      <c r="R171" s="152" t="s">
        <v>61</v>
      </c>
      <c r="S171" s="148" t="s">
        <v>661</v>
      </c>
      <c r="T171" s="148">
        <v>0</v>
      </c>
      <c r="U171" s="159">
        <v>357</v>
      </c>
      <c r="V171" s="160" t="str">
        <f>VLOOKUP(U171,docentes!$A:$E,2,0)</f>
        <v>MARCELLA PECORA MILAZZOTTO</v>
      </c>
      <c r="W171" s="161" t="str">
        <f>VLOOKUP(U171,docentes!$A:$E,5,0)</f>
        <v>CCNH</v>
      </c>
      <c r="X171" s="162"/>
      <c r="Y171" s="163"/>
      <c r="Z171" s="164"/>
    </row>
    <row r="172" spans="1:35" s="44" customFormat="1" ht="66.75" customHeight="1">
      <c r="A172" s="148" t="s">
        <v>646</v>
      </c>
      <c r="B172" s="146" t="s">
        <v>662</v>
      </c>
      <c r="C172" s="149" t="s">
        <v>658</v>
      </c>
      <c r="D172" s="150">
        <v>2</v>
      </c>
      <c r="E172" s="150" t="s">
        <v>659</v>
      </c>
      <c r="F172" s="151" t="s">
        <v>663</v>
      </c>
      <c r="G172" s="152">
        <v>3</v>
      </c>
      <c r="H172" s="152">
        <v>0</v>
      </c>
      <c r="I172" s="153">
        <v>3</v>
      </c>
      <c r="J172" s="154">
        <v>3</v>
      </c>
      <c r="K172" s="155">
        <v>0</v>
      </c>
      <c r="L172" s="148" t="s">
        <v>57</v>
      </c>
      <c r="M172" s="148" t="s">
        <v>58</v>
      </c>
      <c r="N172" s="156"/>
      <c r="O172" s="157" t="s">
        <v>59</v>
      </c>
      <c r="P172" s="158">
        <v>30</v>
      </c>
      <c r="Q172" s="152" t="s">
        <v>60</v>
      </c>
      <c r="R172" s="152" t="s">
        <v>70</v>
      </c>
      <c r="S172" s="148" t="s">
        <v>664</v>
      </c>
      <c r="T172" s="148">
        <v>0</v>
      </c>
      <c r="U172" s="159">
        <v>348</v>
      </c>
      <c r="V172" s="160" t="str">
        <f>VLOOKUP(U172,docentes!$A:$E,2,0)</f>
        <v>LUIZ ROBERTO NUNES</v>
      </c>
      <c r="W172" s="161" t="str">
        <f>VLOOKUP(U172,docentes!$A:$E,5,0)</f>
        <v>CCNH</v>
      </c>
      <c r="X172" s="162"/>
      <c r="Y172" s="163"/>
      <c r="Z172" s="164"/>
    </row>
    <row r="173" spans="1:35" s="44" customFormat="1" ht="66.75" customHeight="1">
      <c r="A173" s="148" t="s">
        <v>646</v>
      </c>
      <c r="B173" s="146" t="s">
        <v>665</v>
      </c>
      <c r="C173" s="149" t="s">
        <v>666</v>
      </c>
      <c r="D173" s="150">
        <v>2</v>
      </c>
      <c r="E173" s="150" t="s">
        <v>667</v>
      </c>
      <c r="F173" s="151" t="s">
        <v>668</v>
      </c>
      <c r="G173" s="152">
        <v>3</v>
      </c>
      <c r="H173" s="152">
        <v>2</v>
      </c>
      <c r="I173" s="153">
        <v>3</v>
      </c>
      <c r="J173" s="154">
        <v>3</v>
      </c>
      <c r="K173" s="155">
        <v>2</v>
      </c>
      <c r="L173" s="148" t="s">
        <v>57</v>
      </c>
      <c r="M173" s="148" t="s">
        <v>58</v>
      </c>
      <c r="N173" s="156"/>
      <c r="O173" s="157" t="s">
        <v>59</v>
      </c>
      <c r="P173" s="158">
        <v>30</v>
      </c>
      <c r="Q173" s="152" t="s">
        <v>60</v>
      </c>
      <c r="R173" s="152" t="s">
        <v>61</v>
      </c>
      <c r="S173" s="148" t="s">
        <v>669</v>
      </c>
      <c r="T173" s="148" t="s">
        <v>670</v>
      </c>
      <c r="U173" s="159">
        <v>57</v>
      </c>
      <c r="V173" s="160" t="str">
        <f>VLOOKUP(U173,docentes!$A:$E,2,0)</f>
        <v>ANDREA ONOFRE DE ARAUJO</v>
      </c>
      <c r="W173" s="161" t="str">
        <f>VLOOKUP(U173,docentes!$A:$E,5,0)</f>
        <v>CCNH</v>
      </c>
      <c r="X173" s="176">
        <v>57</v>
      </c>
      <c r="Y173" s="160" t="str">
        <f>VLOOKUP(X173,docentes!$A:$E,2,0)</f>
        <v>ANDREA ONOFRE DE ARAUJO</v>
      </c>
      <c r="Z173" s="177" t="str">
        <f>VLOOKUP(X173,docentes!$A:$E,5,0)</f>
        <v>CCNH</v>
      </c>
      <c r="AH173" s="45"/>
      <c r="AI173" s="45"/>
    </row>
    <row r="174" spans="1:35" s="44" customFormat="1" ht="66.75" customHeight="1">
      <c r="A174" s="148" t="s">
        <v>646</v>
      </c>
      <c r="B174" s="146" t="s">
        <v>671</v>
      </c>
      <c r="C174" s="149" t="s">
        <v>666</v>
      </c>
      <c r="D174" s="150">
        <v>2</v>
      </c>
      <c r="E174" s="150" t="s">
        <v>667</v>
      </c>
      <c r="F174" s="151" t="s">
        <v>672</v>
      </c>
      <c r="G174" s="152">
        <v>3</v>
      </c>
      <c r="H174" s="152">
        <v>2</v>
      </c>
      <c r="I174" s="153">
        <v>3</v>
      </c>
      <c r="J174" s="154">
        <v>3</v>
      </c>
      <c r="K174" s="155">
        <v>2</v>
      </c>
      <c r="L174" s="148" t="s">
        <v>57</v>
      </c>
      <c r="M174" s="148" t="s">
        <v>58</v>
      </c>
      <c r="N174" s="156"/>
      <c r="O174" s="157" t="s">
        <v>59</v>
      </c>
      <c r="P174" s="158">
        <v>30</v>
      </c>
      <c r="Q174" s="152" t="s">
        <v>60</v>
      </c>
      <c r="R174" s="152" t="s">
        <v>70</v>
      </c>
      <c r="S174" s="148" t="s">
        <v>673</v>
      </c>
      <c r="T174" s="148" t="s">
        <v>674</v>
      </c>
      <c r="U174" s="159">
        <v>430</v>
      </c>
      <c r="V174" s="160" t="str">
        <f>VLOOKUP(U174,docentes!$A:$E,2,0)</f>
        <v>NATALIA PIRANI GHILARDI LOPES</v>
      </c>
      <c r="W174" s="161" t="str">
        <f>VLOOKUP(U174,docentes!$A:$E,5,0)</f>
        <v>CCNH</v>
      </c>
      <c r="X174" s="176">
        <v>430</v>
      </c>
      <c r="Y174" s="160" t="str">
        <f>VLOOKUP(X174,docentes!$A:$E,2,0)</f>
        <v>NATALIA PIRANI GHILARDI LOPES</v>
      </c>
      <c r="Z174" s="177" t="str">
        <f>VLOOKUP(X174,docentes!$A:$E,5,0)</f>
        <v>CCNH</v>
      </c>
      <c r="AH174" s="45"/>
      <c r="AI174" s="45"/>
    </row>
    <row r="175" spans="1:35" s="44" customFormat="1" ht="66.75" customHeight="1">
      <c r="A175" s="148" t="s">
        <v>675</v>
      </c>
      <c r="B175" s="146" t="s">
        <v>676</v>
      </c>
      <c r="C175" s="149" t="s">
        <v>677</v>
      </c>
      <c r="D175" s="150">
        <v>2</v>
      </c>
      <c r="E175" s="150" t="s">
        <v>678</v>
      </c>
      <c r="F175" s="151" t="s">
        <v>679</v>
      </c>
      <c r="G175" s="152">
        <v>4</v>
      </c>
      <c r="H175" s="152">
        <v>0</v>
      </c>
      <c r="I175" s="153">
        <v>3</v>
      </c>
      <c r="J175" s="154">
        <v>4</v>
      </c>
      <c r="K175" s="155">
        <v>0</v>
      </c>
      <c r="L175" s="148" t="s">
        <v>97</v>
      </c>
      <c r="M175" s="148" t="s">
        <v>58</v>
      </c>
      <c r="N175" s="156"/>
      <c r="O175" s="157" t="s">
        <v>59</v>
      </c>
      <c r="P175" s="158">
        <v>60</v>
      </c>
      <c r="Q175" s="152" t="s">
        <v>76</v>
      </c>
      <c r="R175" s="152" t="s">
        <v>61</v>
      </c>
      <c r="S175" s="148" t="s">
        <v>680</v>
      </c>
      <c r="T175" s="148">
        <v>0</v>
      </c>
      <c r="U175" s="159">
        <v>100</v>
      </c>
      <c r="V175" s="160" t="str">
        <f>VLOOKUP(U175,docentes!$A:$E,2,0)</f>
        <v>CHRISTIANE BERTACHINI LOMBELLO</v>
      </c>
      <c r="W175" s="161" t="str">
        <f>VLOOKUP(U175,docentes!$A:$E,5,0)</f>
        <v>CECS</v>
      </c>
      <c r="X175" s="162"/>
      <c r="Y175" s="163"/>
      <c r="Z175" s="164"/>
    </row>
    <row r="176" spans="1:35" s="44" customFormat="1" ht="66.75" customHeight="1">
      <c r="A176" s="148" t="s">
        <v>675</v>
      </c>
      <c r="B176" s="146" t="s">
        <v>681</v>
      </c>
      <c r="C176" s="149" t="s">
        <v>677</v>
      </c>
      <c r="D176" s="150">
        <v>2</v>
      </c>
      <c r="E176" s="150" t="s">
        <v>678</v>
      </c>
      <c r="F176" s="151" t="s">
        <v>682</v>
      </c>
      <c r="G176" s="152">
        <v>4</v>
      </c>
      <c r="H176" s="152">
        <v>0</v>
      </c>
      <c r="I176" s="153">
        <v>3</v>
      </c>
      <c r="J176" s="154">
        <v>4</v>
      </c>
      <c r="K176" s="155">
        <v>0</v>
      </c>
      <c r="L176" s="148" t="s">
        <v>97</v>
      </c>
      <c r="M176" s="148" t="s">
        <v>58</v>
      </c>
      <c r="N176" s="156"/>
      <c r="O176" s="157" t="s">
        <v>59</v>
      </c>
      <c r="P176" s="158">
        <v>57</v>
      </c>
      <c r="Q176" s="152" t="s">
        <v>60</v>
      </c>
      <c r="R176" s="152" t="s">
        <v>70</v>
      </c>
      <c r="S176" s="148" t="s">
        <v>683</v>
      </c>
      <c r="T176" s="148">
        <v>0</v>
      </c>
      <c r="U176" s="159">
        <v>55</v>
      </c>
      <c r="V176" s="160" t="str">
        <f>VLOOKUP(U176,docentes!$A:$E,2,0)</f>
        <v>ANDREA CECILIA DORION RODAS</v>
      </c>
      <c r="W176" s="161" t="str">
        <f>VLOOKUP(U176,docentes!$A:$E,5,0)</f>
        <v>CECS</v>
      </c>
      <c r="X176" s="162"/>
      <c r="Y176" s="163"/>
      <c r="Z176" s="164"/>
    </row>
    <row r="177" spans="1:35" ht="66.75" customHeight="1">
      <c r="A177" s="148" t="s">
        <v>78</v>
      </c>
      <c r="B177" s="146" t="s">
        <v>684</v>
      </c>
      <c r="C177" s="149" t="s">
        <v>685</v>
      </c>
      <c r="D177" s="150">
        <v>2</v>
      </c>
      <c r="E177" s="150" t="s">
        <v>686</v>
      </c>
      <c r="F177" s="151" t="s">
        <v>687</v>
      </c>
      <c r="G177" s="152">
        <v>4</v>
      </c>
      <c r="H177" s="152">
        <v>0</v>
      </c>
      <c r="I177" s="153">
        <v>4</v>
      </c>
      <c r="J177" s="154">
        <v>4</v>
      </c>
      <c r="K177" s="155">
        <v>0</v>
      </c>
      <c r="L177" s="148" t="s">
        <v>97</v>
      </c>
      <c r="M177" s="148" t="s">
        <v>58</v>
      </c>
      <c r="N177" s="151"/>
      <c r="O177" s="157" t="s">
        <v>59</v>
      </c>
      <c r="P177" s="158">
        <v>70</v>
      </c>
      <c r="Q177" s="152" t="s">
        <v>60</v>
      </c>
      <c r="R177" s="152" t="s">
        <v>61</v>
      </c>
      <c r="S177" s="148" t="s">
        <v>688</v>
      </c>
      <c r="T177" s="148">
        <v>0</v>
      </c>
      <c r="U177" s="159">
        <v>462</v>
      </c>
      <c r="V177" s="160" t="str">
        <f>VLOOKUP(U177,docentes!$A:$E,2,0)</f>
        <v>RAFAEL DE MATTOS GRISI</v>
      </c>
      <c r="W177" s="161" t="str">
        <f>VLOOKUP(U177,docentes!$A:$E,5,0)</f>
        <v>CMCC</v>
      </c>
      <c r="X177" s="162"/>
      <c r="Y177" s="163"/>
      <c r="Z177" s="164"/>
      <c r="AA177" s="44"/>
      <c r="AB177" s="44"/>
      <c r="AC177" s="44"/>
      <c r="AD177" s="44"/>
      <c r="AE177" s="44"/>
      <c r="AF177" s="44"/>
      <c r="AG177" s="44"/>
      <c r="AH177" s="44"/>
      <c r="AI177" s="44"/>
    </row>
    <row r="178" spans="1:35" s="44" customFormat="1" ht="66.75" customHeight="1">
      <c r="A178" s="148" t="s">
        <v>78</v>
      </c>
      <c r="B178" s="146" t="s">
        <v>689</v>
      </c>
      <c r="C178" s="149" t="s">
        <v>685</v>
      </c>
      <c r="D178" s="150">
        <v>2</v>
      </c>
      <c r="E178" s="150" t="s">
        <v>686</v>
      </c>
      <c r="F178" s="151" t="s">
        <v>690</v>
      </c>
      <c r="G178" s="152">
        <v>4</v>
      </c>
      <c r="H178" s="152">
        <v>0</v>
      </c>
      <c r="I178" s="153">
        <v>4</v>
      </c>
      <c r="J178" s="154">
        <v>4</v>
      </c>
      <c r="K178" s="155">
        <v>0</v>
      </c>
      <c r="L178" s="148" t="s">
        <v>97</v>
      </c>
      <c r="M178" s="148" t="s">
        <v>58</v>
      </c>
      <c r="N178" s="156"/>
      <c r="O178" s="157" t="s">
        <v>59</v>
      </c>
      <c r="P178" s="158">
        <v>32</v>
      </c>
      <c r="Q178" s="152" t="s">
        <v>60</v>
      </c>
      <c r="R178" s="152" t="s">
        <v>70</v>
      </c>
      <c r="S178" s="148" t="s">
        <v>691</v>
      </c>
      <c r="T178" s="148">
        <v>0</v>
      </c>
      <c r="U178" s="159">
        <v>462</v>
      </c>
      <c r="V178" s="160" t="str">
        <f>VLOOKUP(U178,docentes!$A:$E,2,0)</f>
        <v>RAFAEL DE MATTOS GRISI</v>
      </c>
      <c r="W178" s="161" t="str">
        <f>VLOOKUP(U178,docentes!$A:$E,5,0)</f>
        <v>CMCC</v>
      </c>
      <c r="X178" s="162"/>
      <c r="Y178" s="163"/>
      <c r="Z178" s="164"/>
    </row>
    <row r="179" spans="1:35" s="44" customFormat="1" ht="66.75" customHeight="1">
      <c r="A179" s="148" t="s">
        <v>692</v>
      </c>
      <c r="B179" s="146" t="s">
        <v>693</v>
      </c>
      <c r="C179" s="149" t="s">
        <v>694</v>
      </c>
      <c r="D179" s="150">
        <v>6</v>
      </c>
      <c r="E179" s="150" t="s">
        <v>695</v>
      </c>
      <c r="F179" s="151" t="s">
        <v>696</v>
      </c>
      <c r="G179" s="152">
        <v>4</v>
      </c>
      <c r="H179" s="152">
        <v>0</v>
      </c>
      <c r="I179" s="153">
        <v>4</v>
      </c>
      <c r="J179" s="154">
        <v>4</v>
      </c>
      <c r="K179" s="155">
        <v>0</v>
      </c>
      <c r="L179" s="148" t="s">
        <v>97</v>
      </c>
      <c r="M179" s="148" t="s">
        <v>58</v>
      </c>
      <c r="N179" s="156"/>
      <c r="O179" s="157" t="s">
        <v>59</v>
      </c>
      <c r="P179" s="158">
        <v>86</v>
      </c>
      <c r="Q179" s="152" t="s">
        <v>60</v>
      </c>
      <c r="R179" s="152" t="s">
        <v>61</v>
      </c>
      <c r="S179" s="148" t="s">
        <v>697</v>
      </c>
      <c r="T179" s="148">
        <v>0</v>
      </c>
      <c r="U179" s="159">
        <v>436</v>
      </c>
      <c r="V179" s="160" t="str">
        <f>VLOOKUP(U179,docentes!$A:$E,2,0)</f>
        <v>OLEXANDR ZHYDENKO</v>
      </c>
      <c r="W179" s="161" t="str">
        <f>VLOOKUP(U179,docentes!$A:$E,5,0)</f>
        <v>CMCC</v>
      </c>
      <c r="X179" s="162">
        <v>436</v>
      </c>
      <c r="Y179" s="163" t="str">
        <f>VLOOKUP(X179,docentes!$A:$E,2,0)</f>
        <v>OLEXANDR ZHYDENKO</v>
      </c>
      <c r="Z179" s="164" t="str">
        <f>VLOOKUP(X179,docentes!$A:$E,5,0)</f>
        <v>CMCC</v>
      </c>
      <c r="AB179" s="45"/>
    </row>
    <row r="180" spans="1:35" s="44" customFormat="1" ht="66.75" customHeight="1">
      <c r="A180" s="148" t="s">
        <v>692</v>
      </c>
      <c r="B180" s="146" t="s">
        <v>698</v>
      </c>
      <c r="C180" s="149" t="s">
        <v>694</v>
      </c>
      <c r="D180" s="150">
        <v>6</v>
      </c>
      <c r="E180" s="150" t="s">
        <v>695</v>
      </c>
      <c r="F180" s="151" t="s">
        <v>699</v>
      </c>
      <c r="G180" s="152">
        <v>4</v>
      </c>
      <c r="H180" s="152">
        <v>0</v>
      </c>
      <c r="I180" s="153">
        <v>4</v>
      </c>
      <c r="J180" s="154">
        <v>4</v>
      </c>
      <c r="K180" s="155">
        <v>0</v>
      </c>
      <c r="L180" s="148" t="s">
        <v>97</v>
      </c>
      <c r="M180" s="148" t="s">
        <v>58</v>
      </c>
      <c r="N180" s="156"/>
      <c r="O180" s="157" t="s">
        <v>59</v>
      </c>
      <c r="P180" s="158">
        <v>90</v>
      </c>
      <c r="Q180" s="152" t="s">
        <v>76</v>
      </c>
      <c r="R180" s="152" t="s">
        <v>61</v>
      </c>
      <c r="S180" s="148" t="s">
        <v>700</v>
      </c>
      <c r="T180" s="148">
        <v>0</v>
      </c>
      <c r="U180" s="159">
        <v>70</v>
      </c>
      <c r="V180" s="160" t="str">
        <f>VLOOKUP(U180,docentes!$A:$E,2,0)</f>
        <v>ANTONIO SERGIO MUNHOZ</v>
      </c>
      <c r="W180" s="161" t="str">
        <f>VLOOKUP(U180,docentes!$A:$E,5,0)</f>
        <v>CMCC</v>
      </c>
      <c r="X180" s="162">
        <v>70</v>
      </c>
      <c r="Y180" s="163" t="str">
        <f>VLOOKUP(X180,docentes!$A:$E,2,0)</f>
        <v>ANTONIO SERGIO MUNHOZ</v>
      </c>
      <c r="Z180" s="164" t="str">
        <f>VLOOKUP(X180,docentes!$A:$E,5,0)</f>
        <v>CMCC</v>
      </c>
      <c r="AB180" s="45"/>
    </row>
    <row r="181" spans="1:35" ht="66.75" customHeight="1">
      <c r="A181" s="148" t="s">
        <v>692</v>
      </c>
      <c r="B181" s="146" t="s">
        <v>701</v>
      </c>
      <c r="C181" s="149" t="s">
        <v>694</v>
      </c>
      <c r="D181" s="150">
        <v>6</v>
      </c>
      <c r="E181" s="150" t="s">
        <v>695</v>
      </c>
      <c r="F181" s="151" t="s">
        <v>702</v>
      </c>
      <c r="G181" s="152">
        <v>4</v>
      </c>
      <c r="H181" s="152">
        <v>0</v>
      </c>
      <c r="I181" s="153">
        <v>4</v>
      </c>
      <c r="J181" s="154">
        <v>4</v>
      </c>
      <c r="K181" s="155">
        <v>0</v>
      </c>
      <c r="L181" s="148" t="s">
        <v>97</v>
      </c>
      <c r="M181" s="148" t="s">
        <v>58</v>
      </c>
      <c r="N181" s="156"/>
      <c r="O181" s="157" t="s">
        <v>59</v>
      </c>
      <c r="P181" s="158">
        <v>90</v>
      </c>
      <c r="Q181" s="152" t="s">
        <v>60</v>
      </c>
      <c r="R181" s="152" t="s">
        <v>70</v>
      </c>
      <c r="S181" s="148" t="s">
        <v>703</v>
      </c>
      <c r="T181" s="148">
        <v>0</v>
      </c>
      <c r="U181" s="159">
        <v>493</v>
      </c>
      <c r="V181" s="160" t="str">
        <f>VLOOKUP(U181,docentes!$A:$E,2,0)</f>
        <v>RODRIGO DE ALENCAR HAUSEN</v>
      </c>
      <c r="W181" s="161" t="str">
        <f>VLOOKUP(U181,docentes!$A:$E,5,0)</f>
        <v>CMCC</v>
      </c>
      <c r="X181" s="162">
        <v>493</v>
      </c>
      <c r="Y181" s="163" t="str">
        <f>VLOOKUP(X181,docentes!$A:$E,2,0)</f>
        <v>RODRIGO DE ALENCAR HAUSEN</v>
      </c>
      <c r="Z181" s="164" t="str">
        <f>VLOOKUP(X181,docentes!$A:$E,5,0)</f>
        <v>CMCC</v>
      </c>
      <c r="AA181" s="44"/>
      <c r="AC181" s="44"/>
      <c r="AD181" s="44"/>
      <c r="AE181" s="44"/>
      <c r="AF181" s="44"/>
      <c r="AG181" s="44"/>
      <c r="AH181" s="44"/>
      <c r="AI181" s="44"/>
    </row>
    <row r="182" spans="1:35" s="44" customFormat="1" ht="66.75" customHeight="1">
      <c r="A182" s="148" t="s">
        <v>692</v>
      </c>
      <c r="B182" s="146" t="s">
        <v>704</v>
      </c>
      <c r="C182" s="149" t="s">
        <v>694</v>
      </c>
      <c r="D182" s="150">
        <v>6</v>
      </c>
      <c r="E182" s="150" t="s">
        <v>695</v>
      </c>
      <c r="F182" s="151" t="s">
        <v>705</v>
      </c>
      <c r="G182" s="152">
        <v>4</v>
      </c>
      <c r="H182" s="152">
        <v>0</v>
      </c>
      <c r="I182" s="153">
        <v>4</v>
      </c>
      <c r="J182" s="154">
        <v>4</v>
      </c>
      <c r="K182" s="155">
        <v>0</v>
      </c>
      <c r="L182" s="148" t="s">
        <v>97</v>
      </c>
      <c r="M182" s="148" t="s">
        <v>58</v>
      </c>
      <c r="N182" s="156"/>
      <c r="O182" s="157" t="s">
        <v>59</v>
      </c>
      <c r="P182" s="158">
        <v>60</v>
      </c>
      <c r="Q182" s="152" t="s">
        <v>76</v>
      </c>
      <c r="R182" s="152" t="s">
        <v>70</v>
      </c>
      <c r="S182" s="148" t="s">
        <v>706</v>
      </c>
      <c r="T182" s="148">
        <v>0</v>
      </c>
      <c r="U182" s="159">
        <v>70</v>
      </c>
      <c r="V182" s="160" t="str">
        <f>VLOOKUP(U182,docentes!$A:$E,2,0)</f>
        <v>ANTONIO SERGIO MUNHOZ</v>
      </c>
      <c r="W182" s="161" t="str">
        <f>VLOOKUP(U182,docentes!$A:$E,5,0)</f>
        <v>CMCC</v>
      </c>
      <c r="X182" s="162">
        <v>70</v>
      </c>
      <c r="Y182" s="163" t="str">
        <f>VLOOKUP(X182,docentes!$A:$E,2,0)</f>
        <v>ANTONIO SERGIO MUNHOZ</v>
      </c>
      <c r="Z182" s="164" t="str">
        <f>VLOOKUP(X182,docentes!$A:$E,5,0)</f>
        <v>CMCC</v>
      </c>
      <c r="AB182" s="45"/>
    </row>
    <row r="183" spans="1:35" s="44" customFormat="1" ht="66.75" customHeight="1">
      <c r="A183" s="148" t="s">
        <v>692</v>
      </c>
      <c r="B183" s="146" t="s">
        <v>707</v>
      </c>
      <c r="C183" s="149" t="s">
        <v>694</v>
      </c>
      <c r="D183" s="150">
        <v>6</v>
      </c>
      <c r="E183" s="150" t="s">
        <v>695</v>
      </c>
      <c r="F183" s="151" t="s">
        <v>708</v>
      </c>
      <c r="G183" s="152">
        <v>4</v>
      </c>
      <c r="H183" s="152">
        <v>0</v>
      </c>
      <c r="I183" s="153">
        <v>4</v>
      </c>
      <c r="J183" s="154">
        <v>4</v>
      </c>
      <c r="K183" s="155">
        <v>0</v>
      </c>
      <c r="L183" s="148" t="s">
        <v>97</v>
      </c>
      <c r="M183" s="148" t="s">
        <v>58</v>
      </c>
      <c r="N183" s="156"/>
      <c r="O183" s="157" t="s">
        <v>59</v>
      </c>
      <c r="P183" s="158">
        <v>90</v>
      </c>
      <c r="Q183" s="152" t="s">
        <v>60</v>
      </c>
      <c r="R183" s="152" t="s">
        <v>61</v>
      </c>
      <c r="S183" s="148" t="s">
        <v>709</v>
      </c>
      <c r="T183" s="148">
        <v>0</v>
      </c>
      <c r="U183" s="159">
        <v>436</v>
      </c>
      <c r="V183" s="160" t="str">
        <f>VLOOKUP(U183,docentes!$A:$E,2,0)</f>
        <v>OLEXANDR ZHYDENKO</v>
      </c>
      <c r="W183" s="161" t="str">
        <f>VLOOKUP(U183,docentes!$A:$E,5,0)</f>
        <v>CMCC</v>
      </c>
      <c r="X183" s="162">
        <v>436</v>
      </c>
      <c r="Y183" s="163" t="str">
        <f>VLOOKUP(X183,docentes!$A:$E,2,0)</f>
        <v>OLEXANDR ZHYDENKO</v>
      </c>
      <c r="Z183" s="164" t="str">
        <f>VLOOKUP(X183,docentes!$A:$E,5,0)</f>
        <v>CMCC</v>
      </c>
      <c r="AB183" s="45"/>
    </row>
    <row r="184" spans="1:35" ht="66.75" customHeight="1">
      <c r="A184" s="148" t="s">
        <v>692</v>
      </c>
      <c r="B184" s="146" t="s">
        <v>710</v>
      </c>
      <c r="C184" s="149" t="s">
        <v>694</v>
      </c>
      <c r="D184" s="150">
        <v>6</v>
      </c>
      <c r="E184" s="150" t="s">
        <v>695</v>
      </c>
      <c r="F184" s="151" t="s">
        <v>711</v>
      </c>
      <c r="G184" s="152">
        <v>4</v>
      </c>
      <c r="H184" s="152">
        <v>0</v>
      </c>
      <c r="I184" s="153">
        <v>4</v>
      </c>
      <c r="J184" s="154">
        <v>4</v>
      </c>
      <c r="K184" s="155">
        <v>0</v>
      </c>
      <c r="L184" s="148" t="s">
        <v>97</v>
      </c>
      <c r="M184" s="148" t="s">
        <v>58</v>
      </c>
      <c r="N184" s="166"/>
      <c r="O184" s="157" t="s">
        <v>59</v>
      </c>
      <c r="P184" s="158">
        <v>90</v>
      </c>
      <c r="Q184" s="152" t="s">
        <v>60</v>
      </c>
      <c r="R184" s="152" t="s">
        <v>70</v>
      </c>
      <c r="S184" s="148" t="s">
        <v>712</v>
      </c>
      <c r="T184" s="148">
        <v>0</v>
      </c>
      <c r="U184" s="159">
        <v>493</v>
      </c>
      <c r="V184" s="160" t="str">
        <f>VLOOKUP(U184,docentes!$A:$E,2,0)</f>
        <v>RODRIGO DE ALENCAR HAUSEN</v>
      </c>
      <c r="W184" s="161" t="str">
        <f>VLOOKUP(U184,docentes!$A:$E,5,0)</f>
        <v>CMCC</v>
      </c>
      <c r="X184" s="162">
        <v>493</v>
      </c>
      <c r="Y184" s="163" t="str">
        <f>VLOOKUP(X184,docentes!$A:$E,2,0)</f>
        <v>RODRIGO DE ALENCAR HAUSEN</v>
      </c>
      <c r="Z184" s="164" t="str">
        <f>VLOOKUP(X184,docentes!$A:$E,5,0)</f>
        <v>CMCC</v>
      </c>
      <c r="AA184" s="44"/>
      <c r="AC184" s="44"/>
      <c r="AD184" s="44"/>
      <c r="AE184" s="44"/>
      <c r="AF184" s="44"/>
      <c r="AG184" s="44"/>
      <c r="AH184" s="44"/>
      <c r="AI184" s="44"/>
    </row>
    <row r="185" spans="1:35" s="44" customFormat="1" ht="66.75" customHeight="1">
      <c r="A185" s="148" t="s">
        <v>713</v>
      </c>
      <c r="B185" s="146" t="s">
        <v>714</v>
      </c>
      <c r="C185" s="149" t="s">
        <v>715</v>
      </c>
      <c r="D185" s="150">
        <v>12</v>
      </c>
      <c r="E185" s="150" t="s">
        <v>716</v>
      </c>
      <c r="F185" s="151" t="s">
        <v>717</v>
      </c>
      <c r="G185" s="152">
        <v>3</v>
      </c>
      <c r="H185" s="152">
        <v>0</v>
      </c>
      <c r="I185" s="153">
        <v>4</v>
      </c>
      <c r="J185" s="154">
        <v>3</v>
      </c>
      <c r="K185" s="155">
        <v>0</v>
      </c>
      <c r="L185" s="148" t="s">
        <v>718</v>
      </c>
      <c r="M185" s="148" t="s">
        <v>58</v>
      </c>
      <c r="N185" s="156" t="s">
        <v>719</v>
      </c>
      <c r="O185" s="157" t="s">
        <v>59</v>
      </c>
      <c r="P185" s="158">
        <v>90</v>
      </c>
      <c r="Q185" s="152" t="s">
        <v>76</v>
      </c>
      <c r="R185" s="152" t="s">
        <v>61</v>
      </c>
      <c r="S185" s="148" t="s">
        <v>720</v>
      </c>
      <c r="T185" s="148">
        <v>0</v>
      </c>
      <c r="U185" s="159">
        <v>68</v>
      </c>
      <c r="V185" s="160" t="str">
        <f>VLOOKUP(U185,docentes!$A:$E,2,0)</f>
        <v>ANTONIO MARCOS ROSEIRA</v>
      </c>
      <c r="W185" s="161" t="str">
        <f>VLOOKUP(U185,docentes!$A:$E,5,0)</f>
        <v>CECS</v>
      </c>
      <c r="X185" s="162"/>
      <c r="Y185" s="163"/>
      <c r="Z185" s="164"/>
    </row>
    <row r="186" spans="1:35" s="44" customFormat="1" ht="66.75" customHeight="1">
      <c r="A186" s="148" t="s">
        <v>713</v>
      </c>
      <c r="B186" s="146" t="s">
        <v>721</v>
      </c>
      <c r="C186" s="149" t="s">
        <v>715</v>
      </c>
      <c r="D186" s="150">
        <v>12</v>
      </c>
      <c r="E186" s="150" t="s">
        <v>716</v>
      </c>
      <c r="F186" s="151" t="s">
        <v>722</v>
      </c>
      <c r="G186" s="152">
        <v>3</v>
      </c>
      <c r="H186" s="152">
        <v>0</v>
      </c>
      <c r="I186" s="153">
        <v>4</v>
      </c>
      <c r="J186" s="154">
        <v>3</v>
      </c>
      <c r="K186" s="155">
        <v>0</v>
      </c>
      <c r="L186" s="148" t="s">
        <v>57</v>
      </c>
      <c r="M186" s="148" t="s">
        <v>58</v>
      </c>
      <c r="N186" s="156"/>
      <c r="O186" s="157" t="s">
        <v>59</v>
      </c>
      <c r="P186" s="158">
        <v>120</v>
      </c>
      <c r="Q186" s="152" t="s">
        <v>76</v>
      </c>
      <c r="R186" s="152" t="s">
        <v>70</v>
      </c>
      <c r="S186" s="148" t="s">
        <v>723</v>
      </c>
      <c r="T186" s="148">
        <v>0</v>
      </c>
      <c r="U186" s="159">
        <v>351</v>
      </c>
      <c r="V186" s="160" t="str">
        <f>VLOOKUP(U186,docentes!$A:$E,2,0)</f>
        <v>MANUEL RAMON SOUZA LUZ</v>
      </c>
      <c r="W186" s="161" t="str">
        <f>VLOOKUP(U186,docentes!$A:$E,5,0)</f>
        <v>CECS</v>
      </c>
      <c r="X186" s="162"/>
      <c r="Y186" s="163"/>
      <c r="Z186" s="164"/>
      <c r="AH186" s="45"/>
      <c r="AI186" s="45"/>
    </row>
    <row r="187" spans="1:35" s="44" customFormat="1" ht="66.75" customHeight="1">
      <c r="A187" s="148" t="s">
        <v>713</v>
      </c>
      <c r="B187" s="146" t="s">
        <v>724</v>
      </c>
      <c r="C187" s="149" t="s">
        <v>715</v>
      </c>
      <c r="D187" s="150">
        <v>12</v>
      </c>
      <c r="E187" s="150" t="s">
        <v>716</v>
      </c>
      <c r="F187" s="151" t="s">
        <v>725</v>
      </c>
      <c r="G187" s="152">
        <v>3</v>
      </c>
      <c r="H187" s="152">
        <v>0</v>
      </c>
      <c r="I187" s="153">
        <v>4</v>
      </c>
      <c r="J187" s="154">
        <v>3</v>
      </c>
      <c r="K187" s="155">
        <v>0</v>
      </c>
      <c r="L187" s="148" t="s">
        <v>57</v>
      </c>
      <c r="M187" s="148" t="s">
        <v>58</v>
      </c>
      <c r="N187" s="156"/>
      <c r="O187" s="157" t="s">
        <v>59</v>
      </c>
      <c r="P187" s="158">
        <v>90</v>
      </c>
      <c r="Q187" s="152" t="s">
        <v>76</v>
      </c>
      <c r="R187" s="152" t="s">
        <v>61</v>
      </c>
      <c r="S187" s="148" t="s">
        <v>726</v>
      </c>
      <c r="T187" s="148">
        <v>0</v>
      </c>
      <c r="U187" s="159">
        <v>387</v>
      </c>
      <c r="V187" s="160" t="str">
        <f>VLOOKUP(U187,docentes!$A:$E,2,0)</f>
        <v>MARIA CARAMEZ CARLOTTO</v>
      </c>
      <c r="W187" s="161" t="str">
        <f>VLOOKUP(U187,docentes!$A:$E,5,0)</f>
        <v>CECS</v>
      </c>
      <c r="X187" s="162"/>
      <c r="Y187" s="163"/>
      <c r="Z187" s="164"/>
    </row>
    <row r="188" spans="1:35" ht="66.75" customHeight="1">
      <c r="A188" s="172" t="s">
        <v>222</v>
      </c>
      <c r="B188" s="146" t="s">
        <v>727</v>
      </c>
      <c r="C188" s="149" t="s">
        <v>715</v>
      </c>
      <c r="D188" s="150">
        <v>12</v>
      </c>
      <c r="E188" s="150" t="s">
        <v>716</v>
      </c>
      <c r="F188" s="151" t="s">
        <v>728</v>
      </c>
      <c r="G188" s="149">
        <v>3</v>
      </c>
      <c r="H188" s="173">
        <v>0</v>
      </c>
      <c r="I188" s="174">
        <v>4</v>
      </c>
      <c r="J188" s="155">
        <v>3</v>
      </c>
      <c r="K188" s="155">
        <v>0</v>
      </c>
      <c r="L188" s="172" t="s">
        <v>57</v>
      </c>
      <c r="M188" s="172" t="s">
        <v>58</v>
      </c>
      <c r="N188" s="151"/>
      <c r="O188" s="157" t="s">
        <v>59</v>
      </c>
      <c r="P188" s="175">
        <v>60</v>
      </c>
      <c r="Q188" s="149" t="s">
        <v>76</v>
      </c>
      <c r="R188" s="152" t="s">
        <v>70</v>
      </c>
      <c r="S188" s="148" t="s">
        <v>729</v>
      </c>
      <c r="T188" s="148">
        <v>0</v>
      </c>
      <c r="U188" s="159">
        <v>134</v>
      </c>
      <c r="V188" s="160" t="str">
        <f>VLOOKUP(U188,docentes!$A:$E,2,0)</f>
        <v>DEMETRIO GASPARI CIRNE DE TOLEDO</v>
      </c>
      <c r="W188" s="161" t="str">
        <f>VLOOKUP(U188,docentes!$A:$E,5,0)</f>
        <v>CECS</v>
      </c>
      <c r="X188" s="162"/>
      <c r="Y188" s="163"/>
      <c r="Z188" s="164"/>
      <c r="AH188" s="44"/>
      <c r="AI188" s="44"/>
    </row>
    <row r="189" spans="1:35" s="44" customFormat="1" ht="66.75" hidden="1" customHeight="1">
      <c r="A189" s="172" t="s">
        <v>222</v>
      </c>
      <c r="B189" s="168" t="s">
        <v>730</v>
      </c>
      <c r="C189" s="149"/>
      <c r="D189" s="150">
        <v>0</v>
      </c>
      <c r="E189" s="150" t="s">
        <v>716</v>
      </c>
      <c r="F189" s="169" t="s">
        <v>731</v>
      </c>
      <c r="G189" s="149">
        <v>3</v>
      </c>
      <c r="H189" s="173">
        <v>0</v>
      </c>
      <c r="I189" s="174">
        <v>4</v>
      </c>
      <c r="J189" s="154">
        <v>0</v>
      </c>
      <c r="K189" s="155">
        <v>0</v>
      </c>
      <c r="L189" s="172" t="s">
        <v>732</v>
      </c>
      <c r="M189" s="172" t="s">
        <v>58</v>
      </c>
      <c r="N189" s="151" t="s">
        <v>733</v>
      </c>
      <c r="O189" s="172" t="s">
        <v>734</v>
      </c>
      <c r="P189" s="175">
        <v>0</v>
      </c>
      <c r="Q189" s="149" t="s">
        <v>76</v>
      </c>
      <c r="R189" s="152" t="s">
        <v>61</v>
      </c>
      <c r="S189" s="148" t="s">
        <v>735</v>
      </c>
      <c r="T189" s="148">
        <v>0</v>
      </c>
      <c r="U189" s="170">
        <v>134</v>
      </c>
      <c r="V189" s="163" t="str">
        <f>VLOOKUP(U189,docentes!$A:$E,2,0)</f>
        <v>DEMETRIO GASPARI CIRNE DE TOLEDO</v>
      </c>
      <c r="W189" s="171" t="str">
        <f>VLOOKUP(U189,docentes!$A:$E,5,0)</f>
        <v>CECS</v>
      </c>
      <c r="X189" s="162"/>
      <c r="Y189" s="163"/>
      <c r="Z189" s="164"/>
      <c r="AA189" s="45"/>
      <c r="AB189" s="45"/>
      <c r="AC189" s="45"/>
      <c r="AD189" s="45"/>
      <c r="AE189" s="45"/>
      <c r="AF189" s="45"/>
      <c r="AG189" s="45"/>
    </row>
    <row r="190" spans="1:35" s="44" customFormat="1" ht="66.75" customHeight="1">
      <c r="A190" s="172" t="s">
        <v>222</v>
      </c>
      <c r="B190" s="146" t="s">
        <v>736</v>
      </c>
      <c r="C190" s="149" t="s">
        <v>715</v>
      </c>
      <c r="D190" s="150">
        <v>12</v>
      </c>
      <c r="E190" s="150" t="s">
        <v>716</v>
      </c>
      <c r="F190" s="151" t="s">
        <v>737</v>
      </c>
      <c r="G190" s="149">
        <v>3</v>
      </c>
      <c r="H190" s="173">
        <v>0</v>
      </c>
      <c r="I190" s="174">
        <v>4</v>
      </c>
      <c r="J190" s="155">
        <v>3</v>
      </c>
      <c r="K190" s="155">
        <v>0</v>
      </c>
      <c r="L190" s="172" t="s">
        <v>57</v>
      </c>
      <c r="M190" s="172" t="s">
        <v>58</v>
      </c>
      <c r="N190" s="151"/>
      <c r="O190" s="157" t="s">
        <v>59</v>
      </c>
      <c r="P190" s="175">
        <v>112</v>
      </c>
      <c r="Q190" s="152" t="s">
        <v>60</v>
      </c>
      <c r="R190" s="152" t="s">
        <v>61</v>
      </c>
      <c r="S190" s="148" t="s">
        <v>738</v>
      </c>
      <c r="T190" s="148">
        <v>0</v>
      </c>
      <c r="U190" s="159">
        <v>134</v>
      </c>
      <c r="V190" s="160" t="str">
        <f>VLOOKUP(U190,docentes!$A:$E,2,0)</f>
        <v>DEMETRIO GASPARI CIRNE DE TOLEDO</v>
      </c>
      <c r="W190" s="161" t="str">
        <f>VLOOKUP(U190,docentes!$A:$E,5,0)</f>
        <v>CECS</v>
      </c>
      <c r="X190" s="162"/>
      <c r="Y190" s="163"/>
      <c r="Z190" s="164"/>
      <c r="AA190" s="45"/>
      <c r="AB190" s="45"/>
      <c r="AC190" s="45"/>
      <c r="AD190" s="45"/>
      <c r="AE190" s="45"/>
      <c r="AF190" s="45"/>
      <c r="AG190" s="45"/>
    </row>
    <row r="191" spans="1:35" s="44" customFormat="1" ht="66.75" customHeight="1">
      <c r="A191" s="172" t="s">
        <v>222</v>
      </c>
      <c r="B191" s="146" t="s">
        <v>739</v>
      </c>
      <c r="C191" s="149" t="s">
        <v>715</v>
      </c>
      <c r="D191" s="150">
        <v>12</v>
      </c>
      <c r="E191" s="150" t="s">
        <v>716</v>
      </c>
      <c r="F191" s="151" t="s">
        <v>740</v>
      </c>
      <c r="G191" s="149">
        <v>3</v>
      </c>
      <c r="H191" s="173">
        <v>0</v>
      </c>
      <c r="I191" s="174">
        <v>4</v>
      </c>
      <c r="J191" s="155">
        <v>3</v>
      </c>
      <c r="K191" s="155">
        <v>0</v>
      </c>
      <c r="L191" s="172" t="s">
        <v>57</v>
      </c>
      <c r="M191" s="172" t="s">
        <v>58</v>
      </c>
      <c r="N191" s="151"/>
      <c r="O191" s="157" t="s">
        <v>59</v>
      </c>
      <c r="P191" s="175">
        <v>112</v>
      </c>
      <c r="Q191" s="152" t="s">
        <v>60</v>
      </c>
      <c r="R191" s="152" t="s">
        <v>70</v>
      </c>
      <c r="S191" s="148" t="s">
        <v>741</v>
      </c>
      <c r="T191" s="148">
        <v>0</v>
      </c>
      <c r="U191" s="159">
        <v>328</v>
      </c>
      <c r="V191" s="160" t="str">
        <f>VLOOKUP(U191,docentes!$A:$E,2,0)</f>
        <v>LUCIANA PEREIRA</v>
      </c>
      <c r="W191" s="161" t="str">
        <f>VLOOKUP(U191,docentes!$A:$E,5,0)</f>
        <v>CECS</v>
      </c>
      <c r="X191" s="162"/>
      <c r="Y191" s="163"/>
      <c r="Z191" s="164"/>
      <c r="AA191" s="45"/>
      <c r="AB191" s="45"/>
      <c r="AC191" s="45"/>
      <c r="AD191" s="45"/>
      <c r="AE191" s="45"/>
      <c r="AF191" s="45"/>
      <c r="AG191" s="45"/>
    </row>
    <row r="192" spans="1:35" s="44" customFormat="1" ht="66.75" hidden="1" customHeight="1">
      <c r="A192" s="172" t="s">
        <v>222</v>
      </c>
      <c r="B192" s="168" t="s">
        <v>742</v>
      </c>
      <c r="C192" s="149"/>
      <c r="D192" s="150">
        <v>0</v>
      </c>
      <c r="E192" s="150" t="s">
        <v>716</v>
      </c>
      <c r="F192" s="169" t="s">
        <v>743</v>
      </c>
      <c r="G192" s="149">
        <v>3</v>
      </c>
      <c r="H192" s="173">
        <v>0</v>
      </c>
      <c r="I192" s="174">
        <v>4</v>
      </c>
      <c r="J192" s="154">
        <v>0</v>
      </c>
      <c r="K192" s="155">
        <v>0</v>
      </c>
      <c r="L192" s="172" t="s">
        <v>644</v>
      </c>
      <c r="M192" s="172" t="s">
        <v>58</v>
      </c>
      <c r="N192" s="151"/>
      <c r="O192" s="172" t="s">
        <v>102</v>
      </c>
      <c r="P192" s="175">
        <v>0</v>
      </c>
      <c r="Q192" s="152" t="s">
        <v>76</v>
      </c>
      <c r="R192" s="152" t="s">
        <v>61</v>
      </c>
      <c r="S192" s="148" t="s">
        <v>744</v>
      </c>
      <c r="T192" s="148">
        <v>0</v>
      </c>
      <c r="U192" s="170">
        <v>41</v>
      </c>
      <c r="V192" s="163" t="str">
        <f>VLOOKUP(U192,docentes!$A:$E,2,0)</f>
        <v>ANAPATRICIA DE OLIVEIRA MORALES VILHA</v>
      </c>
      <c r="W192" s="171" t="str">
        <f>VLOOKUP(U192,docentes!$A:$E,5,0)</f>
        <v>CECS</v>
      </c>
      <c r="X192" s="162"/>
      <c r="Y192" s="163"/>
      <c r="Z192" s="164"/>
      <c r="AA192" s="45"/>
      <c r="AB192" s="45"/>
      <c r="AC192" s="45"/>
      <c r="AD192" s="45"/>
      <c r="AE192" s="45"/>
      <c r="AF192" s="45"/>
      <c r="AG192" s="45"/>
    </row>
    <row r="193" spans="1:35" s="44" customFormat="1" ht="66.75" customHeight="1">
      <c r="A193" s="172" t="s">
        <v>222</v>
      </c>
      <c r="B193" s="146" t="s">
        <v>745</v>
      </c>
      <c r="C193" s="149" t="s">
        <v>715</v>
      </c>
      <c r="D193" s="150">
        <v>12</v>
      </c>
      <c r="E193" s="150" t="s">
        <v>716</v>
      </c>
      <c r="F193" s="151" t="s">
        <v>746</v>
      </c>
      <c r="G193" s="149">
        <v>3</v>
      </c>
      <c r="H193" s="173">
        <v>0</v>
      </c>
      <c r="I193" s="174">
        <v>4</v>
      </c>
      <c r="J193" s="155">
        <v>3</v>
      </c>
      <c r="K193" s="155">
        <v>0</v>
      </c>
      <c r="L193" s="172" t="s">
        <v>57</v>
      </c>
      <c r="M193" s="172" t="s">
        <v>58</v>
      </c>
      <c r="N193" s="151"/>
      <c r="O193" s="157" t="s">
        <v>59</v>
      </c>
      <c r="P193" s="175">
        <v>92</v>
      </c>
      <c r="Q193" s="152" t="s">
        <v>60</v>
      </c>
      <c r="R193" s="152" t="s">
        <v>70</v>
      </c>
      <c r="S193" s="148" t="s">
        <v>747</v>
      </c>
      <c r="T193" s="148">
        <v>0</v>
      </c>
      <c r="U193" s="159">
        <v>328</v>
      </c>
      <c r="V193" s="160" t="str">
        <f>VLOOKUP(U193,docentes!$A:$E,2,0)</f>
        <v>LUCIANA PEREIRA</v>
      </c>
      <c r="W193" s="161" t="str">
        <f>VLOOKUP(U193,docentes!$A:$E,5,0)</f>
        <v>CECS</v>
      </c>
      <c r="X193" s="162"/>
      <c r="Y193" s="163"/>
      <c r="Z193" s="164"/>
      <c r="AA193" s="45"/>
      <c r="AB193" s="45"/>
      <c r="AC193" s="45"/>
      <c r="AD193" s="45"/>
      <c r="AE193" s="45"/>
      <c r="AF193" s="45"/>
      <c r="AG193" s="45"/>
    </row>
    <row r="194" spans="1:35" s="44" customFormat="1" ht="66.75" customHeight="1">
      <c r="A194" s="148" t="s">
        <v>713</v>
      </c>
      <c r="B194" s="146" t="s">
        <v>748</v>
      </c>
      <c r="C194" s="149" t="s">
        <v>715</v>
      </c>
      <c r="D194" s="150">
        <v>12</v>
      </c>
      <c r="E194" s="150" t="s">
        <v>716</v>
      </c>
      <c r="F194" s="151" t="s">
        <v>749</v>
      </c>
      <c r="G194" s="152">
        <v>3</v>
      </c>
      <c r="H194" s="152">
        <v>0</v>
      </c>
      <c r="I194" s="153">
        <v>4</v>
      </c>
      <c r="J194" s="154">
        <v>3</v>
      </c>
      <c r="K194" s="155">
        <v>0</v>
      </c>
      <c r="L194" s="148" t="s">
        <v>750</v>
      </c>
      <c r="M194" s="148" t="s">
        <v>58</v>
      </c>
      <c r="N194" s="156">
        <v>96</v>
      </c>
      <c r="O194" s="165" t="s">
        <v>751</v>
      </c>
      <c r="P194" s="158"/>
      <c r="Q194" s="152" t="s">
        <v>76</v>
      </c>
      <c r="R194" s="152" t="s">
        <v>70</v>
      </c>
      <c r="S194" s="148" t="s">
        <v>752</v>
      </c>
      <c r="T194" s="148">
        <v>0</v>
      </c>
      <c r="U194" s="159">
        <v>351</v>
      </c>
      <c r="V194" s="160" t="str">
        <f>VLOOKUP(U194,docentes!$A:$E,2,0)</f>
        <v>MANUEL RAMON SOUZA LUZ</v>
      </c>
      <c r="W194" s="161" t="str">
        <f>VLOOKUP(U194,docentes!$A:$E,5,0)</f>
        <v>CECS</v>
      </c>
      <c r="X194" s="162"/>
      <c r="Y194" s="163"/>
      <c r="Z194" s="164"/>
    </row>
    <row r="195" spans="1:35" s="44" customFormat="1" ht="66.75" customHeight="1">
      <c r="A195" s="148" t="s">
        <v>713</v>
      </c>
      <c r="B195" s="146" t="s">
        <v>753</v>
      </c>
      <c r="C195" s="149" t="s">
        <v>715</v>
      </c>
      <c r="D195" s="150">
        <v>12</v>
      </c>
      <c r="E195" s="150" t="s">
        <v>716</v>
      </c>
      <c r="F195" s="151" t="s">
        <v>754</v>
      </c>
      <c r="G195" s="152">
        <v>3</v>
      </c>
      <c r="H195" s="152">
        <v>0</v>
      </c>
      <c r="I195" s="153">
        <v>4</v>
      </c>
      <c r="J195" s="154">
        <v>3</v>
      </c>
      <c r="K195" s="155">
        <v>0</v>
      </c>
      <c r="L195" s="148" t="s">
        <v>57</v>
      </c>
      <c r="M195" s="148" t="s">
        <v>58</v>
      </c>
      <c r="N195" s="156"/>
      <c r="O195" s="157" t="s">
        <v>59</v>
      </c>
      <c r="P195" s="158">
        <v>90</v>
      </c>
      <c r="Q195" s="152" t="s">
        <v>76</v>
      </c>
      <c r="R195" s="152" t="s">
        <v>61</v>
      </c>
      <c r="S195" s="148" t="s">
        <v>755</v>
      </c>
      <c r="T195" s="148">
        <v>0</v>
      </c>
      <c r="U195" s="159">
        <v>400</v>
      </c>
      <c r="V195" s="160" t="str">
        <f>VLOOKUP(U195,docentes!$A:$E,2,0)</f>
        <v>MARIANA MENCIO</v>
      </c>
      <c r="W195" s="161" t="str">
        <f>VLOOKUP(U195,docentes!$A:$E,5,0)</f>
        <v>CECS</v>
      </c>
      <c r="X195" s="162"/>
      <c r="Y195" s="163"/>
      <c r="Z195" s="164"/>
    </row>
    <row r="196" spans="1:35" s="44" customFormat="1" ht="66.75" customHeight="1">
      <c r="A196" s="172" t="s">
        <v>222</v>
      </c>
      <c r="B196" s="146" t="s">
        <v>756</v>
      </c>
      <c r="C196" s="149" t="s">
        <v>715</v>
      </c>
      <c r="D196" s="150">
        <v>12</v>
      </c>
      <c r="E196" s="150" t="s">
        <v>716</v>
      </c>
      <c r="F196" s="151" t="s">
        <v>757</v>
      </c>
      <c r="G196" s="149">
        <v>3</v>
      </c>
      <c r="H196" s="173">
        <v>0</v>
      </c>
      <c r="I196" s="174">
        <v>4</v>
      </c>
      <c r="J196" s="155">
        <v>3</v>
      </c>
      <c r="K196" s="155">
        <v>0</v>
      </c>
      <c r="L196" s="172" t="s">
        <v>57</v>
      </c>
      <c r="M196" s="172" t="s">
        <v>58</v>
      </c>
      <c r="N196" s="179"/>
      <c r="O196" s="157" t="s">
        <v>59</v>
      </c>
      <c r="P196" s="175">
        <v>98</v>
      </c>
      <c r="Q196" s="152" t="s">
        <v>60</v>
      </c>
      <c r="R196" s="152" t="s">
        <v>70</v>
      </c>
      <c r="S196" s="148" t="s">
        <v>758</v>
      </c>
      <c r="T196" s="148">
        <v>0</v>
      </c>
      <c r="U196" s="159">
        <v>1002</v>
      </c>
      <c r="V196" s="160" t="str">
        <f>VLOOKUP(U196,docentes!$A:$E,2,0)</f>
        <v>OLYMPIO BARBANTI JUNIOR</v>
      </c>
      <c r="W196" s="161" t="str">
        <f>VLOOKUP(U196,docentes!$A:$E,5,0)</f>
        <v>não identificado</v>
      </c>
      <c r="X196" s="162"/>
      <c r="Y196" s="163"/>
      <c r="Z196" s="164"/>
      <c r="AB196" s="45"/>
      <c r="AC196" s="45"/>
      <c r="AD196" s="45"/>
      <c r="AE196" s="45"/>
      <c r="AF196" s="45"/>
      <c r="AG196" s="45"/>
    </row>
    <row r="197" spans="1:35" ht="66.75" customHeight="1">
      <c r="A197" s="172" t="s">
        <v>222</v>
      </c>
      <c r="B197" s="146" t="s">
        <v>759</v>
      </c>
      <c r="C197" s="149" t="s">
        <v>715</v>
      </c>
      <c r="D197" s="150">
        <v>12</v>
      </c>
      <c r="E197" s="150" t="s">
        <v>716</v>
      </c>
      <c r="F197" s="151" t="s">
        <v>760</v>
      </c>
      <c r="G197" s="149">
        <v>3</v>
      </c>
      <c r="H197" s="173">
        <v>0</v>
      </c>
      <c r="I197" s="174">
        <v>4</v>
      </c>
      <c r="J197" s="155">
        <v>3</v>
      </c>
      <c r="K197" s="155">
        <v>0</v>
      </c>
      <c r="L197" s="172" t="s">
        <v>57</v>
      </c>
      <c r="M197" s="172" t="s">
        <v>58</v>
      </c>
      <c r="N197" s="179"/>
      <c r="O197" s="157" t="s">
        <v>59</v>
      </c>
      <c r="P197" s="175">
        <v>60</v>
      </c>
      <c r="Q197" s="152" t="s">
        <v>76</v>
      </c>
      <c r="R197" s="152" t="s">
        <v>70</v>
      </c>
      <c r="S197" s="148" t="s">
        <v>761</v>
      </c>
      <c r="T197" s="148">
        <v>0</v>
      </c>
      <c r="U197" s="159">
        <v>60</v>
      </c>
      <c r="V197" s="160" t="str">
        <f>VLOOKUP(U197,docentes!$A:$E,2,0)</f>
        <v>ANGELO MARCOS QUEIROZ PRATES</v>
      </c>
      <c r="W197" s="161" t="str">
        <f>VLOOKUP(U197,docentes!$A:$E,5,0)</f>
        <v>CECS</v>
      </c>
      <c r="X197" s="162"/>
      <c r="Y197" s="163"/>
      <c r="Z197" s="164"/>
    </row>
    <row r="198" spans="1:35" s="44" customFormat="1" ht="66.75" customHeight="1">
      <c r="A198" s="172" t="s">
        <v>222</v>
      </c>
      <c r="B198" s="146" t="s">
        <v>762</v>
      </c>
      <c r="C198" s="149" t="s">
        <v>715</v>
      </c>
      <c r="D198" s="150">
        <v>12</v>
      </c>
      <c r="E198" s="150" t="s">
        <v>716</v>
      </c>
      <c r="F198" s="151" t="s">
        <v>763</v>
      </c>
      <c r="G198" s="149">
        <v>3</v>
      </c>
      <c r="H198" s="173">
        <v>0</v>
      </c>
      <c r="I198" s="174">
        <v>4</v>
      </c>
      <c r="J198" s="155">
        <v>3</v>
      </c>
      <c r="K198" s="155">
        <v>0</v>
      </c>
      <c r="L198" s="172" t="s">
        <v>57</v>
      </c>
      <c r="M198" s="172" t="s">
        <v>58</v>
      </c>
      <c r="N198" s="151"/>
      <c r="O198" s="157" t="s">
        <v>59</v>
      </c>
      <c r="P198" s="175">
        <v>92</v>
      </c>
      <c r="Q198" s="152" t="s">
        <v>60</v>
      </c>
      <c r="R198" s="152" t="s">
        <v>61</v>
      </c>
      <c r="S198" s="148" t="s">
        <v>764</v>
      </c>
      <c r="T198" s="148">
        <v>0</v>
      </c>
      <c r="U198" s="159">
        <v>93</v>
      </c>
      <c r="V198" s="160" t="str">
        <f>VLOOKUP(U198,docentes!$A:$E,2,0)</f>
        <v>CAROLINA MOUTINHO DUQUE DE PINHO</v>
      </c>
      <c r="W198" s="161" t="str">
        <f>VLOOKUP(U198,docentes!$A:$E,5,0)</f>
        <v>CECS</v>
      </c>
      <c r="X198" s="162"/>
      <c r="Y198" s="163"/>
      <c r="Z198" s="164"/>
      <c r="AA198" s="45"/>
      <c r="AB198" s="45"/>
      <c r="AC198" s="45"/>
      <c r="AD198" s="45"/>
      <c r="AE198" s="45"/>
      <c r="AF198" s="45"/>
      <c r="AG198" s="45"/>
    </row>
    <row r="199" spans="1:35" s="44" customFormat="1" ht="66.75" customHeight="1">
      <c r="A199" s="148" t="s">
        <v>675</v>
      </c>
      <c r="B199" s="146" t="s">
        <v>765</v>
      </c>
      <c r="C199" s="149" t="s">
        <v>766</v>
      </c>
      <c r="D199" s="150">
        <v>2</v>
      </c>
      <c r="E199" s="150" t="s">
        <v>767</v>
      </c>
      <c r="F199" s="151" t="s">
        <v>768</v>
      </c>
      <c r="G199" s="152">
        <v>3</v>
      </c>
      <c r="H199" s="152">
        <v>1</v>
      </c>
      <c r="I199" s="153">
        <v>4</v>
      </c>
      <c r="J199" s="154">
        <v>3</v>
      </c>
      <c r="K199" s="155">
        <v>1</v>
      </c>
      <c r="L199" s="148" t="s">
        <v>97</v>
      </c>
      <c r="M199" s="148" t="s">
        <v>58</v>
      </c>
      <c r="N199" s="156"/>
      <c r="O199" s="157" t="s">
        <v>59</v>
      </c>
      <c r="P199" s="158">
        <v>30</v>
      </c>
      <c r="Q199" s="152" t="s">
        <v>60</v>
      </c>
      <c r="R199" s="152" t="s">
        <v>61</v>
      </c>
      <c r="S199" s="148" t="s">
        <v>769</v>
      </c>
      <c r="T199" s="148" t="s">
        <v>770</v>
      </c>
      <c r="U199" s="159">
        <v>529</v>
      </c>
      <c r="V199" s="160" t="str">
        <f>VLOOKUP(U199,docentes!$A:$E,2,0)</f>
        <v>SONIA MARIA MALMONGE</v>
      </c>
      <c r="W199" s="161" t="str">
        <f>VLOOKUP(U199,docentes!$A:$E,5,0)</f>
        <v>CECS</v>
      </c>
      <c r="X199" s="176">
        <v>529</v>
      </c>
      <c r="Y199" s="160" t="str">
        <f>VLOOKUP(X199,docentes!$A:$E,2,0)</f>
        <v>SONIA MARIA MALMONGE</v>
      </c>
      <c r="Z199" s="177" t="str">
        <f>VLOOKUP(X199,docentes!$A:$E,5,0)</f>
        <v>CECS</v>
      </c>
    </row>
    <row r="200" spans="1:35" s="44" customFormat="1" ht="66.75" customHeight="1">
      <c r="A200" s="148" t="s">
        <v>675</v>
      </c>
      <c r="B200" s="146" t="s">
        <v>771</v>
      </c>
      <c r="C200" s="149" t="s">
        <v>766</v>
      </c>
      <c r="D200" s="150">
        <v>2</v>
      </c>
      <c r="E200" s="150" t="s">
        <v>767</v>
      </c>
      <c r="F200" s="151" t="s">
        <v>772</v>
      </c>
      <c r="G200" s="152">
        <v>3</v>
      </c>
      <c r="H200" s="152">
        <v>1</v>
      </c>
      <c r="I200" s="153">
        <v>4</v>
      </c>
      <c r="J200" s="154">
        <v>3</v>
      </c>
      <c r="K200" s="155">
        <v>1</v>
      </c>
      <c r="L200" s="148" t="s">
        <v>97</v>
      </c>
      <c r="M200" s="148" t="s">
        <v>58</v>
      </c>
      <c r="N200" s="156"/>
      <c r="O200" s="157" t="s">
        <v>59</v>
      </c>
      <c r="P200" s="158">
        <v>30</v>
      </c>
      <c r="Q200" s="152" t="s">
        <v>60</v>
      </c>
      <c r="R200" s="152" t="s">
        <v>70</v>
      </c>
      <c r="S200" s="148" t="s">
        <v>773</v>
      </c>
      <c r="T200" s="148" t="s">
        <v>774</v>
      </c>
      <c r="U200" s="159">
        <v>101</v>
      </c>
      <c r="V200" s="160" t="str">
        <f>VLOOKUP(U200,docentes!$A:$E,2,0)</f>
        <v>CHRISTIANE RIBEIRO</v>
      </c>
      <c r="W200" s="161" t="str">
        <f>VLOOKUP(U200,docentes!$A:$E,5,0)</f>
        <v>CECS</v>
      </c>
      <c r="X200" s="176">
        <v>101</v>
      </c>
      <c r="Y200" s="160" t="str">
        <f>VLOOKUP(X200,docentes!$A:$E,2,0)</f>
        <v>CHRISTIANE RIBEIRO</v>
      </c>
      <c r="Z200" s="177" t="str">
        <f>VLOOKUP(X200,docentes!$A:$E,5,0)</f>
        <v>CECS</v>
      </c>
    </row>
    <row r="201" spans="1:35" s="44" customFormat="1" ht="66.75" customHeight="1">
      <c r="A201" s="148" t="s">
        <v>692</v>
      </c>
      <c r="B201" s="146" t="s">
        <v>775</v>
      </c>
      <c r="C201" s="149" t="s">
        <v>776</v>
      </c>
      <c r="D201" s="150">
        <v>8</v>
      </c>
      <c r="E201" s="150" t="s">
        <v>777</v>
      </c>
      <c r="F201" s="151" t="s">
        <v>778</v>
      </c>
      <c r="G201" s="152">
        <v>3</v>
      </c>
      <c r="H201" s="152">
        <v>1</v>
      </c>
      <c r="I201" s="153">
        <v>5</v>
      </c>
      <c r="J201" s="154">
        <v>3</v>
      </c>
      <c r="K201" s="155">
        <v>1</v>
      </c>
      <c r="L201" s="148" t="s">
        <v>97</v>
      </c>
      <c r="M201" s="148" t="s">
        <v>58</v>
      </c>
      <c r="N201" s="166"/>
      <c r="O201" s="157" t="s">
        <v>59</v>
      </c>
      <c r="P201" s="158">
        <v>30</v>
      </c>
      <c r="Q201" s="152" t="s">
        <v>60</v>
      </c>
      <c r="R201" s="152" t="s">
        <v>61</v>
      </c>
      <c r="S201" s="148" t="s">
        <v>779</v>
      </c>
      <c r="T201" s="148" t="s">
        <v>780</v>
      </c>
      <c r="U201" s="159">
        <v>309</v>
      </c>
      <c r="V201" s="160" t="str">
        <f>VLOOKUP(U201,docentes!$A:$E,2,0)</f>
        <v>KATIA FRANKLIN ALBERTIN TORRES</v>
      </c>
      <c r="W201" s="161" t="str">
        <f>VLOOKUP(U201,docentes!$A:$E,5,0)</f>
        <v>CECS</v>
      </c>
      <c r="X201" s="176">
        <v>309</v>
      </c>
      <c r="Y201" s="160" t="str">
        <f>VLOOKUP(X201,docentes!$A:$E,2,0)</f>
        <v>KATIA FRANKLIN ALBERTIN TORRES</v>
      </c>
      <c r="Z201" s="177" t="str">
        <f>VLOOKUP(X201,docentes!$A:$E,5,0)</f>
        <v>CECS</v>
      </c>
    </row>
    <row r="202" spans="1:35" s="44" customFormat="1" ht="66.75" customHeight="1">
      <c r="A202" s="148" t="s">
        <v>692</v>
      </c>
      <c r="B202" s="146" t="s">
        <v>781</v>
      </c>
      <c r="C202" s="149" t="s">
        <v>776</v>
      </c>
      <c r="D202" s="150">
        <v>8</v>
      </c>
      <c r="E202" s="150" t="s">
        <v>777</v>
      </c>
      <c r="F202" s="151" t="s">
        <v>782</v>
      </c>
      <c r="G202" s="152">
        <v>3</v>
      </c>
      <c r="H202" s="152">
        <v>1</v>
      </c>
      <c r="I202" s="153">
        <v>5</v>
      </c>
      <c r="J202" s="154">
        <v>3</v>
      </c>
      <c r="K202" s="155">
        <v>1</v>
      </c>
      <c r="L202" s="148" t="s">
        <v>97</v>
      </c>
      <c r="M202" s="148" t="s">
        <v>58</v>
      </c>
      <c r="N202" s="166"/>
      <c r="O202" s="157" t="s">
        <v>59</v>
      </c>
      <c r="P202" s="158">
        <v>30</v>
      </c>
      <c r="Q202" s="152" t="s">
        <v>60</v>
      </c>
      <c r="R202" s="152" t="s">
        <v>70</v>
      </c>
      <c r="S202" s="148" t="s">
        <v>783</v>
      </c>
      <c r="T202" s="148" t="s">
        <v>784</v>
      </c>
      <c r="U202" s="159">
        <v>279</v>
      </c>
      <c r="V202" s="160" t="str">
        <f>VLOOKUP(U202,docentes!$A:$E,2,0)</f>
        <v>JORGE DIEGO MARCONI</v>
      </c>
      <c r="W202" s="161" t="str">
        <f>VLOOKUP(U202,docentes!$A:$E,5,0)</f>
        <v>CECS</v>
      </c>
      <c r="X202" s="176">
        <v>279</v>
      </c>
      <c r="Y202" s="160" t="str">
        <f>VLOOKUP(X202,docentes!$A:$E,2,0)</f>
        <v>JORGE DIEGO MARCONI</v>
      </c>
      <c r="Z202" s="177" t="str">
        <f>VLOOKUP(X202,docentes!$A:$E,5,0)</f>
        <v>CECS</v>
      </c>
    </row>
    <row r="203" spans="1:35" ht="66.75" customHeight="1">
      <c r="A203" s="148" t="s">
        <v>692</v>
      </c>
      <c r="B203" s="146" t="s">
        <v>785</v>
      </c>
      <c r="C203" s="149" t="s">
        <v>776</v>
      </c>
      <c r="D203" s="150">
        <v>8</v>
      </c>
      <c r="E203" s="150" t="s">
        <v>777</v>
      </c>
      <c r="F203" s="151" t="s">
        <v>786</v>
      </c>
      <c r="G203" s="152">
        <v>3</v>
      </c>
      <c r="H203" s="152">
        <v>1</v>
      </c>
      <c r="I203" s="153">
        <v>5</v>
      </c>
      <c r="J203" s="154">
        <v>0</v>
      </c>
      <c r="K203" s="155">
        <v>1</v>
      </c>
      <c r="L203" s="148" t="s">
        <v>97</v>
      </c>
      <c r="M203" s="148" t="s">
        <v>58</v>
      </c>
      <c r="N203" s="156"/>
      <c r="O203" s="157" t="s">
        <v>59</v>
      </c>
      <c r="P203" s="158">
        <v>30</v>
      </c>
      <c r="Q203" s="152" t="s">
        <v>60</v>
      </c>
      <c r="R203" s="152" t="s">
        <v>61</v>
      </c>
      <c r="S203" s="148" t="s">
        <v>779</v>
      </c>
      <c r="T203" s="148" t="s">
        <v>787</v>
      </c>
      <c r="U203" s="170">
        <v>309</v>
      </c>
      <c r="V203" s="163" t="str">
        <f>VLOOKUP(U203,docentes!$A:$E,2,0)</f>
        <v>KATIA FRANKLIN ALBERTIN TORRES</v>
      </c>
      <c r="W203" s="171" t="str">
        <f>VLOOKUP(U203,docentes!$A:$E,5,0)</f>
        <v>CECS</v>
      </c>
      <c r="X203" s="176">
        <v>213</v>
      </c>
      <c r="Y203" s="160" t="str">
        <f>VLOOKUP(X203,docentes!$A:$E,2,0)</f>
        <v>GERMAN CARLOS SANTOS QUISPE</v>
      </c>
      <c r="Z203" s="177" t="str">
        <f>VLOOKUP(X203,docentes!$A:$E,5,0)</f>
        <v>CECS</v>
      </c>
      <c r="AA203" s="44"/>
      <c r="AB203" s="44"/>
      <c r="AC203" s="44"/>
      <c r="AD203" s="44"/>
      <c r="AE203" s="44"/>
      <c r="AF203" s="44"/>
      <c r="AG203" s="44"/>
      <c r="AH203" s="44"/>
      <c r="AI203" s="44"/>
    </row>
    <row r="204" spans="1:35" s="44" customFormat="1" ht="66.75" customHeight="1">
      <c r="A204" s="148" t="s">
        <v>692</v>
      </c>
      <c r="B204" s="146" t="s">
        <v>788</v>
      </c>
      <c r="C204" s="149" t="s">
        <v>776</v>
      </c>
      <c r="D204" s="150">
        <v>8</v>
      </c>
      <c r="E204" s="150" t="s">
        <v>777</v>
      </c>
      <c r="F204" s="151" t="s">
        <v>789</v>
      </c>
      <c r="G204" s="152">
        <v>3</v>
      </c>
      <c r="H204" s="152">
        <v>1</v>
      </c>
      <c r="I204" s="153">
        <v>5</v>
      </c>
      <c r="J204" s="154">
        <v>0</v>
      </c>
      <c r="K204" s="155">
        <v>1</v>
      </c>
      <c r="L204" s="148" t="s">
        <v>97</v>
      </c>
      <c r="M204" s="148" t="s">
        <v>58</v>
      </c>
      <c r="N204" s="156"/>
      <c r="O204" s="157" t="s">
        <v>59</v>
      </c>
      <c r="P204" s="158">
        <v>30</v>
      </c>
      <c r="Q204" s="152" t="s">
        <v>60</v>
      </c>
      <c r="R204" s="152" t="s">
        <v>70</v>
      </c>
      <c r="S204" s="148" t="s">
        <v>783</v>
      </c>
      <c r="T204" s="148" t="s">
        <v>790</v>
      </c>
      <c r="U204" s="170">
        <v>279</v>
      </c>
      <c r="V204" s="163" t="str">
        <f>VLOOKUP(U204,docentes!$A:$E,2,0)</f>
        <v>JORGE DIEGO MARCONI</v>
      </c>
      <c r="W204" s="171" t="str">
        <f>VLOOKUP(U204,docentes!$A:$E,5,0)</f>
        <v>CECS</v>
      </c>
      <c r="X204" s="176">
        <v>360</v>
      </c>
      <c r="Y204" s="160" t="str">
        <f>VLOOKUP(X204,docentes!$A:$E,2,0)</f>
        <v>MARCELO BENDER PEROTONI</v>
      </c>
      <c r="Z204" s="177" t="str">
        <f>VLOOKUP(X204,docentes!$A:$E,5,0)</f>
        <v>CECS</v>
      </c>
    </row>
    <row r="205" spans="1:35" s="44" customFormat="1" ht="66.75" customHeight="1">
      <c r="A205" s="148" t="s">
        <v>692</v>
      </c>
      <c r="B205" s="146" t="s">
        <v>791</v>
      </c>
      <c r="C205" s="149" t="s">
        <v>776</v>
      </c>
      <c r="D205" s="150">
        <v>8</v>
      </c>
      <c r="E205" s="150" t="s">
        <v>777</v>
      </c>
      <c r="F205" s="151" t="s">
        <v>792</v>
      </c>
      <c r="G205" s="152">
        <v>3</v>
      </c>
      <c r="H205" s="152">
        <v>1</v>
      </c>
      <c r="I205" s="153">
        <v>5</v>
      </c>
      <c r="J205" s="154">
        <v>3</v>
      </c>
      <c r="K205" s="155">
        <v>1</v>
      </c>
      <c r="L205" s="148" t="s">
        <v>97</v>
      </c>
      <c r="M205" s="148" t="s">
        <v>58</v>
      </c>
      <c r="N205" s="156"/>
      <c r="O205" s="157" t="s">
        <v>59</v>
      </c>
      <c r="P205" s="158">
        <v>30</v>
      </c>
      <c r="Q205" s="152" t="s">
        <v>60</v>
      </c>
      <c r="R205" s="152" t="s">
        <v>61</v>
      </c>
      <c r="S205" s="148" t="s">
        <v>793</v>
      </c>
      <c r="T205" s="148" t="s">
        <v>794</v>
      </c>
      <c r="U205" s="159">
        <v>291</v>
      </c>
      <c r="V205" s="160" t="str">
        <f>VLOOKUP(U205,docentes!$A:$E,2,0)</f>
        <v>JOSE LUIS AZCUE PUMA</v>
      </c>
      <c r="W205" s="161" t="str">
        <f>VLOOKUP(U205,docentes!$A:$E,5,0)</f>
        <v>CECS</v>
      </c>
      <c r="X205" s="176">
        <v>291</v>
      </c>
      <c r="Y205" s="160" t="str">
        <f>VLOOKUP(X205,docentes!$A:$E,2,0)</f>
        <v>JOSE LUIS AZCUE PUMA</v>
      </c>
      <c r="Z205" s="177" t="str">
        <f>VLOOKUP(X205,docentes!$A:$E,5,0)</f>
        <v>CECS</v>
      </c>
    </row>
    <row r="206" spans="1:35" s="44" customFormat="1" ht="66.75" customHeight="1">
      <c r="A206" s="148" t="s">
        <v>692</v>
      </c>
      <c r="B206" s="146" t="s">
        <v>795</v>
      </c>
      <c r="C206" s="149" t="s">
        <v>776</v>
      </c>
      <c r="D206" s="150">
        <v>8</v>
      </c>
      <c r="E206" s="150" t="s">
        <v>777</v>
      </c>
      <c r="F206" s="151" t="s">
        <v>796</v>
      </c>
      <c r="G206" s="152">
        <v>3</v>
      </c>
      <c r="H206" s="152">
        <v>1</v>
      </c>
      <c r="I206" s="153">
        <v>5</v>
      </c>
      <c r="J206" s="154">
        <v>3</v>
      </c>
      <c r="K206" s="155">
        <v>1</v>
      </c>
      <c r="L206" s="148" t="s">
        <v>97</v>
      </c>
      <c r="M206" s="148" t="s">
        <v>58</v>
      </c>
      <c r="N206" s="156"/>
      <c r="O206" s="157" t="s">
        <v>59</v>
      </c>
      <c r="P206" s="158">
        <v>30</v>
      </c>
      <c r="Q206" s="152" t="s">
        <v>60</v>
      </c>
      <c r="R206" s="152" t="s">
        <v>70</v>
      </c>
      <c r="S206" s="148" t="s">
        <v>797</v>
      </c>
      <c r="T206" s="148" t="s">
        <v>798</v>
      </c>
      <c r="U206" s="159">
        <v>291</v>
      </c>
      <c r="V206" s="160" t="str">
        <f>VLOOKUP(U206,docentes!$A:$E,2,0)</f>
        <v>JOSE LUIS AZCUE PUMA</v>
      </c>
      <c r="W206" s="161" t="str">
        <f>VLOOKUP(U206,docentes!$A:$E,5,0)</f>
        <v>CECS</v>
      </c>
      <c r="X206" s="176">
        <v>291</v>
      </c>
      <c r="Y206" s="160" t="str">
        <f>VLOOKUP(X206,docentes!$A:$E,2,0)</f>
        <v>JOSE LUIS AZCUE PUMA</v>
      </c>
      <c r="Z206" s="177" t="str">
        <f>VLOOKUP(X206,docentes!$A:$E,5,0)</f>
        <v>CECS</v>
      </c>
    </row>
    <row r="207" spans="1:35" ht="66.75" customHeight="1">
      <c r="A207" s="148" t="s">
        <v>692</v>
      </c>
      <c r="B207" s="146" t="s">
        <v>799</v>
      </c>
      <c r="C207" s="149" t="s">
        <v>776</v>
      </c>
      <c r="D207" s="150">
        <v>8</v>
      </c>
      <c r="E207" s="150" t="s">
        <v>777</v>
      </c>
      <c r="F207" s="151" t="s">
        <v>800</v>
      </c>
      <c r="G207" s="152">
        <v>3</v>
      </c>
      <c r="H207" s="152">
        <v>1</v>
      </c>
      <c r="I207" s="153">
        <v>5</v>
      </c>
      <c r="J207" s="154">
        <v>0</v>
      </c>
      <c r="K207" s="155">
        <v>1</v>
      </c>
      <c r="L207" s="172" t="s">
        <v>97</v>
      </c>
      <c r="M207" s="148" t="s">
        <v>58</v>
      </c>
      <c r="N207" s="156"/>
      <c r="O207" s="157" t="s">
        <v>59</v>
      </c>
      <c r="P207" s="158">
        <v>30</v>
      </c>
      <c r="Q207" s="152" t="s">
        <v>60</v>
      </c>
      <c r="R207" s="152" t="s">
        <v>61</v>
      </c>
      <c r="S207" s="148" t="s">
        <v>793</v>
      </c>
      <c r="T207" s="148" t="s">
        <v>801</v>
      </c>
      <c r="U207" s="170">
        <v>291</v>
      </c>
      <c r="V207" s="163" t="str">
        <f>VLOOKUP(U207,docentes!$A:$E,2,0)</f>
        <v>JOSE LUIS AZCUE PUMA</v>
      </c>
      <c r="W207" s="171" t="str">
        <f>VLOOKUP(U207,docentes!$A:$E,5,0)</f>
        <v>CECS</v>
      </c>
      <c r="X207" s="176">
        <v>209</v>
      </c>
      <c r="Y207" s="160" t="str">
        <f>VLOOKUP(X207,docentes!$A:$E,2,0)</f>
        <v>FULVIO ANDRES CALLEGARI</v>
      </c>
      <c r="Z207" s="177" t="str">
        <f>VLOOKUP(X207,docentes!$A:$E,5,0)</f>
        <v>CECS</v>
      </c>
      <c r="AA207" s="44"/>
      <c r="AB207" s="44"/>
      <c r="AC207" s="44"/>
      <c r="AD207" s="44"/>
      <c r="AE207" s="44"/>
      <c r="AF207" s="44"/>
      <c r="AG207" s="44"/>
      <c r="AH207" s="44"/>
      <c r="AI207" s="44"/>
    </row>
    <row r="208" spans="1:35" ht="66.75" customHeight="1">
      <c r="A208" s="148" t="s">
        <v>692</v>
      </c>
      <c r="B208" s="146" t="s">
        <v>802</v>
      </c>
      <c r="C208" s="149" t="s">
        <v>776</v>
      </c>
      <c r="D208" s="150">
        <v>8</v>
      </c>
      <c r="E208" s="150" t="s">
        <v>777</v>
      </c>
      <c r="F208" s="151" t="s">
        <v>803</v>
      </c>
      <c r="G208" s="152">
        <v>3</v>
      </c>
      <c r="H208" s="152">
        <v>1</v>
      </c>
      <c r="I208" s="153">
        <v>5</v>
      </c>
      <c r="J208" s="154">
        <v>0</v>
      </c>
      <c r="K208" s="155">
        <v>1</v>
      </c>
      <c r="L208" s="148" t="s">
        <v>97</v>
      </c>
      <c r="M208" s="148" t="s">
        <v>58</v>
      </c>
      <c r="N208" s="156"/>
      <c r="O208" s="157" t="s">
        <v>59</v>
      </c>
      <c r="P208" s="158">
        <v>30</v>
      </c>
      <c r="Q208" s="152" t="s">
        <v>60</v>
      </c>
      <c r="R208" s="152" t="s">
        <v>70</v>
      </c>
      <c r="S208" s="148" t="s">
        <v>797</v>
      </c>
      <c r="T208" s="148" t="s">
        <v>804</v>
      </c>
      <c r="U208" s="170">
        <v>291</v>
      </c>
      <c r="V208" s="163" t="str">
        <f>VLOOKUP(U208,docentes!$A:$E,2,0)</f>
        <v>JOSE LUIS AZCUE PUMA</v>
      </c>
      <c r="W208" s="171" t="str">
        <f>VLOOKUP(U208,docentes!$A:$E,5,0)</f>
        <v>CECS</v>
      </c>
      <c r="X208" s="176">
        <v>7</v>
      </c>
      <c r="Y208" s="160" t="str">
        <f>VLOOKUP(X208,docentes!$A:$E,2,0)</f>
        <v>AGNALDO APARECIDO FRESCHI</v>
      </c>
      <c r="Z208" s="177" t="str">
        <f>VLOOKUP(X208,docentes!$A:$E,5,0)</f>
        <v>CECS</v>
      </c>
      <c r="AA208" s="44"/>
      <c r="AB208" s="44"/>
      <c r="AC208" s="44"/>
      <c r="AD208" s="44"/>
      <c r="AE208" s="44"/>
      <c r="AF208" s="44"/>
      <c r="AG208" s="44"/>
      <c r="AH208" s="44"/>
      <c r="AI208" s="44"/>
    </row>
    <row r="209" spans="1:35" s="44" customFormat="1" ht="66.75" customHeight="1">
      <c r="A209" s="148" t="s">
        <v>805</v>
      </c>
      <c r="B209" s="146" t="s">
        <v>806</v>
      </c>
      <c r="C209" s="149" t="s">
        <v>807</v>
      </c>
      <c r="D209" s="150">
        <v>1</v>
      </c>
      <c r="E209" s="150" t="s">
        <v>808</v>
      </c>
      <c r="F209" s="151" t="s">
        <v>809</v>
      </c>
      <c r="G209" s="152">
        <v>3</v>
      </c>
      <c r="H209" s="152">
        <v>2</v>
      </c>
      <c r="I209" s="153">
        <v>4</v>
      </c>
      <c r="J209" s="154">
        <v>3</v>
      </c>
      <c r="K209" s="155">
        <v>2</v>
      </c>
      <c r="L209" s="148" t="s">
        <v>57</v>
      </c>
      <c r="M209" s="148" t="s">
        <v>58</v>
      </c>
      <c r="N209" s="156">
        <v>0</v>
      </c>
      <c r="O209" s="165" t="s">
        <v>810</v>
      </c>
      <c r="P209" s="158">
        <v>30</v>
      </c>
      <c r="Q209" s="152" t="s">
        <v>60</v>
      </c>
      <c r="R209" s="152" t="s">
        <v>61</v>
      </c>
      <c r="S209" s="148" t="s">
        <v>811</v>
      </c>
      <c r="T209" s="148" t="s">
        <v>812</v>
      </c>
      <c r="U209" s="159">
        <v>484</v>
      </c>
      <c r="V209" s="160" t="str">
        <f>VLOOKUP(U209,docentes!$A:$E,2,0)</f>
        <v>RICARDO CANELOI DOS SANTOS</v>
      </c>
      <c r="W209" s="161" t="str">
        <f>VLOOKUP(U209,docentes!$A:$E,5,0)</f>
        <v>CECS</v>
      </c>
      <c r="X209" s="176">
        <v>484</v>
      </c>
      <c r="Y209" s="160" t="str">
        <f>VLOOKUP(X209,docentes!$A:$E,2,0)</f>
        <v>RICARDO CANELOI DOS SANTOS</v>
      </c>
      <c r="Z209" s="177" t="str">
        <f>VLOOKUP(X209,docentes!$A:$E,5,0)</f>
        <v>CECS</v>
      </c>
    </row>
    <row r="210" spans="1:35" ht="66.75" customHeight="1">
      <c r="A210" s="148" t="s">
        <v>134</v>
      </c>
      <c r="B210" s="146" t="s">
        <v>813</v>
      </c>
      <c r="C210" s="149" t="s">
        <v>814</v>
      </c>
      <c r="D210" s="150">
        <v>2</v>
      </c>
      <c r="E210" s="150" t="s">
        <v>815</v>
      </c>
      <c r="F210" s="151" t="s">
        <v>816</v>
      </c>
      <c r="G210" s="152">
        <v>3</v>
      </c>
      <c r="H210" s="152">
        <v>1</v>
      </c>
      <c r="I210" s="153">
        <v>4</v>
      </c>
      <c r="J210" s="154">
        <v>3</v>
      </c>
      <c r="K210" s="155">
        <v>1</v>
      </c>
      <c r="L210" s="148" t="s">
        <v>57</v>
      </c>
      <c r="M210" s="148" t="s">
        <v>58</v>
      </c>
      <c r="N210" s="156"/>
      <c r="O210" s="157" t="s">
        <v>59</v>
      </c>
      <c r="P210" s="158">
        <v>31</v>
      </c>
      <c r="Q210" s="152" t="s">
        <v>60</v>
      </c>
      <c r="R210" s="152" t="s">
        <v>61</v>
      </c>
      <c r="S210" s="148" t="s">
        <v>817</v>
      </c>
      <c r="T210" s="148" t="s">
        <v>818</v>
      </c>
      <c r="U210" s="159">
        <v>544</v>
      </c>
      <c r="V210" s="160" t="str">
        <f>VLOOKUP(U210,docentes!$A:$E,2,0)</f>
        <v>VALDEMIR MARTINS LIRA</v>
      </c>
      <c r="W210" s="161" t="str">
        <f>VLOOKUP(U210,docentes!$A:$E,5,0)</f>
        <v>CECS</v>
      </c>
      <c r="X210" s="176">
        <v>544</v>
      </c>
      <c r="Y210" s="160" t="str">
        <f>VLOOKUP(X210,docentes!$A:$E,2,0)</f>
        <v>VALDEMIR MARTINS LIRA</v>
      </c>
      <c r="Z210" s="177" t="str">
        <f>VLOOKUP(X210,docentes!$A:$E,5,0)</f>
        <v>CECS</v>
      </c>
      <c r="AA210" s="44"/>
      <c r="AB210" s="44"/>
      <c r="AC210" s="44"/>
      <c r="AD210" s="44"/>
      <c r="AE210" s="44"/>
      <c r="AF210" s="44"/>
      <c r="AG210" s="44"/>
      <c r="AH210" s="44"/>
      <c r="AI210" s="44"/>
    </row>
    <row r="211" spans="1:35" ht="66.75" customHeight="1">
      <c r="A211" s="148" t="s">
        <v>134</v>
      </c>
      <c r="B211" s="146" t="s">
        <v>819</v>
      </c>
      <c r="C211" s="149" t="s">
        <v>814</v>
      </c>
      <c r="D211" s="150">
        <v>2</v>
      </c>
      <c r="E211" s="150" t="s">
        <v>815</v>
      </c>
      <c r="F211" s="151" t="s">
        <v>820</v>
      </c>
      <c r="G211" s="152">
        <v>3</v>
      </c>
      <c r="H211" s="152">
        <v>1</v>
      </c>
      <c r="I211" s="153">
        <v>4</v>
      </c>
      <c r="J211" s="154">
        <v>3</v>
      </c>
      <c r="K211" s="155">
        <v>1</v>
      </c>
      <c r="L211" s="148" t="s">
        <v>821</v>
      </c>
      <c r="M211" s="148" t="s">
        <v>68</v>
      </c>
      <c r="N211" s="156">
        <v>32</v>
      </c>
      <c r="O211" s="165" t="s">
        <v>822</v>
      </c>
      <c r="P211" s="158">
        <v>32</v>
      </c>
      <c r="Q211" s="152" t="s">
        <v>60</v>
      </c>
      <c r="R211" s="152" t="s">
        <v>70</v>
      </c>
      <c r="S211" s="148" t="s">
        <v>823</v>
      </c>
      <c r="T211" s="148" t="s">
        <v>824</v>
      </c>
      <c r="U211" s="159">
        <v>544</v>
      </c>
      <c r="V211" s="160" t="str">
        <f>VLOOKUP(U211,docentes!$A:$E,2,0)</f>
        <v>VALDEMIR MARTINS LIRA</v>
      </c>
      <c r="W211" s="161" t="str">
        <f>VLOOKUP(U211,docentes!$A:$E,5,0)</f>
        <v>CECS</v>
      </c>
      <c r="X211" s="176">
        <v>544</v>
      </c>
      <c r="Y211" s="160" t="str">
        <f>VLOOKUP(X211,docentes!$A:$E,2,0)</f>
        <v>VALDEMIR MARTINS LIRA</v>
      </c>
      <c r="Z211" s="177" t="str">
        <f>VLOOKUP(X211,docentes!$A:$E,5,0)</f>
        <v>CECS</v>
      </c>
      <c r="AA211" s="44"/>
      <c r="AB211" s="44"/>
      <c r="AC211" s="44"/>
      <c r="AD211" s="44"/>
      <c r="AE211" s="44"/>
      <c r="AF211" s="44"/>
      <c r="AG211" s="44"/>
      <c r="AH211" s="44"/>
      <c r="AI211" s="44"/>
    </row>
    <row r="212" spans="1:35" s="44" customFormat="1" ht="66.75" customHeight="1">
      <c r="A212" s="148" t="s">
        <v>646</v>
      </c>
      <c r="B212" s="146" t="s">
        <v>825</v>
      </c>
      <c r="C212" s="149" t="s">
        <v>826</v>
      </c>
      <c r="D212" s="150">
        <v>1</v>
      </c>
      <c r="E212" s="150" t="s">
        <v>827</v>
      </c>
      <c r="F212" s="151" t="s">
        <v>828</v>
      </c>
      <c r="G212" s="152">
        <v>3</v>
      </c>
      <c r="H212" s="152">
        <v>2</v>
      </c>
      <c r="I212" s="153">
        <v>2</v>
      </c>
      <c r="J212" s="154">
        <v>3</v>
      </c>
      <c r="K212" s="155">
        <v>2</v>
      </c>
      <c r="L212" s="148" t="s">
        <v>57</v>
      </c>
      <c r="M212" s="148" t="s">
        <v>58</v>
      </c>
      <c r="N212" s="156"/>
      <c r="O212" s="157" t="s">
        <v>59</v>
      </c>
      <c r="P212" s="158">
        <v>30</v>
      </c>
      <c r="Q212" s="152" t="s">
        <v>60</v>
      </c>
      <c r="R212" s="152" t="s">
        <v>61</v>
      </c>
      <c r="S212" s="148" t="s">
        <v>829</v>
      </c>
      <c r="T212" s="148" t="s">
        <v>830</v>
      </c>
      <c r="U212" s="159">
        <v>481</v>
      </c>
      <c r="V212" s="160" t="str">
        <f>VLOOKUP(U212,docentes!$A:$E,2,0)</f>
        <v>RICARDO AUGUSTO LOMBELLO</v>
      </c>
      <c r="W212" s="161" t="str">
        <f>VLOOKUP(U212,docentes!$A:$E,5,0)</f>
        <v>CCNH</v>
      </c>
      <c r="X212" s="176">
        <v>90</v>
      </c>
      <c r="Y212" s="160" t="str">
        <f>VLOOKUP(X212,docentes!$A:$E,2,0)</f>
        <v>CARLOS SUETOSHI MIYAZAWA</v>
      </c>
      <c r="Z212" s="177" t="str">
        <f>VLOOKUP(X212,docentes!$A:$E,5,0)</f>
        <v>CCNH</v>
      </c>
    </row>
    <row r="213" spans="1:35" s="44" customFormat="1" ht="66.75" customHeight="1">
      <c r="A213" s="172" t="s">
        <v>114</v>
      </c>
      <c r="B213" s="146" t="s">
        <v>831</v>
      </c>
      <c r="C213" s="149" t="s">
        <v>832</v>
      </c>
      <c r="D213" s="150">
        <v>2</v>
      </c>
      <c r="E213" s="150" t="s">
        <v>833</v>
      </c>
      <c r="F213" s="151" t="s">
        <v>834</v>
      </c>
      <c r="G213" s="149">
        <v>3</v>
      </c>
      <c r="H213" s="173">
        <v>1</v>
      </c>
      <c r="I213" s="174">
        <v>4</v>
      </c>
      <c r="J213" s="155">
        <v>3</v>
      </c>
      <c r="K213" s="155">
        <v>1</v>
      </c>
      <c r="L213" s="172" t="s">
        <v>97</v>
      </c>
      <c r="M213" s="172" t="s">
        <v>58</v>
      </c>
      <c r="N213" s="151"/>
      <c r="O213" s="157" t="s">
        <v>59</v>
      </c>
      <c r="P213" s="175">
        <v>40</v>
      </c>
      <c r="Q213" s="152" t="s">
        <v>60</v>
      </c>
      <c r="R213" s="152" t="s">
        <v>61</v>
      </c>
      <c r="S213" s="148">
        <v>0</v>
      </c>
      <c r="T213" s="148" t="s">
        <v>835</v>
      </c>
      <c r="U213" s="159">
        <v>47</v>
      </c>
      <c r="V213" s="160" t="str">
        <f>VLOOKUP(U213,docentes!$A:$E,2,0)</f>
        <v>ANDRE GUILHERME RIBEIRO BALAN</v>
      </c>
      <c r="W213" s="161" t="str">
        <f>VLOOKUP(U213,docentes!$A:$E,5,0)</f>
        <v>CMCC</v>
      </c>
      <c r="X213" s="176">
        <v>47</v>
      </c>
      <c r="Y213" s="160" t="str">
        <f>VLOOKUP(X213,docentes!$A:$E,2,0)</f>
        <v>ANDRE GUILHERME RIBEIRO BALAN</v>
      </c>
      <c r="Z213" s="177" t="str">
        <f>VLOOKUP(X213,docentes!$A:$E,5,0)</f>
        <v>CMCC</v>
      </c>
      <c r="AA213" s="45"/>
      <c r="AB213" s="45"/>
      <c r="AC213" s="45"/>
      <c r="AD213" s="45"/>
      <c r="AE213" s="45"/>
      <c r="AF213" s="45"/>
      <c r="AG213" s="45"/>
    </row>
    <row r="214" spans="1:35" s="44" customFormat="1" ht="66.75" customHeight="1">
      <c r="A214" s="172" t="s">
        <v>114</v>
      </c>
      <c r="B214" s="146" t="s">
        <v>836</v>
      </c>
      <c r="C214" s="149" t="s">
        <v>832</v>
      </c>
      <c r="D214" s="150">
        <v>2</v>
      </c>
      <c r="E214" s="150" t="s">
        <v>833</v>
      </c>
      <c r="F214" s="151" t="s">
        <v>837</v>
      </c>
      <c r="G214" s="149">
        <v>3</v>
      </c>
      <c r="H214" s="173">
        <v>1</v>
      </c>
      <c r="I214" s="174">
        <v>4</v>
      </c>
      <c r="J214" s="155">
        <v>3</v>
      </c>
      <c r="K214" s="155">
        <v>1</v>
      </c>
      <c r="L214" s="172" t="s">
        <v>838</v>
      </c>
      <c r="M214" s="172" t="e">
        <v>#N/A</v>
      </c>
      <c r="N214" s="151"/>
      <c r="O214" s="172" t="s">
        <v>839</v>
      </c>
      <c r="P214" s="175">
        <v>47</v>
      </c>
      <c r="Q214" s="152" t="s">
        <v>60</v>
      </c>
      <c r="R214" s="152" t="s">
        <v>70</v>
      </c>
      <c r="S214" s="148">
        <v>0</v>
      </c>
      <c r="T214" s="148" t="s">
        <v>840</v>
      </c>
      <c r="U214" s="159">
        <v>275</v>
      </c>
      <c r="V214" s="160" t="str">
        <f>VLOOKUP(U214,docentes!$A:$E,2,0)</f>
        <v>JOAO PAULO GOIS</v>
      </c>
      <c r="W214" s="161" t="str">
        <f>VLOOKUP(U214,docentes!$A:$E,5,0)</f>
        <v>CMCC</v>
      </c>
      <c r="X214" s="176">
        <v>275</v>
      </c>
      <c r="Y214" s="160" t="str">
        <f>VLOOKUP(X214,docentes!$A:$E,2,0)</f>
        <v>JOAO PAULO GOIS</v>
      </c>
      <c r="Z214" s="177" t="str">
        <f>VLOOKUP(X214,docentes!$A:$E,5,0)</f>
        <v>CMCC</v>
      </c>
      <c r="AA214" s="45"/>
      <c r="AB214" s="45"/>
      <c r="AC214" s="45"/>
      <c r="AD214" s="45"/>
      <c r="AE214" s="45"/>
      <c r="AF214" s="45"/>
      <c r="AG214" s="45"/>
    </row>
    <row r="215" spans="1:35" s="44" customFormat="1" ht="66.75" customHeight="1">
      <c r="A215" s="172" t="s">
        <v>222</v>
      </c>
      <c r="B215" s="146" t="s">
        <v>841</v>
      </c>
      <c r="C215" s="149" t="s">
        <v>842</v>
      </c>
      <c r="D215" s="150">
        <v>11</v>
      </c>
      <c r="E215" s="150" t="s">
        <v>843</v>
      </c>
      <c r="F215" s="151" t="s">
        <v>844</v>
      </c>
      <c r="G215" s="149">
        <v>3</v>
      </c>
      <c r="H215" s="173">
        <v>0</v>
      </c>
      <c r="I215" s="174">
        <v>4</v>
      </c>
      <c r="J215" s="155">
        <v>3</v>
      </c>
      <c r="K215" s="155">
        <v>0</v>
      </c>
      <c r="L215" s="172" t="s">
        <v>845</v>
      </c>
      <c r="M215" s="172" t="s">
        <v>58</v>
      </c>
      <c r="N215" s="151"/>
      <c r="O215" s="172" t="s">
        <v>846</v>
      </c>
      <c r="P215" s="175">
        <v>106</v>
      </c>
      <c r="Q215" s="152" t="s">
        <v>60</v>
      </c>
      <c r="R215" s="152" t="s">
        <v>61</v>
      </c>
      <c r="S215" s="148" t="s">
        <v>847</v>
      </c>
      <c r="T215" s="148">
        <v>0</v>
      </c>
      <c r="U215" s="159">
        <v>177</v>
      </c>
      <c r="V215" s="160" t="str">
        <f>VLOOKUP(U215,docentes!$A:$E,2,0)</f>
        <v>FABRICIO OLIVETTI DE FRANCA</v>
      </c>
      <c r="W215" s="161" t="str">
        <f>VLOOKUP(U215,docentes!$A:$E,5,0)</f>
        <v>CMCC</v>
      </c>
      <c r="X215" s="162"/>
      <c r="Y215" s="163"/>
      <c r="Z215" s="164"/>
      <c r="AA215" s="45"/>
      <c r="AB215" s="45"/>
      <c r="AC215" s="45"/>
      <c r="AD215" s="45"/>
      <c r="AE215" s="45"/>
      <c r="AF215" s="45"/>
      <c r="AG215" s="45"/>
    </row>
    <row r="216" spans="1:35" s="44" customFormat="1" ht="66.75" customHeight="1">
      <c r="A216" s="172" t="s">
        <v>222</v>
      </c>
      <c r="B216" s="146" t="s">
        <v>848</v>
      </c>
      <c r="C216" s="149" t="s">
        <v>842</v>
      </c>
      <c r="D216" s="150">
        <v>11</v>
      </c>
      <c r="E216" s="150" t="s">
        <v>843</v>
      </c>
      <c r="F216" s="151" t="s">
        <v>849</v>
      </c>
      <c r="G216" s="149">
        <v>3</v>
      </c>
      <c r="H216" s="173">
        <v>0</v>
      </c>
      <c r="I216" s="174">
        <v>4</v>
      </c>
      <c r="J216" s="155">
        <v>3</v>
      </c>
      <c r="K216" s="155">
        <v>0</v>
      </c>
      <c r="L216" s="172" t="s">
        <v>57</v>
      </c>
      <c r="M216" s="172" t="s">
        <v>58</v>
      </c>
      <c r="N216" s="151"/>
      <c r="O216" s="157" t="s">
        <v>59</v>
      </c>
      <c r="P216" s="175">
        <v>106</v>
      </c>
      <c r="Q216" s="152" t="s">
        <v>60</v>
      </c>
      <c r="R216" s="152" t="s">
        <v>70</v>
      </c>
      <c r="S216" s="148" t="s">
        <v>850</v>
      </c>
      <c r="T216" s="148">
        <v>0</v>
      </c>
      <c r="U216" s="159">
        <v>131</v>
      </c>
      <c r="V216" s="160" t="str">
        <f>VLOOKUP(U216,docentes!$A:$E,2,0)</f>
        <v>DAVID CORREA MARTINS JUNIOR</v>
      </c>
      <c r="W216" s="161" t="str">
        <f>VLOOKUP(U216,docentes!$A:$E,5,0)</f>
        <v>CMCC</v>
      </c>
      <c r="X216" s="162"/>
      <c r="Y216" s="163"/>
      <c r="Z216" s="164"/>
      <c r="AA216" s="45"/>
      <c r="AB216" s="45"/>
      <c r="AC216" s="45"/>
      <c r="AD216" s="45"/>
      <c r="AE216" s="45"/>
      <c r="AF216" s="45"/>
      <c r="AG216" s="45"/>
    </row>
    <row r="217" spans="1:35" s="44" customFormat="1" ht="66.75" customHeight="1">
      <c r="A217" s="172" t="s">
        <v>222</v>
      </c>
      <c r="B217" s="146" t="s">
        <v>851</v>
      </c>
      <c r="C217" s="149" t="s">
        <v>842</v>
      </c>
      <c r="D217" s="150">
        <v>11</v>
      </c>
      <c r="E217" s="150" t="s">
        <v>843</v>
      </c>
      <c r="F217" s="151" t="s">
        <v>852</v>
      </c>
      <c r="G217" s="149">
        <v>3</v>
      </c>
      <c r="H217" s="173">
        <v>0</v>
      </c>
      <c r="I217" s="174">
        <v>4</v>
      </c>
      <c r="J217" s="155">
        <v>3</v>
      </c>
      <c r="K217" s="155">
        <v>0</v>
      </c>
      <c r="L217" s="172" t="s">
        <v>57</v>
      </c>
      <c r="M217" s="172" t="s">
        <v>58</v>
      </c>
      <c r="N217" s="151"/>
      <c r="O217" s="157" t="s">
        <v>59</v>
      </c>
      <c r="P217" s="175">
        <v>89</v>
      </c>
      <c r="Q217" s="152" t="s">
        <v>60</v>
      </c>
      <c r="R217" s="152" t="s">
        <v>61</v>
      </c>
      <c r="S217" s="148" t="s">
        <v>853</v>
      </c>
      <c r="T217" s="148">
        <v>0</v>
      </c>
      <c r="U217" s="159">
        <v>283</v>
      </c>
      <c r="V217" s="160" t="str">
        <f>VLOOKUP(U217,docentes!$A:$E,2,0)</f>
        <v>JOSE ARTUR QUILICI GONZALEZ</v>
      </c>
      <c r="W217" s="161" t="str">
        <f>VLOOKUP(U217,docentes!$A:$E,5,0)</f>
        <v>CMCC</v>
      </c>
      <c r="X217" s="162"/>
      <c r="Y217" s="163"/>
      <c r="Z217" s="164"/>
      <c r="AA217" s="45"/>
      <c r="AB217" s="45"/>
      <c r="AC217" s="45"/>
      <c r="AD217" s="45"/>
      <c r="AE217" s="45"/>
      <c r="AF217" s="45"/>
      <c r="AG217" s="45"/>
    </row>
    <row r="218" spans="1:35" s="44" customFormat="1" ht="66.75" hidden="1" customHeight="1">
      <c r="A218" s="172" t="s">
        <v>222</v>
      </c>
      <c r="B218" s="168" t="s">
        <v>854</v>
      </c>
      <c r="C218" s="149"/>
      <c r="D218" s="150">
        <v>0</v>
      </c>
      <c r="E218" s="150" t="s">
        <v>843</v>
      </c>
      <c r="F218" s="169" t="s">
        <v>855</v>
      </c>
      <c r="G218" s="149">
        <v>3</v>
      </c>
      <c r="H218" s="173">
        <v>0</v>
      </c>
      <c r="I218" s="174">
        <v>4</v>
      </c>
      <c r="J218" s="154">
        <v>0</v>
      </c>
      <c r="K218" s="155">
        <v>0</v>
      </c>
      <c r="L218" s="172" t="s">
        <v>732</v>
      </c>
      <c r="M218" s="172" t="s">
        <v>58</v>
      </c>
      <c r="N218" s="151"/>
      <c r="O218" s="172" t="s">
        <v>856</v>
      </c>
      <c r="P218" s="175">
        <v>0</v>
      </c>
      <c r="Q218" s="152" t="s">
        <v>60</v>
      </c>
      <c r="R218" s="152" t="s">
        <v>70</v>
      </c>
      <c r="S218" s="148" t="s">
        <v>857</v>
      </c>
      <c r="T218" s="148">
        <v>0</v>
      </c>
      <c r="U218" s="170">
        <v>131</v>
      </c>
      <c r="V218" s="163" t="str">
        <f>VLOOKUP(U218,docentes!$A:$E,2,0)</f>
        <v>DAVID CORREA MARTINS JUNIOR</v>
      </c>
      <c r="W218" s="171" t="str">
        <f>VLOOKUP(U218,docentes!$A:$E,5,0)</f>
        <v>CMCC</v>
      </c>
      <c r="X218" s="162"/>
      <c r="Y218" s="163"/>
      <c r="Z218" s="164"/>
      <c r="AA218" s="45"/>
      <c r="AB218" s="45"/>
      <c r="AC218" s="45"/>
      <c r="AD218" s="45"/>
      <c r="AE218" s="45"/>
      <c r="AF218" s="45"/>
      <c r="AG218" s="45"/>
      <c r="AH218" s="45"/>
      <c r="AI218" s="45"/>
    </row>
    <row r="219" spans="1:35" s="44" customFormat="1" ht="66.75" customHeight="1">
      <c r="A219" s="172" t="s">
        <v>222</v>
      </c>
      <c r="B219" s="146" t="s">
        <v>858</v>
      </c>
      <c r="C219" s="149" t="s">
        <v>842</v>
      </c>
      <c r="D219" s="150">
        <v>11</v>
      </c>
      <c r="E219" s="150" t="s">
        <v>843</v>
      </c>
      <c r="F219" s="151" t="s">
        <v>859</v>
      </c>
      <c r="G219" s="149">
        <v>3</v>
      </c>
      <c r="H219" s="173">
        <v>0</v>
      </c>
      <c r="I219" s="174">
        <v>4</v>
      </c>
      <c r="J219" s="155">
        <v>3</v>
      </c>
      <c r="K219" s="155">
        <v>0</v>
      </c>
      <c r="L219" s="172" t="s">
        <v>57</v>
      </c>
      <c r="M219" s="172" t="s">
        <v>58</v>
      </c>
      <c r="N219" s="151"/>
      <c r="O219" s="157" t="s">
        <v>59</v>
      </c>
      <c r="P219" s="175">
        <v>112</v>
      </c>
      <c r="Q219" s="152" t="s">
        <v>60</v>
      </c>
      <c r="R219" s="152" t="s">
        <v>61</v>
      </c>
      <c r="S219" s="148" t="s">
        <v>860</v>
      </c>
      <c r="T219" s="148">
        <v>0</v>
      </c>
      <c r="U219" s="159">
        <v>336</v>
      </c>
      <c r="V219" s="160" t="str">
        <f>VLOOKUP(U219,docentes!$A:$E,2,0)</f>
        <v>LUIS ARTURO PEREZ LOZADA</v>
      </c>
      <c r="W219" s="161" t="str">
        <f>VLOOKUP(U219,docentes!$A:$E,5,0)</f>
        <v>CMCC</v>
      </c>
      <c r="X219" s="162"/>
      <c r="Y219" s="163"/>
      <c r="Z219" s="164"/>
      <c r="AA219" s="45"/>
      <c r="AB219" s="45"/>
      <c r="AC219" s="45"/>
      <c r="AD219" s="45"/>
      <c r="AE219" s="45"/>
      <c r="AF219" s="45"/>
      <c r="AG219" s="45"/>
    </row>
    <row r="220" spans="1:35" s="44" customFormat="1" ht="66.75" customHeight="1">
      <c r="A220" s="172" t="s">
        <v>222</v>
      </c>
      <c r="B220" s="146" t="s">
        <v>861</v>
      </c>
      <c r="C220" s="149" t="s">
        <v>842</v>
      </c>
      <c r="D220" s="150">
        <v>11</v>
      </c>
      <c r="E220" s="150" t="s">
        <v>843</v>
      </c>
      <c r="F220" s="151" t="s">
        <v>862</v>
      </c>
      <c r="G220" s="149">
        <v>3</v>
      </c>
      <c r="H220" s="173">
        <v>0</v>
      </c>
      <c r="I220" s="174">
        <v>4</v>
      </c>
      <c r="J220" s="155">
        <v>3</v>
      </c>
      <c r="K220" s="155">
        <v>0</v>
      </c>
      <c r="L220" s="172" t="s">
        <v>57</v>
      </c>
      <c r="M220" s="172" t="s">
        <v>58</v>
      </c>
      <c r="N220" s="151"/>
      <c r="O220" s="157" t="s">
        <v>59</v>
      </c>
      <c r="P220" s="175">
        <v>90</v>
      </c>
      <c r="Q220" s="152" t="s">
        <v>76</v>
      </c>
      <c r="R220" s="152" t="s">
        <v>61</v>
      </c>
      <c r="S220" s="148" t="s">
        <v>863</v>
      </c>
      <c r="T220" s="148">
        <v>0</v>
      </c>
      <c r="U220" s="159">
        <v>545</v>
      </c>
      <c r="V220" s="160" t="str">
        <f>VLOOKUP(U220,docentes!$A:$E,2,0)</f>
        <v>VALERIO RAMOS BATISTA</v>
      </c>
      <c r="W220" s="161" t="str">
        <f>VLOOKUP(U220,docentes!$A:$E,5,0)</f>
        <v>CMCC</v>
      </c>
      <c r="X220" s="162"/>
      <c r="Y220" s="163"/>
      <c r="Z220" s="164"/>
      <c r="AA220" s="45"/>
      <c r="AB220" s="45"/>
      <c r="AC220" s="45"/>
      <c r="AD220" s="45"/>
      <c r="AE220" s="45"/>
      <c r="AF220" s="45"/>
      <c r="AG220" s="45"/>
    </row>
    <row r="221" spans="1:35" ht="66.75" customHeight="1">
      <c r="A221" s="172" t="s">
        <v>222</v>
      </c>
      <c r="B221" s="146" t="s">
        <v>864</v>
      </c>
      <c r="C221" s="149" t="s">
        <v>842</v>
      </c>
      <c r="D221" s="150">
        <v>11</v>
      </c>
      <c r="E221" s="150" t="s">
        <v>843</v>
      </c>
      <c r="F221" s="151" t="s">
        <v>865</v>
      </c>
      <c r="G221" s="149">
        <v>3</v>
      </c>
      <c r="H221" s="173">
        <v>0</v>
      </c>
      <c r="I221" s="174">
        <v>4</v>
      </c>
      <c r="J221" s="155">
        <v>3</v>
      </c>
      <c r="K221" s="155">
        <v>0</v>
      </c>
      <c r="L221" s="172" t="s">
        <v>57</v>
      </c>
      <c r="M221" s="172" t="s">
        <v>58</v>
      </c>
      <c r="N221" s="151"/>
      <c r="O221" s="157" t="s">
        <v>59</v>
      </c>
      <c r="P221" s="175">
        <v>90</v>
      </c>
      <c r="Q221" s="152" t="s">
        <v>76</v>
      </c>
      <c r="R221" s="152" t="s">
        <v>70</v>
      </c>
      <c r="S221" s="148" t="s">
        <v>866</v>
      </c>
      <c r="T221" s="148">
        <v>0</v>
      </c>
      <c r="U221" s="159">
        <v>545</v>
      </c>
      <c r="V221" s="160" t="str">
        <f>VLOOKUP(U221,docentes!$A:$E,2,0)</f>
        <v>VALERIO RAMOS BATISTA</v>
      </c>
      <c r="W221" s="161" t="str">
        <f>VLOOKUP(U221,docentes!$A:$E,5,0)</f>
        <v>CMCC</v>
      </c>
      <c r="X221" s="162"/>
      <c r="Y221" s="163"/>
      <c r="Z221" s="164"/>
      <c r="AH221" s="44"/>
      <c r="AI221" s="44"/>
    </row>
    <row r="222" spans="1:35" s="44" customFormat="1" ht="66.75" customHeight="1">
      <c r="A222" s="172" t="s">
        <v>222</v>
      </c>
      <c r="B222" s="146" t="s">
        <v>867</v>
      </c>
      <c r="C222" s="149" t="s">
        <v>842</v>
      </c>
      <c r="D222" s="150">
        <v>11</v>
      </c>
      <c r="E222" s="150" t="s">
        <v>843</v>
      </c>
      <c r="F222" s="151" t="s">
        <v>868</v>
      </c>
      <c r="G222" s="149">
        <v>3</v>
      </c>
      <c r="H222" s="173">
        <v>0</v>
      </c>
      <c r="I222" s="174">
        <v>4</v>
      </c>
      <c r="J222" s="155">
        <v>3</v>
      </c>
      <c r="K222" s="155">
        <v>0</v>
      </c>
      <c r="L222" s="172" t="s">
        <v>57</v>
      </c>
      <c r="M222" s="172" t="s">
        <v>58</v>
      </c>
      <c r="N222" s="151"/>
      <c r="O222" s="157" t="s">
        <v>59</v>
      </c>
      <c r="P222" s="175">
        <v>103</v>
      </c>
      <c r="Q222" s="152" t="s">
        <v>60</v>
      </c>
      <c r="R222" s="152" t="s">
        <v>61</v>
      </c>
      <c r="S222" s="148" t="s">
        <v>869</v>
      </c>
      <c r="T222" s="148">
        <v>0</v>
      </c>
      <c r="U222" s="159">
        <v>283</v>
      </c>
      <c r="V222" s="160" t="str">
        <f>VLOOKUP(U222,docentes!$A:$E,2,0)</f>
        <v>JOSE ARTUR QUILICI GONZALEZ</v>
      </c>
      <c r="W222" s="161" t="str">
        <f>VLOOKUP(U222,docentes!$A:$E,5,0)</f>
        <v>CMCC</v>
      </c>
      <c r="X222" s="162"/>
      <c r="Y222" s="163"/>
      <c r="Z222" s="164"/>
      <c r="AA222" s="45"/>
      <c r="AB222" s="45"/>
      <c r="AC222" s="45"/>
      <c r="AD222" s="45"/>
      <c r="AE222" s="45"/>
      <c r="AF222" s="45"/>
      <c r="AG222" s="45"/>
    </row>
    <row r="223" spans="1:35" ht="66.75" customHeight="1">
      <c r="A223" s="172" t="s">
        <v>222</v>
      </c>
      <c r="B223" s="146" t="s">
        <v>870</v>
      </c>
      <c r="C223" s="149" t="s">
        <v>842</v>
      </c>
      <c r="D223" s="150">
        <v>11</v>
      </c>
      <c r="E223" s="150" t="s">
        <v>843</v>
      </c>
      <c r="F223" s="151" t="s">
        <v>871</v>
      </c>
      <c r="G223" s="149">
        <v>3</v>
      </c>
      <c r="H223" s="173">
        <v>0</v>
      </c>
      <c r="I223" s="174">
        <v>4</v>
      </c>
      <c r="J223" s="155">
        <v>3</v>
      </c>
      <c r="K223" s="155">
        <v>0</v>
      </c>
      <c r="L223" s="172" t="s">
        <v>57</v>
      </c>
      <c r="M223" s="172" t="s">
        <v>58</v>
      </c>
      <c r="N223" s="151"/>
      <c r="O223" s="157" t="s">
        <v>59</v>
      </c>
      <c r="P223" s="175">
        <v>98</v>
      </c>
      <c r="Q223" s="152" t="s">
        <v>60</v>
      </c>
      <c r="R223" s="152" t="s">
        <v>70</v>
      </c>
      <c r="S223" s="148" t="s">
        <v>872</v>
      </c>
      <c r="T223" s="148">
        <v>0</v>
      </c>
      <c r="U223" s="159">
        <v>283</v>
      </c>
      <c r="V223" s="160" t="str">
        <f>VLOOKUP(U223,docentes!$A:$E,2,0)</f>
        <v>JOSE ARTUR QUILICI GONZALEZ</v>
      </c>
      <c r="W223" s="161" t="str">
        <f>VLOOKUP(U223,docentes!$A:$E,5,0)</f>
        <v>CMCC</v>
      </c>
      <c r="X223" s="162"/>
      <c r="Y223" s="163"/>
      <c r="Z223" s="164"/>
      <c r="AH223" s="44"/>
      <c r="AI223" s="44"/>
    </row>
    <row r="224" spans="1:35" s="44" customFormat="1" ht="66.75" customHeight="1">
      <c r="A224" s="148" t="s">
        <v>222</v>
      </c>
      <c r="B224" s="146" t="s">
        <v>873</v>
      </c>
      <c r="C224" s="149" t="s">
        <v>842</v>
      </c>
      <c r="D224" s="150">
        <v>11</v>
      </c>
      <c r="E224" s="150" t="s">
        <v>843</v>
      </c>
      <c r="F224" s="151" t="s">
        <v>874</v>
      </c>
      <c r="G224" s="152">
        <v>3</v>
      </c>
      <c r="H224" s="152">
        <v>0</v>
      </c>
      <c r="I224" s="153">
        <v>4</v>
      </c>
      <c r="J224" s="155">
        <v>3</v>
      </c>
      <c r="K224" s="155">
        <v>0</v>
      </c>
      <c r="L224" s="148" t="s">
        <v>845</v>
      </c>
      <c r="M224" s="148" t="s">
        <v>58</v>
      </c>
      <c r="N224" s="151"/>
      <c r="O224" s="148" t="s">
        <v>875</v>
      </c>
      <c r="P224" s="158">
        <v>99</v>
      </c>
      <c r="Q224" s="152" t="s">
        <v>60</v>
      </c>
      <c r="R224" s="152" t="s">
        <v>61</v>
      </c>
      <c r="S224" s="148" t="s">
        <v>876</v>
      </c>
      <c r="T224" s="148">
        <v>0</v>
      </c>
      <c r="U224" s="159">
        <v>336</v>
      </c>
      <c r="V224" s="160" t="str">
        <f>VLOOKUP(U224,docentes!$A:$E,2,0)</f>
        <v>LUIS ARTURO PEREZ LOZADA</v>
      </c>
      <c r="W224" s="161" t="str">
        <f>VLOOKUP(U224,docentes!$A:$E,5,0)</f>
        <v>CMCC</v>
      </c>
      <c r="X224" s="162"/>
      <c r="Y224" s="163"/>
      <c r="Z224" s="164"/>
    </row>
    <row r="225" spans="1:35" ht="66.75" customHeight="1">
      <c r="A225" s="148" t="s">
        <v>222</v>
      </c>
      <c r="B225" s="146" t="s">
        <v>877</v>
      </c>
      <c r="C225" s="149" t="s">
        <v>842</v>
      </c>
      <c r="D225" s="150">
        <v>11</v>
      </c>
      <c r="E225" s="150" t="s">
        <v>843</v>
      </c>
      <c r="F225" s="151" t="s">
        <v>878</v>
      </c>
      <c r="G225" s="152">
        <v>3</v>
      </c>
      <c r="H225" s="152">
        <v>0</v>
      </c>
      <c r="I225" s="153">
        <v>4</v>
      </c>
      <c r="J225" s="154">
        <v>3</v>
      </c>
      <c r="K225" s="155">
        <v>0</v>
      </c>
      <c r="L225" s="148" t="s">
        <v>57</v>
      </c>
      <c r="M225" s="148" t="s">
        <v>58</v>
      </c>
      <c r="N225" s="156"/>
      <c r="O225" s="157" t="s">
        <v>59</v>
      </c>
      <c r="P225" s="158">
        <v>103</v>
      </c>
      <c r="Q225" s="152" t="s">
        <v>60</v>
      </c>
      <c r="R225" s="152" t="s">
        <v>70</v>
      </c>
      <c r="S225" s="148" t="s">
        <v>879</v>
      </c>
      <c r="T225" s="148">
        <v>0</v>
      </c>
      <c r="U225" s="159">
        <v>177</v>
      </c>
      <c r="V225" s="160" t="str">
        <f>VLOOKUP(U225,docentes!$A:$E,2,0)</f>
        <v>FABRICIO OLIVETTI DE FRANCA</v>
      </c>
      <c r="W225" s="161" t="str">
        <f>VLOOKUP(U225,docentes!$A:$E,5,0)</f>
        <v>CMCC</v>
      </c>
      <c r="X225" s="162"/>
      <c r="Y225" s="163"/>
      <c r="Z225" s="164"/>
      <c r="AA225" s="44"/>
      <c r="AB225" s="44"/>
      <c r="AC225" s="44"/>
      <c r="AD225" s="44"/>
      <c r="AE225" s="44"/>
      <c r="AF225" s="44"/>
      <c r="AG225" s="44"/>
      <c r="AH225" s="44"/>
      <c r="AI225" s="44"/>
    </row>
    <row r="226" spans="1:35" ht="66.75" customHeight="1">
      <c r="A226" s="148" t="s">
        <v>222</v>
      </c>
      <c r="B226" s="146" t="s">
        <v>880</v>
      </c>
      <c r="C226" s="149" t="s">
        <v>842</v>
      </c>
      <c r="D226" s="150">
        <v>11</v>
      </c>
      <c r="E226" s="150" t="s">
        <v>843</v>
      </c>
      <c r="F226" s="151" t="s">
        <v>881</v>
      </c>
      <c r="G226" s="152">
        <v>3</v>
      </c>
      <c r="H226" s="152">
        <v>0</v>
      </c>
      <c r="I226" s="153">
        <v>4</v>
      </c>
      <c r="J226" s="154">
        <v>3</v>
      </c>
      <c r="K226" s="155">
        <v>0</v>
      </c>
      <c r="L226" s="148" t="s">
        <v>845</v>
      </c>
      <c r="M226" s="148" t="s">
        <v>58</v>
      </c>
      <c r="N226" s="156"/>
      <c r="O226" s="165" t="s">
        <v>882</v>
      </c>
      <c r="P226" s="158">
        <v>99</v>
      </c>
      <c r="Q226" s="152" t="s">
        <v>60</v>
      </c>
      <c r="R226" s="152" t="s">
        <v>70</v>
      </c>
      <c r="S226" s="148" t="s">
        <v>883</v>
      </c>
      <c r="T226" s="148">
        <v>0</v>
      </c>
      <c r="U226" s="159">
        <v>404</v>
      </c>
      <c r="V226" s="160" t="str">
        <f>VLOOKUP(U226,docentes!$A:$E,2,0)</f>
        <v>MARINA SPARVOLI DE MEDEIROS</v>
      </c>
      <c r="W226" s="161" t="str">
        <f>VLOOKUP(U226,docentes!$A:$E,5,0)</f>
        <v>CMCC</v>
      </c>
      <c r="X226" s="162"/>
      <c r="Y226" s="163"/>
      <c r="Z226" s="164"/>
      <c r="AA226" s="44"/>
      <c r="AB226" s="44"/>
      <c r="AC226" s="44"/>
      <c r="AD226" s="44"/>
      <c r="AE226" s="44"/>
      <c r="AF226" s="44"/>
      <c r="AG226" s="44"/>
      <c r="AH226" s="44"/>
      <c r="AI226" s="44"/>
    </row>
    <row r="227" spans="1:35" s="44" customFormat="1" ht="66.75" customHeight="1">
      <c r="A227" s="148" t="s">
        <v>884</v>
      </c>
      <c r="B227" s="146" t="s">
        <v>885</v>
      </c>
      <c r="C227" s="149" t="s">
        <v>886</v>
      </c>
      <c r="D227" s="150">
        <v>2</v>
      </c>
      <c r="E227" s="150" t="s">
        <v>887</v>
      </c>
      <c r="F227" s="151" t="s">
        <v>888</v>
      </c>
      <c r="G227" s="152">
        <v>3</v>
      </c>
      <c r="H227" s="152">
        <v>1</v>
      </c>
      <c r="I227" s="153">
        <v>4</v>
      </c>
      <c r="J227" s="154">
        <v>3</v>
      </c>
      <c r="K227" s="155">
        <v>1</v>
      </c>
      <c r="L227" s="148" t="s">
        <v>97</v>
      </c>
      <c r="M227" s="148" t="s">
        <v>58</v>
      </c>
      <c r="N227" s="156"/>
      <c r="O227" s="157" t="s">
        <v>59</v>
      </c>
      <c r="P227" s="158">
        <v>30</v>
      </c>
      <c r="Q227" s="152" t="s">
        <v>60</v>
      </c>
      <c r="R227" s="152" t="s">
        <v>61</v>
      </c>
      <c r="S227" s="148" t="s">
        <v>889</v>
      </c>
      <c r="T227" s="148" t="s">
        <v>890</v>
      </c>
      <c r="U227" s="159">
        <v>257</v>
      </c>
      <c r="V227" s="160" t="str">
        <f>VLOOKUP(U227,docentes!$A:$E,2,0)</f>
        <v>IVAN ROBERTO SANTANA CASELLA</v>
      </c>
      <c r="W227" s="161" t="str">
        <f>VLOOKUP(U227,docentes!$A:$E,5,0)</f>
        <v>CECS</v>
      </c>
      <c r="X227" s="176">
        <v>257</v>
      </c>
      <c r="Y227" s="160" t="str">
        <f>VLOOKUP(X227,docentes!$A:$E,2,0)</f>
        <v>IVAN ROBERTO SANTANA CASELLA</v>
      </c>
      <c r="Z227" s="177" t="str">
        <f>VLOOKUP(X227,docentes!$A:$E,5,0)</f>
        <v>CECS</v>
      </c>
    </row>
    <row r="228" spans="1:35" s="44" customFormat="1" ht="66.75" customHeight="1">
      <c r="A228" s="148" t="s">
        <v>884</v>
      </c>
      <c r="B228" s="146" t="s">
        <v>891</v>
      </c>
      <c r="C228" s="149" t="s">
        <v>886</v>
      </c>
      <c r="D228" s="150">
        <v>2</v>
      </c>
      <c r="E228" s="150" t="s">
        <v>887</v>
      </c>
      <c r="F228" s="151" t="s">
        <v>892</v>
      </c>
      <c r="G228" s="152">
        <v>3</v>
      </c>
      <c r="H228" s="152">
        <v>1</v>
      </c>
      <c r="I228" s="153">
        <v>4</v>
      </c>
      <c r="J228" s="154">
        <v>3</v>
      </c>
      <c r="K228" s="155">
        <v>1</v>
      </c>
      <c r="L228" s="148" t="s">
        <v>97</v>
      </c>
      <c r="M228" s="148" t="s">
        <v>58</v>
      </c>
      <c r="N228" s="156"/>
      <c r="O228" s="157" t="s">
        <v>59</v>
      </c>
      <c r="P228" s="158">
        <v>30</v>
      </c>
      <c r="Q228" s="152" t="s">
        <v>60</v>
      </c>
      <c r="R228" s="152" t="s">
        <v>70</v>
      </c>
      <c r="S228" s="148" t="s">
        <v>893</v>
      </c>
      <c r="T228" s="148" t="s">
        <v>894</v>
      </c>
      <c r="U228" s="159">
        <v>257</v>
      </c>
      <c r="V228" s="160" t="str">
        <f>VLOOKUP(U228,docentes!$A:$E,2,0)</f>
        <v>IVAN ROBERTO SANTANA CASELLA</v>
      </c>
      <c r="W228" s="161" t="str">
        <f>VLOOKUP(U228,docentes!$A:$E,5,0)</f>
        <v>CECS</v>
      </c>
      <c r="X228" s="176">
        <v>257</v>
      </c>
      <c r="Y228" s="160" t="str">
        <f>VLOOKUP(X228,docentes!$A:$E,2,0)</f>
        <v>IVAN ROBERTO SANTANA CASELLA</v>
      </c>
      <c r="Z228" s="177" t="str">
        <f>VLOOKUP(X228,docentes!$A:$E,5,0)</f>
        <v>CECS</v>
      </c>
    </row>
    <row r="229" spans="1:35" ht="66.75" customHeight="1">
      <c r="A229" s="148" t="s">
        <v>134</v>
      </c>
      <c r="B229" s="146" t="s">
        <v>895</v>
      </c>
      <c r="C229" s="149" t="s">
        <v>896</v>
      </c>
      <c r="D229" s="150">
        <v>2</v>
      </c>
      <c r="E229" s="150" t="s">
        <v>897</v>
      </c>
      <c r="F229" s="151" t="s">
        <v>898</v>
      </c>
      <c r="G229" s="152">
        <v>3</v>
      </c>
      <c r="H229" s="152">
        <v>0</v>
      </c>
      <c r="I229" s="153">
        <v>4</v>
      </c>
      <c r="J229" s="154">
        <v>3</v>
      </c>
      <c r="K229" s="155">
        <v>0</v>
      </c>
      <c r="L229" s="148" t="s">
        <v>57</v>
      </c>
      <c r="M229" s="148" t="s">
        <v>58</v>
      </c>
      <c r="N229" s="156"/>
      <c r="O229" s="157" t="s">
        <v>59</v>
      </c>
      <c r="P229" s="158">
        <v>72</v>
      </c>
      <c r="Q229" s="152" t="s">
        <v>60</v>
      </c>
      <c r="R229" s="152" t="s">
        <v>61</v>
      </c>
      <c r="S229" s="148" t="s">
        <v>899</v>
      </c>
      <c r="T229" s="148">
        <v>0</v>
      </c>
      <c r="U229" s="159">
        <v>457</v>
      </c>
      <c r="V229" s="160" t="str">
        <f>VLOOKUP(U229,docentes!$A:$E,2,0)</f>
        <v>PEDRO SERGIO PEREIRA LIMA</v>
      </c>
      <c r="W229" s="161" t="str">
        <f>VLOOKUP(U229,docentes!$A:$E,5,0)</f>
        <v>CECS</v>
      </c>
      <c r="X229" s="162"/>
      <c r="Y229" s="163"/>
      <c r="Z229" s="164"/>
      <c r="AA229" s="44"/>
      <c r="AB229" s="44"/>
      <c r="AC229" s="44"/>
      <c r="AD229" s="44"/>
      <c r="AE229" s="44"/>
      <c r="AF229" s="44"/>
      <c r="AG229" s="44"/>
      <c r="AH229" s="44"/>
      <c r="AI229" s="44"/>
    </row>
    <row r="230" spans="1:35" s="44" customFormat="1" ht="66.75" customHeight="1">
      <c r="A230" s="148" t="s">
        <v>134</v>
      </c>
      <c r="B230" s="146" t="s">
        <v>900</v>
      </c>
      <c r="C230" s="149" t="s">
        <v>896</v>
      </c>
      <c r="D230" s="150">
        <v>2</v>
      </c>
      <c r="E230" s="150" t="s">
        <v>897</v>
      </c>
      <c r="F230" s="151" t="s">
        <v>901</v>
      </c>
      <c r="G230" s="152">
        <v>3</v>
      </c>
      <c r="H230" s="152">
        <v>0</v>
      </c>
      <c r="I230" s="153">
        <v>4</v>
      </c>
      <c r="J230" s="154">
        <v>3</v>
      </c>
      <c r="K230" s="155">
        <v>0</v>
      </c>
      <c r="L230" s="148" t="s">
        <v>902</v>
      </c>
      <c r="M230" s="148" t="s">
        <v>58</v>
      </c>
      <c r="N230" s="156"/>
      <c r="O230" s="165" t="s">
        <v>903</v>
      </c>
      <c r="P230" s="158">
        <v>73</v>
      </c>
      <c r="Q230" s="152" t="s">
        <v>60</v>
      </c>
      <c r="R230" s="152" t="s">
        <v>70</v>
      </c>
      <c r="S230" s="148" t="s">
        <v>904</v>
      </c>
      <c r="T230" s="148">
        <v>0</v>
      </c>
      <c r="U230" s="159">
        <v>457</v>
      </c>
      <c r="V230" s="160" t="str">
        <f>VLOOKUP(U230,docentes!$A:$E,2,0)</f>
        <v>PEDRO SERGIO PEREIRA LIMA</v>
      </c>
      <c r="W230" s="161" t="str">
        <f>VLOOKUP(U230,docentes!$A:$E,5,0)</f>
        <v>CECS</v>
      </c>
      <c r="X230" s="162"/>
      <c r="Y230" s="163"/>
      <c r="Z230" s="164"/>
    </row>
    <row r="231" spans="1:35" s="44" customFormat="1" ht="66.75" customHeight="1">
      <c r="A231" s="148" t="s">
        <v>193</v>
      </c>
      <c r="B231" s="146" t="s">
        <v>905</v>
      </c>
      <c r="C231" s="149" t="s">
        <v>906</v>
      </c>
      <c r="D231" s="150">
        <v>2</v>
      </c>
      <c r="E231" s="150" t="s">
        <v>907</v>
      </c>
      <c r="F231" s="151" t="s">
        <v>908</v>
      </c>
      <c r="G231" s="152">
        <v>4</v>
      </c>
      <c r="H231" s="152">
        <v>0</v>
      </c>
      <c r="I231" s="153">
        <v>4</v>
      </c>
      <c r="J231" s="154">
        <v>4</v>
      </c>
      <c r="K231" s="155">
        <v>0</v>
      </c>
      <c r="L231" s="148" t="s">
        <v>97</v>
      </c>
      <c r="M231" s="148" t="s">
        <v>58</v>
      </c>
      <c r="N231" s="151"/>
      <c r="O231" s="157" t="s">
        <v>59</v>
      </c>
      <c r="P231" s="158">
        <v>42</v>
      </c>
      <c r="Q231" s="152" t="s">
        <v>76</v>
      </c>
      <c r="R231" s="152" t="s">
        <v>61</v>
      </c>
      <c r="S231" s="148" t="s">
        <v>909</v>
      </c>
      <c r="T231" s="148">
        <v>0</v>
      </c>
      <c r="U231" s="159">
        <v>81</v>
      </c>
      <c r="V231" s="160" t="str">
        <f>VLOOKUP(U231,docentes!$A:$E,2,0)</f>
        <v>CAMILA CALDEIRA NUNES DIAS</v>
      </c>
      <c r="W231" s="161" t="str">
        <f>VLOOKUP(U231,docentes!$A:$E,5,0)</f>
        <v>CECS</v>
      </c>
      <c r="X231" s="162"/>
      <c r="Y231" s="163"/>
      <c r="Z231" s="164"/>
    </row>
    <row r="232" spans="1:35" s="44" customFormat="1" ht="66.75" customHeight="1">
      <c r="A232" s="148" t="s">
        <v>193</v>
      </c>
      <c r="B232" s="146" t="s">
        <v>910</v>
      </c>
      <c r="C232" s="149" t="s">
        <v>906</v>
      </c>
      <c r="D232" s="150">
        <v>2</v>
      </c>
      <c r="E232" s="150" t="s">
        <v>907</v>
      </c>
      <c r="F232" s="151" t="s">
        <v>911</v>
      </c>
      <c r="G232" s="152">
        <v>4</v>
      </c>
      <c r="H232" s="152">
        <v>0</v>
      </c>
      <c r="I232" s="153">
        <v>4</v>
      </c>
      <c r="J232" s="154">
        <v>4</v>
      </c>
      <c r="K232" s="155">
        <v>0</v>
      </c>
      <c r="L232" s="148" t="s">
        <v>821</v>
      </c>
      <c r="M232" s="148" t="s">
        <v>912</v>
      </c>
      <c r="N232" s="151"/>
      <c r="O232" s="148" t="s">
        <v>913</v>
      </c>
      <c r="P232" s="158">
        <v>44</v>
      </c>
      <c r="Q232" s="152" t="s">
        <v>76</v>
      </c>
      <c r="R232" s="152" t="s">
        <v>70</v>
      </c>
      <c r="S232" s="148" t="s">
        <v>914</v>
      </c>
      <c r="T232" s="148">
        <v>0</v>
      </c>
      <c r="U232" s="159">
        <v>81</v>
      </c>
      <c r="V232" s="160" t="str">
        <f>VLOOKUP(U232,docentes!$A:$E,2,0)</f>
        <v>CAMILA CALDEIRA NUNES DIAS</v>
      </c>
      <c r="W232" s="161" t="str">
        <f>VLOOKUP(U232,docentes!$A:$E,5,0)</f>
        <v>CECS</v>
      </c>
      <c r="X232" s="162"/>
      <c r="Y232" s="163"/>
      <c r="Z232" s="164"/>
    </row>
    <row r="233" spans="1:35" ht="66.75" customHeight="1">
      <c r="A233" s="148" t="s">
        <v>915</v>
      </c>
      <c r="B233" s="146" t="s">
        <v>916</v>
      </c>
      <c r="C233" s="149" t="s">
        <v>917</v>
      </c>
      <c r="D233" s="150">
        <v>5</v>
      </c>
      <c r="E233" s="150" t="s">
        <v>918</v>
      </c>
      <c r="F233" s="151" t="s">
        <v>919</v>
      </c>
      <c r="G233" s="152">
        <v>0</v>
      </c>
      <c r="H233" s="152">
        <v>2</v>
      </c>
      <c r="I233" s="153">
        <v>5</v>
      </c>
      <c r="J233" s="154">
        <v>0</v>
      </c>
      <c r="K233" s="155">
        <v>2</v>
      </c>
      <c r="L233" s="148" t="s">
        <v>57</v>
      </c>
      <c r="M233" s="148" t="s">
        <v>58</v>
      </c>
      <c r="N233" s="156"/>
      <c r="O233" s="157" t="s">
        <v>59</v>
      </c>
      <c r="P233" s="158">
        <v>35</v>
      </c>
      <c r="Q233" s="152" t="s">
        <v>60</v>
      </c>
      <c r="R233" s="152" t="s">
        <v>61</v>
      </c>
      <c r="S233" s="148" t="s">
        <v>920</v>
      </c>
      <c r="T233" s="148">
        <v>0</v>
      </c>
      <c r="U233" s="170"/>
      <c r="V233" s="163"/>
      <c r="W233" s="171"/>
      <c r="X233" s="176"/>
      <c r="Y233" s="160"/>
      <c r="Z233" s="177"/>
      <c r="AA233" s="44"/>
      <c r="AB233" s="44"/>
      <c r="AC233" s="44"/>
      <c r="AD233" s="44"/>
      <c r="AE233" s="44"/>
      <c r="AF233" s="44"/>
      <c r="AG233" s="44"/>
      <c r="AH233" s="44"/>
      <c r="AI233" s="44"/>
    </row>
    <row r="234" spans="1:35" s="44" customFormat="1" ht="66.75" customHeight="1">
      <c r="A234" s="148" t="s">
        <v>915</v>
      </c>
      <c r="B234" s="146" t="s">
        <v>921</v>
      </c>
      <c r="C234" s="149" t="s">
        <v>917</v>
      </c>
      <c r="D234" s="150">
        <v>5</v>
      </c>
      <c r="E234" s="150" t="s">
        <v>918</v>
      </c>
      <c r="F234" s="151" t="s">
        <v>922</v>
      </c>
      <c r="G234" s="152">
        <v>0</v>
      </c>
      <c r="H234" s="152">
        <v>2</v>
      </c>
      <c r="I234" s="153">
        <v>5</v>
      </c>
      <c r="J234" s="154">
        <v>0</v>
      </c>
      <c r="K234" s="155">
        <v>2</v>
      </c>
      <c r="L234" s="148" t="s">
        <v>57</v>
      </c>
      <c r="M234" s="148" t="s">
        <v>58</v>
      </c>
      <c r="N234" s="156"/>
      <c r="O234" s="157" t="s">
        <v>59</v>
      </c>
      <c r="P234" s="158">
        <v>35</v>
      </c>
      <c r="Q234" s="152" t="s">
        <v>60</v>
      </c>
      <c r="R234" s="152" t="s">
        <v>70</v>
      </c>
      <c r="S234" s="148" t="s">
        <v>923</v>
      </c>
      <c r="T234" s="148">
        <v>0</v>
      </c>
      <c r="U234" s="170"/>
      <c r="V234" s="163"/>
      <c r="W234" s="171"/>
      <c r="X234" s="176">
        <v>151</v>
      </c>
      <c r="Y234" s="160" t="str">
        <f>VLOOKUP(X234,docentes!$A:$E,2,0)</f>
        <v>EDUARDO DE MORAES GREGORES</v>
      </c>
      <c r="Z234" s="177" t="str">
        <f>VLOOKUP(X234,docentes!$A:$E,5,0)</f>
        <v>CCNH</v>
      </c>
      <c r="AH234" s="45"/>
      <c r="AI234" s="45"/>
    </row>
    <row r="235" spans="1:35" ht="66.75" customHeight="1">
      <c r="A235" s="148" t="s">
        <v>915</v>
      </c>
      <c r="B235" s="146" t="s">
        <v>924</v>
      </c>
      <c r="C235" s="149" t="s">
        <v>917</v>
      </c>
      <c r="D235" s="150">
        <v>5</v>
      </c>
      <c r="E235" s="150" t="s">
        <v>918</v>
      </c>
      <c r="F235" s="151" t="s">
        <v>925</v>
      </c>
      <c r="G235" s="152">
        <v>0</v>
      </c>
      <c r="H235" s="152">
        <v>2</v>
      </c>
      <c r="I235" s="153">
        <v>5</v>
      </c>
      <c r="J235" s="154">
        <v>0</v>
      </c>
      <c r="K235" s="155">
        <v>2</v>
      </c>
      <c r="L235" s="148" t="s">
        <v>57</v>
      </c>
      <c r="M235" s="148" t="s">
        <v>58</v>
      </c>
      <c r="N235" s="156"/>
      <c r="O235" s="157" t="s">
        <v>59</v>
      </c>
      <c r="P235" s="158">
        <v>35</v>
      </c>
      <c r="Q235" s="152" t="s">
        <v>60</v>
      </c>
      <c r="R235" s="152" t="s">
        <v>61</v>
      </c>
      <c r="S235" s="148" t="s">
        <v>926</v>
      </c>
      <c r="T235" s="148">
        <v>0</v>
      </c>
      <c r="U235" s="170"/>
      <c r="V235" s="163"/>
      <c r="W235" s="171"/>
      <c r="X235" s="176">
        <v>290</v>
      </c>
      <c r="Y235" s="160" t="str">
        <f>VLOOKUP(X235,docentes!$A:$E,2,0)</f>
        <v>JOSE KENICHI MIZUKOSHI</v>
      </c>
      <c r="Z235" s="177" t="str">
        <f>VLOOKUP(X235,docentes!$A:$E,5,0)</f>
        <v>CCNH</v>
      </c>
      <c r="AA235" s="44"/>
      <c r="AB235" s="44"/>
      <c r="AC235" s="44"/>
      <c r="AD235" s="44"/>
      <c r="AE235" s="44"/>
      <c r="AF235" s="44"/>
      <c r="AG235" s="44"/>
      <c r="AH235" s="44"/>
      <c r="AI235" s="44"/>
    </row>
    <row r="236" spans="1:35" s="44" customFormat="1" ht="66.75" customHeight="1">
      <c r="A236" s="148" t="s">
        <v>915</v>
      </c>
      <c r="B236" s="146" t="s">
        <v>927</v>
      </c>
      <c r="C236" s="149" t="s">
        <v>917</v>
      </c>
      <c r="D236" s="150">
        <v>5</v>
      </c>
      <c r="E236" s="150" t="s">
        <v>918</v>
      </c>
      <c r="F236" s="151" t="s">
        <v>928</v>
      </c>
      <c r="G236" s="152">
        <v>0</v>
      </c>
      <c r="H236" s="152">
        <v>2</v>
      </c>
      <c r="I236" s="153">
        <v>5</v>
      </c>
      <c r="J236" s="154">
        <v>0</v>
      </c>
      <c r="K236" s="155">
        <v>2</v>
      </c>
      <c r="L236" s="148" t="s">
        <v>57</v>
      </c>
      <c r="M236" s="148" t="s">
        <v>58</v>
      </c>
      <c r="N236" s="156"/>
      <c r="O236" s="157" t="s">
        <v>59</v>
      </c>
      <c r="P236" s="158">
        <v>35</v>
      </c>
      <c r="Q236" s="152" t="s">
        <v>60</v>
      </c>
      <c r="R236" s="152" t="s">
        <v>70</v>
      </c>
      <c r="S236" s="148" t="s">
        <v>929</v>
      </c>
      <c r="T236" s="148">
        <v>0</v>
      </c>
      <c r="U236" s="170"/>
      <c r="V236" s="163"/>
      <c r="W236" s="171"/>
      <c r="X236" s="176">
        <v>204</v>
      </c>
      <c r="Y236" s="160" t="str">
        <f>VLOOKUP(X236,docentes!$A:$E,2,0)</f>
        <v>FRANCISCO EUGENIO MENDONCA DA SILVEIRA</v>
      </c>
      <c r="Z236" s="177" t="str">
        <f>VLOOKUP(X236,docentes!$A:$E,5,0)</f>
        <v>CCNH</v>
      </c>
    </row>
    <row r="237" spans="1:35" ht="66.75" customHeight="1">
      <c r="A237" s="148" t="s">
        <v>915</v>
      </c>
      <c r="B237" s="146" t="s">
        <v>930</v>
      </c>
      <c r="C237" s="149" t="s">
        <v>917</v>
      </c>
      <c r="D237" s="150">
        <v>5</v>
      </c>
      <c r="E237" s="150" t="s">
        <v>918</v>
      </c>
      <c r="F237" s="151" t="s">
        <v>931</v>
      </c>
      <c r="G237" s="152">
        <v>0</v>
      </c>
      <c r="H237" s="152">
        <v>2</v>
      </c>
      <c r="I237" s="153">
        <v>5</v>
      </c>
      <c r="J237" s="154">
        <v>0</v>
      </c>
      <c r="K237" s="155">
        <v>2</v>
      </c>
      <c r="L237" s="148" t="s">
        <v>57</v>
      </c>
      <c r="M237" s="148" t="s">
        <v>58</v>
      </c>
      <c r="N237" s="156"/>
      <c r="O237" s="157" t="s">
        <v>59</v>
      </c>
      <c r="P237" s="158">
        <v>35</v>
      </c>
      <c r="Q237" s="152" t="s">
        <v>60</v>
      </c>
      <c r="R237" s="152" t="s">
        <v>61</v>
      </c>
      <c r="S237" s="148" t="s">
        <v>932</v>
      </c>
      <c r="T237" s="148">
        <v>0</v>
      </c>
      <c r="U237" s="170"/>
      <c r="V237" s="163"/>
      <c r="W237" s="171"/>
      <c r="X237" s="176">
        <v>466</v>
      </c>
      <c r="Y237" s="160" t="str">
        <f>VLOOKUP(X237,docentes!$A:$E,2,0)</f>
        <v>RAQUEL DE ALMEIDA RIBEIRO</v>
      </c>
      <c r="Z237" s="177" t="str">
        <f>VLOOKUP(X237,docentes!$A:$E,5,0)</f>
        <v>CCNH</v>
      </c>
      <c r="AA237" s="44"/>
      <c r="AB237" s="44"/>
      <c r="AC237" s="44"/>
      <c r="AD237" s="44"/>
      <c r="AE237" s="44"/>
      <c r="AF237" s="44"/>
      <c r="AG237" s="44"/>
      <c r="AH237" s="44"/>
      <c r="AI237" s="44"/>
    </row>
    <row r="238" spans="1:35" s="44" customFormat="1" ht="66.75" customHeight="1">
      <c r="A238" s="148" t="s">
        <v>184</v>
      </c>
      <c r="B238" s="146" t="s">
        <v>933</v>
      </c>
      <c r="C238" s="149" t="s">
        <v>934</v>
      </c>
      <c r="D238" s="150">
        <v>2</v>
      </c>
      <c r="E238" s="150" t="s">
        <v>935</v>
      </c>
      <c r="F238" s="151" t="s">
        <v>936</v>
      </c>
      <c r="G238" s="152">
        <v>3</v>
      </c>
      <c r="H238" s="152">
        <v>0</v>
      </c>
      <c r="I238" s="153">
        <v>1</v>
      </c>
      <c r="J238" s="154">
        <v>3</v>
      </c>
      <c r="K238" s="155">
        <v>0</v>
      </c>
      <c r="L238" s="148" t="s">
        <v>57</v>
      </c>
      <c r="M238" s="148" t="s">
        <v>58</v>
      </c>
      <c r="N238" s="156"/>
      <c r="O238" s="157" t="s">
        <v>59</v>
      </c>
      <c r="P238" s="158">
        <v>60</v>
      </c>
      <c r="Q238" s="152" t="s">
        <v>60</v>
      </c>
      <c r="R238" s="152" t="s">
        <v>61</v>
      </c>
      <c r="S238" s="148" t="s">
        <v>937</v>
      </c>
      <c r="T238" s="148">
        <v>0</v>
      </c>
      <c r="U238" s="159">
        <v>339</v>
      </c>
      <c r="V238" s="160" t="str">
        <f>VLOOKUP(U238,docentes!$A:$E,2,0)</f>
        <v>LUISA HELENA DOS SANTOS OLIVEIRA</v>
      </c>
      <c r="W238" s="161" t="str">
        <f>VLOOKUP(U238,docentes!$A:$E,5,0)</f>
        <v>CECS</v>
      </c>
      <c r="X238" s="162"/>
      <c r="Y238" s="163"/>
      <c r="Z238" s="164"/>
    </row>
    <row r="239" spans="1:35" s="44" customFormat="1" ht="66.75" customHeight="1">
      <c r="A239" s="148" t="s">
        <v>184</v>
      </c>
      <c r="B239" s="146" t="s">
        <v>938</v>
      </c>
      <c r="C239" s="149" t="s">
        <v>934</v>
      </c>
      <c r="D239" s="150">
        <v>2</v>
      </c>
      <c r="E239" s="150" t="s">
        <v>935</v>
      </c>
      <c r="F239" s="151" t="s">
        <v>939</v>
      </c>
      <c r="G239" s="152">
        <v>3</v>
      </c>
      <c r="H239" s="152">
        <v>0</v>
      </c>
      <c r="I239" s="153">
        <v>1</v>
      </c>
      <c r="J239" s="154">
        <v>3</v>
      </c>
      <c r="K239" s="155">
        <v>0</v>
      </c>
      <c r="L239" s="148" t="s">
        <v>821</v>
      </c>
      <c r="M239" s="148" t="s">
        <v>68</v>
      </c>
      <c r="N239" s="156">
        <v>65</v>
      </c>
      <c r="O239" s="165" t="s">
        <v>940</v>
      </c>
      <c r="P239" s="158">
        <v>65</v>
      </c>
      <c r="Q239" s="152" t="s">
        <v>60</v>
      </c>
      <c r="R239" s="152" t="s">
        <v>70</v>
      </c>
      <c r="S239" s="148" t="s">
        <v>941</v>
      </c>
      <c r="T239" s="148">
        <v>0</v>
      </c>
      <c r="U239" s="159">
        <v>225</v>
      </c>
      <c r="V239" s="160" t="str">
        <f>VLOOKUP(U239,docentes!$A:$E,2,0)</f>
        <v>GIULLIANA MONDELLI</v>
      </c>
      <c r="W239" s="161" t="str">
        <f>VLOOKUP(U239,docentes!$A:$E,5,0)</f>
        <v>CECS</v>
      </c>
      <c r="X239" s="162"/>
      <c r="Y239" s="163"/>
      <c r="Z239" s="164"/>
    </row>
    <row r="240" spans="1:35" s="44" customFormat="1" ht="66.75" customHeight="1">
      <c r="A240" s="148" t="s">
        <v>134</v>
      </c>
      <c r="B240" s="146" t="s">
        <v>942</v>
      </c>
      <c r="C240" s="149" t="s">
        <v>943</v>
      </c>
      <c r="D240" s="150">
        <v>1</v>
      </c>
      <c r="E240" s="150" t="s">
        <v>944</v>
      </c>
      <c r="F240" s="151" t="s">
        <v>945</v>
      </c>
      <c r="G240" s="152">
        <v>3</v>
      </c>
      <c r="H240" s="152">
        <v>1</v>
      </c>
      <c r="I240" s="153">
        <v>4</v>
      </c>
      <c r="J240" s="154">
        <v>3</v>
      </c>
      <c r="K240" s="155">
        <v>1</v>
      </c>
      <c r="L240" s="148" t="s">
        <v>57</v>
      </c>
      <c r="M240" s="148" t="s">
        <v>58</v>
      </c>
      <c r="N240" s="156"/>
      <c r="O240" s="157" t="s">
        <v>59</v>
      </c>
      <c r="P240" s="158">
        <v>30</v>
      </c>
      <c r="Q240" s="152" t="s">
        <v>60</v>
      </c>
      <c r="R240" s="152" t="s">
        <v>61</v>
      </c>
      <c r="S240" s="148" t="s">
        <v>946</v>
      </c>
      <c r="T240" s="148" t="s">
        <v>947</v>
      </c>
      <c r="U240" s="159">
        <v>26</v>
      </c>
      <c r="V240" s="160" t="str">
        <f>VLOOKUP(U240,docentes!$A:$E,2,0)</f>
        <v>ALFREDO DEL SOLE LORDELO</v>
      </c>
      <c r="W240" s="161" t="str">
        <f>VLOOKUP(U240,docentes!$A:$E,5,0)</f>
        <v>CECS</v>
      </c>
      <c r="X240" s="176">
        <v>26</v>
      </c>
      <c r="Y240" s="160" t="str">
        <f>VLOOKUP(X240,docentes!$A:$E,2,0)</f>
        <v>ALFREDO DEL SOLE LORDELO</v>
      </c>
      <c r="Z240" s="177" t="str">
        <f>VLOOKUP(X240,docentes!$A:$E,5,0)</f>
        <v>CECS</v>
      </c>
    </row>
    <row r="241" spans="1:35" s="44" customFormat="1" ht="66.75" customHeight="1">
      <c r="A241" s="148" t="s">
        <v>134</v>
      </c>
      <c r="B241" s="146" t="s">
        <v>948</v>
      </c>
      <c r="C241" s="149" t="s">
        <v>949</v>
      </c>
      <c r="D241" s="150">
        <v>1</v>
      </c>
      <c r="E241" s="150" t="s">
        <v>950</v>
      </c>
      <c r="F241" s="151" t="s">
        <v>951</v>
      </c>
      <c r="G241" s="152">
        <v>3</v>
      </c>
      <c r="H241" s="152">
        <v>1</v>
      </c>
      <c r="I241" s="153">
        <v>4</v>
      </c>
      <c r="J241" s="154">
        <v>3</v>
      </c>
      <c r="K241" s="155">
        <v>1</v>
      </c>
      <c r="L241" s="148" t="s">
        <v>57</v>
      </c>
      <c r="M241" s="148" t="s">
        <v>58</v>
      </c>
      <c r="N241" s="166"/>
      <c r="O241" s="157" t="s">
        <v>59</v>
      </c>
      <c r="P241" s="158">
        <v>31</v>
      </c>
      <c r="Q241" s="152" t="s">
        <v>60</v>
      </c>
      <c r="R241" s="152" t="s">
        <v>61</v>
      </c>
      <c r="S241" s="148" t="s">
        <v>952</v>
      </c>
      <c r="T241" s="148" t="s">
        <v>953</v>
      </c>
      <c r="U241" s="159">
        <v>555</v>
      </c>
      <c r="V241" s="160" t="str">
        <f>VLOOKUP(U241,docentes!$A:$E,2,0)</f>
        <v>VICTOR AUGUSTO FERNANDES DE CAMPOS</v>
      </c>
      <c r="W241" s="161" t="str">
        <f>VLOOKUP(U241,docentes!$A:$E,5,0)</f>
        <v>CECS</v>
      </c>
      <c r="X241" s="176">
        <v>555</v>
      </c>
      <c r="Y241" s="160" t="str">
        <f>VLOOKUP(X241,docentes!$A:$E,2,0)</f>
        <v>VICTOR AUGUSTO FERNANDES DE CAMPOS</v>
      </c>
      <c r="Z241" s="177" t="str">
        <f>VLOOKUP(X241,docentes!$A:$E,5,0)</f>
        <v>CECS</v>
      </c>
    </row>
    <row r="242" spans="1:35" ht="66.75" customHeight="1">
      <c r="A242" s="148" t="s">
        <v>128</v>
      </c>
      <c r="B242" s="146" t="s">
        <v>954</v>
      </c>
      <c r="C242" s="149" t="s">
        <v>955</v>
      </c>
      <c r="D242" s="150">
        <v>1</v>
      </c>
      <c r="E242" s="150" t="s">
        <v>956</v>
      </c>
      <c r="F242" s="151" t="s">
        <v>957</v>
      </c>
      <c r="G242" s="152">
        <v>4</v>
      </c>
      <c r="H242" s="152">
        <v>2</v>
      </c>
      <c r="I242" s="153">
        <v>9</v>
      </c>
      <c r="J242" s="154">
        <v>4</v>
      </c>
      <c r="K242" s="155">
        <v>2</v>
      </c>
      <c r="L242" s="148" t="s">
        <v>57</v>
      </c>
      <c r="M242" s="148" t="s">
        <v>58</v>
      </c>
      <c r="N242" s="156"/>
      <c r="O242" s="157" t="s">
        <v>59</v>
      </c>
      <c r="P242" s="158">
        <v>62</v>
      </c>
      <c r="Q242" s="152" t="s">
        <v>76</v>
      </c>
      <c r="R242" s="152" t="s">
        <v>61</v>
      </c>
      <c r="S242" s="148" t="s">
        <v>958</v>
      </c>
      <c r="T242" s="148">
        <v>0</v>
      </c>
      <c r="U242" s="159">
        <v>169</v>
      </c>
      <c r="V242" s="160" t="str">
        <f>VLOOKUP(U242,docentes!$A:$E,2,0)</f>
        <v>EVANDIR MEGLIORINI</v>
      </c>
      <c r="W242" s="161" t="str">
        <f>VLOOKUP(U242,docentes!$A:$E,5,0)</f>
        <v>CECS</v>
      </c>
      <c r="X242" s="176">
        <v>169</v>
      </c>
      <c r="Y242" s="160" t="str">
        <f>VLOOKUP(X242,docentes!$A:$E,2,0)</f>
        <v>EVANDIR MEGLIORINI</v>
      </c>
      <c r="Z242" s="177" t="str">
        <f>VLOOKUP(X242,docentes!$A:$E,5,0)</f>
        <v>CECS</v>
      </c>
      <c r="AA242" s="44"/>
      <c r="AB242" s="44"/>
      <c r="AC242" s="44"/>
      <c r="AD242" s="44"/>
      <c r="AE242" s="44"/>
      <c r="AF242" s="44"/>
      <c r="AG242" s="44"/>
      <c r="AH242" s="44"/>
      <c r="AI242" s="44"/>
    </row>
    <row r="243" spans="1:35" s="44" customFormat="1" ht="66.75" customHeight="1">
      <c r="A243" s="148" t="s">
        <v>713</v>
      </c>
      <c r="B243" s="146" t="s">
        <v>959</v>
      </c>
      <c r="C243" s="149" t="s">
        <v>960</v>
      </c>
      <c r="D243" s="150">
        <v>5</v>
      </c>
      <c r="E243" s="150" t="s">
        <v>961</v>
      </c>
      <c r="F243" s="151" t="s">
        <v>962</v>
      </c>
      <c r="G243" s="152">
        <v>4</v>
      </c>
      <c r="H243" s="152">
        <v>0</v>
      </c>
      <c r="I243" s="153">
        <v>4</v>
      </c>
      <c r="J243" s="154">
        <v>4</v>
      </c>
      <c r="K243" s="155">
        <v>0</v>
      </c>
      <c r="L243" s="148" t="s">
        <v>57</v>
      </c>
      <c r="M243" s="148" t="s">
        <v>58</v>
      </c>
      <c r="N243" s="156"/>
      <c r="O243" s="157" t="s">
        <v>59</v>
      </c>
      <c r="P243" s="158">
        <v>90</v>
      </c>
      <c r="Q243" s="152" t="s">
        <v>76</v>
      </c>
      <c r="R243" s="152" t="s">
        <v>61</v>
      </c>
      <c r="S243" s="148" t="s">
        <v>963</v>
      </c>
      <c r="T243" s="148">
        <v>0</v>
      </c>
      <c r="U243" s="159">
        <v>432</v>
      </c>
      <c r="V243" s="160" t="str">
        <f>VLOOKUP(U243,docentes!$A:$E,2,0)</f>
        <v>NEUSA SERRA</v>
      </c>
      <c r="W243" s="161" t="str">
        <f>VLOOKUP(U243,docentes!$A:$E,5,0)</f>
        <v>CECS</v>
      </c>
      <c r="X243" s="162"/>
      <c r="Y243" s="163"/>
      <c r="Z243" s="164"/>
    </row>
    <row r="244" spans="1:35" ht="66.75" customHeight="1">
      <c r="A244" s="148" t="s">
        <v>713</v>
      </c>
      <c r="B244" s="146" t="s">
        <v>964</v>
      </c>
      <c r="C244" s="149" t="s">
        <v>960</v>
      </c>
      <c r="D244" s="150">
        <v>5</v>
      </c>
      <c r="E244" s="150" t="s">
        <v>961</v>
      </c>
      <c r="F244" s="151" t="s">
        <v>965</v>
      </c>
      <c r="G244" s="152">
        <v>4</v>
      </c>
      <c r="H244" s="152">
        <v>0</v>
      </c>
      <c r="I244" s="153">
        <v>4</v>
      </c>
      <c r="J244" s="154">
        <v>4</v>
      </c>
      <c r="K244" s="155">
        <v>0</v>
      </c>
      <c r="L244" s="148" t="s">
        <v>57</v>
      </c>
      <c r="M244" s="148" t="s">
        <v>58</v>
      </c>
      <c r="N244" s="156"/>
      <c r="O244" s="157" t="s">
        <v>59</v>
      </c>
      <c r="P244" s="158">
        <v>90</v>
      </c>
      <c r="Q244" s="152" t="s">
        <v>76</v>
      </c>
      <c r="R244" s="152" t="s">
        <v>70</v>
      </c>
      <c r="S244" s="148" t="s">
        <v>966</v>
      </c>
      <c r="T244" s="148">
        <v>0</v>
      </c>
      <c r="U244" s="159">
        <v>551</v>
      </c>
      <c r="V244" s="160" t="str">
        <f>VLOOKUP(U244,docentes!$A:$E,2,0)</f>
        <v>VANESSA LUCENA EMPINOTTI</v>
      </c>
      <c r="W244" s="161" t="str">
        <f>VLOOKUP(U244,docentes!$A:$E,5,0)</f>
        <v>CECS</v>
      </c>
      <c r="X244" s="162"/>
      <c r="Y244" s="163"/>
      <c r="Z244" s="164"/>
      <c r="AA244" s="44"/>
      <c r="AB244" s="44"/>
      <c r="AC244" s="44"/>
      <c r="AD244" s="44"/>
      <c r="AE244" s="44"/>
      <c r="AF244" s="44"/>
      <c r="AG244" s="44"/>
      <c r="AH244" s="44"/>
      <c r="AI244" s="44"/>
    </row>
    <row r="245" spans="1:35" ht="66.75" customHeight="1">
      <c r="A245" s="148" t="s">
        <v>713</v>
      </c>
      <c r="B245" s="146" t="s">
        <v>967</v>
      </c>
      <c r="C245" s="149" t="s">
        <v>960</v>
      </c>
      <c r="D245" s="150">
        <v>5</v>
      </c>
      <c r="E245" s="150" t="s">
        <v>961</v>
      </c>
      <c r="F245" s="151" t="s">
        <v>968</v>
      </c>
      <c r="G245" s="152">
        <v>4</v>
      </c>
      <c r="H245" s="152">
        <v>0</v>
      </c>
      <c r="I245" s="153">
        <v>4</v>
      </c>
      <c r="J245" s="154">
        <v>4</v>
      </c>
      <c r="K245" s="155">
        <v>0</v>
      </c>
      <c r="L245" s="148"/>
      <c r="M245" s="148"/>
      <c r="N245" s="156"/>
      <c r="O245" s="165" t="s">
        <v>969</v>
      </c>
      <c r="P245" s="158">
        <v>90</v>
      </c>
      <c r="Q245" s="152" t="s">
        <v>76</v>
      </c>
      <c r="R245" s="152" t="s">
        <v>70</v>
      </c>
      <c r="S245" s="148" t="s">
        <v>970</v>
      </c>
      <c r="T245" s="148"/>
      <c r="U245" s="159">
        <v>1002</v>
      </c>
      <c r="V245" s="160" t="str">
        <f>VLOOKUP(U245,docentes!$A:$E,2,0)</f>
        <v>OLYMPIO BARBANTI JUNIOR</v>
      </c>
      <c r="W245" s="161" t="str">
        <f>VLOOKUP(U245,docentes!$A:$E,5,0)</f>
        <v>não identificado</v>
      </c>
      <c r="X245" s="162"/>
      <c r="Y245" s="163"/>
      <c r="Z245" s="164"/>
      <c r="AA245" s="44"/>
      <c r="AB245" s="44"/>
      <c r="AC245" s="44"/>
      <c r="AD245" s="44"/>
      <c r="AE245" s="44"/>
      <c r="AF245" s="44"/>
      <c r="AG245" s="44"/>
      <c r="AH245" s="44"/>
      <c r="AI245" s="44"/>
    </row>
    <row r="246" spans="1:35" ht="66.75" customHeight="1">
      <c r="A246" s="148" t="s">
        <v>713</v>
      </c>
      <c r="B246" s="146" t="s">
        <v>971</v>
      </c>
      <c r="C246" s="149" t="s">
        <v>960</v>
      </c>
      <c r="D246" s="150">
        <v>5</v>
      </c>
      <c r="E246" s="150" t="s">
        <v>961</v>
      </c>
      <c r="F246" s="151" t="s">
        <v>972</v>
      </c>
      <c r="G246" s="152">
        <v>4</v>
      </c>
      <c r="H246" s="152">
        <v>0</v>
      </c>
      <c r="I246" s="153">
        <v>4</v>
      </c>
      <c r="J246" s="154">
        <v>4</v>
      </c>
      <c r="K246" s="155">
        <v>0</v>
      </c>
      <c r="L246" s="148" t="s">
        <v>821</v>
      </c>
      <c r="M246" s="148">
        <v>100</v>
      </c>
      <c r="N246" s="156"/>
      <c r="O246" s="165" t="s">
        <v>751</v>
      </c>
      <c r="P246" s="158"/>
      <c r="Q246" s="152" t="s">
        <v>76</v>
      </c>
      <c r="R246" s="152" t="s">
        <v>61</v>
      </c>
      <c r="S246" s="148" t="s">
        <v>973</v>
      </c>
      <c r="T246" s="148">
        <v>0</v>
      </c>
      <c r="U246" s="159">
        <v>338</v>
      </c>
      <c r="V246" s="160" t="str">
        <f>VLOOKUP(U246,docentes!$A:$E,2,0)</f>
        <v>LUIS ROBERTO DE PAULA</v>
      </c>
      <c r="W246" s="161" t="str">
        <f>VLOOKUP(U246,docentes!$A:$E,5,0)</f>
        <v>CECS</v>
      </c>
      <c r="X246" s="162"/>
      <c r="Y246" s="163"/>
      <c r="Z246" s="164"/>
      <c r="AA246" s="44"/>
      <c r="AB246" s="44"/>
      <c r="AC246" s="44"/>
      <c r="AD246" s="44"/>
      <c r="AE246" s="44"/>
      <c r="AF246" s="44"/>
      <c r="AG246" s="44"/>
      <c r="AH246" s="44"/>
      <c r="AI246" s="44"/>
    </row>
    <row r="247" spans="1:35" ht="66.75" customHeight="1">
      <c r="A247" s="148" t="s">
        <v>713</v>
      </c>
      <c r="B247" s="146" t="s">
        <v>974</v>
      </c>
      <c r="C247" s="149" t="s">
        <v>960</v>
      </c>
      <c r="D247" s="150">
        <v>5</v>
      </c>
      <c r="E247" s="150" t="s">
        <v>961</v>
      </c>
      <c r="F247" s="151" t="s">
        <v>975</v>
      </c>
      <c r="G247" s="152">
        <v>4</v>
      </c>
      <c r="H247" s="152">
        <v>0</v>
      </c>
      <c r="I247" s="153">
        <v>4</v>
      </c>
      <c r="J247" s="154">
        <v>4</v>
      </c>
      <c r="K247" s="155">
        <v>0</v>
      </c>
      <c r="L247" s="148" t="s">
        <v>976</v>
      </c>
      <c r="M247" s="148" t="s">
        <v>977</v>
      </c>
      <c r="N247" s="156">
        <v>90</v>
      </c>
      <c r="O247" s="148" t="s">
        <v>978</v>
      </c>
      <c r="P247" s="158">
        <v>90</v>
      </c>
      <c r="Q247" s="152" t="s">
        <v>76</v>
      </c>
      <c r="R247" s="152" t="s">
        <v>70</v>
      </c>
      <c r="S247" s="148" t="s">
        <v>979</v>
      </c>
      <c r="T247" s="148">
        <v>0</v>
      </c>
      <c r="U247" s="159">
        <v>134</v>
      </c>
      <c r="V247" s="160" t="str">
        <f>VLOOKUP(U247,docentes!$A:$E,2,0)</f>
        <v>DEMETRIO GASPARI CIRNE DE TOLEDO</v>
      </c>
      <c r="W247" s="161" t="str">
        <f>VLOOKUP(U247,docentes!$A:$E,5,0)</f>
        <v>CECS</v>
      </c>
      <c r="X247" s="162"/>
      <c r="Y247" s="163"/>
      <c r="Z247" s="164"/>
      <c r="AA247" s="44"/>
      <c r="AB247" s="44"/>
      <c r="AC247" s="44"/>
      <c r="AD247" s="44"/>
      <c r="AE247" s="44"/>
      <c r="AF247" s="44"/>
      <c r="AG247" s="44"/>
      <c r="AH247" s="44"/>
      <c r="AI247" s="44"/>
    </row>
    <row r="248" spans="1:35" s="44" customFormat="1" ht="66.75" customHeight="1">
      <c r="A248" s="148" t="s">
        <v>980</v>
      </c>
      <c r="B248" s="146" t="s">
        <v>981</v>
      </c>
      <c r="C248" s="149" t="s">
        <v>982</v>
      </c>
      <c r="D248" s="150">
        <v>1</v>
      </c>
      <c r="E248" s="150" t="s">
        <v>983</v>
      </c>
      <c r="F248" s="151" t="s">
        <v>984</v>
      </c>
      <c r="G248" s="152">
        <v>4</v>
      </c>
      <c r="H248" s="152">
        <v>0</v>
      </c>
      <c r="I248" s="153">
        <v>4</v>
      </c>
      <c r="J248" s="154">
        <v>4</v>
      </c>
      <c r="K248" s="155">
        <v>0</v>
      </c>
      <c r="L248" s="148" t="s">
        <v>821</v>
      </c>
      <c r="M248" s="148">
        <v>40</v>
      </c>
      <c r="N248" s="156" t="s">
        <v>985</v>
      </c>
      <c r="O248" s="148" t="s">
        <v>986</v>
      </c>
      <c r="P248" s="158">
        <v>40</v>
      </c>
      <c r="Q248" s="152" t="s">
        <v>76</v>
      </c>
      <c r="R248" s="152" t="s">
        <v>61</v>
      </c>
      <c r="S248" s="148" t="s">
        <v>987</v>
      </c>
      <c r="T248" s="148">
        <v>0</v>
      </c>
      <c r="U248" s="159">
        <v>317</v>
      </c>
      <c r="V248" s="160" t="str">
        <f>VLOOKUP(U248,docentes!$A:$E,2,0)</f>
        <v>LEONARDO FREIRE DE MELLO</v>
      </c>
      <c r="W248" s="161" t="str">
        <f>VLOOKUP(U248,docentes!$A:$E,5,0)</f>
        <v>CECS</v>
      </c>
      <c r="X248" s="162"/>
      <c r="Y248" s="163"/>
      <c r="Z248" s="164"/>
    </row>
    <row r="249" spans="1:35" s="44" customFormat="1" ht="66.75" customHeight="1">
      <c r="A249" s="148" t="s">
        <v>128</v>
      </c>
      <c r="B249" s="146" t="s">
        <v>988</v>
      </c>
      <c r="C249" s="149" t="s">
        <v>989</v>
      </c>
      <c r="D249" s="150">
        <v>1</v>
      </c>
      <c r="E249" s="150" t="s">
        <v>990</v>
      </c>
      <c r="F249" s="151" t="s">
        <v>991</v>
      </c>
      <c r="G249" s="152">
        <v>2</v>
      </c>
      <c r="H249" s="152">
        <v>2</v>
      </c>
      <c r="I249" s="153">
        <v>5</v>
      </c>
      <c r="J249" s="154">
        <v>2</v>
      </c>
      <c r="K249" s="155">
        <v>2</v>
      </c>
      <c r="L249" s="148" t="s">
        <v>57</v>
      </c>
      <c r="M249" s="148" t="s">
        <v>58</v>
      </c>
      <c r="N249" s="156"/>
      <c r="O249" s="157" t="s">
        <v>59</v>
      </c>
      <c r="P249" s="158">
        <v>63</v>
      </c>
      <c r="Q249" s="152" t="s">
        <v>76</v>
      </c>
      <c r="R249" s="152" t="s">
        <v>70</v>
      </c>
      <c r="S249" s="148" t="s">
        <v>992</v>
      </c>
      <c r="T249" s="148">
        <v>0</v>
      </c>
      <c r="U249" s="159">
        <v>187</v>
      </c>
      <c r="V249" s="160" t="str">
        <f>VLOOKUP(U249,docentes!$A:$E,2,0)</f>
        <v>FERNANDO GASI</v>
      </c>
      <c r="W249" s="161" t="str">
        <f>VLOOKUP(U249,docentes!$A:$E,5,0)</f>
        <v>CECS</v>
      </c>
      <c r="X249" s="176">
        <v>187</v>
      </c>
      <c r="Y249" s="160" t="str">
        <f>VLOOKUP(X249,docentes!$A:$E,2,0)</f>
        <v>FERNANDO GASI</v>
      </c>
      <c r="Z249" s="177" t="str">
        <f>VLOOKUP(X249,docentes!$A:$E,5,0)</f>
        <v>CECS</v>
      </c>
    </row>
    <row r="250" spans="1:35" s="44" customFormat="1" ht="66.75" customHeight="1">
      <c r="A250" s="148" t="s">
        <v>993</v>
      </c>
      <c r="B250" s="146" t="s">
        <v>994</v>
      </c>
      <c r="C250" s="149" t="s">
        <v>995</v>
      </c>
      <c r="D250" s="150">
        <v>1</v>
      </c>
      <c r="E250" s="150" t="s">
        <v>996</v>
      </c>
      <c r="F250" s="151" t="s">
        <v>997</v>
      </c>
      <c r="G250" s="152">
        <v>4</v>
      </c>
      <c r="H250" s="152">
        <v>0</v>
      </c>
      <c r="I250" s="153">
        <v>4</v>
      </c>
      <c r="J250" s="154">
        <v>4</v>
      </c>
      <c r="K250" s="155">
        <v>0</v>
      </c>
      <c r="L250" s="148" t="s">
        <v>998</v>
      </c>
      <c r="M250" s="148" t="s">
        <v>68</v>
      </c>
      <c r="N250" s="156">
        <v>63</v>
      </c>
      <c r="O250" s="148" t="s">
        <v>913</v>
      </c>
      <c r="P250" s="158">
        <v>63</v>
      </c>
      <c r="Q250" s="152" t="s">
        <v>60</v>
      </c>
      <c r="R250" s="152" t="s">
        <v>70</v>
      </c>
      <c r="S250" s="148" t="s">
        <v>999</v>
      </c>
      <c r="T250" s="148">
        <v>0</v>
      </c>
      <c r="U250" s="159">
        <v>168</v>
      </c>
      <c r="V250" s="160" t="str">
        <f>VLOOKUP(U250,docentes!$A:$E,2,0)</f>
        <v>ERIKA FERNANDA PRADOS</v>
      </c>
      <c r="W250" s="161" t="str">
        <f>VLOOKUP(U250,docentes!$A:$E,5,0)</f>
        <v>CECS</v>
      </c>
      <c r="X250" s="162"/>
      <c r="Y250" s="163"/>
      <c r="Z250" s="164"/>
    </row>
    <row r="251" spans="1:35" s="44" customFormat="1" ht="66.75" customHeight="1">
      <c r="A251" s="148" t="s">
        <v>1000</v>
      </c>
      <c r="B251" s="146" t="s">
        <v>1001</v>
      </c>
      <c r="C251" s="149" t="s">
        <v>1002</v>
      </c>
      <c r="D251" s="150">
        <v>6</v>
      </c>
      <c r="E251" s="150" t="s">
        <v>1003</v>
      </c>
      <c r="F251" s="151" t="s">
        <v>1004</v>
      </c>
      <c r="G251" s="152">
        <v>4</v>
      </c>
      <c r="H251" s="152">
        <v>0</v>
      </c>
      <c r="I251" s="153">
        <v>4</v>
      </c>
      <c r="J251" s="154">
        <v>4</v>
      </c>
      <c r="K251" s="155">
        <v>0</v>
      </c>
      <c r="L251" s="148" t="s">
        <v>821</v>
      </c>
      <c r="M251" s="148"/>
      <c r="N251" s="178" t="s">
        <v>1005</v>
      </c>
      <c r="O251" s="148" t="s">
        <v>986</v>
      </c>
      <c r="P251" s="158">
        <v>40</v>
      </c>
      <c r="Q251" s="152" t="s">
        <v>60</v>
      </c>
      <c r="R251" s="152" t="s">
        <v>61</v>
      </c>
      <c r="S251" s="148" t="s">
        <v>1006</v>
      </c>
      <c r="T251" s="148">
        <v>0</v>
      </c>
      <c r="U251" s="159">
        <v>397</v>
      </c>
      <c r="V251" s="160" t="str">
        <f>VLOOKUP(U251,docentes!$A:$E,2,0)</f>
        <v>MARIA INES RIBAS RODRIGUES</v>
      </c>
      <c r="W251" s="161" t="str">
        <f>VLOOKUP(U251,docentes!$A:$E,5,0)</f>
        <v>CCNH</v>
      </c>
      <c r="X251" s="162"/>
      <c r="Y251" s="163"/>
      <c r="Z251" s="164"/>
    </row>
    <row r="252" spans="1:35" s="44" customFormat="1" ht="66.75" customHeight="1">
      <c r="A252" s="148" t="s">
        <v>157</v>
      </c>
      <c r="B252" s="146" t="s">
        <v>1007</v>
      </c>
      <c r="C252" s="149" t="s">
        <v>1002</v>
      </c>
      <c r="D252" s="150">
        <v>6</v>
      </c>
      <c r="E252" s="150" t="s">
        <v>1003</v>
      </c>
      <c r="F252" s="151" t="s">
        <v>1008</v>
      </c>
      <c r="G252" s="152">
        <v>4</v>
      </c>
      <c r="H252" s="152">
        <v>0</v>
      </c>
      <c r="I252" s="153">
        <v>4</v>
      </c>
      <c r="J252" s="154">
        <v>4</v>
      </c>
      <c r="K252" s="155">
        <v>0</v>
      </c>
      <c r="L252" s="148" t="s">
        <v>57</v>
      </c>
      <c r="M252" s="148" t="s">
        <v>58</v>
      </c>
      <c r="N252" s="178"/>
      <c r="O252" s="157" t="s">
        <v>59</v>
      </c>
      <c r="P252" s="158">
        <v>40</v>
      </c>
      <c r="Q252" s="152" t="s">
        <v>76</v>
      </c>
      <c r="R252" s="152" t="s">
        <v>61</v>
      </c>
      <c r="S252" s="148" t="s">
        <v>1009</v>
      </c>
      <c r="T252" s="148">
        <v>0</v>
      </c>
      <c r="U252" s="159">
        <v>159</v>
      </c>
      <c r="V252" s="160" t="str">
        <f>VLOOKUP(U252,docentes!$A:$E,2,0)</f>
        <v>ELIZABETE CRISTINA COSTA RENDERS</v>
      </c>
      <c r="W252" s="161" t="str">
        <f>VLOOKUP(U252,docentes!$A:$E,5,0)</f>
        <v>CCNH</v>
      </c>
      <c r="X252" s="162"/>
      <c r="Y252" s="163"/>
      <c r="Z252" s="164"/>
    </row>
    <row r="253" spans="1:35" s="44" customFormat="1" ht="66.75" customHeight="1">
      <c r="A253" s="148" t="s">
        <v>1010</v>
      </c>
      <c r="B253" s="146" t="s">
        <v>1011</v>
      </c>
      <c r="C253" s="149" t="s">
        <v>1002</v>
      </c>
      <c r="D253" s="150">
        <v>6</v>
      </c>
      <c r="E253" s="150" t="s">
        <v>1003</v>
      </c>
      <c r="F253" s="151" t="s">
        <v>1012</v>
      </c>
      <c r="G253" s="152">
        <v>4</v>
      </c>
      <c r="H253" s="152">
        <v>0</v>
      </c>
      <c r="I253" s="153">
        <v>4</v>
      </c>
      <c r="J253" s="154">
        <v>4</v>
      </c>
      <c r="K253" s="155">
        <v>0</v>
      </c>
      <c r="L253" s="148" t="s">
        <v>57</v>
      </c>
      <c r="M253" s="148" t="s">
        <v>58</v>
      </c>
      <c r="N253" s="178"/>
      <c r="O253" s="157" t="s">
        <v>59</v>
      </c>
      <c r="P253" s="158">
        <v>40</v>
      </c>
      <c r="Q253" s="152" t="s">
        <v>60</v>
      </c>
      <c r="R253" s="152" t="s">
        <v>70</v>
      </c>
      <c r="S253" s="148" t="s">
        <v>1013</v>
      </c>
      <c r="T253" s="148">
        <v>0</v>
      </c>
      <c r="U253" s="159">
        <v>278</v>
      </c>
      <c r="V253" s="160" t="str">
        <f>VLOOKUP(U253,docentes!$A:$E,2,0)</f>
        <v>JOAO RODRIGO SANTOS DA SILVA</v>
      </c>
      <c r="W253" s="161" t="str">
        <f>VLOOKUP(U253,docentes!$A:$E,5,0)</f>
        <v>CCNH</v>
      </c>
      <c r="X253" s="162">
        <v>278</v>
      </c>
      <c r="Y253" s="163" t="str">
        <f>VLOOKUP(X253,docentes!$A:$E,2,0)</f>
        <v>JOAO RODRIGO SANTOS DA SILVA</v>
      </c>
      <c r="Z253" s="164" t="str">
        <f>VLOOKUP(X253,docentes!$A:$E,5,0)</f>
        <v>CCNH</v>
      </c>
      <c r="AB253" s="45"/>
    </row>
    <row r="254" spans="1:35" s="44" customFormat="1" ht="66.75" customHeight="1">
      <c r="A254" s="148" t="s">
        <v>157</v>
      </c>
      <c r="B254" s="146" t="s">
        <v>1014</v>
      </c>
      <c r="C254" s="149" t="s">
        <v>1002</v>
      </c>
      <c r="D254" s="150">
        <v>6</v>
      </c>
      <c r="E254" s="150" t="s">
        <v>1003</v>
      </c>
      <c r="F254" s="151" t="s">
        <v>1015</v>
      </c>
      <c r="G254" s="152">
        <v>4</v>
      </c>
      <c r="H254" s="152">
        <v>0</v>
      </c>
      <c r="I254" s="153">
        <v>4</v>
      </c>
      <c r="J254" s="154">
        <v>4</v>
      </c>
      <c r="K254" s="155">
        <v>0</v>
      </c>
      <c r="L254" s="148" t="s">
        <v>57</v>
      </c>
      <c r="M254" s="148" t="s">
        <v>58</v>
      </c>
      <c r="N254" s="178"/>
      <c r="O254" s="157" t="s">
        <v>59</v>
      </c>
      <c r="P254" s="158">
        <v>40</v>
      </c>
      <c r="Q254" s="152" t="s">
        <v>76</v>
      </c>
      <c r="R254" s="152" t="s">
        <v>70</v>
      </c>
      <c r="S254" s="148" t="s">
        <v>1016</v>
      </c>
      <c r="T254" s="148">
        <v>0</v>
      </c>
      <c r="U254" s="159">
        <v>159</v>
      </c>
      <c r="V254" s="160" t="str">
        <f>VLOOKUP(U254,docentes!$A:$E,2,0)</f>
        <v>ELIZABETE CRISTINA COSTA RENDERS</v>
      </c>
      <c r="W254" s="161" t="str">
        <f>VLOOKUP(U254,docentes!$A:$E,5,0)</f>
        <v>CCNH</v>
      </c>
      <c r="X254" s="162"/>
      <c r="Y254" s="163"/>
      <c r="Z254" s="164"/>
    </row>
    <row r="255" spans="1:35" s="44" customFormat="1" ht="66.75" customHeight="1">
      <c r="A255" s="148" t="s">
        <v>1017</v>
      </c>
      <c r="B255" s="146" t="s">
        <v>1018</v>
      </c>
      <c r="C255" s="149" t="s">
        <v>1002</v>
      </c>
      <c r="D255" s="150">
        <v>6</v>
      </c>
      <c r="E255" s="150" t="s">
        <v>1003</v>
      </c>
      <c r="F255" s="151" t="s">
        <v>1019</v>
      </c>
      <c r="G255" s="152">
        <v>4</v>
      </c>
      <c r="H255" s="152">
        <v>0</v>
      </c>
      <c r="I255" s="153">
        <v>4</v>
      </c>
      <c r="J255" s="154">
        <v>4</v>
      </c>
      <c r="K255" s="155">
        <v>0</v>
      </c>
      <c r="L255" s="148" t="s">
        <v>57</v>
      </c>
      <c r="M255" s="148" t="s">
        <v>58</v>
      </c>
      <c r="N255" s="178"/>
      <c r="O255" s="157" t="s">
        <v>59</v>
      </c>
      <c r="P255" s="158">
        <v>40</v>
      </c>
      <c r="Q255" s="152" t="s">
        <v>60</v>
      </c>
      <c r="R255" s="152" t="s">
        <v>61</v>
      </c>
      <c r="S255" s="148" t="s">
        <v>1020</v>
      </c>
      <c r="T255" s="148">
        <v>0</v>
      </c>
      <c r="U255" s="159">
        <v>562</v>
      </c>
      <c r="V255" s="160" t="str">
        <f>VLOOKUP(U255,docentes!$A:$E,2,0)</f>
        <v>VIVILI MARIA SILVA GOMES</v>
      </c>
      <c r="W255" s="161" t="str">
        <f>VLOOKUP(U255,docentes!$A:$E,5,0)</f>
        <v>CMCC</v>
      </c>
      <c r="X255" s="162"/>
      <c r="Y255" s="163"/>
      <c r="Z255" s="164"/>
    </row>
    <row r="256" spans="1:35" s="44" customFormat="1" ht="66.75" customHeight="1">
      <c r="A256" s="148" t="s">
        <v>1000</v>
      </c>
      <c r="B256" s="146" t="s">
        <v>1021</v>
      </c>
      <c r="C256" s="149" t="s">
        <v>1002</v>
      </c>
      <c r="D256" s="150">
        <v>6</v>
      </c>
      <c r="E256" s="150" t="s">
        <v>1003</v>
      </c>
      <c r="F256" s="151" t="s">
        <v>1022</v>
      </c>
      <c r="G256" s="152">
        <v>4</v>
      </c>
      <c r="H256" s="152">
        <v>0</v>
      </c>
      <c r="I256" s="153">
        <v>4</v>
      </c>
      <c r="J256" s="154">
        <v>4</v>
      </c>
      <c r="K256" s="155">
        <v>0</v>
      </c>
      <c r="L256" s="148" t="s">
        <v>821</v>
      </c>
      <c r="M256" s="148"/>
      <c r="N256" s="178" t="s">
        <v>1005</v>
      </c>
      <c r="O256" s="165" t="s">
        <v>986</v>
      </c>
      <c r="P256" s="158">
        <v>40</v>
      </c>
      <c r="Q256" s="152" t="s">
        <v>60</v>
      </c>
      <c r="R256" s="152" t="s">
        <v>70</v>
      </c>
      <c r="S256" s="148" t="s">
        <v>1023</v>
      </c>
      <c r="T256" s="148">
        <v>0</v>
      </c>
      <c r="U256" s="159">
        <v>224</v>
      </c>
      <c r="V256" s="160" t="str">
        <f>VLOOKUP(U256,docentes!$A:$E,2,0)</f>
        <v>GISELLE WATANABE CARAMELLO</v>
      </c>
      <c r="W256" s="161" t="str">
        <f>VLOOKUP(U256,docentes!$A:$E,5,0)</f>
        <v>CCNH</v>
      </c>
      <c r="X256" s="162"/>
      <c r="Y256" s="163"/>
      <c r="Z256" s="164"/>
    </row>
    <row r="257" spans="1:35" s="44" customFormat="1" ht="66.75" customHeight="1">
      <c r="A257" s="148" t="s">
        <v>1024</v>
      </c>
      <c r="B257" s="146" t="s">
        <v>1025</v>
      </c>
      <c r="C257" s="149" t="s">
        <v>1026</v>
      </c>
      <c r="D257" s="150">
        <v>2</v>
      </c>
      <c r="E257" s="150" t="s">
        <v>1027</v>
      </c>
      <c r="F257" s="151" t="s">
        <v>1028</v>
      </c>
      <c r="G257" s="152">
        <v>4</v>
      </c>
      <c r="H257" s="152">
        <v>0</v>
      </c>
      <c r="I257" s="153">
        <v>4</v>
      </c>
      <c r="J257" s="154">
        <v>4</v>
      </c>
      <c r="K257" s="155">
        <v>0</v>
      </c>
      <c r="L257" s="148" t="s">
        <v>97</v>
      </c>
      <c r="M257" s="148" t="s">
        <v>58</v>
      </c>
      <c r="N257" s="156"/>
      <c r="O257" s="157" t="s">
        <v>59</v>
      </c>
      <c r="P257" s="158">
        <v>60</v>
      </c>
      <c r="Q257" s="152" t="s">
        <v>76</v>
      </c>
      <c r="R257" s="152" t="s">
        <v>61</v>
      </c>
      <c r="S257" s="148" t="s">
        <v>1029</v>
      </c>
      <c r="T257" s="148">
        <v>0</v>
      </c>
      <c r="U257" s="159">
        <v>117</v>
      </c>
      <c r="V257" s="160" t="str">
        <f>VLOOKUP(U257,docentes!$A:$E,2,0)</f>
        <v>CRISTINA FROES DE BORJA REIS</v>
      </c>
      <c r="W257" s="161" t="str">
        <f>VLOOKUP(U257,docentes!$A:$E,5,0)</f>
        <v>CECS</v>
      </c>
      <c r="X257" s="162"/>
      <c r="Y257" s="163"/>
      <c r="Z257" s="164"/>
    </row>
    <row r="258" spans="1:35" s="44" customFormat="1" ht="66.75" customHeight="1">
      <c r="A258" s="148" t="s">
        <v>1024</v>
      </c>
      <c r="B258" s="146" t="s">
        <v>1030</v>
      </c>
      <c r="C258" s="149" t="s">
        <v>1026</v>
      </c>
      <c r="D258" s="150">
        <v>2</v>
      </c>
      <c r="E258" s="150" t="s">
        <v>1027</v>
      </c>
      <c r="F258" s="151" t="s">
        <v>1031</v>
      </c>
      <c r="G258" s="152">
        <v>4</v>
      </c>
      <c r="H258" s="152">
        <v>0</v>
      </c>
      <c r="I258" s="153">
        <v>4</v>
      </c>
      <c r="J258" s="154">
        <v>4</v>
      </c>
      <c r="K258" s="155">
        <v>0</v>
      </c>
      <c r="L258" s="148" t="s">
        <v>97</v>
      </c>
      <c r="M258" s="148" t="s">
        <v>58</v>
      </c>
      <c r="N258" s="156"/>
      <c r="O258" s="157" t="s">
        <v>59</v>
      </c>
      <c r="P258" s="158">
        <v>60</v>
      </c>
      <c r="Q258" s="152" t="s">
        <v>76</v>
      </c>
      <c r="R258" s="152" t="s">
        <v>70</v>
      </c>
      <c r="S258" s="148" t="s">
        <v>1032</v>
      </c>
      <c r="T258" s="148">
        <v>0</v>
      </c>
      <c r="U258" s="159">
        <v>387</v>
      </c>
      <c r="V258" s="160" t="str">
        <f>VLOOKUP(U258,docentes!$A:$E,2,0)</f>
        <v>MARIA CARAMEZ CARLOTTO</v>
      </c>
      <c r="W258" s="161" t="str">
        <f>VLOOKUP(U258,docentes!$A:$E,5,0)</f>
        <v>CECS</v>
      </c>
      <c r="X258" s="162"/>
      <c r="Y258" s="163"/>
      <c r="Z258" s="164"/>
    </row>
    <row r="259" spans="1:35" s="44" customFormat="1" ht="66.75" customHeight="1">
      <c r="A259" s="148" t="s">
        <v>52</v>
      </c>
      <c r="B259" s="146" t="s">
        <v>1033</v>
      </c>
      <c r="C259" s="149" t="s">
        <v>1034</v>
      </c>
      <c r="D259" s="150">
        <v>1</v>
      </c>
      <c r="E259" s="150" t="s">
        <v>1035</v>
      </c>
      <c r="F259" s="151" t="s">
        <v>1036</v>
      </c>
      <c r="G259" s="152">
        <v>4</v>
      </c>
      <c r="H259" s="152">
        <v>0</v>
      </c>
      <c r="I259" s="153">
        <v>4</v>
      </c>
      <c r="J259" s="154">
        <v>4</v>
      </c>
      <c r="K259" s="155">
        <v>0</v>
      </c>
      <c r="L259" s="148" t="s">
        <v>57</v>
      </c>
      <c r="M259" s="148" t="s">
        <v>58</v>
      </c>
      <c r="N259" s="156">
        <v>0</v>
      </c>
      <c r="O259" s="157" t="s">
        <v>59</v>
      </c>
      <c r="P259" s="158">
        <v>32</v>
      </c>
      <c r="Q259" s="152" t="s">
        <v>60</v>
      </c>
      <c r="R259" s="152" t="s">
        <v>61</v>
      </c>
      <c r="S259" s="148" t="s">
        <v>1037</v>
      </c>
      <c r="T259" s="148">
        <v>0</v>
      </c>
      <c r="U259" s="159">
        <v>105</v>
      </c>
      <c r="V259" s="160" t="str">
        <f>VLOOKUP(U259,docentes!$A:$E,2,0)</f>
        <v>CLAUDIA CELESTE CELESTINO DE PAULA SANTOS</v>
      </c>
      <c r="W259" s="161" t="str">
        <f>VLOOKUP(U259,docentes!$A:$E,5,0)</f>
        <v>CECS</v>
      </c>
      <c r="X259" s="162"/>
      <c r="Y259" s="163"/>
      <c r="Z259" s="164"/>
    </row>
    <row r="260" spans="1:35" s="44" customFormat="1" ht="66.75" customHeight="1">
      <c r="A260" s="148" t="s">
        <v>52</v>
      </c>
      <c r="B260" s="146" t="s">
        <v>1038</v>
      </c>
      <c r="C260" s="149" t="s">
        <v>1039</v>
      </c>
      <c r="D260" s="150">
        <v>1</v>
      </c>
      <c r="E260" s="150" t="s">
        <v>1040</v>
      </c>
      <c r="F260" s="151" t="s">
        <v>1041</v>
      </c>
      <c r="G260" s="152">
        <v>4</v>
      </c>
      <c r="H260" s="152">
        <v>0</v>
      </c>
      <c r="I260" s="153">
        <v>5</v>
      </c>
      <c r="J260" s="154">
        <v>4</v>
      </c>
      <c r="K260" s="155">
        <v>0</v>
      </c>
      <c r="L260" s="148" t="s">
        <v>57</v>
      </c>
      <c r="M260" s="148" t="s">
        <v>58</v>
      </c>
      <c r="N260" s="156">
        <v>0</v>
      </c>
      <c r="O260" s="157" t="s">
        <v>59</v>
      </c>
      <c r="P260" s="158">
        <v>60</v>
      </c>
      <c r="Q260" s="152" t="s">
        <v>76</v>
      </c>
      <c r="R260" s="152" t="s">
        <v>61</v>
      </c>
      <c r="S260" s="148" t="s">
        <v>1042</v>
      </c>
      <c r="T260" s="148">
        <v>0</v>
      </c>
      <c r="U260" s="159">
        <v>46</v>
      </c>
      <c r="V260" s="160" t="str">
        <f>VLOOKUP(U260,docentes!$A:$E,2,0)</f>
        <v>ANDRE FENILI</v>
      </c>
      <c r="W260" s="161" t="str">
        <f>VLOOKUP(U260,docentes!$A:$E,5,0)</f>
        <v>CECS</v>
      </c>
      <c r="X260" s="162"/>
      <c r="Y260" s="163"/>
      <c r="Z260" s="164"/>
    </row>
    <row r="261" spans="1:35" s="44" customFormat="1" ht="66.75" customHeight="1">
      <c r="A261" s="148" t="s">
        <v>52</v>
      </c>
      <c r="B261" s="146" t="s">
        <v>1043</v>
      </c>
      <c r="C261" s="149" t="s">
        <v>1044</v>
      </c>
      <c r="D261" s="150">
        <v>1</v>
      </c>
      <c r="E261" s="150" t="s">
        <v>1045</v>
      </c>
      <c r="F261" s="151" t="s">
        <v>1046</v>
      </c>
      <c r="G261" s="152">
        <v>3</v>
      </c>
      <c r="H261" s="152">
        <v>0</v>
      </c>
      <c r="I261" s="153">
        <v>4</v>
      </c>
      <c r="J261" s="154">
        <v>3</v>
      </c>
      <c r="K261" s="155">
        <v>0</v>
      </c>
      <c r="L261" s="148" t="s">
        <v>57</v>
      </c>
      <c r="M261" s="148" t="s">
        <v>58</v>
      </c>
      <c r="N261" s="156">
        <v>0</v>
      </c>
      <c r="O261" s="157" t="s">
        <v>59</v>
      </c>
      <c r="P261" s="158">
        <v>30</v>
      </c>
      <c r="Q261" s="152" t="s">
        <v>76</v>
      </c>
      <c r="R261" s="152" t="s">
        <v>61</v>
      </c>
      <c r="S261" s="148" t="s">
        <v>1047</v>
      </c>
      <c r="T261" s="148">
        <v>0</v>
      </c>
      <c r="U261" s="159">
        <v>316</v>
      </c>
      <c r="V261" s="160" t="str">
        <f>VLOOKUP(U261,docentes!$A:$E,2,0)</f>
        <v>LEONARDO DE OLIVE FERREIRA</v>
      </c>
      <c r="W261" s="161" t="str">
        <f>VLOOKUP(U261,docentes!$A:$E,5,0)</f>
        <v>CECS</v>
      </c>
      <c r="X261" s="162"/>
      <c r="Y261" s="163"/>
      <c r="Z261" s="164"/>
    </row>
    <row r="262" spans="1:35" s="44" customFormat="1" ht="66.75" customHeight="1">
      <c r="A262" s="148" t="s">
        <v>84</v>
      </c>
      <c r="B262" s="146" t="s">
        <v>1048</v>
      </c>
      <c r="C262" s="149" t="s">
        <v>1049</v>
      </c>
      <c r="D262" s="150">
        <v>3</v>
      </c>
      <c r="E262" s="150" t="s">
        <v>1050</v>
      </c>
      <c r="F262" s="151" t="s">
        <v>1051</v>
      </c>
      <c r="G262" s="152">
        <v>4</v>
      </c>
      <c r="H262" s="152">
        <v>0</v>
      </c>
      <c r="I262" s="153">
        <v>3</v>
      </c>
      <c r="J262" s="154">
        <v>4</v>
      </c>
      <c r="K262" s="155">
        <v>0</v>
      </c>
      <c r="L262" s="148"/>
      <c r="M262" s="148"/>
      <c r="N262" s="156"/>
      <c r="O262" s="165" t="s">
        <v>969</v>
      </c>
      <c r="P262" s="158">
        <v>42</v>
      </c>
      <c r="Q262" s="152" t="s">
        <v>76</v>
      </c>
      <c r="R262" s="152" t="s">
        <v>70</v>
      </c>
      <c r="S262" s="148" t="s">
        <v>1052</v>
      </c>
      <c r="T262" s="148" t="s">
        <v>1053</v>
      </c>
      <c r="U262" s="159" t="e">
        <v>#N/A</v>
      </c>
      <c r="V262" s="160" t="e">
        <f>VLOOKUP(U262,docentes!$A:$E,2,0)</f>
        <v>#N/A</v>
      </c>
      <c r="W262" s="161" t="e">
        <f>VLOOKUP(U262,docentes!$A:$E,5,0)</f>
        <v>#N/A</v>
      </c>
      <c r="X262" s="162"/>
      <c r="Y262" s="163"/>
      <c r="Z262" s="164"/>
    </row>
    <row r="263" spans="1:35" s="44" customFormat="1" ht="66.75" customHeight="1">
      <c r="A263" s="148" t="s">
        <v>84</v>
      </c>
      <c r="B263" s="146" t="s">
        <v>1054</v>
      </c>
      <c r="C263" s="149" t="s">
        <v>1049</v>
      </c>
      <c r="D263" s="150">
        <v>3</v>
      </c>
      <c r="E263" s="150" t="s">
        <v>1050</v>
      </c>
      <c r="F263" s="151" t="s">
        <v>1055</v>
      </c>
      <c r="G263" s="152">
        <v>4</v>
      </c>
      <c r="H263" s="152">
        <v>0</v>
      </c>
      <c r="I263" s="153">
        <v>3</v>
      </c>
      <c r="J263" s="154">
        <v>4</v>
      </c>
      <c r="K263" s="155">
        <v>0</v>
      </c>
      <c r="L263" s="148" t="s">
        <v>57</v>
      </c>
      <c r="M263" s="148" t="s">
        <v>58</v>
      </c>
      <c r="N263" s="156"/>
      <c r="O263" s="157" t="s">
        <v>59</v>
      </c>
      <c r="P263" s="158">
        <v>42</v>
      </c>
      <c r="Q263" s="152" t="s">
        <v>76</v>
      </c>
      <c r="R263" s="152" t="s">
        <v>61</v>
      </c>
      <c r="S263" s="148" t="s">
        <v>1056</v>
      </c>
      <c r="T263" s="148" t="s">
        <v>1057</v>
      </c>
      <c r="U263" s="159">
        <v>231</v>
      </c>
      <c r="V263" s="160" t="str">
        <f>VLOOKUP(U263,docentes!$A:$E,2,0)</f>
        <v>GUILHERME DE OLIVEIRA LIMA CAGLIARI MARQUES</v>
      </c>
      <c r="W263" s="161" t="str">
        <f>VLOOKUP(U263,docentes!$A:$E,5,0)</f>
        <v>CECS</v>
      </c>
      <c r="X263" s="162">
        <v>231</v>
      </c>
      <c r="Y263" s="163" t="str">
        <f>VLOOKUP(X263,docentes!$A:$E,2,0)</f>
        <v>GUILHERME DE OLIVEIRA LIMA CAGLIARI MARQUES</v>
      </c>
      <c r="Z263" s="164" t="str">
        <f>VLOOKUP(X263,docentes!$A:$E,5,0)</f>
        <v>CECS</v>
      </c>
      <c r="AB263" s="45"/>
    </row>
    <row r="264" spans="1:35" s="44" customFormat="1" ht="66.75" customHeight="1">
      <c r="A264" s="148" t="s">
        <v>84</v>
      </c>
      <c r="B264" s="146" t="s">
        <v>1058</v>
      </c>
      <c r="C264" s="149" t="s">
        <v>1049</v>
      </c>
      <c r="D264" s="150">
        <v>3</v>
      </c>
      <c r="E264" s="150" t="s">
        <v>1050</v>
      </c>
      <c r="F264" s="151" t="s">
        <v>1059</v>
      </c>
      <c r="G264" s="152">
        <v>4</v>
      </c>
      <c r="H264" s="152">
        <v>0</v>
      </c>
      <c r="I264" s="153">
        <v>3</v>
      </c>
      <c r="J264" s="154">
        <v>4</v>
      </c>
      <c r="K264" s="155">
        <v>0</v>
      </c>
      <c r="L264" s="148" t="s">
        <v>1060</v>
      </c>
      <c r="M264" s="148" t="s">
        <v>977</v>
      </c>
      <c r="N264" s="156" t="s">
        <v>1061</v>
      </c>
      <c r="O264" s="165" t="s">
        <v>1062</v>
      </c>
      <c r="P264" s="158">
        <v>42</v>
      </c>
      <c r="Q264" s="152" t="s">
        <v>76</v>
      </c>
      <c r="R264" s="152" t="s">
        <v>70</v>
      </c>
      <c r="S264" s="148" t="s">
        <v>1063</v>
      </c>
      <c r="T264" s="148" t="s">
        <v>1064</v>
      </c>
      <c r="U264" s="159">
        <v>231</v>
      </c>
      <c r="V264" s="160" t="str">
        <f>VLOOKUP(U264,docentes!$A:$E,2,0)</f>
        <v>GUILHERME DE OLIVEIRA LIMA CAGLIARI MARQUES</v>
      </c>
      <c r="W264" s="161" t="str">
        <f>VLOOKUP(U264,docentes!$A:$E,5,0)</f>
        <v>CECS</v>
      </c>
      <c r="X264" s="162">
        <v>231</v>
      </c>
      <c r="Y264" s="163" t="str">
        <f>VLOOKUP(X264,docentes!$A:$E,2,0)</f>
        <v>GUILHERME DE OLIVEIRA LIMA CAGLIARI MARQUES</v>
      </c>
      <c r="Z264" s="164" t="str">
        <f>VLOOKUP(X264,docentes!$A:$E,5,0)</f>
        <v>CECS</v>
      </c>
      <c r="AB264" s="45"/>
    </row>
    <row r="265" spans="1:35" s="44" customFormat="1" ht="66.75" customHeight="1">
      <c r="A265" s="148" t="s">
        <v>84</v>
      </c>
      <c r="B265" s="146" t="s">
        <v>1065</v>
      </c>
      <c r="C265" s="149" t="s">
        <v>1066</v>
      </c>
      <c r="D265" s="150">
        <v>2</v>
      </c>
      <c r="E265" s="150" t="s">
        <v>1067</v>
      </c>
      <c r="F265" s="151" t="s">
        <v>1068</v>
      </c>
      <c r="G265" s="152">
        <v>3</v>
      </c>
      <c r="H265" s="152">
        <v>0</v>
      </c>
      <c r="I265" s="153">
        <v>4</v>
      </c>
      <c r="J265" s="154">
        <v>3</v>
      </c>
      <c r="K265" s="155">
        <v>0</v>
      </c>
      <c r="L265" s="148" t="s">
        <v>57</v>
      </c>
      <c r="M265" s="148" t="s">
        <v>58</v>
      </c>
      <c r="N265" s="156"/>
      <c r="O265" s="157" t="s">
        <v>59</v>
      </c>
      <c r="P265" s="158">
        <v>60</v>
      </c>
      <c r="Q265" s="152" t="s">
        <v>76</v>
      </c>
      <c r="R265" s="152" t="s">
        <v>61</v>
      </c>
      <c r="S265" s="148" t="s">
        <v>1069</v>
      </c>
      <c r="T265" s="148">
        <v>0</v>
      </c>
      <c r="U265" s="159">
        <v>1014</v>
      </c>
      <c r="V265" s="160" t="str">
        <f>VLOOKUP(U265,docentes!$A:$E,2,0)</f>
        <v>Patrícia Cunha</v>
      </c>
      <c r="W265" s="161">
        <f>VLOOKUP(U265,docentes!$A:$E,5,0)</f>
        <v>0</v>
      </c>
      <c r="X265" s="162"/>
      <c r="Y265" s="163"/>
      <c r="Z265" s="164"/>
    </row>
    <row r="266" spans="1:35" s="44" customFormat="1" ht="66.75" customHeight="1">
      <c r="A266" s="148" t="s">
        <v>84</v>
      </c>
      <c r="B266" s="146" t="s">
        <v>1070</v>
      </c>
      <c r="C266" s="149" t="s">
        <v>1066</v>
      </c>
      <c r="D266" s="150">
        <v>2</v>
      </c>
      <c r="E266" s="150" t="s">
        <v>1067</v>
      </c>
      <c r="F266" s="151" t="s">
        <v>1071</v>
      </c>
      <c r="G266" s="152">
        <v>3</v>
      </c>
      <c r="H266" s="152">
        <v>0</v>
      </c>
      <c r="I266" s="153">
        <v>4</v>
      </c>
      <c r="J266" s="154">
        <v>3</v>
      </c>
      <c r="K266" s="155">
        <v>0</v>
      </c>
      <c r="L266" s="148" t="s">
        <v>57</v>
      </c>
      <c r="M266" s="148" t="s">
        <v>58</v>
      </c>
      <c r="N266" s="156"/>
      <c r="O266" s="157" t="s">
        <v>59</v>
      </c>
      <c r="P266" s="158">
        <v>90</v>
      </c>
      <c r="Q266" s="152" t="s">
        <v>76</v>
      </c>
      <c r="R266" s="152" t="s">
        <v>70</v>
      </c>
      <c r="S266" s="148" t="s">
        <v>1072</v>
      </c>
      <c r="T266" s="148">
        <v>0</v>
      </c>
      <c r="U266" s="159">
        <v>220</v>
      </c>
      <c r="V266" s="160" t="str">
        <f>VLOOKUP(U266,docentes!$A:$E,2,0)</f>
        <v>GIORGIO ROMANO SCHUTTE</v>
      </c>
      <c r="W266" s="161" t="str">
        <f>VLOOKUP(U266,docentes!$A:$E,5,0)</f>
        <v>CECS</v>
      </c>
      <c r="X266" s="162"/>
      <c r="Y266" s="163"/>
      <c r="Z266" s="164"/>
    </row>
    <row r="267" spans="1:35" s="44" customFormat="1" ht="66.75" customHeight="1">
      <c r="A267" s="148" t="s">
        <v>805</v>
      </c>
      <c r="B267" s="146" t="s">
        <v>1073</v>
      </c>
      <c r="C267" s="149" t="s">
        <v>1074</v>
      </c>
      <c r="D267" s="150">
        <v>1</v>
      </c>
      <c r="E267" s="150" t="s">
        <v>1075</v>
      </c>
      <c r="F267" s="151" t="s">
        <v>1076</v>
      </c>
      <c r="G267" s="152">
        <v>2</v>
      </c>
      <c r="H267" s="152">
        <v>0</v>
      </c>
      <c r="I267" s="153">
        <v>4</v>
      </c>
      <c r="J267" s="154">
        <v>2</v>
      </c>
      <c r="K267" s="155">
        <v>0</v>
      </c>
      <c r="L267" s="148" t="s">
        <v>902</v>
      </c>
      <c r="M267" s="148" t="s">
        <v>58</v>
      </c>
      <c r="N267" s="156">
        <v>0</v>
      </c>
      <c r="O267" s="165" t="s">
        <v>913</v>
      </c>
      <c r="P267" s="158">
        <v>72</v>
      </c>
      <c r="Q267" s="152" t="s">
        <v>60</v>
      </c>
      <c r="R267" s="152" t="s">
        <v>70</v>
      </c>
      <c r="S267" s="148" t="s">
        <v>1077</v>
      </c>
      <c r="T267" s="148">
        <v>0</v>
      </c>
      <c r="U267" s="159">
        <v>519</v>
      </c>
      <c r="V267" s="160" t="str">
        <f>VLOOKUP(U267,docentes!$A:$E,2,0)</f>
        <v>SERGIO HENRIQUE FERREIRA DE OLIVEIRA</v>
      </c>
      <c r="W267" s="161" t="str">
        <f>VLOOKUP(U267,docentes!$A:$E,5,0)</f>
        <v>CECS</v>
      </c>
      <c r="X267" s="162">
        <v>519</v>
      </c>
      <c r="Y267" s="163" t="str">
        <f>VLOOKUP(X267,docentes!$A:$E,2,0)</f>
        <v>SERGIO HENRIQUE FERREIRA DE OLIVEIRA</v>
      </c>
      <c r="Z267" s="164" t="str">
        <f>VLOOKUP(X267,docentes!$A:$E,5,0)</f>
        <v>CECS</v>
      </c>
      <c r="AB267" s="45"/>
    </row>
    <row r="268" spans="1:35" ht="66.75" customHeight="1">
      <c r="A268" s="148" t="s">
        <v>84</v>
      </c>
      <c r="B268" s="146" t="s">
        <v>1078</v>
      </c>
      <c r="C268" s="149" t="s">
        <v>1079</v>
      </c>
      <c r="D268" s="150">
        <v>3</v>
      </c>
      <c r="E268" s="150" t="s">
        <v>1080</v>
      </c>
      <c r="F268" s="151" t="s">
        <v>1081</v>
      </c>
      <c r="G268" s="152">
        <v>3</v>
      </c>
      <c r="H268" s="152">
        <v>0</v>
      </c>
      <c r="I268" s="153">
        <v>3</v>
      </c>
      <c r="J268" s="154">
        <v>3</v>
      </c>
      <c r="K268" s="155">
        <v>0</v>
      </c>
      <c r="L268" s="148" t="s">
        <v>57</v>
      </c>
      <c r="M268" s="148" t="s">
        <v>58</v>
      </c>
      <c r="N268" s="156"/>
      <c r="O268" s="157" t="s">
        <v>59</v>
      </c>
      <c r="P268" s="158">
        <v>90</v>
      </c>
      <c r="Q268" s="152" t="s">
        <v>76</v>
      </c>
      <c r="R268" s="152" t="s">
        <v>61</v>
      </c>
      <c r="S268" s="148" t="s">
        <v>1082</v>
      </c>
      <c r="T268" s="148">
        <v>0</v>
      </c>
      <c r="U268" s="159">
        <v>425</v>
      </c>
      <c r="V268" s="160" t="str">
        <f>VLOOKUP(U268,docentes!$A:$E,2,0)</f>
        <v>MONICA YUKIE KUWAHARA</v>
      </c>
      <c r="W268" s="161" t="str">
        <f>VLOOKUP(U268,docentes!$A:$E,5,0)</f>
        <v>CECS</v>
      </c>
      <c r="X268" s="162"/>
      <c r="Y268" s="163"/>
      <c r="Z268" s="164"/>
      <c r="AA268" s="44"/>
      <c r="AB268" s="44"/>
      <c r="AC268" s="44"/>
      <c r="AD268" s="44"/>
      <c r="AE268" s="44"/>
      <c r="AF268" s="44"/>
      <c r="AG268" s="44"/>
      <c r="AH268" s="44"/>
      <c r="AI268" s="44"/>
    </row>
    <row r="269" spans="1:35" ht="66.75" customHeight="1">
      <c r="A269" s="148" t="s">
        <v>84</v>
      </c>
      <c r="B269" s="146" t="s">
        <v>1083</v>
      </c>
      <c r="C269" s="149" t="s">
        <v>1079</v>
      </c>
      <c r="D269" s="150">
        <v>3</v>
      </c>
      <c r="E269" s="150" t="s">
        <v>1080</v>
      </c>
      <c r="F269" s="151" t="s">
        <v>1084</v>
      </c>
      <c r="G269" s="152">
        <v>3</v>
      </c>
      <c r="H269" s="152">
        <v>0</v>
      </c>
      <c r="I269" s="153">
        <v>3</v>
      </c>
      <c r="J269" s="154">
        <v>3</v>
      </c>
      <c r="K269" s="155">
        <v>0</v>
      </c>
      <c r="L269" s="148" t="s">
        <v>57</v>
      </c>
      <c r="M269" s="148" t="s">
        <v>58</v>
      </c>
      <c r="N269" s="156"/>
      <c r="O269" s="157" t="s">
        <v>59</v>
      </c>
      <c r="P269" s="158">
        <v>90</v>
      </c>
      <c r="Q269" s="152" t="s">
        <v>76</v>
      </c>
      <c r="R269" s="152" t="s">
        <v>70</v>
      </c>
      <c r="S269" s="148" t="s">
        <v>1085</v>
      </c>
      <c r="T269" s="148">
        <v>0</v>
      </c>
      <c r="U269" s="159">
        <v>425</v>
      </c>
      <c r="V269" s="160" t="str">
        <f>VLOOKUP(U269,docentes!$A:$E,2,0)</f>
        <v>MONICA YUKIE KUWAHARA</v>
      </c>
      <c r="W269" s="161" t="str">
        <f>VLOOKUP(U269,docentes!$A:$E,5,0)</f>
        <v>CECS</v>
      </c>
      <c r="X269" s="162"/>
      <c r="Y269" s="163"/>
      <c r="Z269" s="164"/>
      <c r="AA269" s="44"/>
      <c r="AB269" s="44"/>
      <c r="AC269" s="44"/>
      <c r="AD269" s="44"/>
      <c r="AE269" s="44"/>
      <c r="AF269" s="44"/>
      <c r="AG269" s="44"/>
      <c r="AH269" s="44"/>
      <c r="AI269" s="44"/>
    </row>
    <row r="270" spans="1:35" ht="66.75" customHeight="1">
      <c r="A270" s="148" t="s">
        <v>84</v>
      </c>
      <c r="B270" s="146" t="s">
        <v>1086</v>
      </c>
      <c r="C270" s="149" t="s">
        <v>1079</v>
      </c>
      <c r="D270" s="150">
        <v>3</v>
      </c>
      <c r="E270" s="150" t="s">
        <v>1080</v>
      </c>
      <c r="F270" s="151" t="s">
        <v>1087</v>
      </c>
      <c r="G270" s="152">
        <v>3</v>
      </c>
      <c r="H270" s="152">
        <v>0</v>
      </c>
      <c r="I270" s="153">
        <v>3</v>
      </c>
      <c r="J270" s="154">
        <v>3</v>
      </c>
      <c r="K270" s="155">
        <v>0</v>
      </c>
      <c r="L270" s="148" t="s">
        <v>67</v>
      </c>
      <c r="M270" s="148">
        <v>90</v>
      </c>
      <c r="N270" s="156"/>
      <c r="O270" s="165" t="s">
        <v>1088</v>
      </c>
      <c r="P270" s="158">
        <v>90</v>
      </c>
      <c r="Q270" s="152" t="s">
        <v>76</v>
      </c>
      <c r="R270" s="152" t="s">
        <v>70</v>
      </c>
      <c r="S270" s="148" t="s">
        <v>1089</v>
      </c>
      <c r="T270" s="148">
        <v>0</v>
      </c>
      <c r="U270" s="159">
        <v>425</v>
      </c>
      <c r="V270" s="160" t="str">
        <f>VLOOKUP(U270,docentes!$A:$E,2,0)</f>
        <v>MONICA YUKIE KUWAHARA</v>
      </c>
      <c r="W270" s="161" t="str">
        <f>VLOOKUP(U270,docentes!$A:$E,5,0)</f>
        <v>CECS</v>
      </c>
      <c r="X270" s="162"/>
      <c r="Y270" s="163"/>
      <c r="Z270" s="164"/>
      <c r="AA270" s="44"/>
      <c r="AB270" s="44"/>
      <c r="AC270" s="44"/>
      <c r="AD270" s="44"/>
      <c r="AE270" s="44"/>
      <c r="AF270" s="44"/>
      <c r="AG270" s="44"/>
      <c r="AH270" s="44"/>
      <c r="AI270" s="44"/>
    </row>
    <row r="271" spans="1:35" s="44" customFormat="1" ht="66.75" customHeight="1">
      <c r="A271" s="148" t="s">
        <v>84</v>
      </c>
      <c r="B271" s="146" t="s">
        <v>1090</v>
      </c>
      <c r="C271" s="149" t="s">
        <v>1091</v>
      </c>
      <c r="D271" s="150">
        <v>2</v>
      </c>
      <c r="E271" s="150" t="s">
        <v>1092</v>
      </c>
      <c r="F271" s="151" t="s">
        <v>1093</v>
      </c>
      <c r="G271" s="152">
        <v>4</v>
      </c>
      <c r="H271" s="152">
        <v>0</v>
      </c>
      <c r="I271" s="153">
        <v>3</v>
      </c>
      <c r="J271" s="154">
        <v>4</v>
      </c>
      <c r="K271" s="155">
        <v>0</v>
      </c>
      <c r="L271" s="148" t="s">
        <v>57</v>
      </c>
      <c r="M271" s="148" t="s">
        <v>58</v>
      </c>
      <c r="N271" s="156"/>
      <c r="O271" s="157" t="s">
        <v>59</v>
      </c>
      <c r="P271" s="158">
        <v>60</v>
      </c>
      <c r="Q271" s="152" t="s">
        <v>76</v>
      </c>
      <c r="R271" s="152" t="s">
        <v>61</v>
      </c>
      <c r="S271" s="148" t="s">
        <v>1094</v>
      </c>
      <c r="T271" s="148">
        <v>0</v>
      </c>
      <c r="U271" s="159">
        <v>441</v>
      </c>
      <c r="V271" s="160" t="str">
        <f>VLOOKUP(U271,docentes!$A:$E,2,0)</f>
        <v>PARIS YEROS</v>
      </c>
      <c r="W271" s="161" t="str">
        <f>VLOOKUP(U271,docentes!$A:$E,5,0)</f>
        <v>CECS</v>
      </c>
      <c r="X271" s="162"/>
      <c r="Y271" s="163"/>
      <c r="Z271" s="164"/>
    </row>
    <row r="272" spans="1:35" ht="66.75" customHeight="1">
      <c r="A272" s="148" t="s">
        <v>84</v>
      </c>
      <c r="B272" s="146" t="s">
        <v>1095</v>
      </c>
      <c r="C272" s="149" t="s">
        <v>1091</v>
      </c>
      <c r="D272" s="150">
        <v>2</v>
      </c>
      <c r="E272" s="150" t="s">
        <v>1092</v>
      </c>
      <c r="F272" s="151" t="s">
        <v>1096</v>
      </c>
      <c r="G272" s="152">
        <v>4</v>
      </c>
      <c r="H272" s="152">
        <v>0</v>
      </c>
      <c r="I272" s="153">
        <v>3</v>
      </c>
      <c r="J272" s="154">
        <v>4</v>
      </c>
      <c r="K272" s="155">
        <v>0</v>
      </c>
      <c r="L272" s="148" t="s">
        <v>57</v>
      </c>
      <c r="M272" s="148" t="s">
        <v>58</v>
      </c>
      <c r="N272" s="156"/>
      <c r="O272" s="157" t="s">
        <v>59</v>
      </c>
      <c r="P272" s="158">
        <v>90</v>
      </c>
      <c r="Q272" s="152" t="s">
        <v>76</v>
      </c>
      <c r="R272" s="152" t="s">
        <v>70</v>
      </c>
      <c r="S272" s="148" t="s">
        <v>1097</v>
      </c>
      <c r="T272" s="148">
        <v>0</v>
      </c>
      <c r="U272" s="159">
        <v>441</v>
      </c>
      <c r="V272" s="160" t="str">
        <f>VLOOKUP(U272,docentes!$A:$E,2,0)</f>
        <v>PARIS YEROS</v>
      </c>
      <c r="W272" s="161" t="str">
        <f>VLOOKUP(U272,docentes!$A:$E,5,0)</f>
        <v>CECS</v>
      </c>
      <c r="X272" s="162"/>
      <c r="Y272" s="163"/>
      <c r="Z272" s="164"/>
      <c r="AA272" s="44"/>
      <c r="AB272" s="44"/>
      <c r="AC272" s="44"/>
      <c r="AD272" s="44"/>
      <c r="AE272" s="44"/>
      <c r="AF272" s="44"/>
      <c r="AG272" s="44"/>
      <c r="AH272" s="44"/>
      <c r="AI272" s="44"/>
    </row>
    <row r="273" spans="1:35" s="44" customFormat="1" ht="66.75" customHeight="1">
      <c r="A273" s="148" t="s">
        <v>1017</v>
      </c>
      <c r="B273" s="146" t="s">
        <v>1098</v>
      </c>
      <c r="C273" s="149" t="s">
        <v>1099</v>
      </c>
      <c r="D273" s="150">
        <v>2</v>
      </c>
      <c r="E273" s="150" t="s">
        <v>1100</v>
      </c>
      <c r="F273" s="151" t="s">
        <v>1101</v>
      </c>
      <c r="G273" s="152">
        <v>3</v>
      </c>
      <c r="H273" s="152">
        <v>0</v>
      </c>
      <c r="I273" s="153">
        <v>3</v>
      </c>
      <c r="J273" s="154">
        <v>3</v>
      </c>
      <c r="K273" s="155">
        <v>0</v>
      </c>
      <c r="L273" s="148" t="s">
        <v>57</v>
      </c>
      <c r="M273" s="148" t="s">
        <v>58</v>
      </c>
      <c r="N273" s="178"/>
      <c r="O273" s="157" t="s">
        <v>59</v>
      </c>
      <c r="P273" s="158">
        <v>30</v>
      </c>
      <c r="Q273" s="152" t="s">
        <v>60</v>
      </c>
      <c r="R273" s="152" t="s">
        <v>61</v>
      </c>
      <c r="S273" s="148" t="s">
        <v>1102</v>
      </c>
      <c r="T273" s="148">
        <v>0</v>
      </c>
      <c r="U273" s="159">
        <v>524</v>
      </c>
      <c r="V273" s="160" t="str">
        <f>VLOOKUP(U273,docentes!$A:$E,2,0)</f>
        <v>SILVIA CRISTINA DOTTA</v>
      </c>
      <c r="W273" s="161" t="str">
        <f>VLOOKUP(U273,docentes!$A:$E,5,0)</f>
        <v>CMCC</v>
      </c>
      <c r="X273" s="162"/>
      <c r="Y273" s="163"/>
      <c r="Z273" s="164"/>
      <c r="AH273" s="45"/>
      <c r="AI273" s="45"/>
    </row>
    <row r="274" spans="1:35" ht="66.75" customHeight="1">
      <c r="A274" s="148" t="s">
        <v>1017</v>
      </c>
      <c r="B274" s="146" t="s">
        <v>1103</v>
      </c>
      <c r="C274" s="149" t="s">
        <v>1099</v>
      </c>
      <c r="D274" s="150">
        <v>2</v>
      </c>
      <c r="E274" s="150" t="s">
        <v>1100</v>
      </c>
      <c r="F274" s="151" t="s">
        <v>1104</v>
      </c>
      <c r="G274" s="152">
        <v>3</v>
      </c>
      <c r="H274" s="152">
        <v>0</v>
      </c>
      <c r="I274" s="153">
        <v>3</v>
      </c>
      <c r="J274" s="154">
        <v>3</v>
      </c>
      <c r="K274" s="155">
        <v>0</v>
      </c>
      <c r="L274" s="148" t="s">
        <v>57</v>
      </c>
      <c r="M274" s="148" t="s">
        <v>58</v>
      </c>
      <c r="N274" s="178"/>
      <c r="O274" s="157" t="s">
        <v>59</v>
      </c>
      <c r="P274" s="158">
        <v>30</v>
      </c>
      <c r="Q274" s="152" t="s">
        <v>60</v>
      </c>
      <c r="R274" s="152" t="s">
        <v>70</v>
      </c>
      <c r="S274" s="148" t="s">
        <v>1105</v>
      </c>
      <c r="T274" s="148">
        <v>0</v>
      </c>
      <c r="U274" s="159">
        <v>524</v>
      </c>
      <c r="V274" s="160" t="str">
        <f>VLOOKUP(U274,docentes!$A:$E,2,0)</f>
        <v>SILVIA CRISTINA DOTTA</v>
      </c>
      <c r="W274" s="161" t="str">
        <f>VLOOKUP(U274,docentes!$A:$E,5,0)</f>
        <v>CMCC</v>
      </c>
      <c r="X274" s="162"/>
      <c r="Y274" s="163"/>
      <c r="Z274" s="164"/>
      <c r="AA274" s="44"/>
      <c r="AB274" s="44"/>
      <c r="AC274" s="44"/>
      <c r="AD274" s="44"/>
      <c r="AE274" s="44"/>
      <c r="AF274" s="44"/>
      <c r="AG274" s="44"/>
      <c r="AH274" s="44"/>
      <c r="AI274" s="44"/>
    </row>
    <row r="275" spans="1:35" s="44" customFormat="1" ht="66.75" customHeight="1">
      <c r="A275" s="148" t="s">
        <v>1010</v>
      </c>
      <c r="B275" s="146" t="s">
        <v>1106</v>
      </c>
      <c r="C275" s="149" t="s">
        <v>1107</v>
      </c>
      <c r="D275" s="150">
        <v>1</v>
      </c>
      <c r="E275" s="150" t="s">
        <v>1108</v>
      </c>
      <c r="F275" s="151" t="s">
        <v>1109</v>
      </c>
      <c r="G275" s="152">
        <v>2</v>
      </c>
      <c r="H275" s="152">
        <v>2</v>
      </c>
      <c r="I275" s="153">
        <v>4</v>
      </c>
      <c r="J275" s="154">
        <v>2</v>
      </c>
      <c r="K275" s="155">
        <v>2</v>
      </c>
      <c r="L275" s="148" t="s">
        <v>57</v>
      </c>
      <c r="M275" s="148" t="s">
        <v>58</v>
      </c>
      <c r="N275" s="178"/>
      <c r="O275" s="157" t="s">
        <v>59</v>
      </c>
      <c r="P275" s="158">
        <v>40</v>
      </c>
      <c r="Q275" s="152" t="s">
        <v>60</v>
      </c>
      <c r="R275" s="152" t="s">
        <v>70</v>
      </c>
      <c r="S275" s="148" t="s">
        <v>1110</v>
      </c>
      <c r="T275" s="148">
        <v>0</v>
      </c>
      <c r="U275" s="159">
        <v>278</v>
      </c>
      <c r="V275" s="160" t="str">
        <f>VLOOKUP(U275,docentes!$A:$E,2,0)</f>
        <v>JOAO RODRIGO SANTOS DA SILVA</v>
      </c>
      <c r="W275" s="161" t="str">
        <f>VLOOKUP(U275,docentes!$A:$E,5,0)</f>
        <v>CCNH</v>
      </c>
      <c r="X275" s="176">
        <v>278</v>
      </c>
      <c r="Y275" s="160" t="str">
        <f>VLOOKUP(X275,docentes!$A:$E,2,0)</f>
        <v>JOAO RODRIGO SANTOS DA SILVA</v>
      </c>
      <c r="Z275" s="177" t="str">
        <f>VLOOKUP(X275,docentes!$A:$E,5,0)</f>
        <v>CCNH</v>
      </c>
    </row>
    <row r="276" spans="1:35" s="44" customFormat="1" ht="66.75" customHeight="1">
      <c r="A276" s="148" t="s">
        <v>1000</v>
      </c>
      <c r="B276" s="146" t="s">
        <v>1111</v>
      </c>
      <c r="C276" s="149" t="s">
        <v>1112</v>
      </c>
      <c r="D276" s="150">
        <v>2</v>
      </c>
      <c r="E276" s="150" t="s">
        <v>1113</v>
      </c>
      <c r="F276" s="151" t="s">
        <v>1114</v>
      </c>
      <c r="G276" s="152">
        <v>4</v>
      </c>
      <c r="H276" s="152">
        <v>0</v>
      </c>
      <c r="I276" s="153">
        <v>4</v>
      </c>
      <c r="J276" s="154">
        <v>4</v>
      </c>
      <c r="K276" s="155">
        <v>0</v>
      </c>
      <c r="L276" s="148" t="s">
        <v>57</v>
      </c>
      <c r="M276" s="148" t="s">
        <v>58</v>
      </c>
      <c r="N276" s="178"/>
      <c r="O276" s="157" t="s">
        <v>59</v>
      </c>
      <c r="P276" s="158">
        <v>30</v>
      </c>
      <c r="Q276" s="152" t="s">
        <v>60</v>
      </c>
      <c r="R276" s="152" t="s">
        <v>61</v>
      </c>
      <c r="S276" s="148" t="s">
        <v>1115</v>
      </c>
      <c r="T276" s="148">
        <v>0</v>
      </c>
      <c r="U276" s="159">
        <v>384</v>
      </c>
      <c r="V276" s="160" t="str">
        <f>VLOOKUP(U276,docentes!$A:$E,2,0)</f>
        <v>MARIA BEATRIZ FAGUNDES</v>
      </c>
      <c r="W276" s="161" t="str">
        <f>VLOOKUP(U276,docentes!$A:$E,5,0)</f>
        <v>CCNH</v>
      </c>
      <c r="X276" s="162"/>
      <c r="Y276" s="163"/>
      <c r="Z276" s="164"/>
    </row>
    <row r="277" spans="1:35" s="44" customFormat="1" ht="66.75" customHeight="1">
      <c r="A277" s="148" t="s">
        <v>1116</v>
      </c>
      <c r="B277" s="146" t="s">
        <v>1117</v>
      </c>
      <c r="C277" s="149" t="s">
        <v>1112</v>
      </c>
      <c r="D277" s="150">
        <v>2</v>
      </c>
      <c r="E277" s="150" t="s">
        <v>1113</v>
      </c>
      <c r="F277" s="151" t="s">
        <v>1118</v>
      </c>
      <c r="G277" s="152">
        <v>4</v>
      </c>
      <c r="H277" s="152">
        <v>0</v>
      </c>
      <c r="I277" s="153">
        <v>4</v>
      </c>
      <c r="J277" s="154">
        <v>4</v>
      </c>
      <c r="K277" s="155">
        <v>0</v>
      </c>
      <c r="L277" s="148" t="s">
        <v>821</v>
      </c>
      <c r="M277" s="148" t="s">
        <v>68</v>
      </c>
      <c r="N277" s="178">
        <v>40</v>
      </c>
      <c r="O277" s="165" t="s">
        <v>1119</v>
      </c>
      <c r="P277" s="158">
        <v>40</v>
      </c>
      <c r="Q277" s="152" t="s">
        <v>60</v>
      </c>
      <c r="R277" s="152" t="s">
        <v>70</v>
      </c>
      <c r="S277" s="148" t="s">
        <v>1120</v>
      </c>
      <c r="T277" s="148">
        <v>0</v>
      </c>
      <c r="U277" s="159">
        <v>518</v>
      </c>
      <c r="V277" s="160" t="str">
        <f>VLOOKUP(U277,docentes!$A:$E,2,0)</f>
        <v>SERGIO HENRIQUE BEZERRA DE SOUSA LEAL</v>
      </c>
      <c r="W277" s="161" t="str">
        <f>VLOOKUP(U277,docentes!$A:$E,5,0)</f>
        <v>CCNH</v>
      </c>
      <c r="X277" s="162"/>
      <c r="Y277" s="163"/>
      <c r="Z277" s="164"/>
    </row>
    <row r="278" spans="1:35" s="44" customFormat="1" ht="66.75" customHeight="1">
      <c r="A278" s="148" t="s">
        <v>128</v>
      </c>
      <c r="B278" s="146" t="s">
        <v>1121</v>
      </c>
      <c r="C278" s="149" t="s">
        <v>1122</v>
      </c>
      <c r="D278" s="150">
        <v>1</v>
      </c>
      <c r="E278" s="150" t="s">
        <v>1123</v>
      </c>
      <c r="F278" s="151" t="s">
        <v>1124</v>
      </c>
      <c r="G278" s="152">
        <v>3</v>
      </c>
      <c r="H278" s="152">
        <v>1</v>
      </c>
      <c r="I278" s="153">
        <v>5</v>
      </c>
      <c r="J278" s="154">
        <v>3</v>
      </c>
      <c r="K278" s="155">
        <v>1</v>
      </c>
      <c r="L278" s="148" t="s">
        <v>57</v>
      </c>
      <c r="M278" s="148" t="s">
        <v>58</v>
      </c>
      <c r="N278" s="156"/>
      <c r="O278" s="157" t="s">
        <v>59</v>
      </c>
      <c r="P278" s="158">
        <v>62</v>
      </c>
      <c r="Q278" s="152" t="s">
        <v>76</v>
      </c>
      <c r="R278" s="152" t="s">
        <v>61</v>
      </c>
      <c r="S278" s="148" t="s">
        <v>1125</v>
      </c>
      <c r="T278" s="148">
        <v>0</v>
      </c>
      <c r="U278" s="159">
        <v>145</v>
      </c>
      <c r="V278" s="160" t="str">
        <f>VLOOKUP(U278,docentes!$A:$E,2,0)</f>
        <v>DOUGLAS ALVES CASSIANO</v>
      </c>
      <c r="W278" s="161" t="str">
        <f>VLOOKUP(U278,docentes!$A:$E,5,0)</f>
        <v>CECS</v>
      </c>
      <c r="X278" s="176">
        <v>145</v>
      </c>
      <c r="Y278" s="160" t="str">
        <f>VLOOKUP(X278,docentes!$A:$E,2,0)</f>
        <v>DOUGLAS ALVES CASSIANO</v>
      </c>
      <c r="Z278" s="177" t="str">
        <f>VLOOKUP(X278,docentes!$A:$E,5,0)</f>
        <v>CECS</v>
      </c>
    </row>
    <row r="279" spans="1:35" s="44" customFormat="1" ht="66.75" customHeight="1">
      <c r="A279" s="148" t="s">
        <v>1126</v>
      </c>
      <c r="B279" s="146" t="s">
        <v>1127</v>
      </c>
      <c r="C279" s="149" t="s">
        <v>1128</v>
      </c>
      <c r="D279" s="150">
        <v>2</v>
      </c>
      <c r="E279" s="150" t="s">
        <v>1129</v>
      </c>
      <c r="F279" s="151" t="s">
        <v>1130</v>
      </c>
      <c r="G279" s="152">
        <v>2</v>
      </c>
      <c r="H279" s="152">
        <v>4</v>
      </c>
      <c r="I279" s="153">
        <v>8</v>
      </c>
      <c r="J279" s="154">
        <v>2</v>
      </c>
      <c r="K279" s="155">
        <v>4</v>
      </c>
      <c r="L279" s="148" t="s">
        <v>57</v>
      </c>
      <c r="M279" s="148" t="s">
        <v>58</v>
      </c>
      <c r="N279" s="156"/>
      <c r="O279" s="165" t="s">
        <v>810</v>
      </c>
      <c r="P279" s="158">
        <v>25</v>
      </c>
      <c r="Q279" s="152" t="s">
        <v>60</v>
      </c>
      <c r="R279" s="152" t="s">
        <v>61</v>
      </c>
      <c r="S279" s="148" t="s">
        <v>1131</v>
      </c>
      <c r="T279" s="148" t="s">
        <v>1132</v>
      </c>
      <c r="U279" s="159">
        <v>79</v>
      </c>
      <c r="V279" s="160" t="str">
        <f>VLOOKUP(U279,docentes!$A:$E,2,0)</f>
        <v>BRUNO LEMOS BATISTA</v>
      </c>
      <c r="W279" s="161" t="str">
        <f>VLOOKUP(U279,docentes!$A:$E,5,0)</f>
        <v>CCNH</v>
      </c>
      <c r="X279" s="176">
        <v>22</v>
      </c>
      <c r="Y279" s="160" t="str">
        <f>VLOOKUP(X279,docentes!$A:$E,2,0)</f>
        <v>ALEXANDRE ZATKOVSKIS CARVALHO</v>
      </c>
      <c r="Z279" s="177" t="str">
        <f>VLOOKUP(X279,docentes!$A:$E,5,0)</f>
        <v>CCNH</v>
      </c>
    </row>
    <row r="280" spans="1:35" s="44" customFormat="1" ht="66.75" customHeight="1">
      <c r="A280" s="148" t="s">
        <v>1126</v>
      </c>
      <c r="B280" s="146" t="s">
        <v>1133</v>
      </c>
      <c r="C280" s="149" t="s">
        <v>1128</v>
      </c>
      <c r="D280" s="150">
        <v>2</v>
      </c>
      <c r="E280" s="150" t="s">
        <v>1129</v>
      </c>
      <c r="F280" s="151" t="s">
        <v>1134</v>
      </c>
      <c r="G280" s="152">
        <v>2</v>
      </c>
      <c r="H280" s="152">
        <v>4</v>
      </c>
      <c r="I280" s="153">
        <v>8</v>
      </c>
      <c r="J280" s="154">
        <v>2</v>
      </c>
      <c r="K280" s="155">
        <v>4</v>
      </c>
      <c r="L280" s="148" t="s">
        <v>97</v>
      </c>
      <c r="M280" s="148" t="s">
        <v>58</v>
      </c>
      <c r="N280" s="156"/>
      <c r="O280" s="165" t="s">
        <v>810</v>
      </c>
      <c r="P280" s="158">
        <v>25</v>
      </c>
      <c r="Q280" s="152" t="s">
        <v>60</v>
      </c>
      <c r="R280" s="152" t="s">
        <v>70</v>
      </c>
      <c r="S280" s="148" t="s">
        <v>1135</v>
      </c>
      <c r="T280" s="148" t="s">
        <v>1136</v>
      </c>
      <c r="U280" s="159">
        <v>79</v>
      </c>
      <c r="V280" s="160" t="str">
        <f>VLOOKUP(U280,docentes!$A:$E,2,0)</f>
        <v>BRUNO LEMOS BATISTA</v>
      </c>
      <c r="W280" s="161" t="str">
        <f>VLOOKUP(U280,docentes!$A:$E,5,0)</f>
        <v>CCNH</v>
      </c>
      <c r="X280" s="176">
        <v>22</v>
      </c>
      <c r="Y280" s="160" t="str">
        <f>VLOOKUP(X280,docentes!$A:$E,2,0)</f>
        <v>ALEXANDRE ZATKOVSKIS CARVALHO</v>
      </c>
      <c r="Z280" s="177" t="str">
        <f>VLOOKUP(X280,docentes!$A:$E,5,0)</f>
        <v>CCNH</v>
      </c>
    </row>
    <row r="281" spans="1:35" s="44" customFormat="1" ht="66.75" customHeight="1">
      <c r="A281" s="148" t="s">
        <v>884</v>
      </c>
      <c r="B281" s="146" t="s">
        <v>1137</v>
      </c>
      <c r="C281" s="149" t="s">
        <v>1138</v>
      </c>
      <c r="D281" s="150">
        <v>4</v>
      </c>
      <c r="E281" s="150" t="s">
        <v>1139</v>
      </c>
      <c r="F281" s="151" t="s">
        <v>1140</v>
      </c>
      <c r="G281" s="152">
        <v>3</v>
      </c>
      <c r="H281" s="152">
        <v>2</v>
      </c>
      <c r="I281" s="153">
        <v>4</v>
      </c>
      <c r="J281" s="154">
        <v>3</v>
      </c>
      <c r="K281" s="155">
        <v>2</v>
      </c>
      <c r="L281" s="148" t="s">
        <v>57</v>
      </c>
      <c r="M281" s="148" t="s">
        <v>58</v>
      </c>
      <c r="N281" s="156"/>
      <c r="O281" s="157" t="s">
        <v>59</v>
      </c>
      <c r="P281" s="158">
        <v>30</v>
      </c>
      <c r="Q281" s="152" t="s">
        <v>60</v>
      </c>
      <c r="R281" s="152" t="s">
        <v>61</v>
      </c>
      <c r="S281" s="148" t="s">
        <v>1141</v>
      </c>
      <c r="T281" s="148" t="s">
        <v>1142</v>
      </c>
      <c r="U281" s="159">
        <v>84</v>
      </c>
      <c r="V281" s="160" t="str">
        <f>VLOOKUP(U281,docentes!$A:$E,2,0)</f>
        <v>CARLOS ALBERTO DOS REIS FILHO</v>
      </c>
      <c r="W281" s="161" t="str">
        <f>VLOOKUP(U281,docentes!$A:$E,5,0)</f>
        <v>CECS</v>
      </c>
      <c r="X281" s="176">
        <v>84</v>
      </c>
      <c r="Y281" s="160" t="str">
        <f>VLOOKUP(X281,docentes!$A:$E,2,0)</f>
        <v>CARLOS ALBERTO DOS REIS FILHO</v>
      </c>
      <c r="Z281" s="177" t="str">
        <f>VLOOKUP(X281,docentes!$A:$E,5,0)</f>
        <v>CECS</v>
      </c>
    </row>
    <row r="282" spans="1:35" s="44" customFormat="1" ht="66.75" customHeight="1">
      <c r="A282" s="148" t="s">
        <v>884</v>
      </c>
      <c r="B282" s="146" t="s">
        <v>1143</v>
      </c>
      <c r="C282" s="149" t="s">
        <v>1138</v>
      </c>
      <c r="D282" s="150">
        <v>4</v>
      </c>
      <c r="E282" s="150" t="s">
        <v>1139</v>
      </c>
      <c r="F282" s="151" t="s">
        <v>1144</v>
      </c>
      <c r="G282" s="152">
        <v>3</v>
      </c>
      <c r="H282" s="152">
        <v>2</v>
      </c>
      <c r="I282" s="153">
        <v>4</v>
      </c>
      <c r="J282" s="154">
        <v>3</v>
      </c>
      <c r="K282" s="155">
        <v>2</v>
      </c>
      <c r="L282" s="148" t="s">
        <v>821</v>
      </c>
      <c r="M282" s="148" t="s">
        <v>68</v>
      </c>
      <c r="N282" s="156">
        <v>32</v>
      </c>
      <c r="O282" s="165" t="s">
        <v>822</v>
      </c>
      <c r="P282" s="158">
        <v>32</v>
      </c>
      <c r="Q282" s="152" t="s">
        <v>60</v>
      </c>
      <c r="R282" s="152" t="s">
        <v>70</v>
      </c>
      <c r="S282" s="148" t="s">
        <v>1145</v>
      </c>
      <c r="T282" s="148" t="s">
        <v>1146</v>
      </c>
      <c r="U282" s="159">
        <v>360</v>
      </c>
      <c r="V282" s="160" t="str">
        <f>VLOOKUP(U282,docentes!$A:$E,2,0)</f>
        <v>MARCELO BENDER PEROTONI</v>
      </c>
      <c r="W282" s="161" t="str">
        <f>VLOOKUP(U282,docentes!$A:$E,5,0)</f>
        <v>CECS</v>
      </c>
      <c r="X282" s="176">
        <v>360</v>
      </c>
      <c r="Y282" s="160" t="str">
        <f>VLOOKUP(X282,docentes!$A:$E,2,0)</f>
        <v>MARCELO BENDER PEROTONI</v>
      </c>
      <c r="Z282" s="177" t="str">
        <f>VLOOKUP(X282,docentes!$A:$E,5,0)</f>
        <v>CECS</v>
      </c>
    </row>
    <row r="283" spans="1:35" s="44" customFormat="1" ht="66.75" hidden="1" customHeight="1">
      <c r="A283" s="148" t="s">
        <v>884</v>
      </c>
      <c r="B283" s="168" t="s">
        <v>1147</v>
      </c>
      <c r="C283" s="149"/>
      <c r="D283" s="150">
        <v>0</v>
      </c>
      <c r="E283" s="150" t="s">
        <v>1139</v>
      </c>
      <c r="F283" s="169" t="s">
        <v>1148</v>
      </c>
      <c r="G283" s="152">
        <v>3</v>
      </c>
      <c r="H283" s="152">
        <v>2</v>
      </c>
      <c r="I283" s="153">
        <v>4</v>
      </c>
      <c r="J283" s="154">
        <v>0</v>
      </c>
      <c r="K283" s="155">
        <v>0</v>
      </c>
      <c r="L283" s="148" t="s">
        <v>732</v>
      </c>
      <c r="M283" s="148" t="s">
        <v>58</v>
      </c>
      <c r="N283" s="156"/>
      <c r="O283" s="148" t="s">
        <v>102</v>
      </c>
      <c r="P283" s="158">
        <v>0</v>
      </c>
      <c r="Q283" s="152" t="s">
        <v>60</v>
      </c>
      <c r="R283" s="152" t="s">
        <v>61</v>
      </c>
      <c r="S283" s="148" t="s">
        <v>1141</v>
      </c>
      <c r="T283" s="148" t="s">
        <v>1149</v>
      </c>
      <c r="U283" s="170">
        <v>84</v>
      </c>
      <c r="V283" s="163" t="str">
        <f>VLOOKUP(U283,docentes!$A:$E,2,0)</f>
        <v>CARLOS ALBERTO DOS REIS FILHO</v>
      </c>
      <c r="W283" s="171" t="str">
        <f>VLOOKUP(U283,docentes!$A:$E,5,0)</f>
        <v>CECS</v>
      </c>
      <c r="X283" s="162">
        <v>488</v>
      </c>
      <c r="Y283" s="163" t="str">
        <f>VLOOKUP(X283,docentes!$A:$E,2,0)</f>
        <v>RICARDO SUYAMA</v>
      </c>
      <c r="Z283" s="164" t="str">
        <f>VLOOKUP(X283,docentes!$A:$E,5,0)</f>
        <v>CECS</v>
      </c>
    </row>
    <row r="284" spans="1:35" s="44" customFormat="1" ht="66.75" customHeight="1">
      <c r="A284" s="148" t="s">
        <v>884</v>
      </c>
      <c r="B284" s="146" t="s">
        <v>1150</v>
      </c>
      <c r="C284" s="149" t="s">
        <v>1138</v>
      </c>
      <c r="D284" s="150">
        <v>4</v>
      </c>
      <c r="E284" s="150" t="s">
        <v>1139</v>
      </c>
      <c r="F284" s="151" t="s">
        <v>1151</v>
      </c>
      <c r="G284" s="152">
        <v>3</v>
      </c>
      <c r="H284" s="152">
        <v>2</v>
      </c>
      <c r="I284" s="153">
        <v>4</v>
      </c>
      <c r="J284" s="154">
        <v>0</v>
      </c>
      <c r="K284" s="155">
        <v>2</v>
      </c>
      <c r="L284" s="148" t="s">
        <v>821</v>
      </c>
      <c r="M284" s="148" t="s">
        <v>68</v>
      </c>
      <c r="N284" s="156">
        <v>32</v>
      </c>
      <c r="O284" s="148" t="s">
        <v>822</v>
      </c>
      <c r="P284" s="158">
        <v>32</v>
      </c>
      <c r="Q284" s="152" t="s">
        <v>60</v>
      </c>
      <c r="R284" s="152" t="s">
        <v>70</v>
      </c>
      <c r="S284" s="148" t="s">
        <v>1145</v>
      </c>
      <c r="T284" s="148" t="s">
        <v>1152</v>
      </c>
      <c r="U284" s="170">
        <v>360</v>
      </c>
      <c r="V284" s="163" t="str">
        <f>VLOOKUP(U284,docentes!$A:$E,2,0)</f>
        <v>MARCELO BENDER PEROTONI</v>
      </c>
      <c r="W284" s="171" t="str">
        <f>VLOOKUP(U284,docentes!$A:$E,5,0)</f>
        <v>CECS</v>
      </c>
      <c r="X284" s="176">
        <v>488</v>
      </c>
      <c r="Y284" s="160" t="str">
        <f>VLOOKUP(X284,docentes!$A:$E,2,0)</f>
        <v>RICARDO SUYAMA</v>
      </c>
      <c r="Z284" s="177" t="str">
        <f>VLOOKUP(X284,docentes!$A:$E,5,0)</f>
        <v>CECS</v>
      </c>
    </row>
    <row r="285" spans="1:35" s="44" customFormat="1" ht="66.75" customHeight="1">
      <c r="A285" s="148" t="s">
        <v>134</v>
      </c>
      <c r="B285" s="146" t="s">
        <v>1153</v>
      </c>
      <c r="C285" s="149" t="s">
        <v>1138</v>
      </c>
      <c r="D285" s="150">
        <v>4</v>
      </c>
      <c r="E285" s="150" t="s">
        <v>1139</v>
      </c>
      <c r="F285" s="151" t="s">
        <v>1154</v>
      </c>
      <c r="G285" s="152">
        <v>3</v>
      </c>
      <c r="H285" s="152">
        <v>2</v>
      </c>
      <c r="I285" s="153">
        <v>4</v>
      </c>
      <c r="J285" s="154">
        <v>3</v>
      </c>
      <c r="K285" s="155">
        <v>2</v>
      </c>
      <c r="L285" s="148" t="s">
        <v>821</v>
      </c>
      <c r="M285" s="148" t="s">
        <v>68</v>
      </c>
      <c r="N285" s="166">
        <v>33</v>
      </c>
      <c r="O285" s="165" t="s">
        <v>1155</v>
      </c>
      <c r="P285" s="158">
        <v>33</v>
      </c>
      <c r="Q285" s="152" t="s">
        <v>60</v>
      </c>
      <c r="R285" s="152" t="s">
        <v>70</v>
      </c>
      <c r="S285" s="148" t="s">
        <v>1156</v>
      </c>
      <c r="T285" s="148" t="s">
        <v>1157</v>
      </c>
      <c r="U285" s="159">
        <v>489</v>
      </c>
      <c r="V285" s="160" t="str">
        <f>VLOOKUP(U285,docentes!$A:$E,2,0)</f>
        <v>ROBERTO JACOBE RODRIGUES</v>
      </c>
      <c r="W285" s="161" t="str">
        <f>VLOOKUP(U285,docentes!$A:$E,5,0)</f>
        <v>CECS</v>
      </c>
      <c r="X285" s="176">
        <v>489</v>
      </c>
      <c r="Y285" s="160" t="str">
        <f>VLOOKUP(X285,docentes!$A:$E,2,0)</f>
        <v>ROBERTO JACOBE RODRIGUES</v>
      </c>
      <c r="Z285" s="177" t="str">
        <f>VLOOKUP(X285,docentes!$A:$E,5,0)</f>
        <v>CECS</v>
      </c>
    </row>
    <row r="286" spans="1:35" s="44" customFormat="1" ht="66.75" customHeight="1">
      <c r="A286" s="148" t="s">
        <v>884</v>
      </c>
      <c r="B286" s="146" t="s">
        <v>1158</v>
      </c>
      <c r="C286" s="149" t="s">
        <v>1159</v>
      </c>
      <c r="D286" s="150">
        <v>4</v>
      </c>
      <c r="E286" s="150" t="s">
        <v>1160</v>
      </c>
      <c r="F286" s="151" t="s">
        <v>1161</v>
      </c>
      <c r="G286" s="152">
        <v>4</v>
      </c>
      <c r="H286" s="152">
        <v>2</v>
      </c>
      <c r="I286" s="153">
        <v>4</v>
      </c>
      <c r="J286" s="154">
        <v>4</v>
      </c>
      <c r="K286" s="155">
        <v>2</v>
      </c>
      <c r="L286" s="148" t="s">
        <v>97</v>
      </c>
      <c r="M286" s="148" t="s">
        <v>58</v>
      </c>
      <c r="N286" s="156"/>
      <c r="O286" s="157" t="s">
        <v>59</v>
      </c>
      <c r="P286" s="158">
        <v>30</v>
      </c>
      <c r="Q286" s="152" t="s">
        <v>60</v>
      </c>
      <c r="R286" s="152" t="s">
        <v>61</v>
      </c>
      <c r="S286" s="148" t="s">
        <v>1162</v>
      </c>
      <c r="T286" s="148" t="s">
        <v>1163</v>
      </c>
      <c r="U286" s="159">
        <v>213</v>
      </c>
      <c r="V286" s="160" t="str">
        <f>VLOOKUP(U286,docentes!$A:$E,2,0)</f>
        <v>GERMAN CARLOS SANTOS QUISPE</v>
      </c>
      <c r="W286" s="161" t="str">
        <f>VLOOKUP(U286,docentes!$A:$E,5,0)</f>
        <v>CECS</v>
      </c>
      <c r="X286" s="176">
        <v>213</v>
      </c>
      <c r="Y286" s="160" t="str">
        <f>VLOOKUP(X286,docentes!$A:$E,2,0)</f>
        <v>GERMAN CARLOS SANTOS QUISPE</v>
      </c>
      <c r="Z286" s="177" t="str">
        <f>VLOOKUP(X286,docentes!$A:$E,5,0)</f>
        <v>CECS</v>
      </c>
    </row>
    <row r="287" spans="1:35" s="44" customFormat="1" ht="66.75" customHeight="1">
      <c r="A287" s="148" t="s">
        <v>884</v>
      </c>
      <c r="B287" s="146" t="s">
        <v>1164</v>
      </c>
      <c r="C287" s="149" t="s">
        <v>1159</v>
      </c>
      <c r="D287" s="150">
        <v>4</v>
      </c>
      <c r="E287" s="150" t="s">
        <v>1160</v>
      </c>
      <c r="F287" s="151" t="s">
        <v>1165</v>
      </c>
      <c r="G287" s="152">
        <v>4</v>
      </c>
      <c r="H287" s="152">
        <v>2</v>
      </c>
      <c r="I287" s="153">
        <v>4</v>
      </c>
      <c r="J287" s="154">
        <v>4</v>
      </c>
      <c r="K287" s="155">
        <v>2</v>
      </c>
      <c r="L287" s="148" t="s">
        <v>57</v>
      </c>
      <c r="M287" s="148" t="s">
        <v>58</v>
      </c>
      <c r="N287" s="156"/>
      <c r="O287" s="157" t="s">
        <v>59</v>
      </c>
      <c r="P287" s="158">
        <v>30</v>
      </c>
      <c r="Q287" s="152" t="s">
        <v>60</v>
      </c>
      <c r="R287" s="152" t="s">
        <v>70</v>
      </c>
      <c r="S287" s="148" t="s">
        <v>1166</v>
      </c>
      <c r="T287" s="148" t="s">
        <v>1167</v>
      </c>
      <c r="U287" s="159">
        <v>406</v>
      </c>
      <c r="V287" s="160" t="str">
        <f>VLOOKUP(U287,docentes!$A:$E,2,0)</f>
        <v>MARIO ALEXANDRE GAZZIRO</v>
      </c>
      <c r="W287" s="161" t="str">
        <f>VLOOKUP(U287,docentes!$A:$E,5,0)</f>
        <v>CECS</v>
      </c>
      <c r="X287" s="176">
        <v>406</v>
      </c>
      <c r="Y287" s="160" t="str">
        <f>VLOOKUP(X287,docentes!$A:$E,2,0)</f>
        <v>MARIO ALEXANDRE GAZZIRO</v>
      </c>
      <c r="Z287" s="177" t="str">
        <f>VLOOKUP(X287,docentes!$A:$E,5,0)</f>
        <v>CECS</v>
      </c>
    </row>
    <row r="288" spans="1:35" s="44" customFormat="1" ht="66.75" customHeight="1">
      <c r="A288" s="148" t="s">
        <v>134</v>
      </c>
      <c r="B288" s="146" t="s">
        <v>1168</v>
      </c>
      <c r="C288" s="149" t="s">
        <v>1159</v>
      </c>
      <c r="D288" s="150">
        <v>4</v>
      </c>
      <c r="E288" s="150" t="s">
        <v>1160</v>
      </c>
      <c r="F288" s="151" t="s">
        <v>1169</v>
      </c>
      <c r="G288" s="152">
        <v>4</v>
      </c>
      <c r="H288" s="152">
        <v>2</v>
      </c>
      <c r="I288" s="153">
        <v>4</v>
      </c>
      <c r="J288" s="154">
        <v>4</v>
      </c>
      <c r="K288" s="155">
        <v>2</v>
      </c>
      <c r="L288" s="148" t="s">
        <v>821</v>
      </c>
      <c r="M288" s="148" t="s">
        <v>68</v>
      </c>
      <c r="N288" s="166">
        <v>33</v>
      </c>
      <c r="O288" s="165" t="s">
        <v>1155</v>
      </c>
      <c r="P288" s="158">
        <v>33</v>
      </c>
      <c r="Q288" s="152" t="s">
        <v>60</v>
      </c>
      <c r="R288" s="152" t="s">
        <v>61</v>
      </c>
      <c r="S288" s="148" t="s">
        <v>1170</v>
      </c>
      <c r="T288" s="148" t="s">
        <v>1171</v>
      </c>
      <c r="U288" s="159">
        <v>497</v>
      </c>
      <c r="V288" s="160" t="str">
        <f>VLOOKUP(U288,docentes!$A:$E,2,0)</f>
        <v>RODRIGO REINA MUNOZ</v>
      </c>
      <c r="W288" s="161" t="str">
        <f>VLOOKUP(U288,docentes!$A:$E,5,0)</f>
        <v>CECS</v>
      </c>
      <c r="X288" s="176">
        <v>497</v>
      </c>
      <c r="Y288" s="160" t="str">
        <f>VLOOKUP(X288,docentes!$A:$E,2,0)</f>
        <v>RODRIGO REINA MUNOZ</v>
      </c>
      <c r="Z288" s="177" t="str">
        <f>VLOOKUP(X288,docentes!$A:$E,5,0)</f>
        <v>CECS</v>
      </c>
    </row>
    <row r="289" spans="1:35" s="44" customFormat="1" ht="66.75" customHeight="1">
      <c r="A289" s="148" t="s">
        <v>134</v>
      </c>
      <c r="B289" s="146" t="s">
        <v>1172</v>
      </c>
      <c r="C289" s="149" t="s">
        <v>1159</v>
      </c>
      <c r="D289" s="150">
        <v>4</v>
      </c>
      <c r="E289" s="150" t="s">
        <v>1160</v>
      </c>
      <c r="F289" s="151" t="s">
        <v>1173</v>
      </c>
      <c r="G289" s="152">
        <v>4</v>
      </c>
      <c r="H289" s="152">
        <v>2</v>
      </c>
      <c r="I289" s="153">
        <v>4</v>
      </c>
      <c r="J289" s="154">
        <v>4</v>
      </c>
      <c r="K289" s="155">
        <v>2</v>
      </c>
      <c r="L289" s="148" t="s">
        <v>821</v>
      </c>
      <c r="M289" s="148" t="s">
        <v>68</v>
      </c>
      <c r="N289" s="166">
        <v>33</v>
      </c>
      <c r="O289" s="165" t="s">
        <v>1155</v>
      </c>
      <c r="P289" s="158">
        <v>33</v>
      </c>
      <c r="Q289" s="152" t="s">
        <v>60</v>
      </c>
      <c r="R289" s="152" t="s">
        <v>70</v>
      </c>
      <c r="S289" s="148" t="s">
        <v>1174</v>
      </c>
      <c r="T289" s="148" t="s">
        <v>1175</v>
      </c>
      <c r="U289" s="159">
        <v>196</v>
      </c>
      <c r="V289" s="160" t="str">
        <f>VLOOKUP(U289,docentes!$A:$E,2,0)</f>
        <v>FILIPE IEDA FAZANARO</v>
      </c>
      <c r="W289" s="161" t="str">
        <f>VLOOKUP(U289,docentes!$A:$E,5,0)</f>
        <v>CECS</v>
      </c>
      <c r="X289" s="176">
        <v>196</v>
      </c>
      <c r="Y289" s="160" t="str">
        <f>VLOOKUP(X289,docentes!$A:$E,2,0)</f>
        <v>FILIPE IEDA FAZANARO</v>
      </c>
      <c r="Z289" s="177" t="str">
        <f>VLOOKUP(X289,docentes!$A:$E,5,0)</f>
        <v>CECS</v>
      </c>
    </row>
    <row r="290" spans="1:35" s="44" customFormat="1" ht="66.75" customHeight="1">
      <c r="A290" s="148" t="s">
        <v>128</v>
      </c>
      <c r="B290" s="146" t="s">
        <v>1176</v>
      </c>
      <c r="C290" s="149" t="s">
        <v>1177</v>
      </c>
      <c r="D290" s="150">
        <v>1</v>
      </c>
      <c r="E290" s="150" t="s">
        <v>1178</v>
      </c>
      <c r="F290" s="151" t="s">
        <v>1179</v>
      </c>
      <c r="G290" s="152">
        <v>2</v>
      </c>
      <c r="H290" s="152">
        <v>2</v>
      </c>
      <c r="I290" s="153">
        <v>2</v>
      </c>
      <c r="J290" s="154">
        <v>2</v>
      </c>
      <c r="K290" s="155">
        <v>2</v>
      </c>
      <c r="L290" s="148" t="s">
        <v>57</v>
      </c>
      <c r="M290" s="148" t="s">
        <v>58</v>
      </c>
      <c r="N290" s="156"/>
      <c r="O290" s="157" t="s">
        <v>59</v>
      </c>
      <c r="P290" s="158">
        <v>62</v>
      </c>
      <c r="Q290" s="152" t="s">
        <v>76</v>
      </c>
      <c r="R290" s="152" t="s">
        <v>61</v>
      </c>
      <c r="S290" s="148" t="s">
        <v>1180</v>
      </c>
      <c r="T290" s="148">
        <v>0</v>
      </c>
      <c r="U290" s="159">
        <v>61</v>
      </c>
      <c r="V290" s="160" t="str">
        <f>VLOOKUP(U290,docentes!$A:$E,2,0)</f>
        <v>ANNE CRISTINE CHINELLATO</v>
      </c>
      <c r="W290" s="161" t="str">
        <f>VLOOKUP(U290,docentes!$A:$E,5,0)</f>
        <v>CECS</v>
      </c>
      <c r="X290" s="176">
        <v>324</v>
      </c>
      <c r="Y290" s="160" t="str">
        <f>VLOOKUP(X290,docentes!$A:$E,2,0)</f>
        <v>LUCELIA BORGES DA COSTA</v>
      </c>
      <c r="Z290" s="177" t="str">
        <f>VLOOKUP(X290,docentes!$A:$E,5,0)</f>
        <v>CECS</v>
      </c>
    </row>
    <row r="291" spans="1:35" s="44" customFormat="1" ht="66.75" customHeight="1">
      <c r="A291" s="148" t="s">
        <v>805</v>
      </c>
      <c r="B291" s="146" t="s">
        <v>1181</v>
      </c>
      <c r="C291" s="149" t="s">
        <v>1182</v>
      </c>
      <c r="D291" s="150">
        <v>1</v>
      </c>
      <c r="E291" s="150" t="s">
        <v>1183</v>
      </c>
      <c r="F291" s="151" t="s">
        <v>1184</v>
      </c>
      <c r="G291" s="152">
        <v>2</v>
      </c>
      <c r="H291" s="152">
        <v>0</v>
      </c>
      <c r="I291" s="153">
        <v>4</v>
      </c>
      <c r="J291" s="154">
        <v>2</v>
      </c>
      <c r="K291" s="155">
        <v>0</v>
      </c>
      <c r="L291" s="148" t="s">
        <v>902</v>
      </c>
      <c r="M291" s="148" t="s">
        <v>58</v>
      </c>
      <c r="N291" s="156">
        <v>0</v>
      </c>
      <c r="O291" s="165" t="s">
        <v>913</v>
      </c>
      <c r="P291" s="158">
        <v>72</v>
      </c>
      <c r="Q291" s="152" t="s">
        <v>60</v>
      </c>
      <c r="R291" s="152" t="s">
        <v>70</v>
      </c>
      <c r="S291" s="148" t="s">
        <v>1185</v>
      </c>
      <c r="T291" s="148">
        <v>0</v>
      </c>
      <c r="U291" s="159">
        <v>519</v>
      </c>
      <c r="V291" s="160" t="str">
        <f>VLOOKUP(U291,docentes!$A:$E,2,0)</f>
        <v>SERGIO HENRIQUE FERREIRA DE OLIVEIRA</v>
      </c>
      <c r="W291" s="161" t="str">
        <f>VLOOKUP(U291,docentes!$A:$E,5,0)</f>
        <v>CECS</v>
      </c>
      <c r="X291" s="162">
        <v>519</v>
      </c>
      <c r="Y291" s="163" t="str">
        <f>VLOOKUP(X291,docentes!$A:$E,2,0)</f>
        <v>SERGIO HENRIQUE FERREIRA DE OLIVEIRA</v>
      </c>
      <c r="Z291" s="164" t="str">
        <f>VLOOKUP(X291,docentes!$A:$E,5,0)</f>
        <v>CECS</v>
      </c>
      <c r="AB291" s="45"/>
    </row>
    <row r="292" spans="1:35" s="44" customFormat="1" ht="66.75" customHeight="1">
      <c r="A292" s="148" t="s">
        <v>805</v>
      </c>
      <c r="B292" s="146" t="s">
        <v>1186</v>
      </c>
      <c r="C292" s="149" t="s">
        <v>1187</v>
      </c>
      <c r="D292" s="150">
        <v>1</v>
      </c>
      <c r="E292" s="150" t="s">
        <v>1188</v>
      </c>
      <c r="F292" s="151" t="s">
        <v>1189</v>
      </c>
      <c r="G292" s="152">
        <v>4</v>
      </c>
      <c r="H292" s="152">
        <v>0</v>
      </c>
      <c r="I292" s="153">
        <v>5</v>
      </c>
      <c r="J292" s="154">
        <v>4</v>
      </c>
      <c r="K292" s="155">
        <v>0</v>
      </c>
      <c r="L292" s="148" t="s">
        <v>902</v>
      </c>
      <c r="M292" s="148" t="s">
        <v>58</v>
      </c>
      <c r="N292" s="156">
        <v>0</v>
      </c>
      <c r="O292" s="165" t="s">
        <v>913</v>
      </c>
      <c r="P292" s="158">
        <v>72</v>
      </c>
      <c r="Q292" s="152" t="s">
        <v>60</v>
      </c>
      <c r="R292" s="152" t="s">
        <v>70</v>
      </c>
      <c r="S292" s="148" t="s">
        <v>1190</v>
      </c>
      <c r="T292" s="148">
        <v>0</v>
      </c>
      <c r="U292" s="159">
        <v>274</v>
      </c>
      <c r="V292" s="160" t="str">
        <f>VLOOKUP(U292,docentes!$A:$E,2,0)</f>
        <v>JOAO MANOEL LOSADA MOREIRA</v>
      </c>
      <c r="W292" s="161" t="str">
        <f>VLOOKUP(U292,docentes!$A:$E,5,0)</f>
        <v>CECS</v>
      </c>
      <c r="X292" s="162">
        <v>274</v>
      </c>
      <c r="Y292" s="163" t="str">
        <f>VLOOKUP(X292,docentes!$A:$E,2,0)</f>
        <v>JOAO MANOEL LOSADA MOREIRA</v>
      </c>
      <c r="Z292" s="164" t="str">
        <f>VLOOKUP(X292,docentes!$A:$E,5,0)</f>
        <v>CECS</v>
      </c>
      <c r="AB292" s="45"/>
    </row>
    <row r="293" spans="1:35" s="44" customFormat="1" ht="66.75" customHeight="1">
      <c r="A293" s="148" t="s">
        <v>713</v>
      </c>
      <c r="B293" s="146" t="s">
        <v>1191</v>
      </c>
      <c r="C293" s="149" t="s">
        <v>1192</v>
      </c>
      <c r="D293" s="150">
        <v>7</v>
      </c>
      <c r="E293" s="150" t="s">
        <v>1193</v>
      </c>
      <c r="F293" s="151" t="s">
        <v>1194</v>
      </c>
      <c r="G293" s="152">
        <v>2</v>
      </c>
      <c r="H293" s="152">
        <v>0</v>
      </c>
      <c r="I293" s="153">
        <v>4</v>
      </c>
      <c r="J293" s="154">
        <v>2</v>
      </c>
      <c r="K293" s="155">
        <v>0</v>
      </c>
      <c r="L293" s="148" t="s">
        <v>57</v>
      </c>
      <c r="M293" s="148" t="s">
        <v>58</v>
      </c>
      <c r="N293" s="156"/>
      <c r="O293" s="157" t="s">
        <v>59</v>
      </c>
      <c r="P293" s="158">
        <v>90</v>
      </c>
      <c r="Q293" s="152" t="s">
        <v>76</v>
      </c>
      <c r="R293" s="152" t="s">
        <v>70</v>
      </c>
      <c r="S293" s="148" t="s">
        <v>1195</v>
      </c>
      <c r="T293" s="148">
        <v>0</v>
      </c>
      <c r="U293" s="159">
        <v>470</v>
      </c>
      <c r="V293" s="160" t="str">
        <f>VLOOKUP(U293,docentes!$A:$E,2,0)</f>
        <v>REGINA KEIKO MURAKAMI</v>
      </c>
      <c r="W293" s="161" t="str">
        <f>VLOOKUP(U293,docentes!$A:$E,5,0)</f>
        <v>CCNH</v>
      </c>
      <c r="X293" s="162"/>
      <c r="Y293" s="163"/>
      <c r="Z293" s="164"/>
      <c r="AH293" s="45"/>
      <c r="AI293" s="45"/>
    </row>
    <row r="294" spans="1:35" s="44" customFormat="1" ht="66.75" customHeight="1">
      <c r="A294" s="148" t="s">
        <v>713</v>
      </c>
      <c r="B294" s="146" t="s">
        <v>1196</v>
      </c>
      <c r="C294" s="149" t="s">
        <v>1192</v>
      </c>
      <c r="D294" s="150">
        <v>7</v>
      </c>
      <c r="E294" s="150" t="s">
        <v>1193</v>
      </c>
      <c r="F294" s="151" t="s">
        <v>1197</v>
      </c>
      <c r="G294" s="152">
        <v>2</v>
      </c>
      <c r="H294" s="152">
        <v>0</v>
      </c>
      <c r="I294" s="153">
        <v>4</v>
      </c>
      <c r="J294" s="154">
        <v>2</v>
      </c>
      <c r="K294" s="155">
        <v>0</v>
      </c>
      <c r="L294" s="148" t="s">
        <v>57</v>
      </c>
      <c r="M294" s="148" t="s">
        <v>58</v>
      </c>
      <c r="N294" s="156"/>
      <c r="O294" s="157" t="s">
        <v>59</v>
      </c>
      <c r="P294" s="158">
        <v>90</v>
      </c>
      <c r="Q294" s="152" t="s">
        <v>76</v>
      </c>
      <c r="R294" s="152" t="s">
        <v>70</v>
      </c>
      <c r="S294" s="148" t="s">
        <v>1198</v>
      </c>
      <c r="T294" s="148">
        <v>0</v>
      </c>
      <c r="U294" s="159">
        <v>137</v>
      </c>
      <c r="V294" s="160" t="str">
        <f>VLOOKUP(U294,docentes!$A:$E,2,0)</f>
        <v>DENISE CRIADO PEREIRA DE SOUZA</v>
      </c>
      <c r="W294" s="161" t="str">
        <f>VLOOKUP(U294,docentes!$A:$E,5,0)</f>
        <v>CCNH</v>
      </c>
      <c r="X294" s="162"/>
      <c r="Y294" s="163"/>
      <c r="Z294" s="164"/>
      <c r="AH294" s="45"/>
      <c r="AI294" s="45"/>
    </row>
    <row r="295" spans="1:35" s="44" customFormat="1" ht="66.75" customHeight="1">
      <c r="A295" s="148" t="s">
        <v>222</v>
      </c>
      <c r="B295" s="146" t="s">
        <v>1199</v>
      </c>
      <c r="C295" s="149" t="s">
        <v>1192</v>
      </c>
      <c r="D295" s="150">
        <v>7</v>
      </c>
      <c r="E295" s="150" t="s">
        <v>1193</v>
      </c>
      <c r="F295" s="151" t="s">
        <v>1200</v>
      </c>
      <c r="G295" s="152">
        <v>2</v>
      </c>
      <c r="H295" s="152">
        <v>0</v>
      </c>
      <c r="I295" s="153">
        <v>4</v>
      </c>
      <c r="J295" s="154">
        <v>2</v>
      </c>
      <c r="K295" s="155">
        <v>0</v>
      </c>
      <c r="L295" s="148" t="s">
        <v>57</v>
      </c>
      <c r="M295" s="148" t="s">
        <v>58</v>
      </c>
      <c r="N295" s="156"/>
      <c r="O295" s="157" t="s">
        <v>59</v>
      </c>
      <c r="P295" s="158">
        <v>90</v>
      </c>
      <c r="Q295" s="152" t="s">
        <v>76</v>
      </c>
      <c r="R295" s="152" t="s">
        <v>70</v>
      </c>
      <c r="S295" s="148" t="s">
        <v>1201</v>
      </c>
      <c r="T295" s="148">
        <v>0</v>
      </c>
      <c r="U295" s="159">
        <v>519</v>
      </c>
      <c r="V295" s="160" t="str">
        <f>VLOOKUP(U295,docentes!$A:$E,2,0)</f>
        <v>SERGIO HENRIQUE FERREIRA DE OLIVEIRA</v>
      </c>
      <c r="W295" s="161" t="str">
        <f>VLOOKUP(U295,docentes!$A:$E,5,0)</f>
        <v>CECS</v>
      </c>
      <c r="X295" s="162"/>
      <c r="Y295" s="163"/>
      <c r="Z295" s="164"/>
    </row>
    <row r="296" spans="1:35" s="44" customFormat="1" ht="66.75" customHeight="1">
      <c r="A296" s="148" t="s">
        <v>222</v>
      </c>
      <c r="B296" s="146" t="s">
        <v>1202</v>
      </c>
      <c r="C296" s="149" t="s">
        <v>1192</v>
      </c>
      <c r="D296" s="150">
        <v>7</v>
      </c>
      <c r="E296" s="150" t="s">
        <v>1193</v>
      </c>
      <c r="F296" s="147" t="s">
        <v>1203</v>
      </c>
      <c r="G296" s="152">
        <v>2</v>
      </c>
      <c r="H296" s="152">
        <v>0</v>
      </c>
      <c r="I296" s="153">
        <v>4</v>
      </c>
      <c r="J296" s="154">
        <v>2</v>
      </c>
      <c r="K296" s="155">
        <v>0</v>
      </c>
      <c r="L296" s="148" t="s">
        <v>57</v>
      </c>
      <c r="M296" s="148" t="s">
        <v>58</v>
      </c>
      <c r="N296" s="182"/>
      <c r="O296" s="157" t="s">
        <v>59</v>
      </c>
      <c r="P296" s="158">
        <v>86</v>
      </c>
      <c r="Q296" s="152" t="s">
        <v>60</v>
      </c>
      <c r="R296" s="152" t="s">
        <v>61</v>
      </c>
      <c r="S296" s="148" t="s">
        <v>1204</v>
      </c>
      <c r="T296" s="148">
        <v>0</v>
      </c>
      <c r="U296" s="159">
        <v>295</v>
      </c>
      <c r="V296" s="160" t="str">
        <f>VLOOKUP(U296,docentes!$A:$E,2,0)</f>
        <v>JOSE RUBENS MAIORINO</v>
      </c>
      <c r="W296" s="161" t="str">
        <f>VLOOKUP(U296,docentes!$A:$E,5,0)</f>
        <v>CECS</v>
      </c>
      <c r="X296" s="162"/>
      <c r="Y296" s="163"/>
      <c r="Z296" s="164"/>
    </row>
    <row r="297" spans="1:35" s="44" customFormat="1" ht="66.75" customHeight="1">
      <c r="A297" s="148" t="s">
        <v>713</v>
      </c>
      <c r="B297" s="146" t="s">
        <v>1205</v>
      </c>
      <c r="C297" s="149" t="s">
        <v>1192</v>
      </c>
      <c r="D297" s="150">
        <v>7</v>
      </c>
      <c r="E297" s="150" t="s">
        <v>1193</v>
      </c>
      <c r="F297" s="151" t="s">
        <v>1206</v>
      </c>
      <c r="G297" s="152">
        <v>2</v>
      </c>
      <c r="H297" s="152">
        <v>0</v>
      </c>
      <c r="I297" s="153">
        <v>4</v>
      </c>
      <c r="J297" s="154">
        <v>2</v>
      </c>
      <c r="K297" s="155">
        <v>0</v>
      </c>
      <c r="L297" s="148" t="s">
        <v>57</v>
      </c>
      <c r="M297" s="148" t="s">
        <v>58</v>
      </c>
      <c r="N297" s="156"/>
      <c r="O297" s="157" t="s">
        <v>59</v>
      </c>
      <c r="P297" s="158">
        <v>90</v>
      </c>
      <c r="Q297" s="152" t="s">
        <v>76</v>
      </c>
      <c r="R297" s="152" t="s">
        <v>61</v>
      </c>
      <c r="S297" s="148" t="s">
        <v>1207</v>
      </c>
      <c r="T297" s="148">
        <v>0</v>
      </c>
      <c r="U297" s="159">
        <v>470</v>
      </c>
      <c r="V297" s="160" t="str">
        <f>VLOOKUP(U297,docentes!$A:$E,2,0)</f>
        <v>REGINA KEIKO MURAKAMI</v>
      </c>
      <c r="W297" s="161" t="str">
        <f>VLOOKUP(U297,docentes!$A:$E,5,0)</f>
        <v>CCNH</v>
      </c>
      <c r="X297" s="162"/>
      <c r="Y297" s="163"/>
      <c r="Z297" s="164"/>
    </row>
    <row r="298" spans="1:35" s="44" customFormat="1" ht="66.75" customHeight="1">
      <c r="A298" s="148" t="s">
        <v>222</v>
      </c>
      <c r="B298" s="146" t="s">
        <v>1208</v>
      </c>
      <c r="C298" s="149" t="s">
        <v>1192</v>
      </c>
      <c r="D298" s="150">
        <v>7</v>
      </c>
      <c r="E298" s="150" t="s">
        <v>1193</v>
      </c>
      <c r="F298" s="151" t="s">
        <v>1209</v>
      </c>
      <c r="G298" s="152">
        <v>2</v>
      </c>
      <c r="H298" s="152">
        <v>0</v>
      </c>
      <c r="I298" s="153">
        <v>4</v>
      </c>
      <c r="J298" s="154">
        <v>2</v>
      </c>
      <c r="K298" s="155">
        <v>0</v>
      </c>
      <c r="L298" s="148" t="s">
        <v>845</v>
      </c>
      <c r="M298" s="148" t="s">
        <v>58</v>
      </c>
      <c r="N298" s="156" t="s">
        <v>1210</v>
      </c>
      <c r="O298" s="148" t="s">
        <v>59</v>
      </c>
      <c r="P298" s="158">
        <v>90</v>
      </c>
      <c r="Q298" s="152" t="s">
        <v>76</v>
      </c>
      <c r="R298" s="152" t="s">
        <v>70</v>
      </c>
      <c r="S298" s="148" t="s">
        <v>1211</v>
      </c>
      <c r="T298" s="148">
        <v>0</v>
      </c>
      <c r="U298" s="159">
        <v>519</v>
      </c>
      <c r="V298" s="160" t="str">
        <f>VLOOKUP(U298,docentes!$A:$E,2,0)</f>
        <v>SERGIO HENRIQUE FERREIRA DE OLIVEIRA</v>
      </c>
      <c r="W298" s="161" t="str">
        <f>VLOOKUP(U298,docentes!$A:$E,5,0)</f>
        <v>CECS</v>
      </c>
      <c r="X298" s="162"/>
      <c r="Y298" s="163"/>
      <c r="Z298" s="164"/>
    </row>
    <row r="299" spans="1:35" s="44" customFormat="1" ht="66.75" customHeight="1">
      <c r="A299" s="148" t="s">
        <v>713</v>
      </c>
      <c r="B299" s="146" t="s">
        <v>1212</v>
      </c>
      <c r="C299" s="149" t="s">
        <v>1192</v>
      </c>
      <c r="D299" s="150">
        <v>7</v>
      </c>
      <c r="E299" s="150" t="s">
        <v>1193</v>
      </c>
      <c r="F299" s="151" t="s">
        <v>1213</v>
      </c>
      <c r="G299" s="152">
        <v>2</v>
      </c>
      <c r="H299" s="152">
        <v>0</v>
      </c>
      <c r="I299" s="153">
        <v>4</v>
      </c>
      <c r="J299" s="154">
        <v>2</v>
      </c>
      <c r="K299" s="155">
        <v>0</v>
      </c>
      <c r="L299" s="148" t="s">
        <v>718</v>
      </c>
      <c r="M299" s="148" t="s">
        <v>58</v>
      </c>
      <c r="N299" s="156" t="s">
        <v>1214</v>
      </c>
      <c r="O299" s="157" t="s">
        <v>59</v>
      </c>
      <c r="P299" s="158">
        <v>90</v>
      </c>
      <c r="Q299" s="152" t="s">
        <v>76</v>
      </c>
      <c r="R299" s="152" t="s">
        <v>70</v>
      </c>
      <c r="S299" s="148" t="s">
        <v>1215</v>
      </c>
      <c r="T299" s="148">
        <v>0</v>
      </c>
      <c r="U299" s="159">
        <v>137</v>
      </c>
      <c r="V299" s="160" t="str">
        <f>VLOOKUP(U299,docentes!$A:$E,2,0)</f>
        <v>DENISE CRIADO PEREIRA DE SOUZA</v>
      </c>
      <c r="W299" s="161" t="str">
        <f>VLOOKUP(U299,docentes!$A:$E,5,0)</f>
        <v>CCNH</v>
      </c>
      <c r="X299" s="162"/>
      <c r="Y299" s="163"/>
      <c r="Z299" s="164"/>
    </row>
    <row r="300" spans="1:35" s="44" customFormat="1" ht="66.75" customHeight="1">
      <c r="A300" s="148" t="s">
        <v>805</v>
      </c>
      <c r="B300" s="146" t="s">
        <v>1216</v>
      </c>
      <c r="C300" s="149" t="s">
        <v>1217</v>
      </c>
      <c r="D300" s="150">
        <v>1</v>
      </c>
      <c r="E300" s="150" t="s">
        <v>1218</v>
      </c>
      <c r="F300" s="151" t="s">
        <v>1219</v>
      </c>
      <c r="G300" s="152">
        <v>4</v>
      </c>
      <c r="H300" s="152">
        <v>0</v>
      </c>
      <c r="I300" s="153">
        <v>4</v>
      </c>
      <c r="J300" s="154">
        <v>4</v>
      </c>
      <c r="K300" s="155">
        <v>0</v>
      </c>
      <c r="L300" s="148" t="s">
        <v>57</v>
      </c>
      <c r="M300" s="148" t="s">
        <v>58</v>
      </c>
      <c r="N300" s="156">
        <v>0</v>
      </c>
      <c r="O300" s="148" t="s">
        <v>810</v>
      </c>
      <c r="P300" s="158">
        <v>30</v>
      </c>
      <c r="Q300" s="152" t="s">
        <v>60</v>
      </c>
      <c r="R300" s="152" t="s">
        <v>70</v>
      </c>
      <c r="S300" s="148" t="s">
        <v>1220</v>
      </c>
      <c r="T300" s="148">
        <v>0</v>
      </c>
      <c r="U300" s="159">
        <v>6</v>
      </c>
      <c r="V300" s="160" t="str">
        <f>VLOOKUP(U300,docentes!$A:$E,2,0)</f>
        <v>ADRIANO VIANA ENSINAS</v>
      </c>
      <c r="W300" s="161" t="str">
        <f>VLOOKUP(U300,docentes!$A:$E,5,0)</f>
        <v>CECS</v>
      </c>
      <c r="X300" s="162">
        <v>6</v>
      </c>
      <c r="Y300" s="163" t="str">
        <f>VLOOKUP(X300,docentes!$A:$E,2,0)</f>
        <v>ADRIANO VIANA ENSINAS</v>
      </c>
      <c r="Z300" s="164" t="str">
        <f>VLOOKUP(X300,docentes!$A:$E,5,0)</f>
        <v>CECS</v>
      </c>
      <c r="AB300" s="45"/>
    </row>
    <row r="301" spans="1:35" s="44" customFormat="1" ht="66.75" customHeight="1">
      <c r="A301" s="148" t="s">
        <v>675</v>
      </c>
      <c r="B301" s="146" t="s">
        <v>1221</v>
      </c>
      <c r="C301" s="149" t="s">
        <v>1222</v>
      </c>
      <c r="D301" s="150">
        <v>2</v>
      </c>
      <c r="E301" s="150" t="s">
        <v>1223</v>
      </c>
      <c r="F301" s="151" t="s">
        <v>1224</v>
      </c>
      <c r="G301" s="152">
        <v>3</v>
      </c>
      <c r="H301" s="152">
        <v>1</v>
      </c>
      <c r="I301" s="153">
        <v>4</v>
      </c>
      <c r="J301" s="154">
        <v>3</v>
      </c>
      <c r="K301" s="155">
        <v>1</v>
      </c>
      <c r="L301" s="148" t="s">
        <v>97</v>
      </c>
      <c r="M301" s="148" t="s">
        <v>58</v>
      </c>
      <c r="N301" s="156"/>
      <c r="O301" s="157" t="s">
        <v>59</v>
      </c>
      <c r="P301" s="158">
        <v>30</v>
      </c>
      <c r="Q301" s="152" t="s">
        <v>60</v>
      </c>
      <c r="R301" s="152" t="s">
        <v>61</v>
      </c>
      <c r="S301" s="148" t="s">
        <v>1225</v>
      </c>
      <c r="T301" s="148" t="s">
        <v>1226</v>
      </c>
      <c r="U301" s="159">
        <v>377</v>
      </c>
      <c r="V301" s="160" t="str">
        <f>VLOOKUP(U301,docentes!$A:$E,2,0)</f>
        <v>MARCOS DUARTE</v>
      </c>
      <c r="W301" s="161" t="str">
        <f>VLOOKUP(U301,docentes!$A:$E,5,0)</f>
        <v>CECS</v>
      </c>
      <c r="X301" s="176">
        <v>377</v>
      </c>
      <c r="Y301" s="160" t="str">
        <f>VLOOKUP(X301,docentes!$A:$E,2,0)</f>
        <v>MARCOS DUARTE</v>
      </c>
      <c r="Z301" s="177" t="str">
        <f>VLOOKUP(X301,docentes!$A:$E,5,0)</f>
        <v>CECS</v>
      </c>
    </row>
    <row r="302" spans="1:35" s="44" customFormat="1" ht="66.75" customHeight="1">
      <c r="A302" s="148" t="s">
        <v>675</v>
      </c>
      <c r="B302" s="146" t="s">
        <v>1227</v>
      </c>
      <c r="C302" s="149" t="s">
        <v>1222</v>
      </c>
      <c r="D302" s="150">
        <v>2</v>
      </c>
      <c r="E302" s="150" t="s">
        <v>1223</v>
      </c>
      <c r="F302" s="151" t="s">
        <v>1228</v>
      </c>
      <c r="G302" s="152">
        <v>3</v>
      </c>
      <c r="H302" s="152">
        <v>1</v>
      </c>
      <c r="I302" s="153">
        <v>4</v>
      </c>
      <c r="J302" s="154">
        <v>3</v>
      </c>
      <c r="K302" s="155">
        <v>1</v>
      </c>
      <c r="L302" s="148" t="s">
        <v>97</v>
      </c>
      <c r="M302" s="148" t="s">
        <v>58</v>
      </c>
      <c r="N302" s="156"/>
      <c r="O302" s="157" t="s">
        <v>59</v>
      </c>
      <c r="P302" s="158">
        <v>30</v>
      </c>
      <c r="Q302" s="152" t="s">
        <v>60</v>
      </c>
      <c r="R302" s="152" t="s">
        <v>70</v>
      </c>
      <c r="S302" s="148" t="s">
        <v>1229</v>
      </c>
      <c r="T302" s="148" t="s">
        <v>1230</v>
      </c>
      <c r="U302" s="159">
        <v>471</v>
      </c>
      <c r="V302" s="160" t="str">
        <f>VLOOKUP(U302,docentes!$A:$E,2,0)</f>
        <v>REGINALDO KISHO FUKUCHI</v>
      </c>
      <c r="W302" s="161" t="str">
        <f>VLOOKUP(U302,docentes!$A:$E,5,0)</f>
        <v>CECS</v>
      </c>
      <c r="X302" s="176">
        <v>471</v>
      </c>
      <c r="Y302" s="160" t="str">
        <f>VLOOKUP(X302,docentes!$A:$E,2,0)</f>
        <v>REGINALDO KISHO FUKUCHI</v>
      </c>
      <c r="Z302" s="177" t="str">
        <f>VLOOKUP(X302,docentes!$A:$E,5,0)</f>
        <v>CECS</v>
      </c>
    </row>
    <row r="303" spans="1:35" s="44" customFormat="1" ht="66.75" customHeight="1">
      <c r="A303" s="148" t="s">
        <v>692</v>
      </c>
      <c r="B303" s="146" t="s">
        <v>1231</v>
      </c>
      <c r="C303" s="149" t="s">
        <v>1232</v>
      </c>
      <c r="D303" s="150">
        <v>3</v>
      </c>
      <c r="E303" s="150" t="s">
        <v>1233</v>
      </c>
      <c r="F303" s="151" t="s">
        <v>1234</v>
      </c>
      <c r="G303" s="152">
        <v>2</v>
      </c>
      <c r="H303" s="152">
        <v>1</v>
      </c>
      <c r="I303" s="153">
        <v>3</v>
      </c>
      <c r="J303" s="154">
        <v>2</v>
      </c>
      <c r="K303" s="155">
        <v>1</v>
      </c>
      <c r="L303" s="148" t="s">
        <v>97</v>
      </c>
      <c r="M303" s="148" t="s">
        <v>58</v>
      </c>
      <c r="N303" s="156"/>
      <c r="O303" s="157" t="s">
        <v>59</v>
      </c>
      <c r="P303" s="158">
        <v>90</v>
      </c>
      <c r="Q303" s="152" t="s">
        <v>60</v>
      </c>
      <c r="R303" s="152" t="s">
        <v>61</v>
      </c>
      <c r="S303" s="148" t="s">
        <v>1235</v>
      </c>
      <c r="T303" s="148">
        <v>0</v>
      </c>
      <c r="U303" s="159">
        <v>419</v>
      </c>
      <c r="V303" s="160" t="str">
        <f>VLOOKUP(U303,docentes!$A:$E,2,0)</f>
        <v>MICHELLE SATO FRIGO</v>
      </c>
      <c r="W303" s="161" t="str">
        <f>VLOOKUP(U303,docentes!$A:$E,5,0)</f>
        <v>CECS</v>
      </c>
      <c r="X303" s="176">
        <v>419</v>
      </c>
      <c r="Y303" s="160" t="str">
        <f>VLOOKUP(X303,docentes!$A:$E,2,0)</f>
        <v>MICHELLE SATO FRIGO</v>
      </c>
      <c r="Z303" s="177" t="str">
        <f>VLOOKUP(X303,docentes!$A:$E,5,0)</f>
        <v>CECS</v>
      </c>
    </row>
    <row r="304" spans="1:35" ht="66.75" customHeight="1">
      <c r="A304" s="148" t="s">
        <v>692</v>
      </c>
      <c r="B304" s="146" t="s">
        <v>1236</v>
      </c>
      <c r="C304" s="149" t="s">
        <v>1232</v>
      </c>
      <c r="D304" s="150">
        <v>3</v>
      </c>
      <c r="E304" s="150" t="s">
        <v>1233</v>
      </c>
      <c r="F304" s="151" t="s">
        <v>1237</v>
      </c>
      <c r="G304" s="152">
        <v>2</v>
      </c>
      <c r="H304" s="152">
        <v>1</v>
      </c>
      <c r="I304" s="153">
        <v>3</v>
      </c>
      <c r="J304" s="154">
        <v>2</v>
      </c>
      <c r="K304" s="155">
        <v>1</v>
      </c>
      <c r="L304" s="148" t="s">
        <v>97</v>
      </c>
      <c r="M304" s="148" t="s">
        <v>58</v>
      </c>
      <c r="N304" s="156"/>
      <c r="O304" s="157" t="s">
        <v>59</v>
      </c>
      <c r="P304" s="158">
        <v>90</v>
      </c>
      <c r="Q304" s="152" t="s">
        <v>76</v>
      </c>
      <c r="R304" s="152" t="s">
        <v>61</v>
      </c>
      <c r="S304" s="148" t="s">
        <v>1238</v>
      </c>
      <c r="T304" s="148">
        <v>0</v>
      </c>
      <c r="U304" s="159">
        <v>146</v>
      </c>
      <c r="V304" s="160" t="str">
        <f>VLOOKUP(U304,docentes!$A:$E,2,0)</f>
        <v>EDER DE OLIVEIRA ABENSUR</v>
      </c>
      <c r="W304" s="161" t="str">
        <f>VLOOKUP(U304,docentes!$A:$E,5,0)</f>
        <v>CECS</v>
      </c>
      <c r="X304" s="176">
        <v>146</v>
      </c>
      <c r="Y304" s="160" t="str">
        <f>VLOOKUP(X304,docentes!$A:$E,2,0)</f>
        <v>EDER DE OLIVEIRA ABENSUR</v>
      </c>
      <c r="Z304" s="177" t="str">
        <f>VLOOKUP(X304,docentes!$A:$E,5,0)</f>
        <v>CECS</v>
      </c>
      <c r="AA304" s="44"/>
      <c r="AB304" s="44"/>
      <c r="AC304" s="44"/>
      <c r="AD304" s="44"/>
      <c r="AE304" s="44"/>
      <c r="AF304" s="44"/>
      <c r="AG304" s="44"/>
      <c r="AH304" s="44"/>
      <c r="AI304" s="44"/>
    </row>
    <row r="305" spans="1:35" s="44" customFormat="1" ht="66.75" customHeight="1">
      <c r="A305" s="148" t="s">
        <v>692</v>
      </c>
      <c r="B305" s="146" t="s">
        <v>1239</v>
      </c>
      <c r="C305" s="149" t="s">
        <v>1232</v>
      </c>
      <c r="D305" s="150">
        <v>3</v>
      </c>
      <c r="E305" s="150" t="s">
        <v>1233</v>
      </c>
      <c r="F305" s="151" t="s">
        <v>1240</v>
      </c>
      <c r="G305" s="152">
        <v>2</v>
      </c>
      <c r="H305" s="152">
        <v>1</v>
      </c>
      <c r="I305" s="153">
        <v>3</v>
      </c>
      <c r="J305" s="154">
        <v>2</v>
      </c>
      <c r="K305" s="155">
        <v>1</v>
      </c>
      <c r="L305" s="148" t="s">
        <v>97</v>
      </c>
      <c r="M305" s="148" t="s">
        <v>58</v>
      </c>
      <c r="N305" s="156"/>
      <c r="O305" s="157" t="s">
        <v>59</v>
      </c>
      <c r="P305" s="158">
        <v>90</v>
      </c>
      <c r="Q305" s="152" t="s">
        <v>60</v>
      </c>
      <c r="R305" s="152" t="s">
        <v>70</v>
      </c>
      <c r="S305" s="148" t="s">
        <v>1241</v>
      </c>
      <c r="T305" s="148">
        <v>0</v>
      </c>
      <c r="U305" s="159">
        <v>146</v>
      </c>
      <c r="V305" s="160" t="str">
        <f>VLOOKUP(U305,docentes!$A:$E,2,0)</f>
        <v>EDER DE OLIVEIRA ABENSUR</v>
      </c>
      <c r="W305" s="161" t="str">
        <f>VLOOKUP(U305,docentes!$A:$E,5,0)</f>
        <v>CECS</v>
      </c>
      <c r="X305" s="176">
        <v>146</v>
      </c>
      <c r="Y305" s="160" t="str">
        <f>VLOOKUP(X305,docentes!$A:$E,2,0)</f>
        <v>EDER DE OLIVEIRA ABENSUR</v>
      </c>
      <c r="Z305" s="177" t="str">
        <f>VLOOKUP(X305,docentes!$A:$E,5,0)</f>
        <v>CECS</v>
      </c>
    </row>
    <row r="306" spans="1:35" s="44" customFormat="1" ht="66.75" customHeight="1">
      <c r="A306" s="148" t="s">
        <v>128</v>
      </c>
      <c r="B306" s="146" t="s">
        <v>1242</v>
      </c>
      <c r="C306" s="149" t="s">
        <v>1243</v>
      </c>
      <c r="D306" s="150">
        <v>1</v>
      </c>
      <c r="E306" s="150" t="s">
        <v>1244</v>
      </c>
      <c r="F306" s="151" t="s">
        <v>1245</v>
      </c>
      <c r="G306" s="152">
        <v>4</v>
      </c>
      <c r="H306" s="152">
        <v>0</v>
      </c>
      <c r="I306" s="153">
        <v>5</v>
      </c>
      <c r="J306" s="154">
        <v>4</v>
      </c>
      <c r="K306" s="155">
        <v>0</v>
      </c>
      <c r="L306" s="148" t="s">
        <v>57</v>
      </c>
      <c r="M306" s="148" t="s">
        <v>58</v>
      </c>
      <c r="N306" s="156"/>
      <c r="O306" s="157" t="s">
        <v>59</v>
      </c>
      <c r="P306" s="158">
        <v>63</v>
      </c>
      <c r="Q306" s="152" t="s">
        <v>76</v>
      </c>
      <c r="R306" s="152" t="s">
        <v>70</v>
      </c>
      <c r="S306" s="148" t="s">
        <v>1246</v>
      </c>
      <c r="T306" s="148">
        <v>0</v>
      </c>
      <c r="U306" s="159">
        <v>61</v>
      </c>
      <c r="V306" s="160" t="str">
        <f>VLOOKUP(U306,docentes!$A:$E,2,0)</f>
        <v>ANNE CRISTINE CHINELLATO</v>
      </c>
      <c r="W306" s="161" t="str">
        <f>VLOOKUP(U306,docentes!$A:$E,5,0)</f>
        <v>CECS</v>
      </c>
      <c r="X306" s="162"/>
      <c r="Y306" s="163"/>
      <c r="Z306" s="164"/>
    </row>
    <row r="307" spans="1:35" s="44" customFormat="1" ht="66.75" customHeight="1">
      <c r="A307" s="148" t="s">
        <v>692</v>
      </c>
      <c r="B307" s="146" t="s">
        <v>1247</v>
      </c>
      <c r="C307" s="149" t="s">
        <v>1248</v>
      </c>
      <c r="D307" s="150">
        <v>6</v>
      </c>
      <c r="E307" s="150" t="s">
        <v>1249</v>
      </c>
      <c r="F307" s="151" t="s">
        <v>1250</v>
      </c>
      <c r="G307" s="152">
        <v>0</v>
      </c>
      <c r="H307" s="152">
        <v>3</v>
      </c>
      <c r="I307" s="153">
        <v>5</v>
      </c>
      <c r="J307" s="154">
        <v>0</v>
      </c>
      <c r="K307" s="155">
        <v>3</v>
      </c>
      <c r="L307" s="148" t="s">
        <v>97</v>
      </c>
      <c r="M307" s="148" t="s">
        <v>58</v>
      </c>
      <c r="N307" s="156"/>
      <c r="O307" s="157" t="s">
        <v>59</v>
      </c>
      <c r="P307" s="158">
        <v>30</v>
      </c>
      <c r="Q307" s="152" t="s">
        <v>60</v>
      </c>
      <c r="R307" s="152" t="s">
        <v>61</v>
      </c>
      <c r="S307" s="148">
        <v>0</v>
      </c>
      <c r="T307" s="148" t="s">
        <v>1251</v>
      </c>
      <c r="U307" s="170"/>
      <c r="V307" s="163"/>
      <c r="W307" s="171"/>
      <c r="X307" s="176">
        <v>309</v>
      </c>
      <c r="Y307" s="160" t="str">
        <f>VLOOKUP(X307,docentes!$A:$E,2,0)</f>
        <v>KATIA FRANKLIN ALBERTIN TORRES</v>
      </c>
      <c r="Z307" s="177" t="str">
        <f>VLOOKUP(X307,docentes!$A:$E,5,0)</f>
        <v>CECS</v>
      </c>
    </row>
    <row r="308" spans="1:35" s="44" customFormat="1" ht="66.75" customHeight="1">
      <c r="A308" s="148" t="s">
        <v>692</v>
      </c>
      <c r="B308" s="146" t="s">
        <v>1252</v>
      </c>
      <c r="C308" s="149" t="s">
        <v>1248</v>
      </c>
      <c r="D308" s="150">
        <v>6</v>
      </c>
      <c r="E308" s="150" t="s">
        <v>1249</v>
      </c>
      <c r="F308" s="151" t="s">
        <v>1253</v>
      </c>
      <c r="G308" s="152">
        <v>0</v>
      </c>
      <c r="H308" s="152">
        <v>3</v>
      </c>
      <c r="I308" s="153">
        <v>5</v>
      </c>
      <c r="J308" s="154">
        <v>0</v>
      </c>
      <c r="K308" s="155">
        <v>3</v>
      </c>
      <c r="L308" s="148" t="s">
        <v>97</v>
      </c>
      <c r="M308" s="148" t="s">
        <v>58</v>
      </c>
      <c r="N308" s="156"/>
      <c r="O308" s="157" t="s">
        <v>59</v>
      </c>
      <c r="P308" s="158">
        <v>30</v>
      </c>
      <c r="Q308" s="152" t="s">
        <v>60</v>
      </c>
      <c r="R308" s="152" t="s">
        <v>70</v>
      </c>
      <c r="S308" s="148">
        <v>0</v>
      </c>
      <c r="T308" s="148" t="s">
        <v>1254</v>
      </c>
      <c r="U308" s="170"/>
      <c r="V308" s="163"/>
      <c r="W308" s="171"/>
      <c r="X308" s="176">
        <v>162</v>
      </c>
      <c r="Y308" s="160" t="str">
        <f>VLOOKUP(X308,docentes!$A:$E,2,0)</f>
        <v>ELVIRA RAFIKOVA</v>
      </c>
      <c r="Z308" s="177" t="str">
        <f>VLOOKUP(X308,docentes!$A:$E,5,0)</f>
        <v>CECS</v>
      </c>
    </row>
    <row r="309" spans="1:35" s="44" customFormat="1" ht="66.75" customHeight="1">
      <c r="A309" s="148" t="s">
        <v>692</v>
      </c>
      <c r="B309" s="146" t="s">
        <v>1255</v>
      </c>
      <c r="C309" s="149" t="s">
        <v>1248</v>
      </c>
      <c r="D309" s="150">
        <v>6</v>
      </c>
      <c r="E309" s="150" t="s">
        <v>1249</v>
      </c>
      <c r="F309" s="151" t="s">
        <v>1256</v>
      </c>
      <c r="G309" s="152">
        <v>0</v>
      </c>
      <c r="H309" s="152">
        <v>3</v>
      </c>
      <c r="I309" s="153">
        <v>5</v>
      </c>
      <c r="J309" s="154">
        <v>0</v>
      </c>
      <c r="K309" s="155">
        <v>3</v>
      </c>
      <c r="L309" s="148" t="s">
        <v>97</v>
      </c>
      <c r="M309" s="148" t="s">
        <v>58</v>
      </c>
      <c r="N309" s="156"/>
      <c r="O309" s="157" t="s">
        <v>59</v>
      </c>
      <c r="P309" s="158">
        <v>30</v>
      </c>
      <c r="Q309" s="152" t="s">
        <v>60</v>
      </c>
      <c r="R309" s="152" t="s">
        <v>61</v>
      </c>
      <c r="S309" s="148">
        <v>0</v>
      </c>
      <c r="T309" s="148" t="s">
        <v>1257</v>
      </c>
      <c r="U309" s="170"/>
      <c r="V309" s="163"/>
      <c r="W309" s="171"/>
      <c r="X309" s="176">
        <v>489</v>
      </c>
      <c r="Y309" s="160" t="str">
        <f>VLOOKUP(X309,docentes!$A:$E,2,0)</f>
        <v>ROBERTO JACOBE RODRIGUES</v>
      </c>
      <c r="Z309" s="177" t="str">
        <f>VLOOKUP(X309,docentes!$A:$E,5,0)</f>
        <v>CECS</v>
      </c>
    </row>
    <row r="310" spans="1:35" s="44" customFormat="1" ht="66.75" customHeight="1">
      <c r="A310" s="148" t="s">
        <v>692</v>
      </c>
      <c r="B310" s="146" t="s">
        <v>1258</v>
      </c>
      <c r="C310" s="149" t="s">
        <v>1248</v>
      </c>
      <c r="D310" s="150">
        <v>6</v>
      </c>
      <c r="E310" s="150" t="s">
        <v>1249</v>
      </c>
      <c r="F310" s="151" t="s">
        <v>1259</v>
      </c>
      <c r="G310" s="152">
        <v>0</v>
      </c>
      <c r="H310" s="152">
        <v>3</v>
      </c>
      <c r="I310" s="153">
        <v>5</v>
      </c>
      <c r="J310" s="154">
        <v>0</v>
      </c>
      <c r="K310" s="155">
        <v>3</v>
      </c>
      <c r="L310" s="148" t="s">
        <v>97</v>
      </c>
      <c r="M310" s="148" t="s">
        <v>58</v>
      </c>
      <c r="N310" s="156"/>
      <c r="O310" s="157" t="s">
        <v>59</v>
      </c>
      <c r="P310" s="158">
        <v>30</v>
      </c>
      <c r="Q310" s="152" t="s">
        <v>60</v>
      </c>
      <c r="R310" s="152" t="s">
        <v>61</v>
      </c>
      <c r="S310" s="148">
        <v>0</v>
      </c>
      <c r="T310" s="148" t="s">
        <v>1260</v>
      </c>
      <c r="U310" s="170"/>
      <c r="V310" s="163"/>
      <c r="W310" s="171"/>
      <c r="X310" s="176">
        <v>345</v>
      </c>
      <c r="Y310" s="160" t="str">
        <f>VLOOKUP(X310,docentes!$A:$E,2,0)</f>
        <v>LUIZ FERNANDO GRESPAN SETZ</v>
      </c>
      <c r="Z310" s="177" t="str">
        <f>VLOOKUP(X310,docentes!$A:$E,5,0)</f>
        <v>CECS</v>
      </c>
    </row>
    <row r="311" spans="1:35" s="44" customFormat="1" ht="66.75" customHeight="1">
      <c r="A311" s="148" t="s">
        <v>692</v>
      </c>
      <c r="B311" s="146" t="s">
        <v>1261</v>
      </c>
      <c r="C311" s="149" t="s">
        <v>1248</v>
      </c>
      <c r="D311" s="150">
        <v>6</v>
      </c>
      <c r="E311" s="150" t="s">
        <v>1249</v>
      </c>
      <c r="F311" s="151" t="s">
        <v>1262</v>
      </c>
      <c r="G311" s="152">
        <v>0</v>
      </c>
      <c r="H311" s="152">
        <v>3</v>
      </c>
      <c r="I311" s="153">
        <v>5</v>
      </c>
      <c r="J311" s="154">
        <v>0</v>
      </c>
      <c r="K311" s="155">
        <v>3</v>
      </c>
      <c r="L311" s="148" t="s">
        <v>97</v>
      </c>
      <c r="M311" s="148" t="s">
        <v>58</v>
      </c>
      <c r="N311" s="156"/>
      <c r="O311" s="157" t="s">
        <v>59</v>
      </c>
      <c r="P311" s="158">
        <v>30</v>
      </c>
      <c r="Q311" s="152" t="s">
        <v>60</v>
      </c>
      <c r="R311" s="152" t="s">
        <v>61</v>
      </c>
      <c r="S311" s="148">
        <v>0</v>
      </c>
      <c r="T311" s="148" t="s">
        <v>1263</v>
      </c>
      <c r="U311" s="170"/>
      <c r="V311" s="163"/>
      <c r="W311" s="171"/>
      <c r="X311" s="176">
        <v>566</v>
      </c>
      <c r="Y311" s="160" t="str">
        <f>VLOOKUP(X311,docentes!$A:$E,2,0)</f>
        <v>WAGNER SHIN NISHITANI</v>
      </c>
      <c r="Z311" s="177" t="str">
        <f>VLOOKUP(X311,docentes!$A:$E,5,0)</f>
        <v>CECS</v>
      </c>
    </row>
    <row r="312" spans="1:35" s="44" customFormat="1" ht="66.75" customHeight="1">
      <c r="A312" s="148" t="s">
        <v>692</v>
      </c>
      <c r="B312" s="146" t="s">
        <v>1264</v>
      </c>
      <c r="C312" s="149" t="s">
        <v>1248</v>
      </c>
      <c r="D312" s="150">
        <v>6</v>
      </c>
      <c r="E312" s="150" t="s">
        <v>1249</v>
      </c>
      <c r="F312" s="151" t="s">
        <v>1265</v>
      </c>
      <c r="G312" s="152">
        <v>0</v>
      </c>
      <c r="H312" s="152">
        <v>3</v>
      </c>
      <c r="I312" s="153">
        <v>5</v>
      </c>
      <c r="J312" s="154">
        <v>0</v>
      </c>
      <c r="K312" s="155">
        <v>3</v>
      </c>
      <c r="L312" s="148" t="s">
        <v>97</v>
      </c>
      <c r="M312" s="148" t="s">
        <v>58</v>
      </c>
      <c r="N312" s="156"/>
      <c r="O312" s="157" t="s">
        <v>59</v>
      </c>
      <c r="P312" s="158">
        <v>30</v>
      </c>
      <c r="Q312" s="152" t="s">
        <v>60</v>
      </c>
      <c r="R312" s="152" t="s">
        <v>61</v>
      </c>
      <c r="S312" s="148">
        <v>0</v>
      </c>
      <c r="T312" s="148" t="s">
        <v>1266</v>
      </c>
      <c r="U312" s="170"/>
      <c r="V312" s="163"/>
      <c r="W312" s="171"/>
      <c r="X312" s="176">
        <v>247</v>
      </c>
      <c r="Y312" s="160" t="str">
        <f>VLOOKUP(X312,docentes!$A:$E,2,0)</f>
        <v>HUMBERTO DE PAIVA JUNIOR</v>
      </c>
      <c r="Z312" s="177" t="str">
        <f>VLOOKUP(X312,docentes!$A:$E,5,0)</f>
        <v>CECS</v>
      </c>
    </row>
    <row r="313" spans="1:35" s="44" customFormat="1" ht="66.75" customHeight="1">
      <c r="A313" s="148" t="s">
        <v>692</v>
      </c>
      <c r="B313" s="146" t="s">
        <v>1267</v>
      </c>
      <c r="C313" s="149" t="s">
        <v>1268</v>
      </c>
      <c r="D313" s="150">
        <v>8</v>
      </c>
      <c r="E313" s="150" t="s">
        <v>1269</v>
      </c>
      <c r="F313" s="151" t="s">
        <v>1270</v>
      </c>
      <c r="G313" s="152">
        <v>0</v>
      </c>
      <c r="H313" s="152">
        <v>3</v>
      </c>
      <c r="I313" s="153">
        <v>5</v>
      </c>
      <c r="J313" s="154">
        <v>0</v>
      </c>
      <c r="K313" s="155">
        <v>3</v>
      </c>
      <c r="L313" s="148" t="s">
        <v>97</v>
      </c>
      <c r="M313" s="148" t="s">
        <v>58</v>
      </c>
      <c r="N313" s="156"/>
      <c r="O313" s="157" t="s">
        <v>59</v>
      </c>
      <c r="P313" s="158">
        <v>42</v>
      </c>
      <c r="Q313" s="152" t="s">
        <v>60</v>
      </c>
      <c r="R313" s="152" t="s">
        <v>70</v>
      </c>
      <c r="S313" s="148">
        <v>0</v>
      </c>
      <c r="T313" s="148" t="s">
        <v>1271</v>
      </c>
      <c r="U313" s="170"/>
      <c r="V313" s="163"/>
      <c r="W313" s="171"/>
      <c r="X313" s="176">
        <v>125</v>
      </c>
      <c r="Y313" s="160" t="str">
        <f>VLOOKUP(X313,docentes!$A:$E,2,0)</f>
        <v>DANIEL ZANETTI DE FLORIO</v>
      </c>
      <c r="Z313" s="177" t="str">
        <f>VLOOKUP(X313,docentes!$A:$E,5,0)</f>
        <v>CECS</v>
      </c>
    </row>
    <row r="314" spans="1:35" s="44" customFormat="1" ht="66.75" customHeight="1">
      <c r="A314" s="148" t="s">
        <v>692</v>
      </c>
      <c r="B314" s="146" t="s">
        <v>1272</v>
      </c>
      <c r="C314" s="149" t="s">
        <v>1268</v>
      </c>
      <c r="D314" s="150">
        <v>8</v>
      </c>
      <c r="E314" s="150" t="s">
        <v>1269</v>
      </c>
      <c r="F314" s="151" t="s">
        <v>1273</v>
      </c>
      <c r="G314" s="152">
        <v>0</v>
      </c>
      <c r="H314" s="152">
        <v>3</v>
      </c>
      <c r="I314" s="153">
        <v>5</v>
      </c>
      <c r="J314" s="154">
        <v>0</v>
      </c>
      <c r="K314" s="155">
        <v>3</v>
      </c>
      <c r="L314" s="148" t="s">
        <v>97</v>
      </c>
      <c r="M314" s="148" t="s">
        <v>58</v>
      </c>
      <c r="N314" s="156"/>
      <c r="O314" s="157" t="s">
        <v>59</v>
      </c>
      <c r="P314" s="158">
        <v>30</v>
      </c>
      <c r="Q314" s="152" t="s">
        <v>60</v>
      </c>
      <c r="R314" s="152" t="s">
        <v>70</v>
      </c>
      <c r="S314" s="148">
        <v>0</v>
      </c>
      <c r="T314" s="148" t="s">
        <v>1274</v>
      </c>
      <c r="U314" s="170"/>
      <c r="V314" s="163"/>
      <c r="W314" s="171"/>
      <c r="X314" s="176">
        <v>485</v>
      </c>
      <c r="Y314" s="160" t="str">
        <f>VLOOKUP(X314,docentes!$A:$E,2,0)</f>
        <v>RICARDO DE SOUSA MORETTI</v>
      </c>
      <c r="Z314" s="177" t="str">
        <f>VLOOKUP(X314,docentes!$A:$E,5,0)</f>
        <v>CECS</v>
      </c>
    </row>
    <row r="315" spans="1:35" s="44" customFormat="1" ht="66.75" customHeight="1">
      <c r="A315" s="148" t="s">
        <v>692</v>
      </c>
      <c r="B315" s="146" t="s">
        <v>1275</v>
      </c>
      <c r="C315" s="149" t="s">
        <v>1268</v>
      </c>
      <c r="D315" s="150">
        <v>8</v>
      </c>
      <c r="E315" s="150" t="s">
        <v>1269</v>
      </c>
      <c r="F315" s="151" t="s">
        <v>1276</v>
      </c>
      <c r="G315" s="152">
        <v>0</v>
      </c>
      <c r="H315" s="152">
        <v>3</v>
      </c>
      <c r="I315" s="153">
        <v>5</v>
      </c>
      <c r="J315" s="154">
        <v>0</v>
      </c>
      <c r="K315" s="155">
        <v>3</v>
      </c>
      <c r="L315" s="148" t="s">
        <v>97</v>
      </c>
      <c r="M315" s="148" t="s">
        <v>58</v>
      </c>
      <c r="N315" s="156"/>
      <c r="O315" s="157" t="s">
        <v>59</v>
      </c>
      <c r="P315" s="158">
        <v>42</v>
      </c>
      <c r="Q315" s="152" t="s">
        <v>60</v>
      </c>
      <c r="R315" s="152" t="s">
        <v>61</v>
      </c>
      <c r="S315" s="148">
        <v>0</v>
      </c>
      <c r="T315" s="148" t="s">
        <v>1277</v>
      </c>
      <c r="U315" s="170"/>
      <c r="V315" s="163"/>
      <c r="W315" s="171"/>
      <c r="X315" s="176">
        <v>488</v>
      </c>
      <c r="Y315" s="160" t="str">
        <f>VLOOKUP(X315,docentes!$A:$E,2,0)</f>
        <v>RICARDO SUYAMA</v>
      </c>
      <c r="Z315" s="177" t="str">
        <f>VLOOKUP(X315,docentes!$A:$E,5,0)</f>
        <v>CECS</v>
      </c>
    </row>
    <row r="316" spans="1:35" ht="66.75" customHeight="1">
      <c r="A316" s="148" t="s">
        <v>692</v>
      </c>
      <c r="B316" s="146" t="s">
        <v>1278</v>
      </c>
      <c r="C316" s="149" t="s">
        <v>1268</v>
      </c>
      <c r="D316" s="150">
        <v>8</v>
      </c>
      <c r="E316" s="150" t="s">
        <v>1269</v>
      </c>
      <c r="F316" s="151" t="s">
        <v>1279</v>
      </c>
      <c r="G316" s="152">
        <v>0</v>
      </c>
      <c r="H316" s="152">
        <v>3</v>
      </c>
      <c r="I316" s="153">
        <v>5</v>
      </c>
      <c r="J316" s="154">
        <v>0</v>
      </c>
      <c r="K316" s="155">
        <v>3</v>
      </c>
      <c r="L316" s="148" t="s">
        <v>97</v>
      </c>
      <c r="M316" s="148" t="s">
        <v>58</v>
      </c>
      <c r="N316" s="156"/>
      <c r="O316" s="157" t="s">
        <v>59</v>
      </c>
      <c r="P316" s="158">
        <v>30</v>
      </c>
      <c r="Q316" s="149" t="s">
        <v>76</v>
      </c>
      <c r="R316" s="152" t="s">
        <v>70</v>
      </c>
      <c r="S316" s="148">
        <v>0</v>
      </c>
      <c r="T316" s="148" t="s">
        <v>1280</v>
      </c>
      <c r="U316" s="170"/>
      <c r="V316" s="163"/>
      <c r="W316" s="171"/>
      <c r="X316" s="176">
        <v>152</v>
      </c>
      <c r="Y316" s="160" t="str">
        <f>VLOOKUP(X316,docentes!$A:$E,2,0)</f>
        <v>EDUARDO DOS SANTOS FERREIRA</v>
      </c>
      <c r="Z316" s="177" t="str">
        <f>VLOOKUP(X316,docentes!$A:$E,5,0)</f>
        <v>CECS</v>
      </c>
      <c r="AA316" s="44"/>
      <c r="AB316" s="44"/>
      <c r="AC316" s="44"/>
      <c r="AD316" s="44"/>
      <c r="AE316" s="44"/>
      <c r="AF316" s="44"/>
      <c r="AG316" s="44"/>
      <c r="AH316" s="44"/>
      <c r="AI316" s="44"/>
    </row>
    <row r="317" spans="1:35" s="44" customFormat="1" ht="66.75" customHeight="1">
      <c r="A317" s="148" t="s">
        <v>692</v>
      </c>
      <c r="B317" s="146" t="s">
        <v>1281</v>
      </c>
      <c r="C317" s="149" t="s">
        <v>1268</v>
      </c>
      <c r="D317" s="150">
        <v>8</v>
      </c>
      <c r="E317" s="150" t="s">
        <v>1269</v>
      </c>
      <c r="F317" s="151" t="s">
        <v>1282</v>
      </c>
      <c r="G317" s="152">
        <v>0</v>
      </c>
      <c r="H317" s="152">
        <v>3</v>
      </c>
      <c r="I317" s="153">
        <v>5</v>
      </c>
      <c r="J317" s="154">
        <v>0</v>
      </c>
      <c r="K317" s="155">
        <v>3</v>
      </c>
      <c r="L317" s="148" t="s">
        <v>97</v>
      </c>
      <c r="M317" s="148" t="s">
        <v>58</v>
      </c>
      <c r="N317" s="156"/>
      <c r="O317" s="157" t="s">
        <v>59</v>
      </c>
      <c r="P317" s="158">
        <v>42</v>
      </c>
      <c r="Q317" s="152" t="s">
        <v>60</v>
      </c>
      <c r="R317" s="152" t="s">
        <v>61</v>
      </c>
      <c r="S317" s="148">
        <v>0</v>
      </c>
      <c r="T317" s="148" t="s">
        <v>1283</v>
      </c>
      <c r="U317" s="170"/>
      <c r="V317" s="163"/>
      <c r="W317" s="171"/>
      <c r="X317" s="176">
        <v>125</v>
      </c>
      <c r="Y317" s="160" t="str">
        <f>VLOOKUP(X317,docentes!$A:$E,2,0)</f>
        <v>DANIEL ZANETTI DE FLORIO</v>
      </c>
      <c r="Z317" s="177" t="str">
        <f>VLOOKUP(X317,docentes!$A:$E,5,0)</f>
        <v>CECS</v>
      </c>
    </row>
    <row r="318" spans="1:35" ht="66.75" customHeight="1">
      <c r="A318" s="148" t="s">
        <v>692</v>
      </c>
      <c r="B318" s="146" t="s">
        <v>1284</v>
      </c>
      <c r="C318" s="149" t="s">
        <v>1268</v>
      </c>
      <c r="D318" s="150">
        <v>8</v>
      </c>
      <c r="E318" s="150" t="s">
        <v>1269</v>
      </c>
      <c r="F318" s="151" t="s">
        <v>1285</v>
      </c>
      <c r="G318" s="152">
        <v>0</v>
      </c>
      <c r="H318" s="152">
        <v>3</v>
      </c>
      <c r="I318" s="153">
        <v>5</v>
      </c>
      <c r="J318" s="154">
        <v>0</v>
      </c>
      <c r="K318" s="155">
        <v>3</v>
      </c>
      <c r="L318" s="148" t="s">
        <v>97</v>
      </c>
      <c r="M318" s="148" t="s">
        <v>58</v>
      </c>
      <c r="N318" s="156"/>
      <c r="O318" s="157" t="s">
        <v>59</v>
      </c>
      <c r="P318" s="158">
        <v>42</v>
      </c>
      <c r="Q318" s="152" t="s">
        <v>60</v>
      </c>
      <c r="R318" s="152" t="s">
        <v>70</v>
      </c>
      <c r="S318" s="148">
        <v>0</v>
      </c>
      <c r="T318" s="148" t="s">
        <v>1286</v>
      </c>
      <c r="U318" s="170"/>
      <c r="V318" s="163"/>
      <c r="W318" s="171"/>
      <c r="X318" s="176">
        <v>162</v>
      </c>
      <c r="Y318" s="160" t="str">
        <f>VLOOKUP(X318,docentes!$A:$E,2,0)</f>
        <v>ELVIRA RAFIKOVA</v>
      </c>
      <c r="Z318" s="177" t="str">
        <f>VLOOKUP(X318,docentes!$A:$E,5,0)</f>
        <v>CECS</v>
      </c>
      <c r="AA318" s="44"/>
      <c r="AB318" s="44"/>
      <c r="AC318" s="44"/>
      <c r="AD318" s="44"/>
      <c r="AE318" s="44"/>
      <c r="AF318" s="44"/>
      <c r="AG318" s="44"/>
      <c r="AH318" s="44"/>
      <c r="AI318" s="44"/>
    </row>
    <row r="319" spans="1:35" s="44" customFormat="1" ht="66.75" customHeight="1">
      <c r="A319" s="148" t="s">
        <v>692</v>
      </c>
      <c r="B319" s="146" t="s">
        <v>1287</v>
      </c>
      <c r="C319" s="149" t="s">
        <v>1268</v>
      </c>
      <c r="D319" s="150">
        <v>8</v>
      </c>
      <c r="E319" s="150" t="s">
        <v>1269</v>
      </c>
      <c r="F319" s="151" t="s">
        <v>1288</v>
      </c>
      <c r="G319" s="152">
        <v>0</v>
      </c>
      <c r="H319" s="152">
        <v>3</v>
      </c>
      <c r="I319" s="153">
        <v>5</v>
      </c>
      <c r="J319" s="154">
        <v>0</v>
      </c>
      <c r="K319" s="155">
        <v>3</v>
      </c>
      <c r="L319" s="148" t="s">
        <v>97</v>
      </c>
      <c r="M319" s="148" t="s">
        <v>58</v>
      </c>
      <c r="N319" s="156"/>
      <c r="O319" s="157" t="s">
        <v>59</v>
      </c>
      <c r="P319" s="158">
        <v>42</v>
      </c>
      <c r="Q319" s="152" t="s">
        <v>60</v>
      </c>
      <c r="R319" s="152" t="s">
        <v>61</v>
      </c>
      <c r="S319" s="148">
        <v>0</v>
      </c>
      <c r="T319" s="148" t="s">
        <v>1289</v>
      </c>
      <c r="U319" s="170"/>
      <c r="V319" s="163"/>
      <c r="W319" s="171"/>
      <c r="X319" s="176">
        <v>215</v>
      </c>
      <c r="Y319" s="160" t="str">
        <f>VLOOKUP(X319,docentes!$A:$E,2,0)</f>
        <v>GERSON LUIZ MANTOVANI</v>
      </c>
      <c r="Z319" s="177" t="str">
        <f>VLOOKUP(X319,docentes!$A:$E,5,0)</f>
        <v>CECS</v>
      </c>
    </row>
    <row r="320" spans="1:35" s="44" customFormat="1" ht="66.75" customHeight="1">
      <c r="A320" s="148" t="s">
        <v>692</v>
      </c>
      <c r="B320" s="146" t="s">
        <v>1290</v>
      </c>
      <c r="C320" s="149" t="s">
        <v>1268</v>
      </c>
      <c r="D320" s="150">
        <v>8</v>
      </c>
      <c r="E320" s="150" t="s">
        <v>1269</v>
      </c>
      <c r="F320" s="151" t="s">
        <v>1291</v>
      </c>
      <c r="G320" s="152">
        <v>0</v>
      </c>
      <c r="H320" s="152">
        <v>3</v>
      </c>
      <c r="I320" s="153">
        <v>5</v>
      </c>
      <c r="J320" s="154">
        <v>0</v>
      </c>
      <c r="K320" s="155">
        <v>3</v>
      </c>
      <c r="L320" s="148" t="s">
        <v>97</v>
      </c>
      <c r="M320" s="148" t="s">
        <v>58</v>
      </c>
      <c r="N320" s="156"/>
      <c r="O320" s="157" t="s">
        <v>59</v>
      </c>
      <c r="P320" s="158">
        <v>42</v>
      </c>
      <c r="Q320" s="152" t="s">
        <v>60</v>
      </c>
      <c r="R320" s="152" t="s">
        <v>61</v>
      </c>
      <c r="S320" s="148">
        <v>0</v>
      </c>
      <c r="T320" s="148" t="s">
        <v>1292</v>
      </c>
      <c r="U320" s="170"/>
      <c r="V320" s="163"/>
      <c r="W320" s="171"/>
      <c r="X320" s="176">
        <v>377</v>
      </c>
      <c r="Y320" s="160" t="str">
        <f>VLOOKUP(X320,docentes!$A:$E,2,0)</f>
        <v>MARCOS DUARTE</v>
      </c>
      <c r="Z320" s="177" t="str">
        <f>VLOOKUP(X320,docentes!$A:$E,5,0)</f>
        <v>CECS</v>
      </c>
    </row>
    <row r="321" spans="1:35" s="44" customFormat="1" ht="66.75" customHeight="1">
      <c r="A321" s="148" t="s">
        <v>675</v>
      </c>
      <c r="B321" s="146" t="s">
        <v>1293</v>
      </c>
      <c r="C321" s="149" t="s">
        <v>1294</v>
      </c>
      <c r="D321" s="150">
        <v>1</v>
      </c>
      <c r="E321" s="150" t="s">
        <v>1295</v>
      </c>
      <c r="F321" s="151" t="s">
        <v>1296</v>
      </c>
      <c r="G321" s="152">
        <v>4</v>
      </c>
      <c r="H321" s="152">
        <v>0</v>
      </c>
      <c r="I321" s="153">
        <v>4</v>
      </c>
      <c r="J321" s="154">
        <v>4</v>
      </c>
      <c r="K321" s="155">
        <v>0</v>
      </c>
      <c r="L321" s="148" t="s">
        <v>97</v>
      </c>
      <c r="M321" s="148" t="s">
        <v>58</v>
      </c>
      <c r="N321" s="156"/>
      <c r="O321" s="157" t="s">
        <v>59</v>
      </c>
      <c r="P321" s="158">
        <v>57</v>
      </c>
      <c r="Q321" s="152" t="s">
        <v>60</v>
      </c>
      <c r="R321" s="152" t="s">
        <v>70</v>
      </c>
      <c r="S321" s="148" t="s">
        <v>1297</v>
      </c>
      <c r="T321" s="148">
        <v>0</v>
      </c>
      <c r="U321" s="159">
        <v>471</v>
      </c>
      <c r="V321" s="160" t="str">
        <f>VLOOKUP(U321,docentes!$A:$E,2,0)</f>
        <v>REGINALDO KISHO FUKUCHI</v>
      </c>
      <c r="W321" s="161" t="str">
        <f>VLOOKUP(U321,docentes!$A:$E,5,0)</f>
        <v>CECS</v>
      </c>
      <c r="X321" s="162"/>
      <c r="Y321" s="163"/>
      <c r="Z321" s="164"/>
    </row>
    <row r="322" spans="1:35" s="44" customFormat="1" ht="66.75" customHeight="1">
      <c r="A322" s="148" t="s">
        <v>1126</v>
      </c>
      <c r="B322" s="146" t="s">
        <v>1298</v>
      </c>
      <c r="C322" s="149" t="s">
        <v>1299</v>
      </c>
      <c r="D322" s="150">
        <v>2</v>
      </c>
      <c r="E322" s="150" t="s">
        <v>1300</v>
      </c>
      <c r="F322" s="151" t="s">
        <v>1301</v>
      </c>
      <c r="G322" s="152">
        <v>4</v>
      </c>
      <c r="H322" s="152">
        <v>2</v>
      </c>
      <c r="I322" s="153">
        <v>6</v>
      </c>
      <c r="J322" s="154">
        <v>4</v>
      </c>
      <c r="K322" s="155">
        <v>2</v>
      </c>
      <c r="L322" s="148" t="s">
        <v>97</v>
      </c>
      <c r="M322" s="148" t="s">
        <v>58</v>
      </c>
      <c r="N322" s="156"/>
      <c r="O322" s="165" t="s">
        <v>810</v>
      </c>
      <c r="P322" s="158">
        <v>25</v>
      </c>
      <c r="Q322" s="152" t="s">
        <v>60</v>
      </c>
      <c r="R322" s="152" t="s">
        <v>61</v>
      </c>
      <c r="S322" s="148" t="s">
        <v>1302</v>
      </c>
      <c r="T322" s="148" t="s">
        <v>1303</v>
      </c>
      <c r="U322" s="159">
        <v>245</v>
      </c>
      <c r="V322" s="160" t="str">
        <f>VLOOKUP(U322,docentes!$A:$E,2,0)</f>
        <v>HUEDER PAULO MOISES DE OLIVEIRA</v>
      </c>
      <c r="W322" s="161" t="str">
        <f>VLOOKUP(U322,docentes!$A:$E,5,0)</f>
        <v>CCNH</v>
      </c>
      <c r="X322" s="176">
        <v>570</v>
      </c>
      <c r="Y322" s="160" t="str">
        <f>VLOOKUP(X322,docentes!$A:$E,2,0)</f>
        <v>WENDEL ANDRADE ALVES</v>
      </c>
      <c r="Z322" s="177" t="str">
        <f>VLOOKUP(X322,docentes!$A:$E,5,0)</f>
        <v>CCNH</v>
      </c>
    </row>
    <row r="323" spans="1:35" s="44" customFormat="1" ht="66.75" customHeight="1">
      <c r="A323" s="148" t="s">
        <v>1126</v>
      </c>
      <c r="B323" s="146" t="s">
        <v>1304</v>
      </c>
      <c r="C323" s="149" t="s">
        <v>1299</v>
      </c>
      <c r="D323" s="150">
        <v>2</v>
      </c>
      <c r="E323" s="150" t="s">
        <v>1300</v>
      </c>
      <c r="F323" s="151" t="s">
        <v>1305</v>
      </c>
      <c r="G323" s="152">
        <v>4</v>
      </c>
      <c r="H323" s="152">
        <v>2</v>
      </c>
      <c r="I323" s="153">
        <v>6</v>
      </c>
      <c r="J323" s="154">
        <v>4</v>
      </c>
      <c r="K323" s="155">
        <v>2</v>
      </c>
      <c r="L323" s="148" t="s">
        <v>57</v>
      </c>
      <c r="M323" s="148" t="s">
        <v>58</v>
      </c>
      <c r="N323" s="156"/>
      <c r="O323" s="165" t="s">
        <v>810</v>
      </c>
      <c r="P323" s="158">
        <v>25</v>
      </c>
      <c r="Q323" s="152" t="s">
        <v>60</v>
      </c>
      <c r="R323" s="152" t="s">
        <v>70</v>
      </c>
      <c r="S323" s="148" t="s">
        <v>1306</v>
      </c>
      <c r="T323" s="148" t="s">
        <v>1307</v>
      </c>
      <c r="U323" s="159">
        <v>245</v>
      </c>
      <c r="V323" s="160" t="str">
        <f>VLOOKUP(U323,docentes!$A:$E,2,0)</f>
        <v>HUEDER PAULO MOISES DE OLIVEIRA</v>
      </c>
      <c r="W323" s="161" t="str">
        <f>VLOOKUP(U323,docentes!$A:$E,5,0)</f>
        <v>CCNH</v>
      </c>
      <c r="X323" s="176">
        <v>570</v>
      </c>
      <c r="Y323" s="160" t="str">
        <f>VLOOKUP(X323,docentes!$A:$E,2,0)</f>
        <v>WENDEL ANDRADE ALVES</v>
      </c>
      <c r="Z323" s="177" t="str">
        <f>VLOOKUP(X323,docentes!$A:$E,5,0)</f>
        <v>CCNH</v>
      </c>
    </row>
    <row r="324" spans="1:35" s="44" customFormat="1" ht="66.75" customHeight="1">
      <c r="A324" s="148" t="s">
        <v>52</v>
      </c>
      <c r="B324" s="146" t="s">
        <v>1308</v>
      </c>
      <c r="C324" s="149" t="s">
        <v>1309</v>
      </c>
      <c r="D324" s="150">
        <v>1</v>
      </c>
      <c r="E324" s="150" t="s">
        <v>1310</v>
      </c>
      <c r="F324" s="151" t="s">
        <v>1311</v>
      </c>
      <c r="G324" s="152">
        <v>4</v>
      </c>
      <c r="H324" s="152">
        <v>0</v>
      </c>
      <c r="I324" s="153">
        <v>4</v>
      </c>
      <c r="J324" s="154">
        <v>4</v>
      </c>
      <c r="K324" s="155">
        <v>0</v>
      </c>
      <c r="L324" s="148" t="s">
        <v>57</v>
      </c>
      <c r="M324" s="148" t="s">
        <v>58</v>
      </c>
      <c r="N324" s="156">
        <v>0</v>
      </c>
      <c r="O324" s="157" t="s">
        <v>59</v>
      </c>
      <c r="P324" s="158">
        <v>32</v>
      </c>
      <c r="Q324" s="152" t="s">
        <v>60</v>
      </c>
      <c r="R324" s="152" t="s">
        <v>61</v>
      </c>
      <c r="S324" s="148" t="s">
        <v>1312</v>
      </c>
      <c r="T324" s="148">
        <v>0</v>
      </c>
      <c r="U324" s="159">
        <v>191</v>
      </c>
      <c r="V324" s="160" t="str">
        <f>VLOOKUP(U324,docentes!$A:$E,2,0)</f>
        <v>FERNANDO MADEIRA</v>
      </c>
      <c r="W324" s="161" t="str">
        <f>VLOOKUP(U324,docentes!$A:$E,5,0)</f>
        <v>CECS</v>
      </c>
      <c r="X324" s="162"/>
      <c r="Y324" s="163"/>
      <c r="Z324" s="164"/>
    </row>
    <row r="325" spans="1:35" s="44" customFormat="1" ht="66.75" customHeight="1">
      <c r="A325" s="148" t="s">
        <v>1024</v>
      </c>
      <c r="B325" s="146" t="s">
        <v>1313</v>
      </c>
      <c r="C325" s="149" t="s">
        <v>1314</v>
      </c>
      <c r="D325" s="150">
        <v>2</v>
      </c>
      <c r="E325" s="150" t="s">
        <v>1315</v>
      </c>
      <c r="F325" s="151" t="s">
        <v>1316</v>
      </c>
      <c r="G325" s="152">
        <v>4</v>
      </c>
      <c r="H325" s="152">
        <v>0</v>
      </c>
      <c r="I325" s="153">
        <v>4</v>
      </c>
      <c r="J325" s="154">
        <v>4</v>
      </c>
      <c r="K325" s="155">
        <v>0</v>
      </c>
      <c r="L325" s="148" t="s">
        <v>97</v>
      </c>
      <c r="M325" s="148" t="s">
        <v>58</v>
      </c>
      <c r="N325" s="156"/>
      <c r="O325" s="157" t="s">
        <v>59</v>
      </c>
      <c r="P325" s="158">
        <v>90</v>
      </c>
      <c r="Q325" s="152" t="s">
        <v>76</v>
      </c>
      <c r="R325" s="152" t="s">
        <v>61</v>
      </c>
      <c r="S325" s="148" t="s">
        <v>1317</v>
      </c>
      <c r="T325" s="148">
        <v>0</v>
      </c>
      <c r="U325" s="159">
        <v>220</v>
      </c>
      <c r="V325" s="160" t="str">
        <f>VLOOKUP(U325,docentes!$A:$E,2,0)</f>
        <v>GIORGIO ROMANO SCHUTTE</v>
      </c>
      <c r="W325" s="161" t="str">
        <f>VLOOKUP(U325,docentes!$A:$E,5,0)</f>
        <v>CECS</v>
      </c>
      <c r="X325" s="162"/>
      <c r="Y325" s="163"/>
      <c r="Z325" s="164"/>
    </row>
    <row r="326" spans="1:35" s="44" customFormat="1" ht="66.75" customHeight="1">
      <c r="A326" s="148" t="s">
        <v>1024</v>
      </c>
      <c r="B326" s="146" t="s">
        <v>1318</v>
      </c>
      <c r="C326" s="149" t="s">
        <v>1314</v>
      </c>
      <c r="D326" s="150">
        <v>2</v>
      </c>
      <c r="E326" s="150" t="s">
        <v>1315</v>
      </c>
      <c r="F326" s="151" t="s">
        <v>1319</v>
      </c>
      <c r="G326" s="152">
        <v>4</v>
      </c>
      <c r="H326" s="152">
        <v>0</v>
      </c>
      <c r="I326" s="153">
        <v>4</v>
      </c>
      <c r="J326" s="154">
        <v>4</v>
      </c>
      <c r="K326" s="155">
        <v>0</v>
      </c>
      <c r="L326" s="148" t="s">
        <v>67</v>
      </c>
      <c r="M326" s="148" t="s">
        <v>68</v>
      </c>
      <c r="N326" s="156">
        <v>90</v>
      </c>
      <c r="O326" s="165" t="s">
        <v>1320</v>
      </c>
      <c r="P326" s="158">
        <v>90</v>
      </c>
      <c r="Q326" s="152" t="s">
        <v>76</v>
      </c>
      <c r="R326" s="152" t="s">
        <v>70</v>
      </c>
      <c r="S326" s="148" t="s">
        <v>1321</v>
      </c>
      <c r="T326" s="148">
        <v>0</v>
      </c>
      <c r="U326" s="159">
        <v>217</v>
      </c>
      <c r="V326" s="160" t="str">
        <f>VLOOKUP(U326,docentes!$A:$E,2,0)</f>
        <v>GILBERTO MARINGONI DE OLIVEIRA</v>
      </c>
      <c r="W326" s="161" t="str">
        <f>VLOOKUP(U326,docentes!$A:$E,5,0)</f>
        <v>CECS</v>
      </c>
      <c r="X326" s="162"/>
      <c r="Y326" s="163"/>
      <c r="Z326" s="164"/>
    </row>
    <row r="327" spans="1:35" s="44" customFormat="1" ht="66.75" customHeight="1">
      <c r="A327" s="148" t="s">
        <v>713</v>
      </c>
      <c r="B327" s="146" t="s">
        <v>1322</v>
      </c>
      <c r="C327" s="149" t="s">
        <v>1323</v>
      </c>
      <c r="D327" s="150">
        <v>4</v>
      </c>
      <c r="E327" s="150" t="s">
        <v>1324</v>
      </c>
      <c r="F327" s="151" t="s">
        <v>1325</v>
      </c>
      <c r="G327" s="152">
        <v>4</v>
      </c>
      <c r="H327" s="152">
        <v>0</v>
      </c>
      <c r="I327" s="153">
        <v>4</v>
      </c>
      <c r="J327" s="154">
        <v>4</v>
      </c>
      <c r="K327" s="155">
        <v>0</v>
      </c>
      <c r="L327" s="148" t="s">
        <v>57</v>
      </c>
      <c r="M327" s="148" t="s">
        <v>58</v>
      </c>
      <c r="N327" s="156"/>
      <c r="O327" s="157" t="s">
        <v>59</v>
      </c>
      <c r="P327" s="158">
        <v>120</v>
      </c>
      <c r="Q327" s="152" t="s">
        <v>76</v>
      </c>
      <c r="R327" s="152" t="s">
        <v>61</v>
      </c>
      <c r="S327" s="148" t="s">
        <v>1326</v>
      </c>
      <c r="T327" s="148">
        <v>0</v>
      </c>
      <c r="U327" s="159">
        <v>560</v>
      </c>
      <c r="V327" s="160" t="str">
        <f>VLOOKUP(U327,docentes!$A:$E,2,0)</f>
        <v>VITOR EMANUEL MARCHETTI FERRAZ JUNIOR</v>
      </c>
      <c r="W327" s="161" t="str">
        <f>VLOOKUP(U327,docentes!$A:$E,5,0)</f>
        <v>CECS</v>
      </c>
      <c r="X327" s="162"/>
      <c r="Y327" s="163"/>
      <c r="Z327" s="164"/>
    </row>
    <row r="328" spans="1:35" s="44" customFormat="1" ht="66.75" customHeight="1">
      <c r="A328" s="148" t="s">
        <v>713</v>
      </c>
      <c r="B328" s="146" t="s">
        <v>1327</v>
      </c>
      <c r="C328" s="149" t="s">
        <v>1323</v>
      </c>
      <c r="D328" s="150">
        <v>4</v>
      </c>
      <c r="E328" s="150" t="s">
        <v>1324</v>
      </c>
      <c r="F328" s="151" t="s">
        <v>1328</v>
      </c>
      <c r="G328" s="152">
        <v>4</v>
      </c>
      <c r="H328" s="152">
        <v>0</v>
      </c>
      <c r="I328" s="153">
        <v>4</v>
      </c>
      <c r="J328" s="154">
        <v>4</v>
      </c>
      <c r="K328" s="155">
        <v>0</v>
      </c>
      <c r="L328" s="148" t="s">
        <v>57</v>
      </c>
      <c r="M328" s="148" t="s">
        <v>58</v>
      </c>
      <c r="N328" s="156"/>
      <c r="O328" s="157" t="s">
        <v>59</v>
      </c>
      <c r="P328" s="158">
        <v>120</v>
      </c>
      <c r="Q328" s="152" t="s">
        <v>76</v>
      </c>
      <c r="R328" s="152" t="s">
        <v>70</v>
      </c>
      <c r="S328" s="148" t="s">
        <v>1329</v>
      </c>
      <c r="T328" s="148">
        <v>0</v>
      </c>
      <c r="U328" s="159">
        <v>526</v>
      </c>
      <c r="V328" s="160" t="str">
        <f>VLOOKUP(U328,docentes!$A:$E,2,0)</f>
        <v>SIMONE DINIZ</v>
      </c>
      <c r="W328" s="161" t="str">
        <f>VLOOKUP(U328,docentes!$A:$E,5,0)</f>
        <v>CECS</v>
      </c>
      <c r="X328" s="162"/>
      <c r="Y328" s="163"/>
      <c r="Z328" s="164"/>
    </row>
    <row r="329" spans="1:35" s="44" customFormat="1" ht="66.75" customHeight="1">
      <c r="A329" s="148" t="s">
        <v>713</v>
      </c>
      <c r="B329" s="146" t="s">
        <v>1330</v>
      </c>
      <c r="C329" s="149" t="s">
        <v>1323</v>
      </c>
      <c r="D329" s="150">
        <v>4</v>
      </c>
      <c r="E329" s="150" t="s">
        <v>1324</v>
      </c>
      <c r="F329" s="151" t="s">
        <v>1331</v>
      </c>
      <c r="G329" s="152">
        <v>4</v>
      </c>
      <c r="H329" s="152">
        <v>0</v>
      </c>
      <c r="I329" s="153">
        <v>4</v>
      </c>
      <c r="J329" s="154">
        <v>4</v>
      </c>
      <c r="K329" s="155">
        <v>0</v>
      </c>
      <c r="L329" s="148" t="s">
        <v>821</v>
      </c>
      <c r="M329" s="148">
        <v>100</v>
      </c>
      <c r="N329" s="156"/>
      <c r="O329" s="165" t="s">
        <v>751</v>
      </c>
      <c r="P329" s="158"/>
      <c r="Q329" s="152" t="s">
        <v>76</v>
      </c>
      <c r="R329" s="152" t="s">
        <v>61</v>
      </c>
      <c r="S329" s="148" t="s">
        <v>1332</v>
      </c>
      <c r="T329" s="148">
        <v>0</v>
      </c>
      <c r="U329" s="159">
        <v>560</v>
      </c>
      <c r="V329" s="160" t="str">
        <f>VLOOKUP(U329,docentes!$A:$E,2,0)</f>
        <v>VITOR EMANUEL MARCHETTI FERRAZ JUNIOR</v>
      </c>
      <c r="W329" s="161" t="str">
        <f>VLOOKUP(U329,docentes!$A:$E,5,0)</f>
        <v>CECS</v>
      </c>
      <c r="X329" s="162"/>
      <c r="Y329" s="163"/>
      <c r="Z329" s="164"/>
    </row>
    <row r="330" spans="1:35" s="44" customFormat="1" ht="66.75" customHeight="1">
      <c r="A330" s="148" t="s">
        <v>713</v>
      </c>
      <c r="B330" s="146" t="s">
        <v>1333</v>
      </c>
      <c r="C330" s="149" t="s">
        <v>1323</v>
      </c>
      <c r="D330" s="150">
        <v>4</v>
      </c>
      <c r="E330" s="150" t="s">
        <v>1324</v>
      </c>
      <c r="F330" s="151" t="s">
        <v>1334</v>
      </c>
      <c r="G330" s="152">
        <v>4</v>
      </c>
      <c r="H330" s="152">
        <v>0</v>
      </c>
      <c r="I330" s="153">
        <v>4</v>
      </c>
      <c r="J330" s="154">
        <v>4</v>
      </c>
      <c r="K330" s="155">
        <v>0</v>
      </c>
      <c r="L330" s="148" t="s">
        <v>821</v>
      </c>
      <c r="M330" s="148">
        <v>100</v>
      </c>
      <c r="N330" s="156"/>
      <c r="O330" s="148" t="s">
        <v>751</v>
      </c>
      <c r="P330" s="158"/>
      <c r="Q330" s="152" t="s">
        <v>76</v>
      </c>
      <c r="R330" s="152" t="s">
        <v>70</v>
      </c>
      <c r="S330" s="148" t="s">
        <v>1335</v>
      </c>
      <c r="T330" s="148">
        <v>0</v>
      </c>
      <c r="U330" s="159">
        <v>526</v>
      </c>
      <c r="V330" s="160" t="str">
        <f>VLOOKUP(U330,docentes!$A:$E,2,0)</f>
        <v>SIMONE DINIZ</v>
      </c>
      <c r="W330" s="161" t="str">
        <f>VLOOKUP(U330,docentes!$A:$E,5,0)</f>
        <v>CECS</v>
      </c>
      <c r="X330" s="162"/>
      <c r="Y330" s="163"/>
      <c r="Z330" s="164"/>
    </row>
    <row r="331" spans="1:35" ht="66.75" customHeight="1">
      <c r="A331" s="148" t="s">
        <v>1336</v>
      </c>
      <c r="B331" s="146" t="s">
        <v>1337</v>
      </c>
      <c r="C331" s="149" t="s">
        <v>1338</v>
      </c>
      <c r="D331" s="150">
        <v>2</v>
      </c>
      <c r="E331" s="150" t="s">
        <v>1339</v>
      </c>
      <c r="F331" s="151" t="s">
        <v>1340</v>
      </c>
      <c r="G331" s="152">
        <v>4</v>
      </c>
      <c r="H331" s="152">
        <v>0</v>
      </c>
      <c r="I331" s="153">
        <v>4</v>
      </c>
      <c r="J331" s="154">
        <v>4</v>
      </c>
      <c r="K331" s="155">
        <v>0</v>
      </c>
      <c r="L331" s="148" t="s">
        <v>57</v>
      </c>
      <c r="M331" s="148" t="s">
        <v>58</v>
      </c>
      <c r="N331" s="156"/>
      <c r="O331" s="157" t="s">
        <v>59</v>
      </c>
      <c r="P331" s="158">
        <v>40</v>
      </c>
      <c r="Q331" s="152" t="s">
        <v>76</v>
      </c>
      <c r="R331" s="152" t="s">
        <v>61</v>
      </c>
      <c r="S331" s="148" t="s">
        <v>1341</v>
      </c>
      <c r="T331" s="148">
        <v>0</v>
      </c>
      <c r="U331" s="159">
        <v>405</v>
      </c>
      <c r="V331" s="160" t="str">
        <f>VLOOKUP(U331,docentes!$A:$E,2,0)</f>
        <v>MARINE DE SOUZA PEREIRA</v>
      </c>
      <c r="W331" s="161" t="str">
        <f>VLOOKUP(U331,docentes!$A:$E,5,0)</f>
        <v>CCNH</v>
      </c>
      <c r="X331" s="162"/>
      <c r="Y331" s="163"/>
      <c r="Z331" s="164"/>
      <c r="AA331" s="44"/>
      <c r="AB331" s="44"/>
      <c r="AC331" s="44"/>
      <c r="AD331" s="44"/>
      <c r="AE331" s="44"/>
      <c r="AF331" s="44"/>
      <c r="AG331" s="44"/>
      <c r="AH331" s="44"/>
      <c r="AI331" s="44"/>
    </row>
    <row r="332" spans="1:35" s="44" customFormat="1" ht="66.75" customHeight="1">
      <c r="A332" s="148" t="s">
        <v>1336</v>
      </c>
      <c r="B332" s="146" t="s">
        <v>1342</v>
      </c>
      <c r="C332" s="149" t="s">
        <v>1338</v>
      </c>
      <c r="D332" s="150">
        <v>2</v>
      </c>
      <c r="E332" s="150" t="s">
        <v>1339</v>
      </c>
      <c r="F332" s="151" t="s">
        <v>1343</v>
      </c>
      <c r="G332" s="152">
        <v>4</v>
      </c>
      <c r="H332" s="152">
        <v>0</v>
      </c>
      <c r="I332" s="153">
        <v>4</v>
      </c>
      <c r="J332" s="154">
        <v>4</v>
      </c>
      <c r="K332" s="155">
        <v>0</v>
      </c>
      <c r="L332" s="148" t="s">
        <v>57</v>
      </c>
      <c r="M332" s="148" t="s">
        <v>58</v>
      </c>
      <c r="N332" s="156"/>
      <c r="O332" s="157" t="s">
        <v>59</v>
      </c>
      <c r="P332" s="158">
        <v>40</v>
      </c>
      <c r="Q332" s="152" t="s">
        <v>76</v>
      </c>
      <c r="R332" s="152" t="s">
        <v>70</v>
      </c>
      <c r="S332" s="148" t="s">
        <v>1344</v>
      </c>
      <c r="T332" s="148">
        <v>0</v>
      </c>
      <c r="U332" s="159">
        <v>405</v>
      </c>
      <c r="V332" s="160" t="str">
        <f>VLOOKUP(U332,docentes!$A:$E,2,0)</f>
        <v>MARINE DE SOUZA PEREIRA</v>
      </c>
      <c r="W332" s="161" t="str">
        <f>VLOOKUP(U332,docentes!$A:$E,5,0)</f>
        <v>CCNH</v>
      </c>
      <c r="X332" s="162"/>
      <c r="Y332" s="163"/>
      <c r="Z332" s="164"/>
    </row>
    <row r="333" spans="1:35" s="44" customFormat="1" ht="66.75" customHeight="1">
      <c r="A333" s="172" t="s">
        <v>222</v>
      </c>
      <c r="B333" s="146" t="s">
        <v>1345</v>
      </c>
      <c r="C333" s="149" t="s">
        <v>1346</v>
      </c>
      <c r="D333" s="150">
        <v>18</v>
      </c>
      <c r="E333" s="150" t="s">
        <v>1347</v>
      </c>
      <c r="F333" s="151" t="s">
        <v>1348</v>
      </c>
      <c r="G333" s="149">
        <v>3</v>
      </c>
      <c r="H333" s="173">
        <v>0</v>
      </c>
      <c r="I333" s="174">
        <v>4</v>
      </c>
      <c r="J333" s="155">
        <v>3</v>
      </c>
      <c r="K333" s="155">
        <v>0</v>
      </c>
      <c r="L333" s="172" t="s">
        <v>57</v>
      </c>
      <c r="M333" s="172" t="s">
        <v>58</v>
      </c>
      <c r="N333" s="151"/>
      <c r="O333" s="157" t="s">
        <v>59</v>
      </c>
      <c r="P333" s="175">
        <v>127</v>
      </c>
      <c r="Q333" s="152" t="s">
        <v>60</v>
      </c>
      <c r="R333" s="152" t="s">
        <v>61</v>
      </c>
      <c r="S333" s="148" t="s">
        <v>1349</v>
      </c>
      <c r="T333" s="148">
        <v>0</v>
      </c>
      <c r="U333" s="183">
        <v>496</v>
      </c>
      <c r="V333" s="184" t="str">
        <f>VLOOKUP(U333,docentes!$A:$E,2,0)</f>
        <v>RODRIGO MAGHDISSIAN CORDEIRO</v>
      </c>
      <c r="W333" s="161" t="str">
        <f>VLOOKUP(U333,docentes!$A:$E,5,0)</f>
        <v>CCNH</v>
      </c>
      <c r="X333" s="162"/>
      <c r="Y333" s="163"/>
      <c r="Z333" s="164"/>
      <c r="AA333" s="45"/>
      <c r="AB333" s="45"/>
      <c r="AC333" s="45"/>
      <c r="AD333" s="45"/>
      <c r="AE333" s="45"/>
      <c r="AF333" s="45"/>
      <c r="AG333" s="45"/>
    </row>
    <row r="334" spans="1:35" s="44" customFormat="1" ht="66.75" customHeight="1">
      <c r="A334" s="172" t="s">
        <v>222</v>
      </c>
      <c r="B334" s="146" t="s">
        <v>1350</v>
      </c>
      <c r="C334" s="149" t="s">
        <v>1346</v>
      </c>
      <c r="D334" s="150">
        <v>18</v>
      </c>
      <c r="E334" s="150" t="s">
        <v>1347</v>
      </c>
      <c r="F334" s="151" t="s">
        <v>1351</v>
      </c>
      <c r="G334" s="149">
        <v>3</v>
      </c>
      <c r="H334" s="173">
        <v>0</v>
      </c>
      <c r="I334" s="174">
        <v>4</v>
      </c>
      <c r="J334" s="155">
        <v>3</v>
      </c>
      <c r="K334" s="155">
        <v>0</v>
      </c>
      <c r="L334" s="172" t="s">
        <v>57</v>
      </c>
      <c r="M334" s="172" t="s">
        <v>58</v>
      </c>
      <c r="N334" s="151"/>
      <c r="O334" s="157" t="s">
        <v>59</v>
      </c>
      <c r="P334" s="175">
        <v>90</v>
      </c>
      <c r="Q334" s="149" t="s">
        <v>76</v>
      </c>
      <c r="R334" s="152" t="s">
        <v>61</v>
      </c>
      <c r="S334" s="148" t="s">
        <v>1352</v>
      </c>
      <c r="T334" s="148">
        <v>0</v>
      </c>
      <c r="U334" s="159">
        <v>495</v>
      </c>
      <c r="V334" s="160" t="str">
        <f>VLOOKUP(U334,docentes!$A:$E,2,0)</f>
        <v>RODRIGO LUIZ OLIVEIRA RODRIGUES CUNHA</v>
      </c>
      <c r="W334" s="161" t="str">
        <f>VLOOKUP(U334,docentes!$A:$E,5,0)</f>
        <v>CCNH</v>
      </c>
      <c r="X334" s="162"/>
      <c r="Y334" s="163"/>
      <c r="Z334" s="164"/>
      <c r="AA334" s="45"/>
      <c r="AB334" s="45"/>
      <c r="AC334" s="45"/>
      <c r="AD334" s="45"/>
      <c r="AE334" s="45"/>
      <c r="AF334" s="45"/>
      <c r="AG334" s="45"/>
    </row>
    <row r="335" spans="1:35" s="44" customFormat="1" ht="66.75" customHeight="1">
      <c r="A335" s="148" t="s">
        <v>222</v>
      </c>
      <c r="B335" s="146" t="s">
        <v>1353</v>
      </c>
      <c r="C335" s="149" t="s">
        <v>1346</v>
      </c>
      <c r="D335" s="150">
        <v>18</v>
      </c>
      <c r="E335" s="150" t="s">
        <v>1347</v>
      </c>
      <c r="F335" s="151" t="s">
        <v>1354</v>
      </c>
      <c r="G335" s="152">
        <v>3</v>
      </c>
      <c r="H335" s="152">
        <v>0</v>
      </c>
      <c r="I335" s="153">
        <v>4</v>
      </c>
      <c r="J335" s="154">
        <v>3</v>
      </c>
      <c r="K335" s="155">
        <v>0</v>
      </c>
      <c r="L335" s="148" t="s">
        <v>57</v>
      </c>
      <c r="M335" s="148" t="s">
        <v>58</v>
      </c>
      <c r="N335" s="156"/>
      <c r="O335" s="148" t="s">
        <v>1355</v>
      </c>
      <c r="P335" s="158">
        <v>127</v>
      </c>
      <c r="Q335" s="152" t="s">
        <v>60</v>
      </c>
      <c r="R335" s="152" t="s">
        <v>70</v>
      </c>
      <c r="S335" s="148" t="s">
        <v>1356</v>
      </c>
      <c r="T335" s="148">
        <v>0</v>
      </c>
      <c r="U335" s="159">
        <v>375</v>
      </c>
      <c r="V335" s="160" t="str">
        <f>VLOOKUP(U335,docentes!$A:$E,2,0)</f>
        <v>MARCO ANTONIO BUENO FILHO</v>
      </c>
      <c r="W335" s="161" t="str">
        <f>VLOOKUP(U335,docentes!$A:$E,5,0)</f>
        <v>CCNH</v>
      </c>
      <c r="X335" s="162"/>
      <c r="Y335" s="163"/>
      <c r="Z335" s="164"/>
    </row>
    <row r="336" spans="1:35" s="44" customFormat="1" ht="66.75" customHeight="1">
      <c r="A336" s="148" t="s">
        <v>222</v>
      </c>
      <c r="B336" s="146" t="s">
        <v>1357</v>
      </c>
      <c r="C336" s="149" t="s">
        <v>1346</v>
      </c>
      <c r="D336" s="150">
        <v>18</v>
      </c>
      <c r="E336" s="150" t="s">
        <v>1347</v>
      </c>
      <c r="F336" s="151" t="s">
        <v>1358</v>
      </c>
      <c r="G336" s="152">
        <v>3</v>
      </c>
      <c r="H336" s="152">
        <v>0</v>
      </c>
      <c r="I336" s="153">
        <v>4</v>
      </c>
      <c r="J336" s="154">
        <v>3</v>
      </c>
      <c r="K336" s="155">
        <v>0</v>
      </c>
      <c r="L336" s="148" t="s">
        <v>57</v>
      </c>
      <c r="M336" s="148" t="s">
        <v>58</v>
      </c>
      <c r="N336" s="156"/>
      <c r="O336" s="157" t="s">
        <v>59</v>
      </c>
      <c r="P336" s="158">
        <v>90</v>
      </c>
      <c r="Q336" s="152" t="s">
        <v>76</v>
      </c>
      <c r="R336" s="152" t="s">
        <v>70</v>
      </c>
      <c r="S336" s="148" t="s">
        <v>1359</v>
      </c>
      <c r="T336" s="148">
        <v>0</v>
      </c>
      <c r="U336" s="183">
        <v>1010</v>
      </c>
      <c r="V336" s="184" t="str">
        <f>VLOOKUP(U336,docentes!$A:$E,2,0)</f>
        <v>Prof. Visitante 2 Química</v>
      </c>
      <c r="W336" s="161" t="str">
        <f>VLOOKUP(U336,docentes!$A:$E,5,0)</f>
        <v>em contratação</v>
      </c>
      <c r="X336" s="162"/>
      <c r="Y336" s="163"/>
      <c r="Z336" s="164"/>
      <c r="AH336" s="45"/>
      <c r="AI336" s="45"/>
    </row>
    <row r="337" spans="1:35" s="44" customFormat="1" ht="66.75" customHeight="1">
      <c r="A337" s="172" t="s">
        <v>222</v>
      </c>
      <c r="B337" s="146" t="s">
        <v>1360</v>
      </c>
      <c r="C337" s="149" t="s">
        <v>1346</v>
      </c>
      <c r="D337" s="150">
        <v>18</v>
      </c>
      <c r="E337" s="150" t="s">
        <v>1347</v>
      </c>
      <c r="F337" s="151" t="s">
        <v>1361</v>
      </c>
      <c r="G337" s="149">
        <v>3</v>
      </c>
      <c r="H337" s="173">
        <v>0</v>
      </c>
      <c r="I337" s="174">
        <v>4</v>
      </c>
      <c r="J337" s="155">
        <v>3</v>
      </c>
      <c r="K337" s="155">
        <v>0</v>
      </c>
      <c r="L337" s="172" t="s">
        <v>57</v>
      </c>
      <c r="M337" s="172" t="s">
        <v>58</v>
      </c>
      <c r="N337" s="151"/>
      <c r="O337" s="157" t="s">
        <v>59</v>
      </c>
      <c r="P337" s="175">
        <v>109</v>
      </c>
      <c r="Q337" s="152" t="s">
        <v>60</v>
      </c>
      <c r="R337" s="152" t="s">
        <v>61</v>
      </c>
      <c r="S337" s="148" t="s">
        <v>1362</v>
      </c>
      <c r="T337" s="148">
        <v>0</v>
      </c>
      <c r="U337" s="159">
        <v>54</v>
      </c>
      <c r="V337" s="160" t="str">
        <f>VLOOKUP(U337,docentes!$A:$E,2,0)</f>
        <v>ANDRE SARTO POLO</v>
      </c>
      <c r="W337" s="161" t="str">
        <f>VLOOKUP(U337,docentes!$A:$E,5,0)</f>
        <v>CCNH</v>
      </c>
      <c r="X337" s="162"/>
      <c r="Y337" s="163"/>
      <c r="Z337" s="164"/>
      <c r="AA337" s="45"/>
      <c r="AB337" s="45"/>
      <c r="AC337" s="45"/>
      <c r="AD337" s="45"/>
      <c r="AE337" s="45"/>
      <c r="AF337" s="45"/>
      <c r="AG337" s="45"/>
    </row>
    <row r="338" spans="1:35" s="44" customFormat="1" ht="66.75" customHeight="1">
      <c r="A338" s="172" t="s">
        <v>222</v>
      </c>
      <c r="B338" s="146" t="s">
        <v>1363</v>
      </c>
      <c r="C338" s="149" t="s">
        <v>1346</v>
      </c>
      <c r="D338" s="150">
        <v>18</v>
      </c>
      <c r="E338" s="150" t="s">
        <v>1347</v>
      </c>
      <c r="F338" s="151" t="s">
        <v>1364</v>
      </c>
      <c r="G338" s="149">
        <v>3</v>
      </c>
      <c r="H338" s="173">
        <v>0</v>
      </c>
      <c r="I338" s="174">
        <v>4</v>
      </c>
      <c r="J338" s="155">
        <v>3</v>
      </c>
      <c r="K338" s="155">
        <v>0</v>
      </c>
      <c r="L338" s="172" t="s">
        <v>57</v>
      </c>
      <c r="M338" s="172" t="s">
        <v>58</v>
      </c>
      <c r="N338" s="151"/>
      <c r="O338" s="157" t="s">
        <v>59</v>
      </c>
      <c r="P338" s="175">
        <v>90</v>
      </c>
      <c r="Q338" s="149" t="s">
        <v>76</v>
      </c>
      <c r="R338" s="152" t="s">
        <v>61</v>
      </c>
      <c r="S338" s="148" t="s">
        <v>1365</v>
      </c>
      <c r="T338" s="148">
        <v>0</v>
      </c>
      <c r="U338" s="159">
        <v>24</v>
      </c>
      <c r="V338" s="160" t="str">
        <f>VLOOKUP(U338,docentes!$A:$E,2,0)</f>
        <v>ALEXSANDRE FIGUEIREDO LAGO</v>
      </c>
      <c r="W338" s="161" t="str">
        <f>VLOOKUP(U338,docentes!$A:$E,5,0)</f>
        <v>CCNH</v>
      </c>
      <c r="X338" s="162"/>
      <c r="Y338" s="163"/>
      <c r="Z338" s="164"/>
      <c r="AA338" s="45"/>
      <c r="AB338" s="45"/>
      <c r="AC338" s="45"/>
      <c r="AD338" s="45"/>
      <c r="AE338" s="45"/>
      <c r="AF338" s="45"/>
      <c r="AG338" s="45"/>
    </row>
    <row r="339" spans="1:35" s="44" customFormat="1" ht="66.75" customHeight="1">
      <c r="A339" s="148" t="s">
        <v>222</v>
      </c>
      <c r="B339" s="146" t="s">
        <v>1366</v>
      </c>
      <c r="C339" s="149" t="s">
        <v>1346</v>
      </c>
      <c r="D339" s="150">
        <v>18</v>
      </c>
      <c r="E339" s="150" t="s">
        <v>1347</v>
      </c>
      <c r="F339" s="151" t="s">
        <v>1367</v>
      </c>
      <c r="G339" s="152">
        <v>3</v>
      </c>
      <c r="H339" s="152">
        <v>0</v>
      </c>
      <c r="I339" s="153">
        <v>4</v>
      </c>
      <c r="J339" s="154">
        <v>3</v>
      </c>
      <c r="K339" s="155">
        <v>0</v>
      </c>
      <c r="L339" s="148" t="s">
        <v>57</v>
      </c>
      <c r="M339" s="148" t="s">
        <v>58</v>
      </c>
      <c r="N339" s="156"/>
      <c r="O339" s="165" t="s">
        <v>1355</v>
      </c>
      <c r="P339" s="158">
        <v>109</v>
      </c>
      <c r="Q339" s="152" t="s">
        <v>60</v>
      </c>
      <c r="R339" s="152" t="s">
        <v>70</v>
      </c>
      <c r="S339" s="148" t="s">
        <v>1368</v>
      </c>
      <c r="T339" s="148">
        <v>0</v>
      </c>
      <c r="U339" s="183">
        <v>119</v>
      </c>
      <c r="V339" s="184" t="str">
        <f>VLOOKUP(U339,docentes!$A:$E,2,0)</f>
        <v>DALMO MANDELLI</v>
      </c>
      <c r="W339" s="161" t="str">
        <f>VLOOKUP(U339,docentes!$A:$E,5,0)</f>
        <v>CCNH</v>
      </c>
      <c r="X339" s="162"/>
      <c r="Y339" s="163"/>
      <c r="Z339" s="164"/>
    </row>
    <row r="340" spans="1:35" s="44" customFormat="1" ht="66.75" customHeight="1">
      <c r="A340" s="148" t="s">
        <v>222</v>
      </c>
      <c r="B340" s="146" t="s">
        <v>1369</v>
      </c>
      <c r="C340" s="149" t="s">
        <v>1346</v>
      </c>
      <c r="D340" s="150">
        <v>18</v>
      </c>
      <c r="E340" s="150" t="s">
        <v>1347</v>
      </c>
      <c r="F340" s="151" t="s">
        <v>1370</v>
      </c>
      <c r="G340" s="152">
        <v>3</v>
      </c>
      <c r="H340" s="152">
        <v>0</v>
      </c>
      <c r="I340" s="153">
        <v>4</v>
      </c>
      <c r="J340" s="154">
        <v>3</v>
      </c>
      <c r="K340" s="155">
        <v>0</v>
      </c>
      <c r="L340" s="148" t="s">
        <v>57</v>
      </c>
      <c r="M340" s="148" t="s">
        <v>58</v>
      </c>
      <c r="N340" s="156"/>
      <c r="O340" s="157" t="s">
        <v>59</v>
      </c>
      <c r="P340" s="158">
        <v>90</v>
      </c>
      <c r="Q340" s="152" t="s">
        <v>76</v>
      </c>
      <c r="R340" s="152" t="s">
        <v>70</v>
      </c>
      <c r="S340" s="148" t="s">
        <v>1371</v>
      </c>
      <c r="T340" s="148">
        <v>0</v>
      </c>
      <c r="U340" s="159">
        <v>235</v>
      </c>
      <c r="V340" s="160" t="str">
        <f>VLOOKUP(U340,docentes!$A:$E,2,0)</f>
        <v>GUSTAVO MORARI DO NASCIMENTO</v>
      </c>
      <c r="W340" s="161" t="str">
        <f>VLOOKUP(U340,docentes!$A:$E,5,0)</f>
        <v>CCNH</v>
      </c>
      <c r="X340" s="162"/>
      <c r="Y340" s="163"/>
      <c r="Z340" s="164"/>
      <c r="AH340" s="45"/>
      <c r="AI340" s="45"/>
    </row>
    <row r="341" spans="1:35" s="44" customFormat="1" ht="66.75" customHeight="1">
      <c r="A341" s="148" t="s">
        <v>222</v>
      </c>
      <c r="B341" s="146" t="s">
        <v>1372</v>
      </c>
      <c r="C341" s="149" t="s">
        <v>1346</v>
      </c>
      <c r="D341" s="150">
        <v>18</v>
      </c>
      <c r="E341" s="150" t="s">
        <v>1347</v>
      </c>
      <c r="F341" s="151" t="s">
        <v>1373</v>
      </c>
      <c r="G341" s="152">
        <v>3</v>
      </c>
      <c r="H341" s="152">
        <v>0</v>
      </c>
      <c r="I341" s="153">
        <v>4</v>
      </c>
      <c r="J341" s="154">
        <v>3</v>
      </c>
      <c r="K341" s="155">
        <v>0</v>
      </c>
      <c r="L341" s="148" t="s">
        <v>57</v>
      </c>
      <c r="M341" s="148" t="s">
        <v>58</v>
      </c>
      <c r="N341" s="156"/>
      <c r="O341" s="157" t="s">
        <v>59</v>
      </c>
      <c r="P341" s="158">
        <v>93</v>
      </c>
      <c r="Q341" s="152" t="s">
        <v>60</v>
      </c>
      <c r="R341" s="152" t="s">
        <v>61</v>
      </c>
      <c r="S341" s="148" t="s">
        <v>1374</v>
      </c>
      <c r="T341" s="148">
        <v>0</v>
      </c>
      <c r="U341" s="159">
        <v>286</v>
      </c>
      <c r="V341" s="160" t="str">
        <f>VLOOKUP(U341,docentes!$A:$E,2,0)</f>
        <v>JOSE CARLOS RODRIGUES SILVA</v>
      </c>
      <c r="W341" s="161" t="str">
        <f>VLOOKUP(U341,docentes!$A:$E,5,0)</f>
        <v>CCNH</v>
      </c>
      <c r="X341" s="162"/>
      <c r="Y341" s="163"/>
      <c r="Z341" s="164"/>
    </row>
    <row r="342" spans="1:35" s="44" customFormat="1" ht="66.75" customHeight="1">
      <c r="A342" s="148" t="s">
        <v>222</v>
      </c>
      <c r="B342" s="146" t="s">
        <v>1375</v>
      </c>
      <c r="C342" s="149" t="s">
        <v>1346</v>
      </c>
      <c r="D342" s="150">
        <v>18</v>
      </c>
      <c r="E342" s="150" t="s">
        <v>1347</v>
      </c>
      <c r="F342" s="151" t="s">
        <v>1376</v>
      </c>
      <c r="G342" s="152">
        <v>3</v>
      </c>
      <c r="H342" s="152">
        <v>0</v>
      </c>
      <c r="I342" s="153">
        <v>4</v>
      </c>
      <c r="J342" s="154">
        <v>3</v>
      </c>
      <c r="K342" s="155">
        <v>0</v>
      </c>
      <c r="L342" s="148" t="s">
        <v>57</v>
      </c>
      <c r="M342" s="148" t="s">
        <v>58</v>
      </c>
      <c r="N342" s="151"/>
      <c r="O342" s="165" t="s">
        <v>1377</v>
      </c>
      <c r="P342" s="158">
        <v>93</v>
      </c>
      <c r="Q342" s="152" t="s">
        <v>60</v>
      </c>
      <c r="R342" s="152" t="s">
        <v>70</v>
      </c>
      <c r="S342" s="148" t="s">
        <v>1378</v>
      </c>
      <c r="T342" s="148">
        <v>0</v>
      </c>
      <c r="U342" s="159">
        <v>363</v>
      </c>
      <c r="V342" s="160" t="str">
        <f>VLOOKUP(U342,docentes!$A:$E,2,0)</f>
        <v>MARCELO OLIVEIRA DA COSTA PIRES</v>
      </c>
      <c r="W342" s="161" t="str">
        <f>VLOOKUP(U342,docentes!$A:$E,5,0)</f>
        <v>CCNH</v>
      </c>
      <c r="X342" s="162"/>
      <c r="Y342" s="163"/>
      <c r="Z342" s="164"/>
      <c r="AH342" s="45"/>
      <c r="AI342" s="45"/>
    </row>
    <row r="343" spans="1:35" s="44" customFormat="1" ht="66.75" customHeight="1">
      <c r="A343" s="148" t="s">
        <v>222</v>
      </c>
      <c r="B343" s="146" t="s">
        <v>1379</v>
      </c>
      <c r="C343" s="149" t="s">
        <v>1346</v>
      </c>
      <c r="D343" s="150">
        <v>18</v>
      </c>
      <c r="E343" s="150" t="s">
        <v>1347</v>
      </c>
      <c r="F343" s="151" t="s">
        <v>1380</v>
      </c>
      <c r="G343" s="152">
        <v>3</v>
      </c>
      <c r="H343" s="152">
        <v>0</v>
      </c>
      <c r="I343" s="153">
        <v>4</v>
      </c>
      <c r="J343" s="154">
        <v>3</v>
      </c>
      <c r="K343" s="155">
        <v>0</v>
      </c>
      <c r="L343" s="148" t="s">
        <v>57</v>
      </c>
      <c r="M343" s="148" t="s">
        <v>58</v>
      </c>
      <c r="N343" s="156"/>
      <c r="O343" s="157" t="s">
        <v>59</v>
      </c>
      <c r="P343" s="158">
        <v>111</v>
      </c>
      <c r="Q343" s="152" t="s">
        <v>60</v>
      </c>
      <c r="R343" s="152" t="s">
        <v>61</v>
      </c>
      <c r="S343" s="148" t="s">
        <v>1381</v>
      </c>
      <c r="T343" s="148">
        <v>0</v>
      </c>
      <c r="U343" s="183">
        <v>286</v>
      </c>
      <c r="V343" s="184" t="str">
        <f>VLOOKUP(U343,docentes!$A:$E,2,0)</f>
        <v>JOSE CARLOS RODRIGUES SILVA</v>
      </c>
      <c r="W343" s="161" t="str">
        <f>VLOOKUP(U343,docentes!$A:$E,5,0)</f>
        <v>CCNH</v>
      </c>
      <c r="X343" s="162"/>
      <c r="Y343" s="163"/>
      <c r="Z343" s="164"/>
    </row>
    <row r="344" spans="1:35" s="44" customFormat="1" ht="66.75" customHeight="1">
      <c r="A344" s="148" t="s">
        <v>222</v>
      </c>
      <c r="B344" s="146" t="s">
        <v>1382</v>
      </c>
      <c r="C344" s="149" t="s">
        <v>1346</v>
      </c>
      <c r="D344" s="150">
        <v>18</v>
      </c>
      <c r="E344" s="150" t="s">
        <v>1347</v>
      </c>
      <c r="F344" s="151" t="s">
        <v>1383</v>
      </c>
      <c r="G344" s="152">
        <v>3</v>
      </c>
      <c r="H344" s="152">
        <v>0</v>
      </c>
      <c r="I344" s="153">
        <v>4</v>
      </c>
      <c r="J344" s="154">
        <v>3</v>
      </c>
      <c r="K344" s="155">
        <v>0</v>
      </c>
      <c r="L344" s="148" t="s">
        <v>57</v>
      </c>
      <c r="M344" s="148" t="s">
        <v>58</v>
      </c>
      <c r="N344" s="156"/>
      <c r="O344" s="157" t="s">
        <v>59</v>
      </c>
      <c r="P344" s="158">
        <v>111</v>
      </c>
      <c r="Q344" s="152" t="s">
        <v>60</v>
      </c>
      <c r="R344" s="152" t="s">
        <v>70</v>
      </c>
      <c r="S344" s="148" t="s">
        <v>1384</v>
      </c>
      <c r="T344" s="148">
        <v>0</v>
      </c>
      <c r="U344" s="159">
        <v>375</v>
      </c>
      <c r="V344" s="160" t="str">
        <f>VLOOKUP(U344,docentes!$A:$E,2,0)</f>
        <v>MARCO ANTONIO BUENO FILHO</v>
      </c>
      <c r="W344" s="161" t="str">
        <f>VLOOKUP(U344,docentes!$A:$E,5,0)</f>
        <v>CCNH</v>
      </c>
      <c r="X344" s="162"/>
      <c r="Y344" s="163"/>
      <c r="Z344" s="164"/>
    </row>
    <row r="345" spans="1:35" s="44" customFormat="1" ht="66.75" customHeight="1">
      <c r="A345" s="148" t="s">
        <v>222</v>
      </c>
      <c r="B345" s="146" t="s">
        <v>1385</v>
      </c>
      <c r="C345" s="149" t="s">
        <v>1346</v>
      </c>
      <c r="D345" s="150">
        <v>18</v>
      </c>
      <c r="E345" s="150" t="s">
        <v>1347</v>
      </c>
      <c r="F345" s="151" t="s">
        <v>1386</v>
      </c>
      <c r="G345" s="152">
        <v>3</v>
      </c>
      <c r="H345" s="152">
        <v>0</v>
      </c>
      <c r="I345" s="153">
        <v>4</v>
      </c>
      <c r="J345" s="154">
        <v>3</v>
      </c>
      <c r="K345" s="155">
        <v>0</v>
      </c>
      <c r="L345" s="148" t="s">
        <v>57</v>
      </c>
      <c r="M345" s="148" t="s">
        <v>58</v>
      </c>
      <c r="N345" s="156"/>
      <c r="O345" s="157" t="s">
        <v>59</v>
      </c>
      <c r="P345" s="158">
        <v>86</v>
      </c>
      <c r="Q345" s="152" t="s">
        <v>60</v>
      </c>
      <c r="R345" s="152" t="s">
        <v>61</v>
      </c>
      <c r="S345" s="148" t="s">
        <v>1387</v>
      </c>
      <c r="T345" s="148">
        <v>0</v>
      </c>
      <c r="U345" s="159">
        <v>54</v>
      </c>
      <c r="V345" s="160" t="str">
        <f>VLOOKUP(U345,docentes!$A:$E,2,0)</f>
        <v>ANDRE SARTO POLO</v>
      </c>
      <c r="W345" s="161" t="str">
        <f>VLOOKUP(U345,docentes!$A:$E,5,0)</f>
        <v>CCNH</v>
      </c>
      <c r="X345" s="162"/>
      <c r="Y345" s="163"/>
      <c r="Z345" s="164"/>
    </row>
    <row r="346" spans="1:35" s="44" customFormat="1" ht="66.75" customHeight="1">
      <c r="A346" s="148" t="s">
        <v>222</v>
      </c>
      <c r="B346" s="146" t="s">
        <v>1388</v>
      </c>
      <c r="C346" s="149" t="s">
        <v>1346</v>
      </c>
      <c r="D346" s="150">
        <v>18</v>
      </c>
      <c r="E346" s="150" t="s">
        <v>1347</v>
      </c>
      <c r="F346" s="151" t="s">
        <v>1389</v>
      </c>
      <c r="G346" s="152">
        <v>3</v>
      </c>
      <c r="H346" s="152">
        <v>0</v>
      </c>
      <c r="I346" s="153">
        <v>4</v>
      </c>
      <c r="J346" s="154">
        <v>3</v>
      </c>
      <c r="K346" s="155">
        <v>0</v>
      </c>
      <c r="L346" s="148" t="s">
        <v>57</v>
      </c>
      <c r="M346" s="148" t="s">
        <v>58</v>
      </c>
      <c r="N346" s="156"/>
      <c r="O346" s="157" t="s">
        <v>59</v>
      </c>
      <c r="P346" s="158">
        <v>86</v>
      </c>
      <c r="Q346" s="152" t="s">
        <v>60</v>
      </c>
      <c r="R346" s="152" t="s">
        <v>70</v>
      </c>
      <c r="S346" s="148" t="s">
        <v>1390</v>
      </c>
      <c r="T346" s="148">
        <v>0</v>
      </c>
      <c r="U346" s="159">
        <v>363</v>
      </c>
      <c r="V346" s="160" t="str">
        <f>VLOOKUP(U346,docentes!$A:$E,2,0)</f>
        <v>MARCELO OLIVEIRA DA COSTA PIRES</v>
      </c>
      <c r="W346" s="161" t="str">
        <f>VLOOKUP(U346,docentes!$A:$E,5,0)</f>
        <v>CCNH</v>
      </c>
      <c r="X346" s="162"/>
      <c r="Y346" s="163"/>
      <c r="Z346" s="164"/>
      <c r="AH346" s="45"/>
      <c r="AI346" s="45"/>
    </row>
    <row r="347" spans="1:35" s="44" customFormat="1" ht="66.75" customHeight="1">
      <c r="A347" s="148" t="s">
        <v>222</v>
      </c>
      <c r="B347" s="146" t="s">
        <v>1391</v>
      </c>
      <c r="C347" s="149" t="s">
        <v>1346</v>
      </c>
      <c r="D347" s="150">
        <v>18</v>
      </c>
      <c r="E347" s="150" t="s">
        <v>1347</v>
      </c>
      <c r="F347" s="151" t="s">
        <v>1392</v>
      </c>
      <c r="G347" s="152">
        <v>3</v>
      </c>
      <c r="H347" s="152">
        <v>0</v>
      </c>
      <c r="I347" s="153">
        <v>4</v>
      </c>
      <c r="J347" s="154">
        <v>3</v>
      </c>
      <c r="K347" s="155">
        <v>0</v>
      </c>
      <c r="L347" s="148" t="s">
        <v>57</v>
      </c>
      <c r="M347" s="148" t="s">
        <v>58</v>
      </c>
      <c r="N347" s="156"/>
      <c r="O347" s="157" t="s">
        <v>59</v>
      </c>
      <c r="P347" s="158">
        <v>86</v>
      </c>
      <c r="Q347" s="152" t="s">
        <v>60</v>
      </c>
      <c r="R347" s="152" t="s">
        <v>61</v>
      </c>
      <c r="S347" s="148" t="s">
        <v>1393</v>
      </c>
      <c r="T347" s="148">
        <v>0</v>
      </c>
      <c r="U347" s="159">
        <v>496</v>
      </c>
      <c r="V347" s="160" t="str">
        <f>VLOOKUP(U347,docentes!$A:$E,2,0)</f>
        <v>RODRIGO MAGHDISSIAN CORDEIRO</v>
      </c>
      <c r="W347" s="161" t="str">
        <f>VLOOKUP(U347,docentes!$A:$E,5,0)</f>
        <v>CCNH</v>
      </c>
      <c r="X347" s="162"/>
      <c r="Y347" s="163"/>
      <c r="Z347" s="164"/>
    </row>
    <row r="348" spans="1:35" s="44" customFormat="1" ht="66.75" customHeight="1">
      <c r="A348" s="148" t="s">
        <v>222</v>
      </c>
      <c r="B348" s="146" t="s">
        <v>1394</v>
      </c>
      <c r="C348" s="149" t="s">
        <v>1346</v>
      </c>
      <c r="D348" s="150">
        <v>18</v>
      </c>
      <c r="E348" s="150" t="s">
        <v>1347</v>
      </c>
      <c r="F348" s="147" t="s">
        <v>1395</v>
      </c>
      <c r="G348" s="152">
        <v>3</v>
      </c>
      <c r="H348" s="152">
        <v>0</v>
      </c>
      <c r="I348" s="153">
        <v>4</v>
      </c>
      <c r="J348" s="154">
        <v>3</v>
      </c>
      <c r="K348" s="155">
        <v>0</v>
      </c>
      <c r="L348" s="148" t="s">
        <v>57</v>
      </c>
      <c r="M348" s="148" t="s">
        <v>58</v>
      </c>
      <c r="N348" s="156"/>
      <c r="O348" s="157" t="s">
        <v>59</v>
      </c>
      <c r="P348" s="158">
        <v>86</v>
      </c>
      <c r="Q348" s="152" t="s">
        <v>60</v>
      </c>
      <c r="R348" s="152" t="s">
        <v>70</v>
      </c>
      <c r="S348" s="148" t="s">
        <v>1396</v>
      </c>
      <c r="T348" s="148">
        <v>0</v>
      </c>
      <c r="U348" s="183">
        <v>119</v>
      </c>
      <c r="V348" s="184" t="str">
        <f>VLOOKUP(U348,docentes!$A:$E,2,0)</f>
        <v>DALMO MANDELLI</v>
      </c>
      <c r="W348" s="161" t="str">
        <f>VLOOKUP(U348,docentes!$A:$E,5,0)</f>
        <v>CCNH</v>
      </c>
      <c r="X348" s="162"/>
      <c r="Y348" s="163"/>
      <c r="Z348" s="164"/>
      <c r="AH348" s="45"/>
      <c r="AI348" s="45"/>
    </row>
    <row r="349" spans="1:35" s="44" customFormat="1" ht="66.75" customHeight="1">
      <c r="A349" s="148" t="s">
        <v>222</v>
      </c>
      <c r="B349" s="146" t="s">
        <v>1397</v>
      </c>
      <c r="C349" s="149" t="s">
        <v>1346</v>
      </c>
      <c r="D349" s="150">
        <v>18</v>
      </c>
      <c r="E349" s="150" t="s">
        <v>1347</v>
      </c>
      <c r="F349" s="151" t="s">
        <v>1398</v>
      </c>
      <c r="G349" s="152">
        <v>3</v>
      </c>
      <c r="H349" s="152">
        <v>0</v>
      </c>
      <c r="I349" s="153">
        <v>4</v>
      </c>
      <c r="J349" s="154">
        <v>3</v>
      </c>
      <c r="K349" s="155">
        <v>0</v>
      </c>
      <c r="L349" s="148" t="s">
        <v>57</v>
      </c>
      <c r="M349" s="148" t="s">
        <v>58</v>
      </c>
      <c r="N349" s="156"/>
      <c r="O349" s="157" t="s">
        <v>59</v>
      </c>
      <c r="P349" s="158">
        <v>90</v>
      </c>
      <c r="Q349" s="152" t="s">
        <v>76</v>
      </c>
      <c r="R349" s="152" t="s">
        <v>61</v>
      </c>
      <c r="S349" s="148" t="s">
        <v>1399</v>
      </c>
      <c r="T349" s="148">
        <v>0</v>
      </c>
      <c r="U349" s="159">
        <v>24</v>
      </c>
      <c r="V349" s="160" t="str">
        <f>VLOOKUP(U349,docentes!$A:$E,2,0)</f>
        <v>ALEXSANDRE FIGUEIREDO LAGO</v>
      </c>
      <c r="W349" s="161" t="str">
        <f>VLOOKUP(U349,docentes!$A:$E,5,0)</f>
        <v>CCNH</v>
      </c>
      <c r="X349" s="162"/>
      <c r="Y349" s="163"/>
      <c r="Z349" s="164"/>
    </row>
    <row r="350" spans="1:35" s="44" customFormat="1" ht="66.75" customHeight="1">
      <c r="A350" s="148" t="s">
        <v>222</v>
      </c>
      <c r="B350" s="146" t="s">
        <v>1400</v>
      </c>
      <c r="C350" s="149" t="s">
        <v>1346</v>
      </c>
      <c r="D350" s="150">
        <v>18</v>
      </c>
      <c r="E350" s="150" t="s">
        <v>1347</v>
      </c>
      <c r="F350" s="151" t="s">
        <v>1401</v>
      </c>
      <c r="G350" s="152">
        <v>3</v>
      </c>
      <c r="H350" s="152">
        <v>0</v>
      </c>
      <c r="I350" s="153">
        <v>4</v>
      </c>
      <c r="J350" s="154">
        <v>3</v>
      </c>
      <c r="K350" s="155">
        <v>0</v>
      </c>
      <c r="L350" s="148" t="s">
        <v>57</v>
      </c>
      <c r="M350" s="148" t="s">
        <v>58</v>
      </c>
      <c r="N350" s="156"/>
      <c r="O350" s="157" t="s">
        <v>59</v>
      </c>
      <c r="P350" s="158">
        <v>90</v>
      </c>
      <c r="Q350" s="152" t="s">
        <v>76</v>
      </c>
      <c r="R350" s="152" t="s">
        <v>70</v>
      </c>
      <c r="S350" s="148" t="s">
        <v>1402</v>
      </c>
      <c r="T350" s="148">
        <v>0</v>
      </c>
      <c r="U350" s="159">
        <v>235</v>
      </c>
      <c r="V350" s="160" t="str">
        <f>VLOOKUP(U350,docentes!$A:$E,2,0)</f>
        <v>GUSTAVO MORARI DO NASCIMENTO</v>
      </c>
      <c r="W350" s="161" t="str">
        <f>VLOOKUP(U350,docentes!$A:$E,5,0)</f>
        <v>CCNH</v>
      </c>
      <c r="X350" s="162"/>
      <c r="Y350" s="163"/>
      <c r="Z350" s="164"/>
    </row>
    <row r="351" spans="1:35" s="44" customFormat="1" ht="66.75" customHeight="1">
      <c r="A351" s="148" t="s">
        <v>222</v>
      </c>
      <c r="B351" s="146" t="s">
        <v>1403</v>
      </c>
      <c r="C351" s="149" t="s">
        <v>1404</v>
      </c>
      <c r="D351" s="150">
        <v>6</v>
      </c>
      <c r="E351" s="150" t="s">
        <v>1405</v>
      </c>
      <c r="F351" s="151" t="s">
        <v>1406</v>
      </c>
      <c r="G351" s="152">
        <v>3</v>
      </c>
      <c r="H351" s="152">
        <v>0</v>
      </c>
      <c r="I351" s="153">
        <v>4</v>
      </c>
      <c r="J351" s="154">
        <v>3</v>
      </c>
      <c r="K351" s="155">
        <v>0</v>
      </c>
      <c r="L351" s="148" t="s">
        <v>57</v>
      </c>
      <c r="M351" s="148" t="s">
        <v>58</v>
      </c>
      <c r="N351" s="156"/>
      <c r="O351" s="157" t="s">
        <v>59</v>
      </c>
      <c r="P351" s="158">
        <v>72</v>
      </c>
      <c r="Q351" s="152" t="s">
        <v>60</v>
      </c>
      <c r="R351" s="152" t="s">
        <v>61</v>
      </c>
      <c r="S351" s="148" t="s">
        <v>1407</v>
      </c>
      <c r="T351" s="148">
        <v>0</v>
      </c>
      <c r="U351" s="159">
        <v>1003</v>
      </c>
      <c r="V351" s="160" t="str">
        <f>VLOOKUP(U351,docentes!$A:$E,2,0)</f>
        <v>PAULA NABUCO</v>
      </c>
      <c r="W351" s="161" t="str">
        <f>VLOOKUP(U351,docentes!$A:$E,5,0)</f>
        <v>não identificado</v>
      </c>
      <c r="X351" s="162"/>
      <c r="Y351" s="163"/>
      <c r="Z351" s="164"/>
    </row>
    <row r="352" spans="1:35" s="44" customFormat="1" ht="66.75" customHeight="1">
      <c r="A352" s="148" t="s">
        <v>222</v>
      </c>
      <c r="B352" s="146" t="s">
        <v>1408</v>
      </c>
      <c r="C352" s="149" t="s">
        <v>1404</v>
      </c>
      <c r="D352" s="150">
        <v>6</v>
      </c>
      <c r="E352" s="150" t="s">
        <v>1405</v>
      </c>
      <c r="F352" s="151" t="s">
        <v>1409</v>
      </c>
      <c r="G352" s="152">
        <v>3</v>
      </c>
      <c r="H352" s="152">
        <v>0</v>
      </c>
      <c r="I352" s="153">
        <v>4</v>
      </c>
      <c r="J352" s="154">
        <v>3</v>
      </c>
      <c r="K352" s="155">
        <v>0</v>
      </c>
      <c r="L352" s="148" t="s">
        <v>57</v>
      </c>
      <c r="M352" s="148" t="s">
        <v>58</v>
      </c>
      <c r="N352" s="156"/>
      <c r="O352" s="157" t="s">
        <v>59</v>
      </c>
      <c r="P352" s="158">
        <v>60</v>
      </c>
      <c r="Q352" s="152" t="s">
        <v>76</v>
      </c>
      <c r="R352" s="152" t="s">
        <v>61</v>
      </c>
      <c r="S352" s="148" t="s">
        <v>1410</v>
      </c>
      <c r="T352" s="148">
        <v>0</v>
      </c>
      <c r="U352" s="159">
        <v>1004</v>
      </c>
      <c r="V352" s="160" t="str">
        <f>VLOOKUP(U352,docentes!$A:$E,2,0)</f>
        <v>WILSON MESQUISA DE ALMEIDA</v>
      </c>
      <c r="W352" s="161" t="str">
        <f>VLOOKUP(U352,docentes!$A:$E,5,0)</f>
        <v>não identificado</v>
      </c>
      <c r="X352" s="162"/>
      <c r="Y352" s="163"/>
      <c r="Z352" s="164"/>
    </row>
    <row r="353" spans="1:35" s="44" customFormat="1" ht="66.75" customHeight="1">
      <c r="A353" s="148" t="s">
        <v>222</v>
      </c>
      <c r="B353" s="146" t="s">
        <v>1411</v>
      </c>
      <c r="C353" s="149" t="s">
        <v>1404</v>
      </c>
      <c r="D353" s="150">
        <v>6</v>
      </c>
      <c r="E353" s="150" t="s">
        <v>1405</v>
      </c>
      <c r="F353" s="151" t="s">
        <v>1412</v>
      </c>
      <c r="G353" s="152">
        <v>3</v>
      </c>
      <c r="H353" s="152">
        <v>0</v>
      </c>
      <c r="I353" s="153">
        <v>4</v>
      </c>
      <c r="J353" s="154">
        <v>3</v>
      </c>
      <c r="K353" s="155">
        <v>0</v>
      </c>
      <c r="L353" s="148" t="s">
        <v>57</v>
      </c>
      <c r="M353" s="148" t="s">
        <v>58</v>
      </c>
      <c r="N353" s="166"/>
      <c r="O353" s="157" t="s">
        <v>59</v>
      </c>
      <c r="P353" s="158">
        <v>72</v>
      </c>
      <c r="Q353" s="152" t="s">
        <v>60</v>
      </c>
      <c r="R353" s="152" t="s">
        <v>70</v>
      </c>
      <c r="S353" s="148" t="s">
        <v>1413</v>
      </c>
      <c r="T353" s="148">
        <v>0</v>
      </c>
      <c r="U353" s="159">
        <v>1003</v>
      </c>
      <c r="V353" s="160" t="str">
        <f>VLOOKUP(U353,docentes!$A:$E,2,0)</f>
        <v>PAULA NABUCO</v>
      </c>
      <c r="W353" s="161" t="str">
        <f>VLOOKUP(U353,docentes!$A:$E,5,0)</f>
        <v>não identificado</v>
      </c>
      <c r="X353" s="162"/>
      <c r="Y353" s="163"/>
      <c r="Z353" s="164"/>
    </row>
    <row r="354" spans="1:35" s="44" customFormat="1" ht="66.75" customHeight="1">
      <c r="A354" s="148" t="s">
        <v>222</v>
      </c>
      <c r="B354" s="146" t="s">
        <v>1414</v>
      </c>
      <c r="C354" s="149" t="s">
        <v>1404</v>
      </c>
      <c r="D354" s="150">
        <v>6</v>
      </c>
      <c r="E354" s="150" t="s">
        <v>1405</v>
      </c>
      <c r="F354" s="151" t="s">
        <v>1415</v>
      </c>
      <c r="G354" s="152">
        <v>3</v>
      </c>
      <c r="H354" s="152">
        <v>0</v>
      </c>
      <c r="I354" s="153">
        <v>4</v>
      </c>
      <c r="J354" s="154">
        <v>3</v>
      </c>
      <c r="K354" s="155">
        <v>0</v>
      </c>
      <c r="L354" s="148" t="s">
        <v>57</v>
      </c>
      <c r="M354" s="148" t="s">
        <v>58</v>
      </c>
      <c r="N354" s="166"/>
      <c r="O354" s="157" t="s">
        <v>59</v>
      </c>
      <c r="P354" s="158">
        <v>60</v>
      </c>
      <c r="Q354" s="152" t="s">
        <v>76</v>
      </c>
      <c r="R354" s="152" t="s">
        <v>70</v>
      </c>
      <c r="S354" s="148" t="s">
        <v>1416</v>
      </c>
      <c r="T354" s="148">
        <v>0</v>
      </c>
      <c r="U354" s="159">
        <v>157</v>
      </c>
      <c r="V354" s="160" t="str">
        <f>VLOOKUP(U354,docentes!$A:$E,2,0)</f>
        <v>ELIAS DAVID MORALES MARTINEZ</v>
      </c>
      <c r="W354" s="161" t="str">
        <f>VLOOKUP(U354,docentes!$A:$E,5,0)</f>
        <v>CECS</v>
      </c>
      <c r="X354" s="162"/>
      <c r="Y354" s="163"/>
      <c r="Z354" s="164"/>
    </row>
    <row r="355" spans="1:35" s="44" customFormat="1" ht="66.75" customHeight="1">
      <c r="A355" s="148" t="s">
        <v>222</v>
      </c>
      <c r="B355" s="146" t="s">
        <v>1417</v>
      </c>
      <c r="C355" s="149" t="s">
        <v>1404</v>
      </c>
      <c r="D355" s="150">
        <v>6</v>
      </c>
      <c r="E355" s="150" t="s">
        <v>1405</v>
      </c>
      <c r="F355" s="151" t="s">
        <v>1418</v>
      </c>
      <c r="G355" s="152">
        <v>3</v>
      </c>
      <c r="H355" s="152">
        <v>0</v>
      </c>
      <c r="I355" s="153">
        <v>4</v>
      </c>
      <c r="J355" s="154">
        <v>3</v>
      </c>
      <c r="K355" s="155">
        <v>0</v>
      </c>
      <c r="L355" s="148" t="s">
        <v>57</v>
      </c>
      <c r="M355" s="148" t="s">
        <v>58</v>
      </c>
      <c r="N355" s="156"/>
      <c r="O355" s="157" t="s">
        <v>59</v>
      </c>
      <c r="P355" s="158">
        <v>72</v>
      </c>
      <c r="Q355" s="152" t="s">
        <v>60</v>
      </c>
      <c r="R355" s="152" t="s">
        <v>61</v>
      </c>
      <c r="S355" s="148" t="s">
        <v>1419</v>
      </c>
      <c r="T355" s="148">
        <v>0</v>
      </c>
      <c r="U355" s="159">
        <v>4</v>
      </c>
      <c r="V355" s="160" t="str">
        <f>VLOOKUP(U355,docentes!$A:$E,2,0)</f>
        <v>ADRIANA CAPUANO DE OLIVEIRA</v>
      </c>
      <c r="W355" s="161" t="str">
        <f>VLOOKUP(U355,docentes!$A:$E,5,0)</f>
        <v>CECS</v>
      </c>
      <c r="X355" s="162"/>
      <c r="Y355" s="163"/>
      <c r="Z355" s="164"/>
    </row>
    <row r="356" spans="1:35" s="44" customFormat="1" ht="66.75" customHeight="1">
      <c r="A356" s="148" t="s">
        <v>222</v>
      </c>
      <c r="B356" s="146" t="s">
        <v>1420</v>
      </c>
      <c r="C356" s="149" t="s">
        <v>1404</v>
      </c>
      <c r="D356" s="150">
        <v>6</v>
      </c>
      <c r="E356" s="150" t="s">
        <v>1405</v>
      </c>
      <c r="F356" s="151" t="s">
        <v>1421</v>
      </c>
      <c r="G356" s="152">
        <v>3</v>
      </c>
      <c r="H356" s="152">
        <v>0</v>
      </c>
      <c r="I356" s="153">
        <v>4</v>
      </c>
      <c r="J356" s="154">
        <v>3</v>
      </c>
      <c r="K356" s="155">
        <v>0</v>
      </c>
      <c r="L356" s="148" t="s">
        <v>57</v>
      </c>
      <c r="M356" s="148" t="s">
        <v>58</v>
      </c>
      <c r="N356" s="156"/>
      <c r="O356" s="157" t="s">
        <v>59</v>
      </c>
      <c r="P356" s="158">
        <v>95</v>
      </c>
      <c r="Q356" s="152" t="s">
        <v>60</v>
      </c>
      <c r="R356" s="152" t="s">
        <v>70</v>
      </c>
      <c r="S356" s="148" t="s">
        <v>1422</v>
      </c>
      <c r="T356" s="148">
        <v>0</v>
      </c>
      <c r="U356" s="159">
        <v>549</v>
      </c>
      <c r="V356" s="160" t="str">
        <f>VLOOKUP(U356,docentes!$A:$E,2,0)</f>
        <v>VANESSA ELIAS DE OLIVEIRA</v>
      </c>
      <c r="W356" s="161" t="str">
        <f>VLOOKUP(U356,docentes!$A:$E,5,0)</f>
        <v>CECS</v>
      </c>
      <c r="X356" s="162"/>
      <c r="Y356" s="163"/>
      <c r="Z356" s="164"/>
    </row>
    <row r="357" spans="1:35" s="44" customFormat="1" ht="66.75" customHeight="1">
      <c r="A357" s="148" t="s">
        <v>1336</v>
      </c>
      <c r="B357" s="146" t="s">
        <v>1423</v>
      </c>
      <c r="C357" s="149" t="s">
        <v>1424</v>
      </c>
      <c r="D357" s="150">
        <v>2</v>
      </c>
      <c r="E357" s="150" t="s">
        <v>1425</v>
      </c>
      <c r="F357" s="151" t="s">
        <v>1426</v>
      </c>
      <c r="G357" s="152">
        <v>4</v>
      </c>
      <c r="H357" s="152">
        <v>0</v>
      </c>
      <c r="I357" s="153">
        <v>4</v>
      </c>
      <c r="J357" s="154">
        <v>4</v>
      </c>
      <c r="K357" s="155">
        <v>0</v>
      </c>
      <c r="L357" s="148" t="s">
        <v>57</v>
      </c>
      <c r="M357" s="148" t="s">
        <v>58</v>
      </c>
      <c r="N357" s="156"/>
      <c r="O357" s="157" t="s">
        <v>59</v>
      </c>
      <c r="P357" s="158">
        <v>40</v>
      </c>
      <c r="Q357" s="152" t="s">
        <v>76</v>
      </c>
      <c r="R357" s="152" t="s">
        <v>61</v>
      </c>
      <c r="S357" s="148" t="s">
        <v>1427</v>
      </c>
      <c r="T357" s="148">
        <v>0</v>
      </c>
      <c r="U357" s="159">
        <v>197</v>
      </c>
      <c r="V357" s="160" t="str">
        <f>VLOOKUP(U357,docentes!$A:$E,2,0)</f>
        <v>FLAMARION CALDEIRA RAMOS</v>
      </c>
      <c r="W357" s="161" t="str">
        <f>VLOOKUP(U357,docentes!$A:$E,5,0)</f>
        <v>CCNH</v>
      </c>
      <c r="X357" s="162"/>
      <c r="Y357" s="163"/>
      <c r="Z357" s="164"/>
    </row>
    <row r="358" spans="1:35" s="44" customFormat="1" ht="66.75" customHeight="1">
      <c r="A358" s="148" t="s">
        <v>1336</v>
      </c>
      <c r="B358" s="146" t="s">
        <v>1428</v>
      </c>
      <c r="C358" s="149" t="s">
        <v>1424</v>
      </c>
      <c r="D358" s="150">
        <v>2</v>
      </c>
      <c r="E358" s="150" t="s">
        <v>1425</v>
      </c>
      <c r="F358" s="151" t="s">
        <v>1429</v>
      </c>
      <c r="G358" s="152">
        <v>4</v>
      </c>
      <c r="H358" s="152">
        <v>0</v>
      </c>
      <c r="I358" s="153">
        <v>4</v>
      </c>
      <c r="J358" s="154">
        <v>4</v>
      </c>
      <c r="K358" s="155">
        <v>0</v>
      </c>
      <c r="L358" s="148" t="s">
        <v>57</v>
      </c>
      <c r="M358" s="148" t="s">
        <v>58</v>
      </c>
      <c r="N358" s="156"/>
      <c r="O358" s="157" t="s">
        <v>59</v>
      </c>
      <c r="P358" s="158">
        <v>40</v>
      </c>
      <c r="Q358" s="152" t="s">
        <v>76</v>
      </c>
      <c r="R358" s="152" t="s">
        <v>70</v>
      </c>
      <c r="S358" s="148" t="s">
        <v>1430</v>
      </c>
      <c r="T358" s="148">
        <v>0</v>
      </c>
      <c r="U358" s="159">
        <v>197</v>
      </c>
      <c r="V358" s="160" t="str">
        <f>VLOOKUP(U358,docentes!$A:$E,2,0)</f>
        <v>FLAMARION CALDEIRA RAMOS</v>
      </c>
      <c r="W358" s="161" t="str">
        <f>VLOOKUP(U358,docentes!$A:$E,5,0)</f>
        <v>CCNH</v>
      </c>
      <c r="X358" s="162"/>
      <c r="Y358" s="163"/>
      <c r="Z358" s="164"/>
    </row>
    <row r="359" spans="1:35" s="44" customFormat="1" ht="66.75" customHeight="1">
      <c r="A359" s="148" t="s">
        <v>915</v>
      </c>
      <c r="B359" s="146" t="s">
        <v>1431</v>
      </c>
      <c r="C359" s="149" t="s">
        <v>1432</v>
      </c>
      <c r="D359" s="150">
        <v>1</v>
      </c>
      <c r="E359" s="150" t="s">
        <v>1433</v>
      </c>
      <c r="F359" s="151" t="s">
        <v>1434</v>
      </c>
      <c r="G359" s="152">
        <v>4</v>
      </c>
      <c r="H359" s="152">
        <v>0</v>
      </c>
      <c r="I359" s="153">
        <v>4</v>
      </c>
      <c r="J359" s="154">
        <v>4</v>
      </c>
      <c r="K359" s="155">
        <v>0</v>
      </c>
      <c r="L359" s="148" t="s">
        <v>902</v>
      </c>
      <c r="M359" s="148" t="s">
        <v>58</v>
      </c>
      <c r="N359" s="156"/>
      <c r="O359" s="165" t="s">
        <v>1435</v>
      </c>
      <c r="P359" s="158">
        <v>45</v>
      </c>
      <c r="Q359" s="152" t="s">
        <v>60</v>
      </c>
      <c r="R359" s="152" t="s">
        <v>70</v>
      </c>
      <c r="S359" s="148" t="s">
        <v>1436</v>
      </c>
      <c r="T359" s="148">
        <v>0</v>
      </c>
      <c r="U359" s="159">
        <v>77</v>
      </c>
      <c r="V359" s="160" t="str">
        <f>VLOOKUP(U359,docentes!$A:$E,2,0)</f>
        <v>BRENO ARSIOLI MOURA</v>
      </c>
      <c r="W359" s="161" t="str">
        <f>VLOOKUP(U359,docentes!$A:$E,5,0)</f>
        <v>CCNH</v>
      </c>
      <c r="X359" s="162"/>
      <c r="Y359" s="163"/>
      <c r="Z359" s="164"/>
    </row>
    <row r="360" spans="1:35" s="44" customFormat="1" ht="66.75" customHeight="1">
      <c r="A360" s="148" t="s">
        <v>157</v>
      </c>
      <c r="B360" s="146" t="s">
        <v>1437</v>
      </c>
      <c r="C360" s="149" t="s">
        <v>1438</v>
      </c>
      <c r="D360" s="150">
        <v>1</v>
      </c>
      <c r="E360" s="150" t="s">
        <v>1439</v>
      </c>
      <c r="F360" s="151" t="s">
        <v>1440</v>
      </c>
      <c r="G360" s="152">
        <v>4</v>
      </c>
      <c r="H360" s="152">
        <v>0</v>
      </c>
      <c r="I360" s="153">
        <v>4</v>
      </c>
      <c r="J360" s="154">
        <v>4</v>
      </c>
      <c r="K360" s="155">
        <v>0</v>
      </c>
      <c r="L360" s="148" t="s">
        <v>57</v>
      </c>
      <c r="M360" s="148" t="s">
        <v>58</v>
      </c>
      <c r="N360" s="178"/>
      <c r="O360" s="157" t="s">
        <v>59</v>
      </c>
      <c r="P360" s="158">
        <v>40</v>
      </c>
      <c r="Q360" s="152" t="s">
        <v>76</v>
      </c>
      <c r="R360" s="152" t="s">
        <v>61</v>
      </c>
      <c r="S360" s="148" t="s">
        <v>1441</v>
      </c>
      <c r="T360" s="148">
        <v>0</v>
      </c>
      <c r="U360" s="159">
        <v>451</v>
      </c>
      <c r="V360" s="160" t="str">
        <f>VLOOKUP(U360,docentes!$A:$E,2,0)</f>
        <v>PAULA PRISCILA BRAGA</v>
      </c>
      <c r="W360" s="161" t="str">
        <f>VLOOKUP(U360,docentes!$A:$E,5,0)</f>
        <v>CCNH</v>
      </c>
      <c r="X360" s="162"/>
      <c r="Y360" s="163"/>
      <c r="Z360" s="164"/>
    </row>
    <row r="361" spans="1:35" s="44" customFormat="1" ht="66.75" customHeight="1">
      <c r="A361" s="148" t="s">
        <v>1116</v>
      </c>
      <c r="B361" s="146" t="s">
        <v>1442</v>
      </c>
      <c r="C361" s="149" t="s">
        <v>1443</v>
      </c>
      <c r="D361" s="150">
        <v>2</v>
      </c>
      <c r="E361" s="150" t="s">
        <v>1444</v>
      </c>
      <c r="F361" s="151" t="s">
        <v>1445</v>
      </c>
      <c r="G361" s="152">
        <v>3</v>
      </c>
      <c r="H361" s="152">
        <v>0</v>
      </c>
      <c r="I361" s="153">
        <v>4</v>
      </c>
      <c r="J361" s="154">
        <v>3</v>
      </c>
      <c r="K361" s="155">
        <v>0</v>
      </c>
      <c r="L361" s="148" t="s">
        <v>57</v>
      </c>
      <c r="M361" s="148" t="s">
        <v>58</v>
      </c>
      <c r="N361" s="178"/>
      <c r="O361" s="157" t="s">
        <v>59</v>
      </c>
      <c r="P361" s="158">
        <v>20</v>
      </c>
      <c r="Q361" s="152" t="s">
        <v>60</v>
      </c>
      <c r="R361" s="152" t="s">
        <v>61</v>
      </c>
      <c r="S361" s="148">
        <v>0</v>
      </c>
      <c r="T361" s="148" t="s">
        <v>1446</v>
      </c>
      <c r="U361" s="159">
        <v>190</v>
      </c>
      <c r="V361" s="160" t="str">
        <f>VLOOKUP(U361,docentes!$A:$E,2,0)</f>
        <v>FERNANDO LUIZ CASSIO SILVA</v>
      </c>
      <c r="W361" s="161" t="str">
        <f>VLOOKUP(U361,docentes!$A:$E,5,0)</f>
        <v>CCNH</v>
      </c>
      <c r="X361" s="162"/>
      <c r="Y361" s="163"/>
      <c r="Z361" s="164"/>
    </row>
    <row r="362" spans="1:35" s="44" customFormat="1" ht="66.75" customHeight="1">
      <c r="A362" s="148" t="s">
        <v>1116</v>
      </c>
      <c r="B362" s="146" t="s">
        <v>1447</v>
      </c>
      <c r="C362" s="149" t="s">
        <v>1443</v>
      </c>
      <c r="D362" s="150">
        <v>2</v>
      </c>
      <c r="E362" s="150" t="s">
        <v>1444</v>
      </c>
      <c r="F362" s="151" t="s">
        <v>1448</v>
      </c>
      <c r="G362" s="152">
        <v>3</v>
      </c>
      <c r="H362" s="152">
        <v>0</v>
      </c>
      <c r="I362" s="153">
        <v>4</v>
      </c>
      <c r="J362" s="154">
        <v>3</v>
      </c>
      <c r="K362" s="155">
        <v>0</v>
      </c>
      <c r="L362" s="148" t="s">
        <v>57</v>
      </c>
      <c r="M362" s="148" t="s">
        <v>58</v>
      </c>
      <c r="N362" s="156"/>
      <c r="O362" s="157" t="s">
        <v>59</v>
      </c>
      <c r="P362" s="158">
        <v>20</v>
      </c>
      <c r="Q362" s="152" t="s">
        <v>60</v>
      </c>
      <c r="R362" s="152" t="s">
        <v>70</v>
      </c>
      <c r="S362" s="148">
        <v>0</v>
      </c>
      <c r="T362" s="148" t="s">
        <v>1449</v>
      </c>
      <c r="U362" s="159">
        <v>190</v>
      </c>
      <c r="V362" s="160" t="str">
        <f>VLOOKUP(U362,docentes!$A:$E,2,0)</f>
        <v>FERNANDO LUIZ CASSIO SILVA</v>
      </c>
      <c r="W362" s="161" t="str">
        <f>VLOOKUP(U362,docentes!$A:$E,5,0)</f>
        <v>CCNH</v>
      </c>
      <c r="X362" s="162"/>
      <c r="Y362" s="163"/>
      <c r="Z362" s="164"/>
    </row>
    <row r="363" spans="1:35" s="44" customFormat="1" ht="66.75" customHeight="1">
      <c r="A363" s="148" t="s">
        <v>222</v>
      </c>
      <c r="B363" s="146" t="s">
        <v>1450</v>
      </c>
      <c r="C363" s="149" t="s">
        <v>1451</v>
      </c>
      <c r="D363" s="150">
        <v>47</v>
      </c>
      <c r="E363" s="150" t="s">
        <v>1452</v>
      </c>
      <c r="F363" s="151" t="s">
        <v>1453</v>
      </c>
      <c r="G363" s="152">
        <v>3</v>
      </c>
      <c r="H363" s="152">
        <v>2</v>
      </c>
      <c r="I363" s="153">
        <v>6</v>
      </c>
      <c r="J363" s="154">
        <v>3</v>
      </c>
      <c r="K363" s="155">
        <v>2</v>
      </c>
      <c r="L363" s="148" t="s">
        <v>821</v>
      </c>
      <c r="M363" s="148" t="s">
        <v>68</v>
      </c>
      <c r="N363" s="156">
        <v>33</v>
      </c>
      <c r="O363" s="148" t="s">
        <v>1155</v>
      </c>
      <c r="P363" s="158">
        <v>33</v>
      </c>
      <c r="Q363" s="152" t="s">
        <v>60</v>
      </c>
      <c r="R363" s="152" t="s">
        <v>61</v>
      </c>
      <c r="S363" s="148" t="s">
        <v>1454</v>
      </c>
      <c r="T363" s="148" t="s">
        <v>1455</v>
      </c>
      <c r="U363" s="159">
        <v>156</v>
      </c>
      <c r="V363" s="160" t="str">
        <f>VLOOKUP(U363,docentes!$A:$E,2,0)</f>
        <v>EDUARDO PERES NOVAIS DE SA</v>
      </c>
      <c r="W363" s="161" t="str">
        <f>VLOOKUP(U363,docentes!$A:$E,5,0)</f>
        <v>CCNH</v>
      </c>
      <c r="X363" s="176">
        <v>156</v>
      </c>
      <c r="Y363" s="160" t="str">
        <f>VLOOKUP(X363,docentes!$A:$E,2,0)</f>
        <v>EDUARDO PERES NOVAIS DE SA</v>
      </c>
      <c r="Z363" s="177" t="str">
        <f>VLOOKUP(X363,docentes!$A:$E,5,0)</f>
        <v>CCNH</v>
      </c>
    </row>
    <row r="364" spans="1:35" s="44" customFormat="1" ht="66.75" customHeight="1">
      <c r="A364" s="148" t="s">
        <v>222</v>
      </c>
      <c r="B364" s="146" t="s">
        <v>1456</v>
      </c>
      <c r="C364" s="149" t="s">
        <v>1451</v>
      </c>
      <c r="D364" s="150">
        <v>47</v>
      </c>
      <c r="E364" s="150" t="s">
        <v>1452</v>
      </c>
      <c r="F364" s="151" t="s">
        <v>1457</v>
      </c>
      <c r="G364" s="152">
        <v>3</v>
      </c>
      <c r="H364" s="152">
        <v>2</v>
      </c>
      <c r="I364" s="153">
        <v>6</v>
      </c>
      <c r="J364" s="154">
        <v>3</v>
      </c>
      <c r="K364" s="155">
        <v>2</v>
      </c>
      <c r="L364" s="148" t="s">
        <v>821</v>
      </c>
      <c r="M364" s="148" t="s">
        <v>68</v>
      </c>
      <c r="N364" s="156">
        <v>33</v>
      </c>
      <c r="O364" s="148" t="s">
        <v>1155</v>
      </c>
      <c r="P364" s="158">
        <v>33</v>
      </c>
      <c r="Q364" s="149" t="s">
        <v>76</v>
      </c>
      <c r="R364" s="152" t="s">
        <v>61</v>
      </c>
      <c r="S364" s="148" t="s">
        <v>1458</v>
      </c>
      <c r="T364" s="148" t="s">
        <v>1459</v>
      </c>
      <c r="U364" s="159">
        <v>180</v>
      </c>
      <c r="V364" s="160" t="str">
        <f>VLOOKUP(U364,docentes!$A:$E,2,0)</f>
        <v>FELIPE CHEN ABREGO</v>
      </c>
      <c r="W364" s="161" t="str">
        <f>VLOOKUP(U364,docentes!$A:$E,5,0)</f>
        <v>CCNH</v>
      </c>
      <c r="X364" s="176">
        <v>180</v>
      </c>
      <c r="Y364" s="160" t="str">
        <f>VLOOKUP(X364,docentes!$A:$E,2,0)</f>
        <v>FELIPE CHEN ABREGO</v>
      </c>
      <c r="Z364" s="177" t="str">
        <f>VLOOKUP(X364,docentes!$A:$E,5,0)</f>
        <v>CCNH</v>
      </c>
    </row>
    <row r="365" spans="1:35" s="44" customFormat="1" ht="66.75" customHeight="1">
      <c r="A365" s="148" t="s">
        <v>222</v>
      </c>
      <c r="B365" s="146" t="s">
        <v>1460</v>
      </c>
      <c r="C365" s="149" t="s">
        <v>1451</v>
      </c>
      <c r="D365" s="150">
        <v>47</v>
      </c>
      <c r="E365" s="150" t="s">
        <v>1452</v>
      </c>
      <c r="F365" s="151" t="s">
        <v>1461</v>
      </c>
      <c r="G365" s="152">
        <v>3</v>
      </c>
      <c r="H365" s="152">
        <v>2</v>
      </c>
      <c r="I365" s="153">
        <v>6</v>
      </c>
      <c r="J365" s="154">
        <v>3</v>
      </c>
      <c r="K365" s="155">
        <v>2</v>
      </c>
      <c r="L365" s="148" t="s">
        <v>845</v>
      </c>
      <c r="M365" s="148" t="s">
        <v>58</v>
      </c>
      <c r="N365" s="156">
        <v>33</v>
      </c>
      <c r="O365" s="148" t="s">
        <v>1155</v>
      </c>
      <c r="P365" s="158">
        <v>33</v>
      </c>
      <c r="Q365" s="152" t="s">
        <v>60</v>
      </c>
      <c r="R365" s="152" t="s">
        <v>70</v>
      </c>
      <c r="S365" s="148" t="s">
        <v>1462</v>
      </c>
      <c r="T365" s="148" t="s">
        <v>1463</v>
      </c>
      <c r="U365" s="159">
        <v>472</v>
      </c>
      <c r="V365" s="160" t="str">
        <f>VLOOKUP(U365,docentes!$A:$E,2,0)</f>
        <v>REINALDO LUIZ CAVASSO FILHO</v>
      </c>
      <c r="W365" s="161" t="str">
        <f>VLOOKUP(U365,docentes!$A:$E,5,0)</f>
        <v>CCNH</v>
      </c>
      <c r="X365" s="176">
        <v>472</v>
      </c>
      <c r="Y365" s="160" t="str">
        <f>VLOOKUP(X365,docentes!$A:$E,2,0)</f>
        <v>REINALDO LUIZ CAVASSO FILHO</v>
      </c>
      <c r="Z365" s="177" t="str">
        <f>VLOOKUP(X365,docentes!$A:$E,5,0)</f>
        <v>CCNH</v>
      </c>
      <c r="AH365" s="45"/>
      <c r="AI365" s="45"/>
    </row>
    <row r="366" spans="1:35" ht="66.75" customHeight="1">
      <c r="A366" s="148" t="s">
        <v>222</v>
      </c>
      <c r="B366" s="146" t="s">
        <v>1464</v>
      </c>
      <c r="C366" s="149" t="s">
        <v>1451</v>
      </c>
      <c r="D366" s="150">
        <v>47</v>
      </c>
      <c r="E366" s="150" t="s">
        <v>1452</v>
      </c>
      <c r="F366" s="151" t="s">
        <v>1465</v>
      </c>
      <c r="G366" s="152">
        <v>3</v>
      </c>
      <c r="H366" s="152">
        <v>2</v>
      </c>
      <c r="I366" s="153">
        <v>6</v>
      </c>
      <c r="J366" s="154">
        <v>3</v>
      </c>
      <c r="K366" s="155">
        <v>2</v>
      </c>
      <c r="L366" s="148" t="s">
        <v>845</v>
      </c>
      <c r="M366" s="148" t="s">
        <v>58</v>
      </c>
      <c r="N366" s="156">
        <v>33</v>
      </c>
      <c r="O366" s="165" t="s">
        <v>1155</v>
      </c>
      <c r="P366" s="158">
        <v>33</v>
      </c>
      <c r="Q366" s="149" t="s">
        <v>76</v>
      </c>
      <c r="R366" s="152" t="s">
        <v>70</v>
      </c>
      <c r="S366" s="148" t="s">
        <v>1466</v>
      </c>
      <c r="T366" s="148" t="s">
        <v>1467</v>
      </c>
      <c r="U366" s="159">
        <v>568</v>
      </c>
      <c r="V366" s="160" t="str">
        <f>VLOOKUP(U366,docentes!$A:$E,2,0)</f>
        <v>WANIUS JOSE GARCIA DA SILVA</v>
      </c>
      <c r="W366" s="161" t="str">
        <f>VLOOKUP(U366,docentes!$A:$E,5,0)</f>
        <v>CCNH</v>
      </c>
      <c r="X366" s="176">
        <v>568</v>
      </c>
      <c r="Y366" s="160" t="str">
        <f>VLOOKUP(X366,docentes!$A:$E,2,0)</f>
        <v>WANIUS JOSE GARCIA DA SILVA</v>
      </c>
      <c r="Z366" s="177" t="str">
        <f>VLOOKUP(X366,docentes!$A:$E,5,0)</f>
        <v>CCNH</v>
      </c>
      <c r="AA366" s="44"/>
      <c r="AB366" s="44"/>
      <c r="AC366" s="44"/>
      <c r="AD366" s="44"/>
      <c r="AE366" s="44"/>
      <c r="AF366" s="44"/>
      <c r="AG366" s="44"/>
      <c r="AH366" s="44"/>
      <c r="AI366" s="44"/>
    </row>
    <row r="367" spans="1:35" ht="66.75" customHeight="1">
      <c r="A367" s="148" t="s">
        <v>222</v>
      </c>
      <c r="B367" s="146" t="s">
        <v>1468</v>
      </c>
      <c r="C367" s="149" t="s">
        <v>1451</v>
      </c>
      <c r="D367" s="150">
        <v>47</v>
      </c>
      <c r="E367" s="150" t="s">
        <v>1452</v>
      </c>
      <c r="F367" s="151" t="s">
        <v>1469</v>
      </c>
      <c r="G367" s="152">
        <v>3</v>
      </c>
      <c r="H367" s="152">
        <v>2</v>
      </c>
      <c r="I367" s="153">
        <v>6</v>
      </c>
      <c r="J367" s="154">
        <v>0</v>
      </c>
      <c r="K367" s="155">
        <v>2</v>
      </c>
      <c r="L367" s="148" t="s">
        <v>821</v>
      </c>
      <c r="M367" s="148" t="s">
        <v>68</v>
      </c>
      <c r="N367" s="156">
        <v>33</v>
      </c>
      <c r="O367" s="165" t="s">
        <v>1155</v>
      </c>
      <c r="P367" s="158">
        <v>33</v>
      </c>
      <c r="Q367" s="152" t="s">
        <v>60</v>
      </c>
      <c r="R367" s="152" t="s">
        <v>61</v>
      </c>
      <c r="S367" s="148" t="s">
        <v>1454</v>
      </c>
      <c r="T367" s="148" t="s">
        <v>1470</v>
      </c>
      <c r="U367" s="170">
        <v>156</v>
      </c>
      <c r="V367" s="163" t="str">
        <f>VLOOKUP(U367,docentes!$A:$E,2,0)</f>
        <v>EDUARDO PERES NOVAIS DE SA</v>
      </c>
      <c r="W367" s="171" t="str">
        <f>VLOOKUP(U367,docentes!$A:$E,5,0)</f>
        <v>CCNH</v>
      </c>
      <c r="X367" s="176">
        <v>156</v>
      </c>
      <c r="Y367" s="160" t="str">
        <f>VLOOKUP(X367,docentes!$A:$E,2,0)</f>
        <v>EDUARDO PERES NOVAIS DE SA</v>
      </c>
      <c r="Z367" s="177" t="str">
        <f>VLOOKUP(X367,docentes!$A:$E,5,0)</f>
        <v>CCNH</v>
      </c>
      <c r="AA367" s="44"/>
      <c r="AB367" s="44"/>
      <c r="AC367" s="44"/>
      <c r="AD367" s="44"/>
      <c r="AE367" s="44"/>
      <c r="AF367" s="44"/>
      <c r="AG367" s="44"/>
      <c r="AH367" s="44"/>
      <c r="AI367" s="44"/>
    </row>
    <row r="368" spans="1:35" s="44" customFormat="1" ht="66.75" customHeight="1">
      <c r="A368" s="148" t="s">
        <v>222</v>
      </c>
      <c r="B368" s="146" t="s">
        <v>1471</v>
      </c>
      <c r="C368" s="149" t="s">
        <v>1451</v>
      </c>
      <c r="D368" s="150">
        <v>47</v>
      </c>
      <c r="E368" s="150" t="s">
        <v>1452</v>
      </c>
      <c r="F368" s="151" t="s">
        <v>1472</v>
      </c>
      <c r="G368" s="152">
        <v>3</v>
      </c>
      <c r="H368" s="152">
        <v>2</v>
      </c>
      <c r="I368" s="153">
        <v>6</v>
      </c>
      <c r="J368" s="154">
        <v>0</v>
      </c>
      <c r="K368" s="155">
        <v>2</v>
      </c>
      <c r="L368" s="148" t="s">
        <v>821</v>
      </c>
      <c r="M368" s="148" t="s">
        <v>68</v>
      </c>
      <c r="N368" s="156">
        <v>33</v>
      </c>
      <c r="O368" s="148" t="s">
        <v>1155</v>
      </c>
      <c r="P368" s="158">
        <v>33</v>
      </c>
      <c r="Q368" s="149" t="s">
        <v>76</v>
      </c>
      <c r="R368" s="152" t="s">
        <v>61</v>
      </c>
      <c r="S368" s="148" t="s">
        <v>1458</v>
      </c>
      <c r="T368" s="148" t="s">
        <v>1473</v>
      </c>
      <c r="U368" s="170">
        <v>180</v>
      </c>
      <c r="V368" s="163" t="str">
        <f>VLOOKUP(U368,docentes!$A:$E,2,0)</f>
        <v>FELIPE CHEN ABREGO</v>
      </c>
      <c r="W368" s="171" t="str">
        <f>VLOOKUP(U368,docentes!$A:$E,5,0)</f>
        <v>CCNH</v>
      </c>
      <c r="X368" s="176">
        <v>180</v>
      </c>
      <c r="Y368" s="160" t="str">
        <f>VLOOKUP(X368,docentes!$A:$E,2,0)</f>
        <v>FELIPE CHEN ABREGO</v>
      </c>
      <c r="Z368" s="177" t="str">
        <f>VLOOKUP(X368,docentes!$A:$E,5,0)</f>
        <v>CCNH</v>
      </c>
    </row>
    <row r="369" spans="1:26" s="44" customFormat="1" ht="66.75" customHeight="1">
      <c r="A369" s="148" t="s">
        <v>222</v>
      </c>
      <c r="B369" s="146" t="s">
        <v>1474</v>
      </c>
      <c r="C369" s="149" t="s">
        <v>1451</v>
      </c>
      <c r="D369" s="150">
        <v>47</v>
      </c>
      <c r="E369" s="150" t="s">
        <v>1452</v>
      </c>
      <c r="F369" s="151" t="s">
        <v>1475</v>
      </c>
      <c r="G369" s="152">
        <v>3</v>
      </c>
      <c r="H369" s="152">
        <v>2</v>
      </c>
      <c r="I369" s="153">
        <v>6</v>
      </c>
      <c r="J369" s="154">
        <v>0</v>
      </c>
      <c r="K369" s="155">
        <v>2</v>
      </c>
      <c r="L369" s="148" t="s">
        <v>845</v>
      </c>
      <c r="M369" s="148" t="s">
        <v>58</v>
      </c>
      <c r="N369" s="156">
        <v>33</v>
      </c>
      <c r="O369" s="148" t="s">
        <v>1155</v>
      </c>
      <c r="P369" s="158">
        <v>33</v>
      </c>
      <c r="Q369" s="152" t="s">
        <v>60</v>
      </c>
      <c r="R369" s="152" t="s">
        <v>70</v>
      </c>
      <c r="S369" s="148" t="s">
        <v>1462</v>
      </c>
      <c r="T369" s="148" t="s">
        <v>1476</v>
      </c>
      <c r="U369" s="170">
        <v>472</v>
      </c>
      <c r="V369" s="163" t="str">
        <f>VLOOKUP(U369,docentes!$A:$E,2,0)</f>
        <v>REINALDO LUIZ CAVASSO FILHO</v>
      </c>
      <c r="W369" s="171" t="str">
        <f>VLOOKUP(U369,docentes!$A:$E,5,0)</f>
        <v>CCNH</v>
      </c>
      <c r="X369" s="176">
        <v>472</v>
      </c>
      <c r="Y369" s="160" t="str">
        <f>VLOOKUP(X369,docentes!$A:$E,2,0)</f>
        <v>REINALDO LUIZ CAVASSO FILHO</v>
      </c>
      <c r="Z369" s="177" t="str">
        <f>VLOOKUP(X369,docentes!$A:$E,5,0)</f>
        <v>CCNH</v>
      </c>
    </row>
    <row r="370" spans="1:26" s="44" customFormat="1" ht="66.75" customHeight="1">
      <c r="A370" s="148" t="s">
        <v>222</v>
      </c>
      <c r="B370" s="146" t="s">
        <v>1477</v>
      </c>
      <c r="C370" s="149" t="s">
        <v>1451</v>
      </c>
      <c r="D370" s="150">
        <v>47</v>
      </c>
      <c r="E370" s="150" t="s">
        <v>1452</v>
      </c>
      <c r="F370" s="151" t="s">
        <v>1478</v>
      </c>
      <c r="G370" s="152">
        <v>3</v>
      </c>
      <c r="H370" s="152">
        <v>2</v>
      </c>
      <c r="I370" s="153">
        <v>6</v>
      </c>
      <c r="J370" s="154">
        <v>0</v>
      </c>
      <c r="K370" s="155">
        <v>2</v>
      </c>
      <c r="L370" s="148" t="s">
        <v>821</v>
      </c>
      <c r="M370" s="148" t="s">
        <v>68</v>
      </c>
      <c r="N370" s="156">
        <v>33</v>
      </c>
      <c r="O370" s="148" t="s">
        <v>1155</v>
      </c>
      <c r="P370" s="158">
        <v>33</v>
      </c>
      <c r="Q370" s="149" t="s">
        <v>76</v>
      </c>
      <c r="R370" s="152" t="s">
        <v>70</v>
      </c>
      <c r="S370" s="148" t="s">
        <v>1466</v>
      </c>
      <c r="T370" s="148" t="s">
        <v>1479</v>
      </c>
      <c r="U370" s="170">
        <v>568</v>
      </c>
      <c r="V370" s="163" t="str">
        <f>VLOOKUP(U370,docentes!$A:$E,2,0)</f>
        <v>WANIUS JOSE GARCIA DA SILVA</v>
      </c>
      <c r="W370" s="171" t="str">
        <f>VLOOKUP(U370,docentes!$A:$E,5,0)</f>
        <v>CCNH</v>
      </c>
      <c r="X370" s="176">
        <v>568</v>
      </c>
      <c r="Y370" s="160" t="str">
        <f>VLOOKUP(X370,docentes!$A:$E,2,0)</f>
        <v>WANIUS JOSE GARCIA DA SILVA</v>
      </c>
      <c r="Z370" s="177" t="str">
        <f>VLOOKUP(X370,docentes!$A:$E,5,0)</f>
        <v>CCNH</v>
      </c>
    </row>
    <row r="371" spans="1:26" s="44" customFormat="1" ht="66.75" customHeight="1">
      <c r="A371" s="148" t="s">
        <v>222</v>
      </c>
      <c r="B371" s="146" t="s">
        <v>1480</v>
      </c>
      <c r="C371" s="149" t="s">
        <v>1451</v>
      </c>
      <c r="D371" s="150">
        <v>47</v>
      </c>
      <c r="E371" s="150" t="s">
        <v>1452</v>
      </c>
      <c r="F371" s="151" t="s">
        <v>1481</v>
      </c>
      <c r="G371" s="152">
        <v>3</v>
      </c>
      <c r="H371" s="152">
        <v>2</v>
      </c>
      <c r="I371" s="153">
        <v>6</v>
      </c>
      <c r="J371" s="154">
        <v>0</v>
      </c>
      <c r="K371" s="155">
        <v>2</v>
      </c>
      <c r="L371" s="148" t="s">
        <v>821</v>
      </c>
      <c r="M371" s="148" t="s">
        <v>68</v>
      </c>
      <c r="N371" s="156">
        <v>33</v>
      </c>
      <c r="O371" s="165" t="s">
        <v>1155</v>
      </c>
      <c r="P371" s="158">
        <v>33</v>
      </c>
      <c r="Q371" s="152" t="s">
        <v>60</v>
      </c>
      <c r="R371" s="152" t="s">
        <v>61</v>
      </c>
      <c r="S371" s="148" t="s">
        <v>1454</v>
      </c>
      <c r="T371" s="148" t="s">
        <v>1482</v>
      </c>
      <c r="U371" s="170">
        <v>156</v>
      </c>
      <c r="V371" s="163" t="str">
        <f>VLOOKUP(U371,docentes!$A:$E,2,0)</f>
        <v>EDUARDO PERES NOVAIS DE SA</v>
      </c>
      <c r="W371" s="171" t="str">
        <f>VLOOKUP(U371,docentes!$A:$E,5,0)</f>
        <v>CCNH</v>
      </c>
      <c r="X371" s="176">
        <v>504</v>
      </c>
      <c r="Y371" s="160" t="str">
        <f>VLOOKUP(X371,docentes!$A:$E,2,0)</f>
        <v>ROOSEVELT DROPPA JUNIOR</v>
      </c>
      <c r="Z371" s="177" t="str">
        <f>VLOOKUP(X371,docentes!$A:$E,5,0)</f>
        <v>CCNH</v>
      </c>
    </row>
    <row r="372" spans="1:26" s="44" customFormat="1" ht="66.75" customHeight="1">
      <c r="A372" s="148" t="s">
        <v>222</v>
      </c>
      <c r="B372" s="146" t="s">
        <v>1483</v>
      </c>
      <c r="C372" s="149" t="s">
        <v>1451</v>
      </c>
      <c r="D372" s="150">
        <v>47</v>
      </c>
      <c r="E372" s="150" t="s">
        <v>1452</v>
      </c>
      <c r="F372" s="151" t="s">
        <v>1484</v>
      </c>
      <c r="G372" s="152">
        <v>3</v>
      </c>
      <c r="H372" s="152">
        <v>2</v>
      </c>
      <c r="I372" s="153">
        <v>6</v>
      </c>
      <c r="J372" s="154">
        <v>0</v>
      </c>
      <c r="K372" s="155">
        <v>2</v>
      </c>
      <c r="L372" s="148" t="s">
        <v>821</v>
      </c>
      <c r="M372" s="148" t="s">
        <v>68</v>
      </c>
      <c r="N372" s="156">
        <v>33</v>
      </c>
      <c r="O372" s="148" t="s">
        <v>1155</v>
      </c>
      <c r="P372" s="158">
        <v>33</v>
      </c>
      <c r="Q372" s="149" t="s">
        <v>76</v>
      </c>
      <c r="R372" s="152" t="s">
        <v>61</v>
      </c>
      <c r="S372" s="148" t="s">
        <v>1458</v>
      </c>
      <c r="T372" s="148" t="s">
        <v>1485</v>
      </c>
      <c r="U372" s="170">
        <v>180</v>
      </c>
      <c r="V372" s="163" t="str">
        <f>VLOOKUP(U372,docentes!$A:$E,2,0)</f>
        <v>FELIPE CHEN ABREGO</v>
      </c>
      <c r="W372" s="171" t="str">
        <f>VLOOKUP(U372,docentes!$A:$E,5,0)</f>
        <v>CCNH</v>
      </c>
      <c r="X372" s="176">
        <v>234</v>
      </c>
      <c r="Y372" s="160" t="str">
        <f>VLOOKUP(X372,docentes!$A:$E,2,0)</f>
        <v>GUSTAVO MICHEL MENDOZA LA TORRE</v>
      </c>
      <c r="Z372" s="177" t="str">
        <f>VLOOKUP(X372,docentes!$A:$E,5,0)</f>
        <v>CCNH</v>
      </c>
    </row>
    <row r="373" spans="1:26" s="44" customFormat="1" ht="66.75" customHeight="1">
      <c r="A373" s="148" t="s">
        <v>222</v>
      </c>
      <c r="B373" s="146" t="s">
        <v>1486</v>
      </c>
      <c r="C373" s="149" t="s">
        <v>1451</v>
      </c>
      <c r="D373" s="150">
        <v>47</v>
      </c>
      <c r="E373" s="150" t="s">
        <v>1452</v>
      </c>
      <c r="F373" s="151" t="s">
        <v>1487</v>
      </c>
      <c r="G373" s="152">
        <v>3</v>
      </c>
      <c r="H373" s="152">
        <v>2</v>
      </c>
      <c r="I373" s="153">
        <v>6</v>
      </c>
      <c r="J373" s="154">
        <v>0</v>
      </c>
      <c r="K373" s="155">
        <v>2</v>
      </c>
      <c r="L373" s="148" t="s">
        <v>821</v>
      </c>
      <c r="M373" s="148" t="s">
        <v>68</v>
      </c>
      <c r="N373" s="156">
        <v>33</v>
      </c>
      <c r="O373" s="148" t="s">
        <v>1155</v>
      </c>
      <c r="P373" s="158">
        <v>33</v>
      </c>
      <c r="Q373" s="152" t="s">
        <v>60</v>
      </c>
      <c r="R373" s="152" t="s">
        <v>70</v>
      </c>
      <c r="S373" s="148" t="s">
        <v>1462</v>
      </c>
      <c r="T373" s="148" t="s">
        <v>1488</v>
      </c>
      <c r="U373" s="170">
        <v>472</v>
      </c>
      <c r="V373" s="163" t="str">
        <f>VLOOKUP(U373,docentes!$A:$E,2,0)</f>
        <v>REINALDO LUIZ CAVASSO FILHO</v>
      </c>
      <c r="W373" s="171" t="str">
        <f>VLOOKUP(U373,docentes!$A:$E,5,0)</f>
        <v>CCNH</v>
      </c>
      <c r="X373" s="176">
        <v>461</v>
      </c>
      <c r="Y373" s="160" t="str">
        <f>VLOOKUP(X373,docentes!$A:$E,2,0)</f>
        <v>PIETRO CHIMENTI</v>
      </c>
      <c r="Z373" s="177" t="str">
        <f>VLOOKUP(X373,docentes!$A:$E,5,0)</f>
        <v>CCNH</v>
      </c>
    </row>
    <row r="374" spans="1:26" s="44" customFormat="1" ht="66.75" customHeight="1">
      <c r="A374" s="148" t="s">
        <v>222</v>
      </c>
      <c r="B374" s="146" t="s">
        <v>1489</v>
      </c>
      <c r="C374" s="149" t="s">
        <v>1451</v>
      </c>
      <c r="D374" s="150">
        <v>47</v>
      </c>
      <c r="E374" s="150" t="s">
        <v>1452</v>
      </c>
      <c r="F374" s="151" t="s">
        <v>1490</v>
      </c>
      <c r="G374" s="152">
        <v>3</v>
      </c>
      <c r="H374" s="152">
        <v>2</v>
      </c>
      <c r="I374" s="153">
        <v>6</v>
      </c>
      <c r="J374" s="154">
        <v>0</v>
      </c>
      <c r="K374" s="155">
        <v>2</v>
      </c>
      <c r="L374" s="148" t="s">
        <v>821</v>
      </c>
      <c r="M374" s="148" t="s">
        <v>68</v>
      </c>
      <c r="N374" s="156">
        <v>33</v>
      </c>
      <c r="O374" s="165" t="s">
        <v>1155</v>
      </c>
      <c r="P374" s="158">
        <v>33</v>
      </c>
      <c r="Q374" s="149" t="s">
        <v>76</v>
      </c>
      <c r="R374" s="152" t="s">
        <v>70</v>
      </c>
      <c r="S374" s="148" t="s">
        <v>1466</v>
      </c>
      <c r="T374" s="148" t="s">
        <v>1491</v>
      </c>
      <c r="U374" s="170">
        <v>568</v>
      </c>
      <c r="V374" s="163" t="str">
        <f>VLOOKUP(U374,docentes!$A:$E,2,0)</f>
        <v>WANIUS JOSE GARCIA DA SILVA</v>
      </c>
      <c r="W374" s="171" t="str">
        <f>VLOOKUP(U374,docentes!$A:$E,5,0)</f>
        <v>CCNH</v>
      </c>
      <c r="X374" s="176">
        <v>491</v>
      </c>
      <c r="Y374" s="160" t="str">
        <f>VLOOKUP(X374,docentes!$A:$E,2,0)</f>
        <v>ROBERTO MENEZES SERRA</v>
      </c>
      <c r="Z374" s="177" t="str">
        <f>VLOOKUP(X374,docentes!$A:$E,5,0)</f>
        <v>CCNH</v>
      </c>
    </row>
    <row r="375" spans="1:26" s="44" customFormat="1" ht="66.75" customHeight="1">
      <c r="A375" s="148" t="s">
        <v>222</v>
      </c>
      <c r="B375" s="146" t="s">
        <v>1492</v>
      </c>
      <c r="C375" s="149" t="s">
        <v>1451</v>
      </c>
      <c r="D375" s="150">
        <v>47</v>
      </c>
      <c r="E375" s="150" t="s">
        <v>1452</v>
      </c>
      <c r="F375" s="151" t="s">
        <v>1493</v>
      </c>
      <c r="G375" s="152">
        <v>3</v>
      </c>
      <c r="H375" s="152">
        <v>2</v>
      </c>
      <c r="I375" s="153">
        <v>6</v>
      </c>
      <c r="J375" s="154">
        <v>3</v>
      </c>
      <c r="K375" s="155">
        <v>2</v>
      </c>
      <c r="L375" s="148" t="s">
        <v>821</v>
      </c>
      <c r="M375" s="148" t="s">
        <v>68</v>
      </c>
      <c r="N375" s="156">
        <v>33</v>
      </c>
      <c r="O375" s="148" t="s">
        <v>1155</v>
      </c>
      <c r="P375" s="158">
        <v>33</v>
      </c>
      <c r="Q375" s="152" t="s">
        <v>60</v>
      </c>
      <c r="R375" s="152" t="s">
        <v>61</v>
      </c>
      <c r="S375" s="148" t="s">
        <v>1494</v>
      </c>
      <c r="T375" s="148" t="s">
        <v>1495</v>
      </c>
      <c r="U375" s="159">
        <v>290</v>
      </c>
      <c r="V375" s="160" t="str">
        <f>VLOOKUP(U375,docentes!$A:$E,2,0)</f>
        <v>JOSE KENICHI MIZUKOSHI</v>
      </c>
      <c r="W375" s="161" t="str">
        <f>VLOOKUP(U375,docentes!$A:$E,5,0)</f>
        <v>CCNH</v>
      </c>
      <c r="X375" s="176">
        <v>290</v>
      </c>
      <c r="Y375" s="160" t="str">
        <f>VLOOKUP(X375,docentes!$A:$E,2,0)</f>
        <v>JOSE KENICHI MIZUKOSHI</v>
      </c>
      <c r="Z375" s="177" t="str">
        <f>VLOOKUP(X375,docentes!$A:$E,5,0)</f>
        <v>CCNH</v>
      </c>
    </row>
    <row r="376" spans="1:26" s="44" customFormat="1" ht="66.75" customHeight="1">
      <c r="A376" s="148" t="s">
        <v>222</v>
      </c>
      <c r="B376" s="146" t="s">
        <v>1496</v>
      </c>
      <c r="C376" s="149" t="s">
        <v>1451</v>
      </c>
      <c r="D376" s="150">
        <v>47</v>
      </c>
      <c r="E376" s="150" t="s">
        <v>1452</v>
      </c>
      <c r="F376" s="151" t="s">
        <v>1497</v>
      </c>
      <c r="G376" s="152">
        <v>3</v>
      </c>
      <c r="H376" s="152">
        <v>2</v>
      </c>
      <c r="I376" s="153">
        <v>6</v>
      </c>
      <c r="J376" s="154">
        <v>3</v>
      </c>
      <c r="K376" s="155">
        <v>2</v>
      </c>
      <c r="L376" s="148" t="s">
        <v>821</v>
      </c>
      <c r="M376" s="148" t="s">
        <v>68</v>
      </c>
      <c r="N376" s="156">
        <v>33</v>
      </c>
      <c r="O376" s="165" t="s">
        <v>1155</v>
      </c>
      <c r="P376" s="158">
        <v>33</v>
      </c>
      <c r="Q376" s="152" t="s">
        <v>60</v>
      </c>
      <c r="R376" s="152" t="s">
        <v>70</v>
      </c>
      <c r="S376" s="148" t="s">
        <v>1498</v>
      </c>
      <c r="T376" s="148" t="s">
        <v>1499</v>
      </c>
      <c r="U376" s="159">
        <v>204</v>
      </c>
      <c r="V376" s="160" t="str">
        <f>VLOOKUP(U376,docentes!$A:$E,2,0)</f>
        <v>FRANCISCO EUGENIO MENDONCA DA SILVEIRA</v>
      </c>
      <c r="W376" s="161" t="str">
        <f>VLOOKUP(U376,docentes!$A:$E,5,0)</f>
        <v>CCNH</v>
      </c>
      <c r="X376" s="176">
        <v>204</v>
      </c>
      <c r="Y376" s="160" t="str">
        <f>VLOOKUP(X376,docentes!$A:$E,2,0)</f>
        <v>FRANCISCO EUGENIO MENDONCA DA SILVEIRA</v>
      </c>
      <c r="Z376" s="177" t="str">
        <f>VLOOKUP(X376,docentes!$A:$E,5,0)</f>
        <v>CCNH</v>
      </c>
    </row>
    <row r="377" spans="1:26" s="44" customFormat="1" ht="66.75" customHeight="1">
      <c r="A377" s="148" t="s">
        <v>222</v>
      </c>
      <c r="B377" s="146" t="s">
        <v>1500</v>
      </c>
      <c r="C377" s="149" t="s">
        <v>1451</v>
      </c>
      <c r="D377" s="150">
        <v>47</v>
      </c>
      <c r="E377" s="150" t="s">
        <v>1452</v>
      </c>
      <c r="F377" s="151" t="s">
        <v>1501</v>
      </c>
      <c r="G377" s="152">
        <v>3</v>
      </c>
      <c r="H377" s="152">
        <v>2</v>
      </c>
      <c r="I377" s="153">
        <v>6</v>
      </c>
      <c r="J377" s="154">
        <v>0</v>
      </c>
      <c r="K377" s="155">
        <v>2</v>
      </c>
      <c r="L377" s="148" t="s">
        <v>821</v>
      </c>
      <c r="M377" s="148" t="s">
        <v>68</v>
      </c>
      <c r="N377" s="156">
        <v>33</v>
      </c>
      <c r="O377" s="148" t="s">
        <v>1155</v>
      </c>
      <c r="P377" s="158">
        <v>33</v>
      </c>
      <c r="Q377" s="152" t="s">
        <v>60</v>
      </c>
      <c r="R377" s="152" t="s">
        <v>61</v>
      </c>
      <c r="S377" s="148" t="s">
        <v>1494</v>
      </c>
      <c r="T377" s="148" t="s">
        <v>1502</v>
      </c>
      <c r="U377" s="170">
        <v>290</v>
      </c>
      <c r="V377" s="163" t="str">
        <f>VLOOKUP(U377,docentes!$A:$E,2,0)</f>
        <v>JOSE KENICHI MIZUKOSHI</v>
      </c>
      <c r="W377" s="171" t="str">
        <f>VLOOKUP(U377,docentes!$A:$E,5,0)</f>
        <v>CCNH</v>
      </c>
      <c r="X377" s="176">
        <v>290</v>
      </c>
      <c r="Y377" s="160" t="str">
        <f>VLOOKUP(X377,docentes!$A:$E,2,0)</f>
        <v>JOSE KENICHI MIZUKOSHI</v>
      </c>
      <c r="Z377" s="177" t="str">
        <f>VLOOKUP(X377,docentes!$A:$E,5,0)</f>
        <v>CCNH</v>
      </c>
    </row>
    <row r="378" spans="1:26" s="44" customFormat="1" ht="66.75" customHeight="1">
      <c r="A378" s="148" t="s">
        <v>222</v>
      </c>
      <c r="B378" s="146" t="s">
        <v>1503</v>
      </c>
      <c r="C378" s="149" t="s">
        <v>1451</v>
      </c>
      <c r="D378" s="150">
        <v>47</v>
      </c>
      <c r="E378" s="150" t="s">
        <v>1452</v>
      </c>
      <c r="F378" s="151" t="s">
        <v>1504</v>
      </c>
      <c r="G378" s="152">
        <v>3</v>
      </c>
      <c r="H378" s="152">
        <v>2</v>
      </c>
      <c r="I378" s="153">
        <v>6</v>
      </c>
      <c r="J378" s="154">
        <v>0</v>
      </c>
      <c r="K378" s="155">
        <v>2</v>
      </c>
      <c r="L378" s="148" t="s">
        <v>821</v>
      </c>
      <c r="M378" s="148" t="s">
        <v>68</v>
      </c>
      <c r="N378" s="156">
        <v>33</v>
      </c>
      <c r="O378" s="165" t="s">
        <v>1155</v>
      </c>
      <c r="P378" s="158">
        <v>33</v>
      </c>
      <c r="Q378" s="152" t="s">
        <v>60</v>
      </c>
      <c r="R378" s="152" t="s">
        <v>70</v>
      </c>
      <c r="S378" s="148" t="s">
        <v>1498</v>
      </c>
      <c r="T378" s="148" t="s">
        <v>1505</v>
      </c>
      <c r="U378" s="170">
        <v>204</v>
      </c>
      <c r="V378" s="163" t="str">
        <f>VLOOKUP(U378,docentes!$A:$E,2,0)</f>
        <v>FRANCISCO EUGENIO MENDONCA DA SILVEIRA</v>
      </c>
      <c r="W378" s="171" t="str">
        <f>VLOOKUP(U378,docentes!$A:$E,5,0)</f>
        <v>CCNH</v>
      </c>
      <c r="X378" s="176">
        <v>204</v>
      </c>
      <c r="Y378" s="160" t="str">
        <f>VLOOKUP(X378,docentes!$A:$E,2,0)</f>
        <v>FRANCISCO EUGENIO MENDONCA DA SILVEIRA</v>
      </c>
      <c r="Z378" s="177" t="str">
        <f>VLOOKUP(X378,docentes!$A:$E,5,0)</f>
        <v>CCNH</v>
      </c>
    </row>
    <row r="379" spans="1:26" s="44" customFormat="1" ht="66.75" customHeight="1">
      <c r="A379" s="148" t="s">
        <v>222</v>
      </c>
      <c r="B379" s="146" t="s">
        <v>1506</v>
      </c>
      <c r="C379" s="149" t="s">
        <v>1451</v>
      </c>
      <c r="D379" s="150">
        <v>47</v>
      </c>
      <c r="E379" s="150" t="s">
        <v>1452</v>
      </c>
      <c r="F379" s="151" t="s">
        <v>1507</v>
      </c>
      <c r="G379" s="152">
        <v>3</v>
      </c>
      <c r="H379" s="152">
        <v>2</v>
      </c>
      <c r="I379" s="153">
        <v>6</v>
      </c>
      <c r="J379" s="154">
        <v>0</v>
      </c>
      <c r="K379" s="155">
        <v>2</v>
      </c>
      <c r="L379" s="148" t="s">
        <v>821</v>
      </c>
      <c r="M379" s="148" t="s">
        <v>68</v>
      </c>
      <c r="N379" s="156">
        <v>33</v>
      </c>
      <c r="O379" s="165" t="s">
        <v>1155</v>
      </c>
      <c r="P379" s="158">
        <v>33</v>
      </c>
      <c r="Q379" s="152" t="s">
        <v>60</v>
      </c>
      <c r="R379" s="152" t="s">
        <v>61</v>
      </c>
      <c r="S379" s="148" t="s">
        <v>1494</v>
      </c>
      <c r="T379" s="148" t="s">
        <v>1508</v>
      </c>
      <c r="U379" s="170">
        <v>290</v>
      </c>
      <c r="V379" s="163" t="str">
        <f>VLOOKUP(U379,docentes!$A:$E,2,0)</f>
        <v>JOSE KENICHI MIZUKOSHI</v>
      </c>
      <c r="W379" s="171" t="str">
        <f>VLOOKUP(U379,docentes!$A:$E,5,0)</f>
        <v>CCNH</v>
      </c>
      <c r="X379" s="176">
        <v>504</v>
      </c>
      <c r="Y379" s="160" t="str">
        <f>VLOOKUP(X379,docentes!$A:$E,2,0)</f>
        <v>ROOSEVELT DROPPA JUNIOR</v>
      </c>
      <c r="Z379" s="177" t="str">
        <f>VLOOKUP(X379,docentes!$A:$E,5,0)</f>
        <v>CCNH</v>
      </c>
    </row>
    <row r="380" spans="1:26" s="44" customFormat="1" ht="66.75" customHeight="1">
      <c r="A380" s="148" t="s">
        <v>222</v>
      </c>
      <c r="B380" s="146" t="s">
        <v>1509</v>
      </c>
      <c r="C380" s="149" t="s">
        <v>1451</v>
      </c>
      <c r="D380" s="150">
        <v>47</v>
      </c>
      <c r="E380" s="150" t="s">
        <v>1452</v>
      </c>
      <c r="F380" s="151" t="s">
        <v>1510</v>
      </c>
      <c r="G380" s="152">
        <v>3</v>
      </c>
      <c r="H380" s="152">
        <v>2</v>
      </c>
      <c r="I380" s="153">
        <v>6</v>
      </c>
      <c r="J380" s="154">
        <v>0</v>
      </c>
      <c r="K380" s="155">
        <v>2</v>
      </c>
      <c r="L380" s="148" t="s">
        <v>821</v>
      </c>
      <c r="M380" s="148" t="s">
        <v>68</v>
      </c>
      <c r="N380" s="156">
        <v>33</v>
      </c>
      <c r="O380" s="165" t="s">
        <v>1155</v>
      </c>
      <c r="P380" s="158">
        <v>33</v>
      </c>
      <c r="Q380" s="152" t="s">
        <v>60</v>
      </c>
      <c r="R380" s="152" t="s">
        <v>70</v>
      </c>
      <c r="S380" s="148" t="s">
        <v>1498</v>
      </c>
      <c r="T380" s="148" t="s">
        <v>1511</v>
      </c>
      <c r="U380" s="170">
        <v>204</v>
      </c>
      <c r="V380" s="163" t="str">
        <f>VLOOKUP(U380,docentes!$A:$E,2,0)</f>
        <v>FRANCISCO EUGENIO MENDONCA DA SILVEIRA</v>
      </c>
      <c r="W380" s="171" t="str">
        <f>VLOOKUP(U380,docentes!$A:$E,5,0)</f>
        <v>CCNH</v>
      </c>
      <c r="X380" s="176">
        <v>461</v>
      </c>
      <c r="Y380" s="160" t="str">
        <f>VLOOKUP(X380,docentes!$A:$E,2,0)</f>
        <v>PIETRO CHIMENTI</v>
      </c>
      <c r="Z380" s="177" t="str">
        <f>VLOOKUP(X380,docentes!$A:$E,5,0)</f>
        <v>CCNH</v>
      </c>
    </row>
    <row r="381" spans="1:26" s="44" customFormat="1" ht="66.75" customHeight="1">
      <c r="A381" s="148" t="s">
        <v>222</v>
      </c>
      <c r="B381" s="146" t="s">
        <v>1512</v>
      </c>
      <c r="C381" s="149" t="s">
        <v>1451</v>
      </c>
      <c r="D381" s="150">
        <v>47</v>
      </c>
      <c r="E381" s="150" t="s">
        <v>1452</v>
      </c>
      <c r="F381" s="151" t="s">
        <v>1513</v>
      </c>
      <c r="G381" s="152">
        <v>3</v>
      </c>
      <c r="H381" s="152">
        <v>2</v>
      </c>
      <c r="I381" s="153">
        <v>6</v>
      </c>
      <c r="J381" s="154">
        <v>3</v>
      </c>
      <c r="K381" s="155">
        <v>2</v>
      </c>
      <c r="L381" s="148" t="s">
        <v>845</v>
      </c>
      <c r="M381" s="148" t="s">
        <v>58</v>
      </c>
      <c r="N381" s="156">
        <v>33</v>
      </c>
      <c r="O381" s="165" t="s">
        <v>1155</v>
      </c>
      <c r="P381" s="158">
        <v>33</v>
      </c>
      <c r="Q381" s="152" t="s">
        <v>60</v>
      </c>
      <c r="R381" s="152" t="s">
        <v>61</v>
      </c>
      <c r="S381" s="148" t="s">
        <v>1514</v>
      </c>
      <c r="T381" s="148" t="s">
        <v>1515</v>
      </c>
      <c r="U381" s="159">
        <v>175</v>
      </c>
      <c r="V381" s="160" t="str">
        <f>VLOOKUP(U381,docentes!$A:$E,2,0)</f>
        <v>FABIO FURLAN FERREIRA</v>
      </c>
      <c r="W381" s="161" t="str">
        <f>VLOOKUP(U381,docentes!$A:$E,5,0)</f>
        <v>CCNH</v>
      </c>
      <c r="X381" s="176">
        <v>175</v>
      </c>
      <c r="Y381" s="160" t="str">
        <f>VLOOKUP(X381,docentes!$A:$E,2,0)</f>
        <v>FABIO FURLAN FERREIRA</v>
      </c>
      <c r="Z381" s="177" t="str">
        <f>VLOOKUP(X381,docentes!$A:$E,5,0)</f>
        <v>CCNH</v>
      </c>
    </row>
    <row r="382" spans="1:26" s="44" customFormat="1" ht="66.75" hidden="1" customHeight="1">
      <c r="A382" s="148" t="s">
        <v>222</v>
      </c>
      <c r="B382" s="168" t="s">
        <v>1516</v>
      </c>
      <c r="C382" s="149"/>
      <c r="D382" s="150">
        <v>0</v>
      </c>
      <c r="E382" s="150" t="s">
        <v>1452</v>
      </c>
      <c r="F382" s="169" t="s">
        <v>1517</v>
      </c>
      <c r="G382" s="152">
        <v>3</v>
      </c>
      <c r="H382" s="152">
        <v>2</v>
      </c>
      <c r="I382" s="153">
        <v>6</v>
      </c>
      <c r="J382" s="154">
        <v>0</v>
      </c>
      <c r="K382" s="155">
        <v>0</v>
      </c>
      <c r="L382" s="148" t="s">
        <v>644</v>
      </c>
      <c r="M382" s="148" t="s">
        <v>58</v>
      </c>
      <c r="N382" s="156"/>
      <c r="O382" s="165" t="s">
        <v>102</v>
      </c>
      <c r="P382" s="158">
        <v>0</v>
      </c>
      <c r="Q382" s="149" t="s">
        <v>76</v>
      </c>
      <c r="R382" s="152" t="s">
        <v>61</v>
      </c>
      <c r="S382" s="148" t="s">
        <v>1518</v>
      </c>
      <c r="T382" s="148" t="s">
        <v>1519</v>
      </c>
      <c r="U382" s="170">
        <v>199</v>
      </c>
      <c r="V382" s="163" t="str">
        <f>VLOOKUP(U382,docentes!$A:$E,2,0)</f>
        <v>FLAVIO LEANDRO DE SOUZA</v>
      </c>
      <c r="W382" s="171" t="str">
        <f>VLOOKUP(U382,docentes!$A:$E,5,0)</f>
        <v>CCNH</v>
      </c>
      <c r="X382" s="162">
        <v>199</v>
      </c>
      <c r="Y382" s="163" t="str">
        <f>VLOOKUP(X382,docentes!$A:$E,2,0)</f>
        <v>FLAVIO LEANDRO DE SOUZA</v>
      </c>
      <c r="Z382" s="164" t="str">
        <f>VLOOKUP(X382,docentes!$A:$E,5,0)</f>
        <v>CCNH</v>
      </c>
    </row>
    <row r="383" spans="1:26" s="44" customFormat="1" ht="66.75" customHeight="1">
      <c r="A383" s="148" t="s">
        <v>222</v>
      </c>
      <c r="B383" s="146" t="s">
        <v>1520</v>
      </c>
      <c r="C383" s="149" t="s">
        <v>1451</v>
      </c>
      <c r="D383" s="150">
        <v>47</v>
      </c>
      <c r="E383" s="150" t="s">
        <v>1452</v>
      </c>
      <c r="F383" s="151" t="s">
        <v>1521</v>
      </c>
      <c r="G383" s="152">
        <v>3</v>
      </c>
      <c r="H383" s="152">
        <v>2</v>
      </c>
      <c r="I383" s="153">
        <v>6</v>
      </c>
      <c r="J383" s="154">
        <v>3</v>
      </c>
      <c r="K383" s="155">
        <v>2</v>
      </c>
      <c r="L383" s="148" t="s">
        <v>821</v>
      </c>
      <c r="M383" s="148" t="s">
        <v>68</v>
      </c>
      <c r="N383" s="156">
        <v>33</v>
      </c>
      <c r="O383" s="165" t="s">
        <v>1155</v>
      </c>
      <c r="P383" s="158">
        <v>33</v>
      </c>
      <c r="Q383" s="152" t="s">
        <v>60</v>
      </c>
      <c r="R383" s="152" t="s">
        <v>70</v>
      </c>
      <c r="S383" s="148" t="s">
        <v>1522</v>
      </c>
      <c r="T383" s="148" t="s">
        <v>1523</v>
      </c>
      <c r="U383" s="159">
        <v>466</v>
      </c>
      <c r="V383" s="160" t="str">
        <f>VLOOKUP(U383,docentes!$A:$E,2,0)</f>
        <v>RAQUEL DE ALMEIDA RIBEIRO</v>
      </c>
      <c r="W383" s="161" t="str">
        <f>VLOOKUP(U383,docentes!$A:$E,5,0)</f>
        <v>CCNH</v>
      </c>
      <c r="X383" s="176">
        <v>466</v>
      </c>
      <c r="Y383" s="160" t="str">
        <f>VLOOKUP(X383,docentes!$A:$E,2,0)</f>
        <v>RAQUEL DE ALMEIDA RIBEIRO</v>
      </c>
      <c r="Z383" s="177" t="str">
        <f>VLOOKUP(X383,docentes!$A:$E,5,0)</f>
        <v>CCNH</v>
      </c>
    </row>
    <row r="384" spans="1:26" s="44" customFormat="1" ht="66.75" customHeight="1">
      <c r="A384" s="148" t="s">
        <v>222</v>
      </c>
      <c r="B384" s="146" t="s">
        <v>1524</v>
      </c>
      <c r="C384" s="149" t="s">
        <v>1451</v>
      </c>
      <c r="D384" s="150">
        <v>47</v>
      </c>
      <c r="E384" s="150" t="s">
        <v>1452</v>
      </c>
      <c r="F384" s="151" t="s">
        <v>1525</v>
      </c>
      <c r="G384" s="152">
        <v>3</v>
      </c>
      <c r="H384" s="152">
        <v>2</v>
      </c>
      <c r="I384" s="153">
        <v>6</v>
      </c>
      <c r="J384" s="154">
        <v>3</v>
      </c>
      <c r="K384" s="155">
        <v>2</v>
      </c>
      <c r="L384" s="148" t="s">
        <v>845</v>
      </c>
      <c r="M384" s="148" t="s">
        <v>58</v>
      </c>
      <c r="N384" s="156">
        <v>33</v>
      </c>
      <c r="O384" s="165" t="s">
        <v>1155</v>
      </c>
      <c r="P384" s="158">
        <v>33</v>
      </c>
      <c r="Q384" s="149" t="s">
        <v>76</v>
      </c>
      <c r="R384" s="152" t="s">
        <v>70</v>
      </c>
      <c r="S384" s="148" t="s">
        <v>1526</v>
      </c>
      <c r="T384" s="148" t="s">
        <v>1527</v>
      </c>
      <c r="U384" s="159">
        <v>48</v>
      </c>
      <c r="V384" s="160" t="str">
        <f>VLOOKUP(U384,docentes!$A:$E,2,0)</f>
        <v>ANDRE GUSTAVO SCAGLIUSI LANDULFO</v>
      </c>
      <c r="W384" s="161" t="str">
        <f>VLOOKUP(U384,docentes!$A:$E,5,0)</f>
        <v>CCNH</v>
      </c>
      <c r="X384" s="176">
        <v>48</v>
      </c>
      <c r="Y384" s="160" t="str">
        <f>VLOOKUP(X384,docentes!$A:$E,2,0)</f>
        <v>ANDRE GUSTAVO SCAGLIUSI LANDULFO</v>
      </c>
      <c r="Z384" s="177" t="str">
        <f>VLOOKUP(X384,docentes!$A:$E,5,0)</f>
        <v>CCNH</v>
      </c>
    </row>
    <row r="385" spans="1:35" s="44" customFormat="1" ht="66.75" customHeight="1">
      <c r="A385" s="148" t="s">
        <v>222</v>
      </c>
      <c r="B385" s="146" t="s">
        <v>1528</v>
      </c>
      <c r="C385" s="149" t="s">
        <v>1451</v>
      </c>
      <c r="D385" s="150">
        <v>47</v>
      </c>
      <c r="E385" s="150" t="s">
        <v>1452</v>
      </c>
      <c r="F385" s="151" t="s">
        <v>1529</v>
      </c>
      <c r="G385" s="152">
        <v>3</v>
      </c>
      <c r="H385" s="152">
        <v>2</v>
      </c>
      <c r="I385" s="153">
        <v>6</v>
      </c>
      <c r="J385" s="154">
        <v>0</v>
      </c>
      <c r="K385" s="155">
        <v>2</v>
      </c>
      <c r="L385" s="148" t="s">
        <v>845</v>
      </c>
      <c r="M385" s="148" t="s">
        <v>58</v>
      </c>
      <c r="N385" s="156">
        <v>33</v>
      </c>
      <c r="O385" s="165" t="s">
        <v>1155</v>
      </c>
      <c r="P385" s="158">
        <v>33</v>
      </c>
      <c r="Q385" s="152" t="s">
        <v>60</v>
      </c>
      <c r="R385" s="152" t="s">
        <v>61</v>
      </c>
      <c r="S385" s="148" t="s">
        <v>1514</v>
      </c>
      <c r="T385" s="148" t="s">
        <v>1530</v>
      </c>
      <c r="U385" s="170">
        <v>175</v>
      </c>
      <c r="V385" s="163" t="str">
        <f>VLOOKUP(U385,docentes!$A:$E,2,0)</f>
        <v>FABIO FURLAN FERREIRA</v>
      </c>
      <c r="W385" s="171" t="str">
        <f>VLOOKUP(U385,docentes!$A:$E,5,0)</f>
        <v>CCNH</v>
      </c>
      <c r="X385" s="176">
        <v>175</v>
      </c>
      <c r="Y385" s="160" t="str">
        <f>VLOOKUP(X385,docentes!$A:$E,2,0)</f>
        <v>FABIO FURLAN FERREIRA</v>
      </c>
      <c r="Z385" s="177" t="str">
        <f>VLOOKUP(X385,docentes!$A:$E,5,0)</f>
        <v>CCNH</v>
      </c>
    </row>
    <row r="386" spans="1:35" s="44" customFormat="1" ht="66.75" hidden="1" customHeight="1">
      <c r="A386" s="148" t="s">
        <v>222</v>
      </c>
      <c r="B386" s="168" t="s">
        <v>1531</v>
      </c>
      <c r="C386" s="149"/>
      <c r="D386" s="150">
        <v>0</v>
      </c>
      <c r="E386" s="150" t="s">
        <v>1452</v>
      </c>
      <c r="F386" s="169" t="s">
        <v>1532</v>
      </c>
      <c r="G386" s="152">
        <v>3</v>
      </c>
      <c r="H386" s="152">
        <v>2</v>
      </c>
      <c r="I386" s="153">
        <v>6</v>
      </c>
      <c r="J386" s="154">
        <v>0</v>
      </c>
      <c r="K386" s="155">
        <v>0</v>
      </c>
      <c r="L386" s="148" t="s">
        <v>644</v>
      </c>
      <c r="M386" s="148" t="s">
        <v>58</v>
      </c>
      <c r="N386" s="156"/>
      <c r="O386" s="148" t="s">
        <v>1533</v>
      </c>
      <c r="P386" s="158">
        <v>0</v>
      </c>
      <c r="Q386" s="149" t="s">
        <v>76</v>
      </c>
      <c r="R386" s="152" t="s">
        <v>61</v>
      </c>
      <c r="S386" s="148" t="s">
        <v>1518</v>
      </c>
      <c r="T386" s="148" t="s">
        <v>1534</v>
      </c>
      <c r="U386" s="170">
        <v>199</v>
      </c>
      <c r="V386" s="163" t="str">
        <f>VLOOKUP(U386,docentes!$A:$E,2,0)</f>
        <v>FLAVIO LEANDRO DE SOUZA</v>
      </c>
      <c r="W386" s="171" t="str">
        <f>VLOOKUP(U386,docentes!$A:$E,5,0)</f>
        <v>CCNH</v>
      </c>
      <c r="X386" s="162">
        <v>199</v>
      </c>
      <c r="Y386" s="163" t="str">
        <f>VLOOKUP(X386,docentes!$A:$E,2,0)</f>
        <v>FLAVIO LEANDRO DE SOUZA</v>
      </c>
      <c r="Z386" s="164" t="str">
        <f>VLOOKUP(X386,docentes!$A:$E,5,0)</f>
        <v>CCNH</v>
      </c>
    </row>
    <row r="387" spans="1:35" s="44" customFormat="1" ht="66.75" customHeight="1">
      <c r="A387" s="148" t="s">
        <v>222</v>
      </c>
      <c r="B387" s="146" t="s">
        <v>1535</v>
      </c>
      <c r="C387" s="149" t="s">
        <v>1451</v>
      </c>
      <c r="D387" s="150">
        <v>47</v>
      </c>
      <c r="E387" s="150" t="s">
        <v>1452</v>
      </c>
      <c r="F387" s="151" t="s">
        <v>1536</v>
      </c>
      <c r="G387" s="152">
        <v>3</v>
      </c>
      <c r="H387" s="152">
        <v>2</v>
      </c>
      <c r="I387" s="153">
        <v>6</v>
      </c>
      <c r="J387" s="154">
        <v>0</v>
      </c>
      <c r="K387" s="155">
        <v>2</v>
      </c>
      <c r="L387" s="148" t="s">
        <v>821</v>
      </c>
      <c r="M387" s="148" t="s">
        <v>68</v>
      </c>
      <c r="N387" s="156">
        <v>33</v>
      </c>
      <c r="O387" s="165" t="s">
        <v>1155</v>
      </c>
      <c r="P387" s="158">
        <v>33</v>
      </c>
      <c r="Q387" s="152" t="s">
        <v>60</v>
      </c>
      <c r="R387" s="152" t="s">
        <v>70</v>
      </c>
      <c r="S387" s="148" t="s">
        <v>1522</v>
      </c>
      <c r="T387" s="148" t="s">
        <v>1537</v>
      </c>
      <c r="U387" s="170">
        <v>466</v>
      </c>
      <c r="V387" s="163" t="str">
        <f>VLOOKUP(U387,docentes!$A:$E,2,0)</f>
        <v>RAQUEL DE ALMEIDA RIBEIRO</v>
      </c>
      <c r="W387" s="171" t="str">
        <f>VLOOKUP(U387,docentes!$A:$E,5,0)</f>
        <v>CCNH</v>
      </c>
      <c r="X387" s="176">
        <v>466</v>
      </c>
      <c r="Y387" s="160" t="str">
        <f>VLOOKUP(X387,docentes!$A:$E,2,0)</f>
        <v>RAQUEL DE ALMEIDA RIBEIRO</v>
      </c>
      <c r="Z387" s="177" t="str">
        <f>VLOOKUP(X387,docentes!$A:$E,5,0)</f>
        <v>CCNH</v>
      </c>
    </row>
    <row r="388" spans="1:35" s="44" customFormat="1" ht="66.75" customHeight="1">
      <c r="A388" s="148" t="s">
        <v>222</v>
      </c>
      <c r="B388" s="146" t="s">
        <v>1538</v>
      </c>
      <c r="C388" s="149" t="s">
        <v>1451</v>
      </c>
      <c r="D388" s="150">
        <v>47</v>
      </c>
      <c r="E388" s="150" t="s">
        <v>1452</v>
      </c>
      <c r="F388" s="151" t="s">
        <v>1539</v>
      </c>
      <c r="G388" s="152">
        <v>3</v>
      </c>
      <c r="H388" s="152">
        <v>2</v>
      </c>
      <c r="I388" s="153">
        <v>6</v>
      </c>
      <c r="J388" s="154">
        <v>0</v>
      </c>
      <c r="K388" s="155">
        <v>2</v>
      </c>
      <c r="L388" s="148" t="s">
        <v>821</v>
      </c>
      <c r="M388" s="148" t="s">
        <v>68</v>
      </c>
      <c r="N388" s="156">
        <v>33</v>
      </c>
      <c r="O388" s="165" t="s">
        <v>1155</v>
      </c>
      <c r="P388" s="158">
        <v>33</v>
      </c>
      <c r="Q388" s="149" t="s">
        <v>76</v>
      </c>
      <c r="R388" s="152" t="s">
        <v>70</v>
      </c>
      <c r="S388" s="148" t="s">
        <v>1526</v>
      </c>
      <c r="T388" s="148" t="s">
        <v>1540</v>
      </c>
      <c r="U388" s="170">
        <v>48</v>
      </c>
      <c r="V388" s="163" t="str">
        <f>VLOOKUP(U388,docentes!$A:$E,2,0)</f>
        <v>ANDRE GUSTAVO SCAGLIUSI LANDULFO</v>
      </c>
      <c r="W388" s="171" t="str">
        <f>VLOOKUP(U388,docentes!$A:$E,5,0)</f>
        <v>CCNH</v>
      </c>
      <c r="X388" s="176">
        <v>48</v>
      </c>
      <c r="Y388" s="160" t="str">
        <f>VLOOKUP(X388,docentes!$A:$E,2,0)</f>
        <v>ANDRE GUSTAVO SCAGLIUSI LANDULFO</v>
      </c>
      <c r="Z388" s="177" t="str">
        <f>VLOOKUP(X388,docentes!$A:$E,5,0)</f>
        <v>CCNH</v>
      </c>
    </row>
    <row r="389" spans="1:35" s="44" customFormat="1" ht="66.75" customHeight="1">
      <c r="A389" s="148" t="s">
        <v>222</v>
      </c>
      <c r="B389" s="146" t="s">
        <v>1541</v>
      </c>
      <c r="C389" s="149" t="s">
        <v>1451</v>
      </c>
      <c r="D389" s="150">
        <v>47</v>
      </c>
      <c r="E389" s="150" t="s">
        <v>1452</v>
      </c>
      <c r="F389" s="151" t="s">
        <v>1542</v>
      </c>
      <c r="G389" s="152">
        <v>3</v>
      </c>
      <c r="H389" s="152">
        <v>2</v>
      </c>
      <c r="I389" s="153">
        <v>6</v>
      </c>
      <c r="J389" s="154">
        <v>0</v>
      </c>
      <c r="K389" s="155">
        <v>2</v>
      </c>
      <c r="L389" s="148" t="s">
        <v>821</v>
      </c>
      <c r="M389" s="148" t="s">
        <v>68</v>
      </c>
      <c r="N389" s="156">
        <v>33</v>
      </c>
      <c r="O389" s="165" t="s">
        <v>1155</v>
      </c>
      <c r="P389" s="158">
        <v>33</v>
      </c>
      <c r="Q389" s="152" t="s">
        <v>60</v>
      </c>
      <c r="R389" s="152" t="s">
        <v>61</v>
      </c>
      <c r="S389" s="148" t="s">
        <v>1514</v>
      </c>
      <c r="T389" s="148" t="s">
        <v>1543</v>
      </c>
      <c r="U389" s="170">
        <v>175</v>
      </c>
      <c r="V389" s="163" t="str">
        <f>VLOOKUP(U389,docentes!$A:$E,2,0)</f>
        <v>FABIO FURLAN FERREIRA</v>
      </c>
      <c r="W389" s="171" t="str">
        <f>VLOOKUP(U389,docentes!$A:$E,5,0)</f>
        <v>CCNH</v>
      </c>
      <c r="X389" s="176">
        <v>504</v>
      </c>
      <c r="Y389" s="160" t="str">
        <f>VLOOKUP(X389,docentes!$A:$E,2,0)</f>
        <v>ROOSEVELT DROPPA JUNIOR</v>
      </c>
      <c r="Z389" s="177" t="str">
        <f>VLOOKUP(X389,docentes!$A:$E,5,0)</f>
        <v>CCNH</v>
      </c>
    </row>
    <row r="390" spans="1:35" s="44" customFormat="1" ht="66.75" hidden="1" customHeight="1">
      <c r="A390" s="148" t="s">
        <v>222</v>
      </c>
      <c r="B390" s="168" t="s">
        <v>1544</v>
      </c>
      <c r="C390" s="149"/>
      <c r="D390" s="150">
        <v>0</v>
      </c>
      <c r="E390" s="150" t="s">
        <v>1452</v>
      </c>
      <c r="F390" s="169" t="s">
        <v>1545</v>
      </c>
      <c r="G390" s="152">
        <v>3</v>
      </c>
      <c r="H390" s="152">
        <v>2</v>
      </c>
      <c r="I390" s="153">
        <v>6</v>
      </c>
      <c r="J390" s="154">
        <v>0</v>
      </c>
      <c r="K390" s="155">
        <v>0</v>
      </c>
      <c r="L390" s="148" t="s">
        <v>644</v>
      </c>
      <c r="M390" s="148" t="s">
        <v>58</v>
      </c>
      <c r="N390" s="156"/>
      <c r="O390" s="165" t="s">
        <v>1533</v>
      </c>
      <c r="P390" s="158">
        <v>0</v>
      </c>
      <c r="Q390" s="149" t="s">
        <v>76</v>
      </c>
      <c r="R390" s="152" t="s">
        <v>61</v>
      </c>
      <c r="S390" s="148" t="s">
        <v>1518</v>
      </c>
      <c r="T390" s="148" t="s">
        <v>1546</v>
      </c>
      <c r="U390" s="170">
        <v>199</v>
      </c>
      <c r="V390" s="163" t="str">
        <f>VLOOKUP(U390,docentes!$A:$E,2,0)</f>
        <v>FLAVIO LEANDRO DE SOUZA</v>
      </c>
      <c r="W390" s="171" t="str">
        <f>VLOOKUP(U390,docentes!$A:$E,5,0)</f>
        <v>CCNH</v>
      </c>
      <c r="X390" s="162">
        <v>234</v>
      </c>
      <c r="Y390" s="163" t="str">
        <f>VLOOKUP(X390,docentes!$A:$E,2,0)</f>
        <v>GUSTAVO MICHEL MENDOZA LA TORRE</v>
      </c>
      <c r="Z390" s="164" t="str">
        <f>VLOOKUP(X390,docentes!$A:$E,5,0)</f>
        <v>CCNH</v>
      </c>
    </row>
    <row r="391" spans="1:35" s="44" customFormat="1" ht="66.75" customHeight="1">
      <c r="A391" s="148" t="s">
        <v>222</v>
      </c>
      <c r="B391" s="146" t="s">
        <v>1547</v>
      </c>
      <c r="C391" s="149" t="s">
        <v>1451</v>
      </c>
      <c r="D391" s="150">
        <v>47</v>
      </c>
      <c r="E391" s="150" t="s">
        <v>1452</v>
      </c>
      <c r="F391" s="151" t="s">
        <v>1548</v>
      </c>
      <c r="G391" s="152">
        <v>3</v>
      </c>
      <c r="H391" s="152">
        <v>2</v>
      </c>
      <c r="I391" s="153">
        <v>6</v>
      </c>
      <c r="J391" s="154">
        <v>0</v>
      </c>
      <c r="K391" s="155">
        <v>2</v>
      </c>
      <c r="L391" s="148" t="s">
        <v>821</v>
      </c>
      <c r="M391" s="148" t="s">
        <v>68</v>
      </c>
      <c r="N391" s="156">
        <v>33</v>
      </c>
      <c r="O391" s="165" t="s">
        <v>1155</v>
      </c>
      <c r="P391" s="158">
        <v>33</v>
      </c>
      <c r="Q391" s="152" t="s">
        <v>60</v>
      </c>
      <c r="R391" s="152" t="s">
        <v>70</v>
      </c>
      <c r="S391" s="148" t="s">
        <v>1522</v>
      </c>
      <c r="T391" s="148" t="s">
        <v>1549</v>
      </c>
      <c r="U391" s="170">
        <v>466</v>
      </c>
      <c r="V391" s="163" t="str">
        <f>VLOOKUP(U391,docentes!$A:$E,2,0)</f>
        <v>RAQUEL DE ALMEIDA RIBEIRO</v>
      </c>
      <c r="W391" s="171" t="str">
        <f>VLOOKUP(U391,docentes!$A:$E,5,0)</f>
        <v>CCNH</v>
      </c>
      <c r="X391" s="176">
        <v>461</v>
      </c>
      <c r="Y391" s="160" t="str">
        <f>VLOOKUP(X391,docentes!$A:$E,2,0)</f>
        <v>PIETRO CHIMENTI</v>
      </c>
      <c r="Z391" s="177" t="str">
        <f>VLOOKUP(X391,docentes!$A:$E,5,0)</f>
        <v>CCNH</v>
      </c>
    </row>
    <row r="392" spans="1:35" s="44" customFormat="1" ht="66.75" customHeight="1">
      <c r="A392" s="148" t="s">
        <v>222</v>
      </c>
      <c r="B392" s="146" t="s">
        <v>1550</v>
      </c>
      <c r="C392" s="149" t="s">
        <v>1451</v>
      </c>
      <c r="D392" s="150">
        <v>47</v>
      </c>
      <c r="E392" s="150" t="s">
        <v>1452</v>
      </c>
      <c r="F392" s="151" t="s">
        <v>1551</v>
      </c>
      <c r="G392" s="152">
        <v>3</v>
      </c>
      <c r="H392" s="152">
        <v>2</v>
      </c>
      <c r="I392" s="153">
        <v>6</v>
      </c>
      <c r="J392" s="154">
        <v>0</v>
      </c>
      <c r="K392" s="155">
        <v>2</v>
      </c>
      <c r="L392" s="148" t="s">
        <v>821</v>
      </c>
      <c r="M392" s="148" t="s">
        <v>68</v>
      </c>
      <c r="N392" s="156">
        <v>33</v>
      </c>
      <c r="O392" s="165" t="s">
        <v>1155</v>
      </c>
      <c r="P392" s="158">
        <v>33</v>
      </c>
      <c r="Q392" s="149" t="s">
        <v>76</v>
      </c>
      <c r="R392" s="152" t="s">
        <v>70</v>
      </c>
      <c r="S392" s="148" t="s">
        <v>1526</v>
      </c>
      <c r="T392" s="148" t="s">
        <v>1552</v>
      </c>
      <c r="U392" s="170">
        <v>48</v>
      </c>
      <c r="V392" s="163" t="str">
        <f>VLOOKUP(U392,docentes!$A:$E,2,0)</f>
        <v>ANDRE GUSTAVO SCAGLIUSI LANDULFO</v>
      </c>
      <c r="W392" s="171" t="str">
        <f>VLOOKUP(U392,docentes!$A:$E,5,0)</f>
        <v>CCNH</v>
      </c>
      <c r="X392" s="176">
        <v>491</v>
      </c>
      <c r="Y392" s="160" t="str">
        <f>VLOOKUP(X392,docentes!$A:$E,2,0)</f>
        <v>ROBERTO MENEZES SERRA</v>
      </c>
      <c r="Z392" s="177" t="str">
        <f>VLOOKUP(X392,docentes!$A:$E,5,0)</f>
        <v>CCNH</v>
      </c>
    </row>
    <row r="393" spans="1:35" ht="66.75" customHeight="1">
      <c r="A393" s="148" t="s">
        <v>222</v>
      </c>
      <c r="B393" s="146" t="s">
        <v>1553</v>
      </c>
      <c r="C393" s="149" t="s">
        <v>1451</v>
      </c>
      <c r="D393" s="150">
        <v>47</v>
      </c>
      <c r="E393" s="150" t="s">
        <v>1452</v>
      </c>
      <c r="F393" s="151" t="s">
        <v>1554</v>
      </c>
      <c r="G393" s="152">
        <v>3</v>
      </c>
      <c r="H393" s="152">
        <v>2</v>
      </c>
      <c r="I393" s="153">
        <v>6</v>
      </c>
      <c r="J393" s="154">
        <v>3</v>
      </c>
      <c r="K393" s="155">
        <v>2</v>
      </c>
      <c r="L393" s="148" t="s">
        <v>821</v>
      </c>
      <c r="M393" s="148" t="s">
        <v>68</v>
      </c>
      <c r="N393" s="156">
        <v>33</v>
      </c>
      <c r="O393" s="165" t="s">
        <v>1155</v>
      </c>
      <c r="P393" s="158">
        <v>33</v>
      </c>
      <c r="Q393" s="152" t="s">
        <v>60</v>
      </c>
      <c r="R393" s="152" t="s">
        <v>61</v>
      </c>
      <c r="S393" s="148" t="s">
        <v>1555</v>
      </c>
      <c r="T393" s="148" t="s">
        <v>1556</v>
      </c>
      <c r="U393" s="159">
        <v>52</v>
      </c>
      <c r="V393" s="160" t="str">
        <f>VLOOKUP(U393,docentes!$A:$E,2,0)</f>
        <v>ANDRE PANIAGO LESSA</v>
      </c>
      <c r="W393" s="161" t="str">
        <f>VLOOKUP(U393,docentes!$A:$E,5,0)</f>
        <v>CCNH</v>
      </c>
      <c r="X393" s="176">
        <v>52</v>
      </c>
      <c r="Y393" s="160" t="str">
        <f>VLOOKUP(X393,docentes!$A:$E,2,0)</f>
        <v>ANDRE PANIAGO LESSA</v>
      </c>
      <c r="Z393" s="177" t="str">
        <f>VLOOKUP(X393,docentes!$A:$E,5,0)</f>
        <v>CCNH</v>
      </c>
      <c r="AA393" s="44"/>
      <c r="AB393" s="44"/>
      <c r="AC393" s="44"/>
      <c r="AD393" s="44"/>
      <c r="AE393" s="44"/>
      <c r="AF393" s="44"/>
      <c r="AG393" s="44"/>
      <c r="AH393" s="44"/>
      <c r="AI393" s="44"/>
    </row>
    <row r="394" spans="1:35" ht="66.75" customHeight="1">
      <c r="A394" s="148" t="s">
        <v>222</v>
      </c>
      <c r="B394" s="146" t="s">
        <v>1557</v>
      </c>
      <c r="C394" s="149" t="s">
        <v>1451</v>
      </c>
      <c r="D394" s="150">
        <v>47</v>
      </c>
      <c r="E394" s="150" t="s">
        <v>1452</v>
      </c>
      <c r="F394" s="151" t="s">
        <v>1558</v>
      </c>
      <c r="G394" s="152">
        <v>3</v>
      </c>
      <c r="H394" s="152">
        <v>2</v>
      </c>
      <c r="I394" s="153">
        <v>6</v>
      </c>
      <c r="J394" s="154">
        <v>3</v>
      </c>
      <c r="K394" s="155">
        <v>2</v>
      </c>
      <c r="L394" s="148" t="s">
        <v>845</v>
      </c>
      <c r="M394" s="148" t="s">
        <v>58</v>
      </c>
      <c r="N394" s="156">
        <v>33</v>
      </c>
      <c r="O394" s="165" t="s">
        <v>1155</v>
      </c>
      <c r="P394" s="158">
        <v>33</v>
      </c>
      <c r="Q394" s="152" t="s">
        <v>60</v>
      </c>
      <c r="R394" s="152" t="s">
        <v>70</v>
      </c>
      <c r="S394" s="148" t="s">
        <v>1559</v>
      </c>
      <c r="T394" s="148" t="s">
        <v>1560</v>
      </c>
      <c r="U394" s="159">
        <v>151</v>
      </c>
      <c r="V394" s="160" t="str">
        <f>VLOOKUP(U394,docentes!$A:$E,2,0)</f>
        <v>EDUARDO DE MORAES GREGORES</v>
      </c>
      <c r="W394" s="161" t="str">
        <f>VLOOKUP(U394,docentes!$A:$E,5,0)</f>
        <v>CCNH</v>
      </c>
      <c r="X394" s="176">
        <v>151</v>
      </c>
      <c r="Y394" s="160" t="str">
        <f>VLOOKUP(X394,docentes!$A:$E,2,0)</f>
        <v>EDUARDO DE MORAES GREGORES</v>
      </c>
      <c r="Z394" s="177" t="str">
        <f>VLOOKUP(X394,docentes!$A:$E,5,0)</f>
        <v>CCNH</v>
      </c>
      <c r="AA394" s="44"/>
      <c r="AB394" s="44"/>
      <c r="AC394" s="44"/>
      <c r="AD394" s="44"/>
      <c r="AE394" s="44"/>
      <c r="AF394" s="44"/>
      <c r="AG394" s="44"/>
    </row>
    <row r="395" spans="1:35" s="44" customFormat="1" ht="66.75" customHeight="1">
      <c r="A395" s="148" t="s">
        <v>222</v>
      </c>
      <c r="B395" s="146" t="s">
        <v>1561</v>
      </c>
      <c r="C395" s="149" t="s">
        <v>1451</v>
      </c>
      <c r="D395" s="150">
        <v>47</v>
      </c>
      <c r="E395" s="150" t="s">
        <v>1452</v>
      </c>
      <c r="F395" s="151" t="s">
        <v>1562</v>
      </c>
      <c r="G395" s="152">
        <v>3</v>
      </c>
      <c r="H395" s="152">
        <v>2</v>
      </c>
      <c r="I395" s="153">
        <v>6</v>
      </c>
      <c r="J395" s="154">
        <v>0</v>
      </c>
      <c r="K395" s="155">
        <v>2</v>
      </c>
      <c r="L395" s="148" t="s">
        <v>821</v>
      </c>
      <c r="M395" s="148" t="s">
        <v>68</v>
      </c>
      <c r="N395" s="156">
        <v>33</v>
      </c>
      <c r="O395" s="165" t="s">
        <v>1155</v>
      </c>
      <c r="P395" s="158">
        <v>33</v>
      </c>
      <c r="Q395" s="152" t="s">
        <v>60</v>
      </c>
      <c r="R395" s="152" t="s">
        <v>61</v>
      </c>
      <c r="S395" s="148" t="s">
        <v>1555</v>
      </c>
      <c r="T395" s="148" t="s">
        <v>1563</v>
      </c>
      <c r="U395" s="170">
        <v>52</v>
      </c>
      <c r="V395" s="163" t="str">
        <f>VLOOKUP(U395,docentes!$A:$E,2,0)</f>
        <v>ANDRE PANIAGO LESSA</v>
      </c>
      <c r="W395" s="171" t="str">
        <f>VLOOKUP(U395,docentes!$A:$E,5,0)</f>
        <v>CCNH</v>
      </c>
      <c r="X395" s="176">
        <v>52</v>
      </c>
      <c r="Y395" s="160" t="str">
        <f>VLOOKUP(X395,docentes!$A:$E,2,0)</f>
        <v>ANDRE PANIAGO LESSA</v>
      </c>
      <c r="Z395" s="177" t="str">
        <f>VLOOKUP(X395,docentes!$A:$E,5,0)</f>
        <v>CCNH</v>
      </c>
    </row>
    <row r="396" spans="1:35" s="44" customFormat="1" ht="66.75" customHeight="1">
      <c r="A396" s="148" t="s">
        <v>222</v>
      </c>
      <c r="B396" s="146" t="s">
        <v>1564</v>
      </c>
      <c r="C396" s="149" t="s">
        <v>1451</v>
      </c>
      <c r="D396" s="150">
        <v>47</v>
      </c>
      <c r="E396" s="150" t="s">
        <v>1452</v>
      </c>
      <c r="F396" s="151" t="s">
        <v>1565</v>
      </c>
      <c r="G396" s="152">
        <v>3</v>
      </c>
      <c r="H396" s="152">
        <v>2</v>
      </c>
      <c r="I396" s="153">
        <v>6</v>
      </c>
      <c r="J396" s="154">
        <v>0</v>
      </c>
      <c r="K396" s="155">
        <v>2</v>
      </c>
      <c r="L396" s="148" t="s">
        <v>845</v>
      </c>
      <c r="M396" s="148" t="s">
        <v>58</v>
      </c>
      <c r="N396" s="156">
        <v>33</v>
      </c>
      <c r="O396" s="165" t="s">
        <v>1155</v>
      </c>
      <c r="P396" s="158">
        <v>33</v>
      </c>
      <c r="Q396" s="152" t="s">
        <v>60</v>
      </c>
      <c r="R396" s="152" t="s">
        <v>70</v>
      </c>
      <c r="S396" s="148" t="s">
        <v>1559</v>
      </c>
      <c r="T396" s="148" t="s">
        <v>1566</v>
      </c>
      <c r="U396" s="170">
        <v>151</v>
      </c>
      <c r="V396" s="163" t="str">
        <f>VLOOKUP(U396,docentes!$A:$E,2,0)</f>
        <v>EDUARDO DE MORAES GREGORES</v>
      </c>
      <c r="W396" s="171" t="str">
        <f>VLOOKUP(U396,docentes!$A:$E,5,0)</f>
        <v>CCNH</v>
      </c>
      <c r="X396" s="176">
        <v>151</v>
      </c>
      <c r="Y396" s="160" t="str">
        <f>VLOOKUP(X396,docentes!$A:$E,2,0)</f>
        <v>EDUARDO DE MORAES GREGORES</v>
      </c>
      <c r="Z396" s="177" t="str">
        <f>VLOOKUP(X396,docentes!$A:$E,5,0)</f>
        <v>CCNH</v>
      </c>
    </row>
    <row r="397" spans="1:35" s="44" customFormat="1" ht="66.75" customHeight="1">
      <c r="A397" s="148" t="s">
        <v>222</v>
      </c>
      <c r="B397" s="146" t="s">
        <v>1567</v>
      </c>
      <c r="C397" s="149" t="s">
        <v>1451</v>
      </c>
      <c r="D397" s="150">
        <v>47</v>
      </c>
      <c r="E397" s="150" t="s">
        <v>1452</v>
      </c>
      <c r="F397" s="151" t="s">
        <v>1568</v>
      </c>
      <c r="G397" s="152">
        <v>3</v>
      </c>
      <c r="H397" s="152">
        <v>2</v>
      </c>
      <c r="I397" s="153">
        <v>6</v>
      </c>
      <c r="J397" s="154">
        <v>0</v>
      </c>
      <c r="K397" s="155">
        <v>2</v>
      </c>
      <c r="L397" s="148" t="s">
        <v>821</v>
      </c>
      <c r="M397" s="148" t="s">
        <v>68</v>
      </c>
      <c r="N397" s="156">
        <v>33</v>
      </c>
      <c r="O397" s="165" t="s">
        <v>1155</v>
      </c>
      <c r="P397" s="158">
        <v>33</v>
      </c>
      <c r="Q397" s="152" t="s">
        <v>60</v>
      </c>
      <c r="R397" s="152" t="s">
        <v>61</v>
      </c>
      <c r="S397" s="148" t="s">
        <v>1555</v>
      </c>
      <c r="T397" s="148" t="s">
        <v>1569</v>
      </c>
      <c r="U397" s="170">
        <v>52</v>
      </c>
      <c r="V397" s="163" t="str">
        <f>VLOOKUP(U397,docentes!$A:$E,2,0)</f>
        <v>ANDRE PANIAGO LESSA</v>
      </c>
      <c r="W397" s="171" t="str">
        <f>VLOOKUP(U397,docentes!$A:$E,5,0)</f>
        <v>CCNH</v>
      </c>
      <c r="X397" s="176">
        <v>504</v>
      </c>
      <c r="Y397" s="160" t="str">
        <f>VLOOKUP(X397,docentes!$A:$E,2,0)</f>
        <v>ROOSEVELT DROPPA JUNIOR</v>
      </c>
      <c r="Z397" s="177" t="str">
        <f>VLOOKUP(X397,docentes!$A:$E,5,0)</f>
        <v>CCNH</v>
      </c>
      <c r="AH397" s="45"/>
      <c r="AI397" s="45"/>
    </row>
    <row r="398" spans="1:35" s="44" customFormat="1" ht="66.75" customHeight="1">
      <c r="A398" s="148" t="s">
        <v>222</v>
      </c>
      <c r="B398" s="146" t="s">
        <v>1570</v>
      </c>
      <c r="C398" s="149" t="s">
        <v>1451</v>
      </c>
      <c r="D398" s="150">
        <v>47</v>
      </c>
      <c r="E398" s="150" t="s">
        <v>1452</v>
      </c>
      <c r="F398" s="151" t="s">
        <v>1571</v>
      </c>
      <c r="G398" s="152">
        <v>3</v>
      </c>
      <c r="H398" s="152">
        <v>2</v>
      </c>
      <c r="I398" s="153">
        <v>6</v>
      </c>
      <c r="J398" s="154">
        <v>0</v>
      </c>
      <c r="K398" s="155">
        <v>2</v>
      </c>
      <c r="L398" s="148" t="s">
        <v>821</v>
      </c>
      <c r="M398" s="148" t="s">
        <v>68</v>
      </c>
      <c r="N398" s="156">
        <v>33</v>
      </c>
      <c r="O398" s="165" t="s">
        <v>1155</v>
      </c>
      <c r="P398" s="158">
        <v>33</v>
      </c>
      <c r="Q398" s="152" t="s">
        <v>60</v>
      </c>
      <c r="R398" s="152" t="s">
        <v>70</v>
      </c>
      <c r="S398" s="148" t="s">
        <v>1559</v>
      </c>
      <c r="T398" s="148" t="s">
        <v>1572</v>
      </c>
      <c r="U398" s="170">
        <v>151</v>
      </c>
      <c r="V398" s="163" t="str">
        <f>VLOOKUP(U398,docentes!$A:$E,2,0)</f>
        <v>EDUARDO DE MORAES GREGORES</v>
      </c>
      <c r="W398" s="171" t="str">
        <f>VLOOKUP(U398,docentes!$A:$E,5,0)</f>
        <v>CCNH</v>
      </c>
      <c r="X398" s="176">
        <v>461</v>
      </c>
      <c r="Y398" s="160" t="str">
        <f>VLOOKUP(X398,docentes!$A:$E,2,0)</f>
        <v>PIETRO CHIMENTI</v>
      </c>
      <c r="Z398" s="177" t="str">
        <f>VLOOKUP(X398,docentes!$A:$E,5,0)</f>
        <v>CCNH</v>
      </c>
    </row>
    <row r="399" spans="1:35" s="44" customFormat="1" ht="66.75" customHeight="1">
      <c r="A399" s="148" t="s">
        <v>222</v>
      </c>
      <c r="B399" s="146" t="s">
        <v>1573</v>
      </c>
      <c r="C399" s="149" t="s">
        <v>1451</v>
      </c>
      <c r="D399" s="150">
        <v>47</v>
      </c>
      <c r="E399" s="150" t="s">
        <v>1452</v>
      </c>
      <c r="F399" s="151" t="s">
        <v>1574</v>
      </c>
      <c r="G399" s="152">
        <v>3</v>
      </c>
      <c r="H399" s="152">
        <v>2</v>
      </c>
      <c r="I399" s="153">
        <v>6</v>
      </c>
      <c r="J399" s="154">
        <v>3</v>
      </c>
      <c r="K399" s="155">
        <v>2</v>
      </c>
      <c r="L399" s="148" t="s">
        <v>821</v>
      </c>
      <c r="M399" s="148" t="s">
        <v>68</v>
      </c>
      <c r="N399" s="156">
        <v>33</v>
      </c>
      <c r="O399" s="165" t="s">
        <v>1155</v>
      </c>
      <c r="P399" s="158">
        <v>33</v>
      </c>
      <c r="Q399" s="152" t="s">
        <v>60</v>
      </c>
      <c r="R399" s="152" t="s">
        <v>70</v>
      </c>
      <c r="S399" s="148" t="s">
        <v>1575</v>
      </c>
      <c r="T399" s="148">
        <v>0</v>
      </c>
      <c r="U399" s="159">
        <v>472</v>
      </c>
      <c r="V399" s="160" t="str">
        <f>VLOOKUP(U399,docentes!$A:$E,2,0)</f>
        <v>REINALDO LUIZ CAVASSO FILHO</v>
      </c>
      <c r="W399" s="161" t="str">
        <f>VLOOKUP(U399,docentes!$A:$E,5,0)</f>
        <v>CCNH</v>
      </c>
      <c r="X399" s="176">
        <v>472</v>
      </c>
      <c r="Y399" s="160" t="str">
        <f>VLOOKUP(X399,docentes!$A:$E,2,0)</f>
        <v>REINALDO LUIZ CAVASSO FILHO</v>
      </c>
      <c r="Z399" s="177" t="str">
        <f>VLOOKUP(X399,docentes!$A:$E,5,0)</f>
        <v>CCNH</v>
      </c>
    </row>
    <row r="400" spans="1:35" s="44" customFormat="1" ht="66.75" customHeight="1">
      <c r="A400" s="148" t="s">
        <v>222</v>
      </c>
      <c r="B400" s="146" t="s">
        <v>1576</v>
      </c>
      <c r="C400" s="149" t="s">
        <v>1451</v>
      </c>
      <c r="D400" s="150">
        <v>47</v>
      </c>
      <c r="E400" s="150" t="s">
        <v>1452</v>
      </c>
      <c r="F400" s="151" t="s">
        <v>1577</v>
      </c>
      <c r="G400" s="152">
        <v>3</v>
      </c>
      <c r="H400" s="152">
        <v>2</v>
      </c>
      <c r="I400" s="153">
        <v>6</v>
      </c>
      <c r="J400" s="154">
        <v>0</v>
      </c>
      <c r="K400" s="155">
        <v>2</v>
      </c>
      <c r="L400" s="148" t="s">
        <v>821</v>
      </c>
      <c r="M400" s="148" t="s">
        <v>68</v>
      </c>
      <c r="N400" s="156">
        <v>33</v>
      </c>
      <c r="O400" s="165" t="s">
        <v>1155</v>
      </c>
      <c r="P400" s="158">
        <v>33</v>
      </c>
      <c r="Q400" s="152" t="s">
        <v>60</v>
      </c>
      <c r="R400" s="152" t="s">
        <v>70</v>
      </c>
      <c r="S400" s="148" t="s">
        <v>1575</v>
      </c>
      <c r="T400" s="148">
        <v>0</v>
      </c>
      <c r="U400" s="170">
        <v>472</v>
      </c>
      <c r="V400" s="163" t="str">
        <f>VLOOKUP(U400,docentes!$A:$E,2,0)</f>
        <v>REINALDO LUIZ CAVASSO FILHO</v>
      </c>
      <c r="W400" s="171" t="str">
        <f>VLOOKUP(U400,docentes!$A:$E,5,0)</f>
        <v>CCNH</v>
      </c>
      <c r="X400" s="176">
        <v>461</v>
      </c>
      <c r="Y400" s="160" t="str">
        <f>VLOOKUP(X400,docentes!$A:$E,2,0)</f>
        <v>PIETRO CHIMENTI</v>
      </c>
      <c r="Z400" s="177" t="str">
        <f>VLOOKUP(X400,docentes!$A:$E,5,0)</f>
        <v>CCNH</v>
      </c>
    </row>
    <row r="401" spans="1:35" s="44" customFormat="1" ht="66.75" customHeight="1">
      <c r="A401" s="148" t="s">
        <v>222</v>
      </c>
      <c r="B401" s="146" t="s">
        <v>1578</v>
      </c>
      <c r="C401" s="149" t="s">
        <v>1451</v>
      </c>
      <c r="D401" s="150">
        <v>47</v>
      </c>
      <c r="E401" s="150" t="s">
        <v>1452</v>
      </c>
      <c r="F401" s="151" t="s">
        <v>1579</v>
      </c>
      <c r="G401" s="152">
        <v>3</v>
      </c>
      <c r="H401" s="152">
        <v>2</v>
      </c>
      <c r="I401" s="153">
        <v>6</v>
      </c>
      <c r="J401" s="154">
        <v>0</v>
      </c>
      <c r="K401" s="155">
        <v>2</v>
      </c>
      <c r="L401" s="148" t="s">
        <v>821</v>
      </c>
      <c r="M401" s="148" t="s">
        <v>68</v>
      </c>
      <c r="N401" s="156">
        <v>33</v>
      </c>
      <c r="O401" s="165" t="s">
        <v>1155</v>
      </c>
      <c r="P401" s="158">
        <v>33</v>
      </c>
      <c r="Q401" s="152" t="s">
        <v>60</v>
      </c>
      <c r="R401" s="152" t="s">
        <v>70</v>
      </c>
      <c r="S401" s="148" t="s">
        <v>1575</v>
      </c>
      <c r="T401" s="148">
        <v>0</v>
      </c>
      <c r="U401" s="170">
        <v>472</v>
      </c>
      <c r="V401" s="163" t="str">
        <f>VLOOKUP(U401,docentes!$A:$E,2,0)</f>
        <v>REINALDO LUIZ CAVASSO FILHO</v>
      </c>
      <c r="W401" s="171" t="str">
        <f>VLOOKUP(U401,docentes!$A:$E,5,0)</f>
        <v>CCNH</v>
      </c>
      <c r="X401" s="176">
        <v>470</v>
      </c>
      <c r="Y401" s="160" t="str">
        <f>VLOOKUP(X401,docentes!$A:$E,2,0)</f>
        <v>REGINA KEIKO MURAKAMI</v>
      </c>
      <c r="Z401" s="177" t="str">
        <f>VLOOKUP(X401,docentes!$A:$E,5,0)</f>
        <v>CCNH</v>
      </c>
      <c r="AH401" s="45"/>
      <c r="AI401" s="45"/>
    </row>
    <row r="402" spans="1:35" s="44" customFormat="1" ht="66.75" customHeight="1">
      <c r="A402" s="148" t="s">
        <v>222</v>
      </c>
      <c r="B402" s="146" t="s">
        <v>1580</v>
      </c>
      <c r="C402" s="149" t="s">
        <v>1451</v>
      </c>
      <c r="D402" s="150">
        <v>47</v>
      </c>
      <c r="E402" s="150" t="s">
        <v>1452</v>
      </c>
      <c r="F402" s="151" t="s">
        <v>1581</v>
      </c>
      <c r="G402" s="152">
        <v>3</v>
      </c>
      <c r="H402" s="152">
        <v>2</v>
      </c>
      <c r="I402" s="153">
        <v>6</v>
      </c>
      <c r="J402" s="154">
        <v>3</v>
      </c>
      <c r="K402" s="155">
        <v>2</v>
      </c>
      <c r="L402" s="148" t="s">
        <v>821</v>
      </c>
      <c r="M402" s="148" t="s">
        <v>68</v>
      </c>
      <c r="N402" s="156">
        <v>33</v>
      </c>
      <c r="O402" s="165" t="s">
        <v>1155</v>
      </c>
      <c r="P402" s="158">
        <v>33</v>
      </c>
      <c r="Q402" s="152" t="s">
        <v>60</v>
      </c>
      <c r="R402" s="152" t="s">
        <v>61</v>
      </c>
      <c r="S402" s="148" t="s">
        <v>1582</v>
      </c>
      <c r="T402" s="148">
        <v>0</v>
      </c>
      <c r="U402" s="159">
        <v>175</v>
      </c>
      <c r="V402" s="160" t="str">
        <f>VLOOKUP(U402,docentes!$A:$E,2,0)</f>
        <v>FABIO FURLAN FERREIRA</v>
      </c>
      <c r="W402" s="161" t="str">
        <f>VLOOKUP(U402,docentes!$A:$E,5,0)</f>
        <v>CCNH</v>
      </c>
      <c r="X402" s="176">
        <v>175</v>
      </c>
      <c r="Y402" s="160" t="str">
        <f>VLOOKUP(X402,docentes!$A:$E,2,0)</f>
        <v>FABIO FURLAN FERREIRA</v>
      </c>
      <c r="Z402" s="177" t="str">
        <f>VLOOKUP(X402,docentes!$A:$E,5,0)</f>
        <v>CCNH</v>
      </c>
    </row>
    <row r="403" spans="1:35" s="44" customFormat="1" ht="66.75" hidden="1" customHeight="1">
      <c r="A403" s="148" t="s">
        <v>222</v>
      </c>
      <c r="B403" s="168" t="s">
        <v>1583</v>
      </c>
      <c r="C403" s="149"/>
      <c r="D403" s="150">
        <v>0</v>
      </c>
      <c r="E403" s="150" t="s">
        <v>1452</v>
      </c>
      <c r="F403" s="169" t="s">
        <v>1584</v>
      </c>
      <c r="G403" s="152">
        <v>3</v>
      </c>
      <c r="H403" s="152">
        <v>2</v>
      </c>
      <c r="I403" s="153">
        <v>6</v>
      </c>
      <c r="J403" s="154">
        <v>0</v>
      </c>
      <c r="K403" s="155">
        <v>0</v>
      </c>
      <c r="L403" s="148" t="s">
        <v>644</v>
      </c>
      <c r="M403" s="148" t="s">
        <v>58</v>
      </c>
      <c r="N403" s="156"/>
      <c r="O403" s="165" t="s">
        <v>1585</v>
      </c>
      <c r="P403" s="158">
        <v>0</v>
      </c>
      <c r="Q403" s="149" t="s">
        <v>76</v>
      </c>
      <c r="R403" s="152" t="s">
        <v>61</v>
      </c>
      <c r="S403" s="148" t="s">
        <v>1586</v>
      </c>
      <c r="T403" s="148">
        <v>0</v>
      </c>
      <c r="U403" s="170">
        <v>199</v>
      </c>
      <c r="V403" s="163" t="str">
        <f>VLOOKUP(U403,docentes!$A:$E,2,0)</f>
        <v>FLAVIO LEANDRO DE SOUZA</v>
      </c>
      <c r="W403" s="171" t="str">
        <f>VLOOKUP(U403,docentes!$A:$E,5,0)</f>
        <v>CCNH</v>
      </c>
      <c r="X403" s="162">
        <v>199</v>
      </c>
      <c r="Y403" s="163" t="str">
        <f>VLOOKUP(X403,docentes!$A:$E,2,0)</f>
        <v>FLAVIO LEANDRO DE SOUZA</v>
      </c>
      <c r="Z403" s="164" t="str">
        <f>VLOOKUP(X403,docentes!$A:$E,5,0)</f>
        <v>CCNH</v>
      </c>
    </row>
    <row r="404" spans="1:35" s="44" customFormat="1" ht="66.75" customHeight="1">
      <c r="A404" s="148" t="s">
        <v>222</v>
      </c>
      <c r="B404" s="146" t="s">
        <v>1587</v>
      </c>
      <c r="C404" s="149" t="s">
        <v>1451</v>
      </c>
      <c r="D404" s="150">
        <v>47</v>
      </c>
      <c r="E404" s="150" t="s">
        <v>1452</v>
      </c>
      <c r="F404" s="151" t="s">
        <v>1588</v>
      </c>
      <c r="G404" s="152">
        <v>3</v>
      </c>
      <c r="H404" s="152">
        <v>2</v>
      </c>
      <c r="I404" s="153">
        <v>6</v>
      </c>
      <c r="J404" s="154">
        <v>0</v>
      </c>
      <c r="K404" s="155">
        <v>2</v>
      </c>
      <c r="L404" s="148" t="s">
        <v>821</v>
      </c>
      <c r="M404" s="148" t="s">
        <v>68</v>
      </c>
      <c r="N404" s="156">
        <v>33</v>
      </c>
      <c r="O404" s="148" t="s">
        <v>1155</v>
      </c>
      <c r="P404" s="158">
        <v>33</v>
      </c>
      <c r="Q404" s="152" t="s">
        <v>60</v>
      </c>
      <c r="R404" s="152" t="s">
        <v>61</v>
      </c>
      <c r="S404" s="148" t="s">
        <v>1582</v>
      </c>
      <c r="T404" s="148">
        <v>0</v>
      </c>
      <c r="U404" s="170">
        <v>175</v>
      </c>
      <c r="V404" s="163" t="str">
        <f>VLOOKUP(U404,docentes!$A:$E,2,0)</f>
        <v>FABIO FURLAN FERREIRA</v>
      </c>
      <c r="W404" s="171" t="str">
        <f>VLOOKUP(U404,docentes!$A:$E,5,0)</f>
        <v>CCNH</v>
      </c>
      <c r="X404" s="176">
        <v>504</v>
      </c>
      <c r="Y404" s="160" t="str">
        <f>VLOOKUP(X404,docentes!$A:$E,2,0)</f>
        <v>ROOSEVELT DROPPA JUNIOR</v>
      </c>
      <c r="Z404" s="177" t="str">
        <f>VLOOKUP(X404,docentes!$A:$E,5,0)</f>
        <v>CCNH</v>
      </c>
    </row>
    <row r="405" spans="1:35" s="44" customFormat="1" ht="66.75" hidden="1" customHeight="1">
      <c r="A405" s="148" t="s">
        <v>222</v>
      </c>
      <c r="B405" s="168" t="s">
        <v>1589</v>
      </c>
      <c r="C405" s="149"/>
      <c r="D405" s="150">
        <v>0</v>
      </c>
      <c r="E405" s="150" t="s">
        <v>1452</v>
      </c>
      <c r="F405" s="169" t="s">
        <v>1590</v>
      </c>
      <c r="G405" s="152">
        <v>3</v>
      </c>
      <c r="H405" s="152">
        <v>2</v>
      </c>
      <c r="I405" s="153">
        <v>6</v>
      </c>
      <c r="J405" s="154">
        <v>0</v>
      </c>
      <c r="K405" s="155">
        <v>0</v>
      </c>
      <c r="L405" s="148" t="s">
        <v>644</v>
      </c>
      <c r="M405" s="148" t="s">
        <v>58</v>
      </c>
      <c r="N405" s="166"/>
      <c r="O405" s="165" t="s">
        <v>1585</v>
      </c>
      <c r="P405" s="158">
        <v>0</v>
      </c>
      <c r="Q405" s="149" t="s">
        <v>76</v>
      </c>
      <c r="R405" s="152" t="s">
        <v>61</v>
      </c>
      <c r="S405" s="148" t="s">
        <v>1586</v>
      </c>
      <c r="T405" s="148">
        <v>0</v>
      </c>
      <c r="U405" s="170">
        <v>199</v>
      </c>
      <c r="V405" s="163" t="str">
        <f>VLOOKUP(U405,docentes!$A:$E,2,0)</f>
        <v>FLAVIO LEANDRO DE SOUZA</v>
      </c>
      <c r="W405" s="171" t="str">
        <f>VLOOKUP(U405,docentes!$A:$E,5,0)</f>
        <v>CCNH</v>
      </c>
      <c r="X405" s="162">
        <v>234</v>
      </c>
      <c r="Y405" s="163" t="str">
        <f>VLOOKUP(X405,docentes!$A:$E,2,0)</f>
        <v>GUSTAVO MICHEL MENDOZA LA TORRE</v>
      </c>
      <c r="Z405" s="164" t="str">
        <f>VLOOKUP(X405,docentes!$A:$E,5,0)</f>
        <v>CCNH</v>
      </c>
    </row>
    <row r="406" spans="1:35" ht="66.75" customHeight="1">
      <c r="A406" s="148" t="s">
        <v>222</v>
      </c>
      <c r="B406" s="146" t="s">
        <v>1591</v>
      </c>
      <c r="C406" s="149" t="s">
        <v>1451</v>
      </c>
      <c r="D406" s="150">
        <v>47</v>
      </c>
      <c r="E406" s="150" t="s">
        <v>1452</v>
      </c>
      <c r="F406" s="151" t="s">
        <v>1592</v>
      </c>
      <c r="G406" s="152">
        <v>3</v>
      </c>
      <c r="H406" s="152">
        <v>2</v>
      </c>
      <c r="I406" s="153">
        <v>6</v>
      </c>
      <c r="J406" s="154">
        <v>0</v>
      </c>
      <c r="K406" s="155">
        <v>2</v>
      </c>
      <c r="L406" s="148" t="s">
        <v>821</v>
      </c>
      <c r="M406" s="148" t="s">
        <v>68</v>
      </c>
      <c r="N406" s="156">
        <v>33</v>
      </c>
      <c r="O406" s="165" t="s">
        <v>1155</v>
      </c>
      <c r="P406" s="158">
        <v>33</v>
      </c>
      <c r="Q406" s="152" t="s">
        <v>60</v>
      </c>
      <c r="R406" s="152" t="s">
        <v>61</v>
      </c>
      <c r="S406" s="148" t="s">
        <v>1582</v>
      </c>
      <c r="T406" s="148">
        <v>0</v>
      </c>
      <c r="U406" s="170">
        <v>175</v>
      </c>
      <c r="V406" s="163" t="str">
        <f>VLOOKUP(U406,docentes!$A:$E,2,0)</f>
        <v>FABIO FURLAN FERREIRA</v>
      </c>
      <c r="W406" s="171" t="str">
        <f>VLOOKUP(U406,docentes!$A:$E,5,0)</f>
        <v>CCNH</v>
      </c>
      <c r="X406" s="176">
        <v>470</v>
      </c>
      <c r="Y406" s="160" t="str">
        <f>VLOOKUP(X406,docentes!$A:$E,2,0)</f>
        <v>REGINA KEIKO MURAKAMI</v>
      </c>
      <c r="Z406" s="177" t="str">
        <f>VLOOKUP(X406,docentes!$A:$E,5,0)</f>
        <v>CCNH</v>
      </c>
      <c r="AA406" s="44"/>
      <c r="AB406" s="44"/>
      <c r="AC406" s="44"/>
      <c r="AD406" s="44"/>
      <c r="AE406" s="44"/>
      <c r="AF406" s="44"/>
      <c r="AG406" s="44"/>
      <c r="AH406" s="44"/>
      <c r="AI406" s="44"/>
    </row>
    <row r="407" spans="1:35" s="44" customFormat="1" ht="66.75" customHeight="1">
      <c r="A407" s="148" t="s">
        <v>222</v>
      </c>
      <c r="B407" s="146" t="s">
        <v>1593</v>
      </c>
      <c r="C407" s="149" t="s">
        <v>1451</v>
      </c>
      <c r="D407" s="150">
        <v>47</v>
      </c>
      <c r="E407" s="150" t="s">
        <v>1452</v>
      </c>
      <c r="F407" s="151" t="s">
        <v>1594</v>
      </c>
      <c r="G407" s="152">
        <v>3</v>
      </c>
      <c r="H407" s="152">
        <v>2</v>
      </c>
      <c r="I407" s="153">
        <v>6</v>
      </c>
      <c r="J407" s="154">
        <v>3</v>
      </c>
      <c r="K407" s="155">
        <v>2</v>
      </c>
      <c r="L407" s="148" t="s">
        <v>821</v>
      </c>
      <c r="M407" s="148" t="s">
        <v>68</v>
      </c>
      <c r="N407" s="156">
        <v>33</v>
      </c>
      <c r="O407" s="148" t="s">
        <v>1155</v>
      </c>
      <c r="P407" s="158">
        <v>33</v>
      </c>
      <c r="Q407" s="149" t="s">
        <v>76</v>
      </c>
      <c r="R407" s="152" t="s">
        <v>70</v>
      </c>
      <c r="S407" s="148" t="s">
        <v>1595</v>
      </c>
      <c r="T407" s="148">
        <v>0</v>
      </c>
      <c r="U407" s="159">
        <v>48</v>
      </c>
      <c r="V407" s="160" t="str">
        <f>VLOOKUP(U407,docentes!$A:$E,2,0)</f>
        <v>ANDRE GUSTAVO SCAGLIUSI LANDULFO</v>
      </c>
      <c r="W407" s="161" t="str">
        <f>VLOOKUP(U407,docentes!$A:$E,5,0)</f>
        <v>CCNH</v>
      </c>
      <c r="X407" s="176">
        <v>48</v>
      </c>
      <c r="Y407" s="160" t="str">
        <f>VLOOKUP(X407,docentes!$A:$E,2,0)</f>
        <v>ANDRE GUSTAVO SCAGLIUSI LANDULFO</v>
      </c>
      <c r="Z407" s="177" t="str">
        <f>VLOOKUP(X407,docentes!$A:$E,5,0)</f>
        <v>CCNH</v>
      </c>
    </row>
    <row r="408" spans="1:35" s="44" customFormat="1" ht="66.75" customHeight="1">
      <c r="A408" s="148" t="s">
        <v>222</v>
      </c>
      <c r="B408" s="146" t="s">
        <v>1596</v>
      </c>
      <c r="C408" s="149" t="s">
        <v>1451</v>
      </c>
      <c r="D408" s="150">
        <v>47</v>
      </c>
      <c r="E408" s="150" t="s">
        <v>1452</v>
      </c>
      <c r="F408" s="151" t="s">
        <v>1597</v>
      </c>
      <c r="G408" s="152">
        <v>3</v>
      </c>
      <c r="H408" s="152">
        <v>2</v>
      </c>
      <c r="I408" s="153">
        <v>6</v>
      </c>
      <c r="J408" s="154">
        <v>3</v>
      </c>
      <c r="K408" s="155">
        <v>2</v>
      </c>
      <c r="L408" s="148" t="s">
        <v>845</v>
      </c>
      <c r="M408" s="148" t="s">
        <v>58</v>
      </c>
      <c r="N408" s="156">
        <v>33</v>
      </c>
      <c r="O408" s="165" t="s">
        <v>1155</v>
      </c>
      <c r="P408" s="158">
        <v>33</v>
      </c>
      <c r="Q408" s="152" t="s">
        <v>60</v>
      </c>
      <c r="R408" s="152" t="s">
        <v>61</v>
      </c>
      <c r="S408" s="148" t="s">
        <v>1598</v>
      </c>
      <c r="T408" s="148">
        <v>0</v>
      </c>
      <c r="U408" s="159">
        <v>156</v>
      </c>
      <c r="V408" s="160" t="str">
        <f>VLOOKUP(U408,docentes!$A:$E,2,0)</f>
        <v>EDUARDO PERES NOVAIS DE SA</v>
      </c>
      <c r="W408" s="161" t="str">
        <f>VLOOKUP(U408,docentes!$A:$E,5,0)</f>
        <v>CCNH</v>
      </c>
      <c r="X408" s="176">
        <v>156</v>
      </c>
      <c r="Y408" s="160" t="str">
        <f>VLOOKUP(X408,docentes!$A:$E,2,0)</f>
        <v>EDUARDO PERES NOVAIS DE SA</v>
      </c>
      <c r="Z408" s="177" t="str">
        <f>VLOOKUP(X408,docentes!$A:$E,5,0)</f>
        <v>CCNH</v>
      </c>
      <c r="AH408" s="45"/>
      <c r="AI408" s="45"/>
    </row>
    <row r="409" spans="1:35" s="44" customFormat="1" ht="66.75" customHeight="1">
      <c r="A409" s="148" t="s">
        <v>222</v>
      </c>
      <c r="B409" s="146" t="s">
        <v>1599</v>
      </c>
      <c r="C409" s="149" t="s">
        <v>1451</v>
      </c>
      <c r="D409" s="150">
        <v>47</v>
      </c>
      <c r="E409" s="150" t="s">
        <v>1452</v>
      </c>
      <c r="F409" s="151" t="s">
        <v>1600</v>
      </c>
      <c r="G409" s="152">
        <v>3</v>
      </c>
      <c r="H409" s="152">
        <v>2</v>
      </c>
      <c r="I409" s="153">
        <v>6</v>
      </c>
      <c r="J409" s="154">
        <v>0</v>
      </c>
      <c r="K409" s="155">
        <v>2</v>
      </c>
      <c r="L409" s="148" t="s">
        <v>821</v>
      </c>
      <c r="M409" s="148" t="s">
        <v>68</v>
      </c>
      <c r="N409" s="156">
        <v>33</v>
      </c>
      <c r="O409" s="148" t="s">
        <v>1155</v>
      </c>
      <c r="P409" s="158">
        <v>33</v>
      </c>
      <c r="Q409" s="149" t="s">
        <v>76</v>
      </c>
      <c r="R409" s="152" t="s">
        <v>70</v>
      </c>
      <c r="S409" s="148" t="s">
        <v>1595</v>
      </c>
      <c r="T409" s="148">
        <v>0</v>
      </c>
      <c r="U409" s="170">
        <v>48</v>
      </c>
      <c r="V409" s="163" t="str">
        <f>VLOOKUP(U409,docentes!$A:$E,2,0)</f>
        <v>ANDRE GUSTAVO SCAGLIUSI LANDULFO</v>
      </c>
      <c r="W409" s="171" t="str">
        <f>VLOOKUP(U409,docentes!$A:$E,5,0)</f>
        <v>CCNH</v>
      </c>
      <c r="X409" s="176">
        <v>491</v>
      </c>
      <c r="Y409" s="160" t="str">
        <f>VLOOKUP(X409,docentes!$A:$E,2,0)</f>
        <v>ROBERTO MENEZES SERRA</v>
      </c>
      <c r="Z409" s="177" t="str">
        <f>VLOOKUP(X409,docentes!$A:$E,5,0)</f>
        <v>CCNH</v>
      </c>
    </row>
    <row r="410" spans="1:35" s="44" customFormat="1" ht="66.75" customHeight="1">
      <c r="A410" s="148" t="s">
        <v>222</v>
      </c>
      <c r="B410" s="146" t="s">
        <v>1601</v>
      </c>
      <c r="C410" s="149" t="s">
        <v>1451</v>
      </c>
      <c r="D410" s="150">
        <v>47</v>
      </c>
      <c r="E410" s="150" t="s">
        <v>1452</v>
      </c>
      <c r="F410" s="151" t="s">
        <v>1602</v>
      </c>
      <c r="G410" s="152">
        <v>3</v>
      </c>
      <c r="H410" s="152">
        <v>2</v>
      </c>
      <c r="I410" s="153">
        <v>6</v>
      </c>
      <c r="J410" s="154">
        <v>0</v>
      </c>
      <c r="K410" s="155">
        <v>2</v>
      </c>
      <c r="L410" s="148" t="s">
        <v>821</v>
      </c>
      <c r="M410" s="148" t="s">
        <v>68</v>
      </c>
      <c r="N410" s="156">
        <v>33</v>
      </c>
      <c r="O410" s="165" t="s">
        <v>1155</v>
      </c>
      <c r="P410" s="158">
        <v>33</v>
      </c>
      <c r="Q410" s="152" t="s">
        <v>60</v>
      </c>
      <c r="R410" s="152" t="s">
        <v>61</v>
      </c>
      <c r="S410" s="148" t="s">
        <v>1598</v>
      </c>
      <c r="T410" s="148">
        <v>0</v>
      </c>
      <c r="U410" s="170">
        <v>156</v>
      </c>
      <c r="V410" s="163" t="str">
        <f>VLOOKUP(U410,docentes!$A:$E,2,0)</f>
        <v>EDUARDO PERES NOVAIS DE SA</v>
      </c>
      <c r="W410" s="171" t="str">
        <f>VLOOKUP(U410,docentes!$A:$E,5,0)</f>
        <v>CCNH</v>
      </c>
      <c r="X410" s="176">
        <v>504</v>
      </c>
      <c r="Y410" s="160" t="str">
        <f>VLOOKUP(X410,docentes!$A:$E,2,0)</f>
        <v>ROOSEVELT DROPPA JUNIOR</v>
      </c>
      <c r="Z410" s="177" t="str">
        <f>VLOOKUP(X410,docentes!$A:$E,5,0)</f>
        <v>CCNH</v>
      </c>
      <c r="AH410" s="45"/>
      <c r="AI410" s="45"/>
    </row>
    <row r="411" spans="1:35" s="44" customFormat="1" ht="66.75" customHeight="1">
      <c r="A411" s="148" t="s">
        <v>222</v>
      </c>
      <c r="B411" s="146" t="s">
        <v>1603</v>
      </c>
      <c r="C411" s="149" t="s">
        <v>1451</v>
      </c>
      <c r="D411" s="150">
        <v>47</v>
      </c>
      <c r="E411" s="150" t="s">
        <v>1452</v>
      </c>
      <c r="F411" s="151" t="s">
        <v>1604</v>
      </c>
      <c r="G411" s="152">
        <v>3</v>
      </c>
      <c r="H411" s="152">
        <v>2</v>
      </c>
      <c r="I411" s="153">
        <v>6</v>
      </c>
      <c r="J411" s="154">
        <v>0</v>
      </c>
      <c r="K411" s="155">
        <v>2</v>
      </c>
      <c r="L411" s="148" t="s">
        <v>821</v>
      </c>
      <c r="M411" s="148" t="s">
        <v>68</v>
      </c>
      <c r="N411" s="156">
        <v>33</v>
      </c>
      <c r="O411" s="165" t="s">
        <v>1155</v>
      </c>
      <c r="P411" s="158">
        <v>33</v>
      </c>
      <c r="Q411" s="152" t="s">
        <v>60</v>
      </c>
      <c r="R411" s="152" t="s">
        <v>61</v>
      </c>
      <c r="S411" s="148" t="s">
        <v>1598</v>
      </c>
      <c r="T411" s="148">
        <v>0</v>
      </c>
      <c r="U411" s="170">
        <v>156</v>
      </c>
      <c r="V411" s="163" t="str">
        <f>VLOOKUP(U411,docentes!$A:$E,2,0)</f>
        <v>EDUARDO PERES NOVAIS DE SA</v>
      </c>
      <c r="W411" s="171" t="str">
        <f>VLOOKUP(U411,docentes!$A:$E,5,0)</f>
        <v>CCNH</v>
      </c>
      <c r="X411" s="176">
        <v>470</v>
      </c>
      <c r="Y411" s="160" t="str">
        <f>VLOOKUP(X411,docentes!$A:$E,2,0)</f>
        <v>REGINA KEIKO MURAKAMI</v>
      </c>
      <c r="Z411" s="177" t="str">
        <f>VLOOKUP(X411,docentes!$A:$E,5,0)</f>
        <v>CCNH</v>
      </c>
      <c r="AH411" s="45"/>
      <c r="AI411" s="45"/>
    </row>
    <row r="412" spans="1:35" s="44" customFormat="1" ht="66.75" customHeight="1">
      <c r="A412" s="148" t="s">
        <v>222</v>
      </c>
      <c r="B412" s="146" t="s">
        <v>1605</v>
      </c>
      <c r="C412" s="149" t="s">
        <v>1451</v>
      </c>
      <c r="D412" s="150">
        <v>47</v>
      </c>
      <c r="E412" s="150" t="s">
        <v>1452</v>
      </c>
      <c r="F412" s="151" t="s">
        <v>1606</v>
      </c>
      <c r="G412" s="152">
        <v>3</v>
      </c>
      <c r="H412" s="152">
        <v>2</v>
      </c>
      <c r="I412" s="153">
        <v>6</v>
      </c>
      <c r="J412" s="154">
        <v>3</v>
      </c>
      <c r="K412" s="155">
        <v>2</v>
      </c>
      <c r="L412" s="148" t="s">
        <v>845</v>
      </c>
      <c r="M412" s="148" t="s">
        <v>58</v>
      </c>
      <c r="N412" s="156">
        <v>33</v>
      </c>
      <c r="O412" s="165" t="s">
        <v>1155</v>
      </c>
      <c r="P412" s="158">
        <v>33</v>
      </c>
      <c r="Q412" s="152" t="s">
        <v>60</v>
      </c>
      <c r="R412" s="152" t="s">
        <v>70</v>
      </c>
      <c r="S412" s="148" t="s">
        <v>1607</v>
      </c>
      <c r="T412" s="148">
        <v>0</v>
      </c>
      <c r="U412" s="159">
        <v>466</v>
      </c>
      <c r="V412" s="160" t="str">
        <f>VLOOKUP(U412,docentes!$A:$E,2,0)</f>
        <v>RAQUEL DE ALMEIDA RIBEIRO</v>
      </c>
      <c r="W412" s="161" t="str">
        <f>VLOOKUP(U412,docentes!$A:$E,5,0)</f>
        <v>CCNH</v>
      </c>
      <c r="X412" s="176">
        <v>466</v>
      </c>
      <c r="Y412" s="160" t="str">
        <f>VLOOKUP(X412,docentes!$A:$E,2,0)</f>
        <v>RAQUEL DE ALMEIDA RIBEIRO</v>
      </c>
      <c r="Z412" s="177" t="str">
        <f>VLOOKUP(X412,docentes!$A:$E,5,0)</f>
        <v>CCNH</v>
      </c>
    </row>
    <row r="413" spans="1:35" s="44" customFormat="1" ht="66.75" customHeight="1">
      <c r="A413" s="148" t="s">
        <v>222</v>
      </c>
      <c r="B413" s="146" t="s">
        <v>1608</v>
      </c>
      <c r="C413" s="149" t="s">
        <v>1451</v>
      </c>
      <c r="D413" s="150">
        <v>47</v>
      </c>
      <c r="E413" s="150" t="s">
        <v>1452</v>
      </c>
      <c r="F413" s="151" t="s">
        <v>1609</v>
      </c>
      <c r="G413" s="152">
        <v>3</v>
      </c>
      <c r="H413" s="152">
        <v>2</v>
      </c>
      <c r="I413" s="153">
        <v>6</v>
      </c>
      <c r="J413" s="154">
        <v>0</v>
      </c>
      <c r="K413" s="155">
        <v>2</v>
      </c>
      <c r="L413" s="148" t="s">
        <v>821</v>
      </c>
      <c r="M413" s="148" t="s">
        <v>68</v>
      </c>
      <c r="N413" s="156">
        <v>33</v>
      </c>
      <c r="O413" s="165" t="s">
        <v>1155</v>
      </c>
      <c r="P413" s="158">
        <v>33</v>
      </c>
      <c r="Q413" s="152" t="s">
        <v>60</v>
      </c>
      <c r="R413" s="152" t="s">
        <v>70</v>
      </c>
      <c r="S413" s="148" t="s">
        <v>1607</v>
      </c>
      <c r="T413" s="148">
        <v>0</v>
      </c>
      <c r="U413" s="170">
        <v>466</v>
      </c>
      <c r="V413" s="163" t="str">
        <f>VLOOKUP(U413,docentes!$A:$E,2,0)</f>
        <v>RAQUEL DE ALMEIDA RIBEIRO</v>
      </c>
      <c r="W413" s="171" t="str">
        <f>VLOOKUP(U413,docentes!$A:$E,5,0)</f>
        <v>CCNH</v>
      </c>
      <c r="X413" s="176">
        <v>461</v>
      </c>
      <c r="Y413" s="160" t="str">
        <f>VLOOKUP(X413,docentes!$A:$E,2,0)</f>
        <v>PIETRO CHIMENTI</v>
      </c>
      <c r="Z413" s="177" t="str">
        <f>VLOOKUP(X413,docentes!$A:$E,5,0)</f>
        <v>CCNH</v>
      </c>
    </row>
    <row r="414" spans="1:35" s="44" customFormat="1" ht="66.75" customHeight="1">
      <c r="A414" s="148" t="s">
        <v>222</v>
      </c>
      <c r="B414" s="146" t="s">
        <v>1610</v>
      </c>
      <c r="C414" s="149" t="s">
        <v>1451</v>
      </c>
      <c r="D414" s="150">
        <v>47</v>
      </c>
      <c r="E414" s="150" t="s">
        <v>1452</v>
      </c>
      <c r="F414" s="151" t="s">
        <v>1611</v>
      </c>
      <c r="G414" s="152">
        <v>3</v>
      </c>
      <c r="H414" s="152">
        <v>2</v>
      </c>
      <c r="I414" s="153">
        <v>6</v>
      </c>
      <c r="J414" s="154">
        <v>0</v>
      </c>
      <c r="K414" s="155">
        <v>2</v>
      </c>
      <c r="L414" s="148" t="s">
        <v>821</v>
      </c>
      <c r="M414" s="148" t="s">
        <v>68</v>
      </c>
      <c r="N414" s="156">
        <v>33</v>
      </c>
      <c r="O414" s="165" t="s">
        <v>1155</v>
      </c>
      <c r="P414" s="158">
        <v>33</v>
      </c>
      <c r="Q414" s="152" t="s">
        <v>60</v>
      </c>
      <c r="R414" s="152" t="s">
        <v>70</v>
      </c>
      <c r="S414" s="148" t="s">
        <v>1607</v>
      </c>
      <c r="T414" s="148">
        <v>0</v>
      </c>
      <c r="U414" s="170">
        <v>466</v>
      </c>
      <c r="V414" s="163" t="str">
        <f>VLOOKUP(U414,docentes!$A:$E,2,0)</f>
        <v>RAQUEL DE ALMEIDA RIBEIRO</v>
      </c>
      <c r="W414" s="171" t="str">
        <f>VLOOKUP(U414,docentes!$A:$E,5,0)</f>
        <v>CCNH</v>
      </c>
      <c r="X414" s="176">
        <v>470</v>
      </c>
      <c r="Y414" s="160" t="str">
        <f>VLOOKUP(X414,docentes!$A:$E,2,0)</f>
        <v>REGINA KEIKO MURAKAMI</v>
      </c>
      <c r="Z414" s="177" t="str">
        <f>VLOOKUP(X414,docentes!$A:$E,5,0)</f>
        <v>CCNH</v>
      </c>
    </row>
    <row r="415" spans="1:35" s="44" customFormat="1" ht="66.75" customHeight="1">
      <c r="A415" s="148" t="s">
        <v>1336</v>
      </c>
      <c r="B415" s="146" t="s">
        <v>1612</v>
      </c>
      <c r="C415" s="149" t="s">
        <v>1613</v>
      </c>
      <c r="D415" s="150">
        <v>2</v>
      </c>
      <c r="E415" s="150" t="s">
        <v>1614</v>
      </c>
      <c r="F415" s="151" t="s">
        <v>1615</v>
      </c>
      <c r="G415" s="152">
        <v>4</v>
      </c>
      <c r="H415" s="152">
        <v>0</v>
      </c>
      <c r="I415" s="153">
        <v>4</v>
      </c>
      <c r="J415" s="154">
        <v>4</v>
      </c>
      <c r="K415" s="155">
        <v>0</v>
      </c>
      <c r="L415" s="148" t="s">
        <v>57</v>
      </c>
      <c r="M415" s="148" t="s">
        <v>58</v>
      </c>
      <c r="N415" s="156"/>
      <c r="O415" s="157" t="s">
        <v>59</v>
      </c>
      <c r="P415" s="158">
        <v>40</v>
      </c>
      <c r="Q415" s="152" t="s">
        <v>76</v>
      </c>
      <c r="R415" s="152" t="s">
        <v>61</v>
      </c>
      <c r="S415" s="148" t="s">
        <v>1616</v>
      </c>
      <c r="T415" s="148">
        <v>0</v>
      </c>
      <c r="U415" s="159">
        <v>572</v>
      </c>
      <c r="V415" s="160" t="str">
        <f>VLOOKUP(U415,docentes!$A:$E,2,0)</f>
        <v>WILLIAM JOSE STEINLE</v>
      </c>
      <c r="W415" s="161" t="str">
        <f>VLOOKUP(U415,docentes!$A:$E,5,0)</f>
        <v>CCNH</v>
      </c>
      <c r="X415" s="162"/>
      <c r="Y415" s="163"/>
      <c r="Z415" s="164"/>
    </row>
    <row r="416" spans="1:35" s="44" customFormat="1" ht="66.75" customHeight="1">
      <c r="A416" s="148" t="s">
        <v>1336</v>
      </c>
      <c r="B416" s="146" t="s">
        <v>1617</v>
      </c>
      <c r="C416" s="149" t="s">
        <v>1613</v>
      </c>
      <c r="D416" s="150">
        <v>2</v>
      </c>
      <c r="E416" s="150" t="s">
        <v>1614</v>
      </c>
      <c r="F416" s="151" t="s">
        <v>1618</v>
      </c>
      <c r="G416" s="152">
        <v>4</v>
      </c>
      <c r="H416" s="152">
        <v>0</v>
      </c>
      <c r="I416" s="153">
        <v>4</v>
      </c>
      <c r="J416" s="154">
        <v>4</v>
      </c>
      <c r="K416" s="155">
        <v>0</v>
      </c>
      <c r="L416" s="148" t="s">
        <v>57</v>
      </c>
      <c r="M416" s="148" t="s">
        <v>58</v>
      </c>
      <c r="N416" s="151"/>
      <c r="O416" s="157" t="s">
        <v>59</v>
      </c>
      <c r="P416" s="158">
        <v>40</v>
      </c>
      <c r="Q416" s="152" t="s">
        <v>76</v>
      </c>
      <c r="R416" s="152" t="s">
        <v>70</v>
      </c>
      <c r="S416" s="148" t="s">
        <v>1619</v>
      </c>
      <c r="T416" s="148">
        <v>0</v>
      </c>
      <c r="U416" s="159">
        <v>572</v>
      </c>
      <c r="V416" s="160" t="str">
        <f>VLOOKUP(U416,docentes!$A:$E,2,0)</f>
        <v>WILLIAM JOSE STEINLE</v>
      </c>
      <c r="W416" s="161" t="str">
        <f>VLOOKUP(U416,docentes!$A:$E,5,0)</f>
        <v>CCNH</v>
      </c>
      <c r="X416" s="162"/>
      <c r="Y416" s="163"/>
      <c r="Z416" s="164"/>
    </row>
    <row r="417" spans="1:35" s="44" customFormat="1" ht="66.75" customHeight="1">
      <c r="A417" s="148" t="s">
        <v>157</v>
      </c>
      <c r="B417" s="146" t="s">
        <v>1620</v>
      </c>
      <c r="C417" s="149" t="s">
        <v>1621</v>
      </c>
      <c r="D417" s="150">
        <v>2</v>
      </c>
      <c r="E417" s="150" t="s">
        <v>1622</v>
      </c>
      <c r="F417" s="151" t="s">
        <v>1623</v>
      </c>
      <c r="G417" s="152">
        <v>4</v>
      </c>
      <c r="H417" s="152">
        <v>0</v>
      </c>
      <c r="I417" s="153">
        <v>4</v>
      </c>
      <c r="J417" s="154">
        <v>4</v>
      </c>
      <c r="K417" s="155">
        <v>0</v>
      </c>
      <c r="L417" s="148" t="s">
        <v>902</v>
      </c>
      <c r="M417" s="148" t="s">
        <v>58</v>
      </c>
      <c r="N417" s="178"/>
      <c r="O417" s="165" t="s">
        <v>1624</v>
      </c>
      <c r="P417" s="158">
        <v>60</v>
      </c>
      <c r="Q417" s="152" t="s">
        <v>76</v>
      </c>
      <c r="R417" s="152" t="s">
        <v>61</v>
      </c>
      <c r="S417" s="148" t="s">
        <v>1625</v>
      </c>
      <c r="T417" s="148">
        <v>0</v>
      </c>
      <c r="U417" s="159">
        <v>478</v>
      </c>
      <c r="V417" s="160" t="str">
        <f>VLOOKUP(U417,docentes!$A:$E,2,0)</f>
        <v>RENATO RODRIGUES KINOUCHI</v>
      </c>
      <c r="W417" s="161" t="str">
        <f>VLOOKUP(U417,docentes!$A:$E,5,0)</f>
        <v>CCNH</v>
      </c>
      <c r="X417" s="162"/>
      <c r="Y417" s="163"/>
      <c r="Z417" s="164"/>
    </row>
    <row r="418" spans="1:35" s="44" customFormat="1" ht="66.75" customHeight="1">
      <c r="A418" s="148" t="s">
        <v>157</v>
      </c>
      <c r="B418" s="146" t="s">
        <v>1626</v>
      </c>
      <c r="C418" s="149" t="s">
        <v>1621</v>
      </c>
      <c r="D418" s="150">
        <v>2</v>
      </c>
      <c r="E418" s="150" t="s">
        <v>1622</v>
      </c>
      <c r="F418" s="151" t="s">
        <v>1627</v>
      </c>
      <c r="G418" s="152">
        <v>4</v>
      </c>
      <c r="H418" s="152">
        <v>0</v>
      </c>
      <c r="I418" s="153">
        <v>4</v>
      </c>
      <c r="J418" s="154">
        <v>4</v>
      </c>
      <c r="K418" s="155">
        <v>0</v>
      </c>
      <c r="L418" s="148" t="s">
        <v>57</v>
      </c>
      <c r="M418" s="148" t="s">
        <v>58</v>
      </c>
      <c r="N418" s="178"/>
      <c r="O418" s="157" t="s">
        <v>59</v>
      </c>
      <c r="P418" s="158">
        <v>40</v>
      </c>
      <c r="Q418" s="152" t="s">
        <v>76</v>
      </c>
      <c r="R418" s="152" t="s">
        <v>70</v>
      </c>
      <c r="S418" s="148" t="s">
        <v>1628</v>
      </c>
      <c r="T418" s="148">
        <v>0</v>
      </c>
      <c r="U418" s="159">
        <v>390</v>
      </c>
      <c r="V418" s="160" t="str">
        <f>VLOOKUP(U418,docentes!$A:$E,2,0)</f>
        <v>MARIA CECILIA LEONEL GOMES DOS REIS</v>
      </c>
      <c r="W418" s="161" t="str">
        <f>VLOOKUP(U418,docentes!$A:$E,5,0)</f>
        <v>CCNH</v>
      </c>
      <c r="X418" s="162"/>
      <c r="Y418" s="163"/>
      <c r="Z418" s="164"/>
    </row>
    <row r="419" spans="1:35" s="44" customFormat="1" ht="66.75" customHeight="1">
      <c r="A419" s="148" t="s">
        <v>157</v>
      </c>
      <c r="B419" s="146" t="s">
        <v>1629</v>
      </c>
      <c r="C419" s="149" t="s">
        <v>1630</v>
      </c>
      <c r="D419" s="150">
        <v>2</v>
      </c>
      <c r="E419" s="150" t="s">
        <v>1631</v>
      </c>
      <c r="F419" s="151" t="s">
        <v>1632</v>
      </c>
      <c r="G419" s="152">
        <v>4</v>
      </c>
      <c r="H419" s="152">
        <v>0</v>
      </c>
      <c r="I419" s="153">
        <v>4</v>
      </c>
      <c r="J419" s="154">
        <v>4</v>
      </c>
      <c r="K419" s="155">
        <v>0</v>
      </c>
      <c r="L419" s="148" t="s">
        <v>57</v>
      </c>
      <c r="M419" s="148" t="s">
        <v>58</v>
      </c>
      <c r="N419" s="178"/>
      <c r="O419" s="157" t="s">
        <v>59</v>
      </c>
      <c r="P419" s="158">
        <v>40</v>
      </c>
      <c r="Q419" s="152" t="s">
        <v>76</v>
      </c>
      <c r="R419" s="152" t="s">
        <v>61</v>
      </c>
      <c r="S419" s="148" t="s">
        <v>1633</v>
      </c>
      <c r="T419" s="148">
        <v>0</v>
      </c>
      <c r="U419" s="159">
        <v>446</v>
      </c>
      <c r="V419" s="160" t="str">
        <f>VLOOKUP(U419,docentes!$A:$E,2,0)</f>
        <v>PATRICIA DEL NERO VELASCO</v>
      </c>
      <c r="W419" s="161" t="str">
        <f>VLOOKUP(U419,docentes!$A:$E,5,0)</f>
        <v>CCNH</v>
      </c>
      <c r="X419" s="162"/>
      <c r="Y419" s="163"/>
      <c r="Z419" s="164"/>
    </row>
    <row r="420" spans="1:35" s="44" customFormat="1" ht="66.75" customHeight="1">
      <c r="A420" s="148" t="s">
        <v>157</v>
      </c>
      <c r="B420" s="146" t="s">
        <v>1634</v>
      </c>
      <c r="C420" s="149" t="s">
        <v>1630</v>
      </c>
      <c r="D420" s="150">
        <v>2</v>
      </c>
      <c r="E420" s="150" t="s">
        <v>1631</v>
      </c>
      <c r="F420" s="151" t="s">
        <v>1635</v>
      </c>
      <c r="G420" s="152">
        <v>4</v>
      </c>
      <c r="H420" s="152">
        <v>0</v>
      </c>
      <c r="I420" s="153">
        <v>4</v>
      </c>
      <c r="J420" s="154">
        <v>4</v>
      </c>
      <c r="K420" s="155">
        <v>0</v>
      </c>
      <c r="L420" s="148" t="s">
        <v>57</v>
      </c>
      <c r="M420" s="148" t="s">
        <v>58</v>
      </c>
      <c r="N420" s="178"/>
      <c r="O420" s="157" t="s">
        <v>59</v>
      </c>
      <c r="P420" s="158">
        <v>40</v>
      </c>
      <c r="Q420" s="152" t="s">
        <v>76</v>
      </c>
      <c r="R420" s="152" t="s">
        <v>70</v>
      </c>
      <c r="S420" s="148" t="s">
        <v>1636</v>
      </c>
      <c r="T420" s="148">
        <v>0</v>
      </c>
      <c r="U420" s="159">
        <v>446</v>
      </c>
      <c r="V420" s="160" t="str">
        <f>VLOOKUP(U420,docentes!$A:$E,2,0)</f>
        <v>PATRICIA DEL NERO VELASCO</v>
      </c>
      <c r="W420" s="161" t="str">
        <f>VLOOKUP(U420,docentes!$A:$E,5,0)</f>
        <v>CCNH</v>
      </c>
      <c r="X420" s="162"/>
      <c r="Y420" s="163"/>
      <c r="Z420" s="164"/>
      <c r="AH420" s="45"/>
      <c r="AI420" s="45"/>
    </row>
    <row r="421" spans="1:35" s="44" customFormat="1" ht="66.75" customHeight="1">
      <c r="A421" s="148" t="s">
        <v>1336</v>
      </c>
      <c r="B421" s="146" t="s">
        <v>1637</v>
      </c>
      <c r="C421" s="149" t="s">
        <v>1638</v>
      </c>
      <c r="D421" s="150">
        <v>2</v>
      </c>
      <c r="E421" s="150" t="s">
        <v>1639</v>
      </c>
      <c r="F421" s="151" t="s">
        <v>1640</v>
      </c>
      <c r="G421" s="152">
        <v>4</v>
      </c>
      <c r="H421" s="152">
        <v>0</v>
      </c>
      <c r="I421" s="153">
        <v>4</v>
      </c>
      <c r="J421" s="154">
        <v>4</v>
      </c>
      <c r="K421" s="155">
        <v>0</v>
      </c>
      <c r="L421" s="148" t="s">
        <v>57</v>
      </c>
      <c r="M421" s="148" t="s">
        <v>58</v>
      </c>
      <c r="N421" s="156"/>
      <c r="O421" s="157" t="s">
        <v>59</v>
      </c>
      <c r="P421" s="158">
        <v>40</v>
      </c>
      <c r="Q421" s="152" t="s">
        <v>76</v>
      </c>
      <c r="R421" s="152" t="s">
        <v>61</v>
      </c>
      <c r="S421" s="148" t="s">
        <v>1641</v>
      </c>
      <c r="T421" s="148">
        <v>0</v>
      </c>
      <c r="U421" s="159">
        <v>451</v>
      </c>
      <c r="V421" s="160" t="str">
        <f>VLOOKUP(U421,docentes!$A:$E,2,0)</f>
        <v>PAULA PRISCILA BRAGA</v>
      </c>
      <c r="W421" s="161" t="str">
        <f>VLOOKUP(U421,docentes!$A:$E,5,0)</f>
        <v>CCNH</v>
      </c>
      <c r="X421" s="162"/>
      <c r="Y421" s="163"/>
      <c r="Z421" s="164"/>
    </row>
    <row r="422" spans="1:35" s="44" customFormat="1" ht="66.75" customHeight="1">
      <c r="A422" s="148" t="s">
        <v>1336</v>
      </c>
      <c r="B422" s="146" t="s">
        <v>1642</v>
      </c>
      <c r="C422" s="149" t="s">
        <v>1638</v>
      </c>
      <c r="D422" s="150">
        <v>2</v>
      </c>
      <c r="E422" s="150" t="s">
        <v>1639</v>
      </c>
      <c r="F422" s="151" t="s">
        <v>1643</v>
      </c>
      <c r="G422" s="152">
        <v>4</v>
      </c>
      <c r="H422" s="152">
        <v>0</v>
      </c>
      <c r="I422" s="153">
        <v>4</v>
      </c>
      <c r="J422" s="154">
        <v>4</v>
      </c>
      <c r="K422" s="155">
        <v>0</v>
      </c>
      <c r="L422" s="148" t="s">
        <v>57</v>
      </c>
      <c r="M422" s="148" t="s">
        <v>58</v>
      </c>
      <c r="N422" s="156"/>
      <c r="O422" s="157" t="s">
        <v>59</v>
      </c>
      <c r="P422" s="158">
        <v>40</v>
      </c>
      <c r="Q422" s="152" t="s">
        <v>76</v>
      </c>
      <c r="R422" s="152" t="s">
        <v>70</v>
      </c>
      <c r="S422" s="148" t="s">
        <v>1644</v>
      </c>
      <c r="T422" s="148">
        <v>0</v>
      </c>
      <c r="U422" s="159">
        <v>451</v>
      </c>
      <c r="V422" s="160" t="str">
        <f>VLOOKUP(U422,docentes!$A:$E,2,0)</f>
        <v>PAULA PRISCILA BRAGA</v>
      </c>
      <c r="W422" s="161" t="str">
        <f>VLOOKUP(U422,docentes!$A:$E,5,0)</f>
        <v>CCNH</v>
      </c>
      <c r="X422" s="162"/>
      <c r="Y422" s="163"/>
      <c r="Z422" s="164"/>
    </row>
    <row r="423" spans="1:35" s="44" customFormat="1" ht="66.75" customHeight="1">
      <c r="A423" s="148" t="s">
        <v>1336</v>
      </c>
      <c r="B423" s="146" t="s">
        <v>1645</v>
      </c>
      <c r="C423" s="149" t="s">
        <v>1646</v>
      </c>
      <c r="D423" s="150">
        <v>2</v>
      </c>
      <c r="E423" s="150" t="s">
        <v>1647</v>
      </c>
      <c r="F423" s="151" t="s">
        <v>1648</v>
      </c>
      <c r="G423" s="152">
        <v>4</v>
      </c>
      <c r="H423" s="152">
        <v>0</v>
      </c>
      <c r="I423" s="153">
        <v>4</v>
      </c>
      <c r="J423" s="154">
        <v>4</v>
      </c>
      <c r="K423" s="155">
        <v>0</v>
      </c>
      <c r="L423" s="148" t="s">
        <v>57</v>
      </c>
      <c r="M423" s="148" t="s">
        <v>58</v>
      </c>
      <c r="N423" s="156"/>
      <c r="O423" s="157" t="s">
        <v>59</v>
      </c>
      <c r="P423" s="158">
        <v>40</v>
      </c>
      <c r="Q423" s="152" t="s">
        <v>76</v>
      </c>
      <c r="R423" s="152" t="s">
        <v>61</v>
      </c>
      <c r="S423" s="148" t="s">
        <v>1649</v>
      </c>
      <c r="T423" s="148">
        <v>0</v>
      </c>
      <c r="U423" s="159">
        <v>1016</v>
      </c>
      <c r="V423" s="160" t="str">
        <f>VLOOKUP(U423,docentes!$A:$E,2,0)</f>
        <v>Professor visitante Filosofia</v>
      </c>
      <c r="W423" s="161">
        <f>VLOOKUP(U423,docentes!$A:$E,5,0)</f>
        <v>0</v>
      </c>
      <c r="X423" s="162"/>
      <c r="Y423" s="163"/>
      <c r="Z423" s="164"/>
    </row>
    <row r="424" spans="1:35" s="44" customFormat="1" ht="66.75" customHeight="1">
      <c r="A424" s="148" t="s">
        <v>1336</v>
      </c>
      <c r="B424" s="146" t="s">
        <v>1650</v>
      </c>
      <c r="C424" s="149" t="s">
        <v>1646</v>
      </c>
      <c r="D424" s="150">
        <v>2</v>
      </c>
      <c r="E424" s="150" t="s">
        <v>1647</v>
      </c>
      <c r="F424" s="151" t="s">
        <v>1651</v>
      </c>
      <c r="G424" s="152">
        <v>4</v>
      </c>
      <c r="H424" s="152">
        <v>0</v>
      </c>
      <c r="I424" s="153">
        <v>4</v>
      </c>
      <c r="J424" s="154">
        <v>4</v>
      </c>
      <c r="K424" s="155">
        <v>0</v>
      </c>
      <c r="L424" s="148" t="s">
        <v>57</v>
      </c>
      <c r="M424" s="148" t="s">
        <v>58</v>
      </c>
      <c r="N424" s="156"/>
      <c r="O424" s="157" t="s">
        <v>59</v>
      </c>
      <c r="P424" s="158">
        <v>40</v>
      </c>
      <c r="Q424" s="152" t="s">
        <v>76</v>
      </c>
      <c r="R424" s="152" t="s">
        <v>70</v>
      </c>
      <c r="S424" s="148" t="s">
        <v>1652</v>
      </c>
      <c r="T424" s="148">
        <v>0</v>
      </c>
      <c r="U424" s="159">
        <v>1016</v>
      </c>
      <c r="V424" s="160" t="str">
        <f>VLOOKUP(U424,docentes!$A:$E,2,0)</f>
        <v>Professor visitante Filosofia</v>
      </c>
      <c r="W424" s="161">
        <f>VLOOKUP(U424,docentes!$A:$E,5,0)</f>
        <v>0</v>
      </c>
      <c r="X424" s="162"/>
      <c r="Y424" s="163"/>
      <c r="Z424" s="164"/>
    </row>
    <row r="425" spans="1:35" s="44" customFormat="1" ht="66.75" customHeight="1">
      <c r="A425" s="148" t="s">
        <v>84</v>
      </c>
      <c r="B425" s="146" t="s">
        <v>1653</v>
      </c>
      <c r="C425" s="149" t="s">
        <v>1654</v>
      </c>
      <c r="D425" s="150">
        <v>2</v>
      </c>
      <c r="E425" s="150" t="s">
        <v>1655</v>
      </c>
      <c r="F425" s="151" t="s">
        <v>1656</v>
      </c>
      <c r="G425" s="152">
        <v>4</v>
      </c>
      <c r="H425" s="152">
        <v>0</v>
      </c>
      <c r="I425" s="153">
        <v>4</v>
      </c>
      <c r="J425" s="154">
        <v>4</v>
      </c>
      <c r="K425" s="155">
        <v>0</v>
      </c>
      <c r="L425" s="148" t="s">
        <v>57</v>
      </c>
      <c r="M425" s="148" t="s">
        <v>58</v>
      </c>
      <c r="N425" s="156"/>
      <c r="O425" s="157" t="s">
        <v>59</v>
      </c>
      <c r="P425" s="158">
        <v>60</v>
      </c>
      <c r="Q425" s="152" t="s">
        <v>76</v>
      </c>
      <c r="R425" s="152" t="s">
        <v>61</v>
      </c>
      <c r="S425" s="148" t="s">
        <v>1657</v>
      </c>
      <c r="T425" s="148">
        <v>0</v>
      </c>
      <c r="U425" s="159">
        <v>169</v>
      </c>
      <c r="V425" s="160" t="str">
        <f>VLOOKUP(U425,docentes!$A:$E,2,0)</f>
        <v>EVANDIR MEGLIORINI</v>
      </c>
      <c r="W425" s="161" t="str">
        <f>VLOOKUP(U425,docentes!$A:$E,5,0)</f>
        <v>CECS</v>
      </c>
      <c r="X425" s="162"/>
      <c r="Y425" s="163"/>
      <c r="Z425" s="164"/>
    </row>
    <row r="426" spans="1:35" s="44" customFormat="1" ht="66.75" customHeight="1">
      <c r="A426" s="148" t="s">
        <v>84</v>
      </c>
      <c r="B426" s="146" t="s">
        <v>1658</v>
      </c>
      <c r="C426" s="149" t="s">
        <v>1654</v>
      </c>
      <c r="D426" s="150">
        <v>2</v>
      </c>
      <c r="E426" s="150" t="s">
        <v>1655</v>
      </c>
      <c r="F426" s="151" t="s">
        <v>1659</v>
      </c>
      <c r="G426" s="152">
        <v>4</v>
      </c>
      <c r="H426" s="152">
        <v>0</v>
      </c>
      <c r="I426" s="153">
        <v>4</v>
      </c>
      <c r="J426" s="154">
        <v>4</v>
      </c>
      <c r="K426" s="155">
        <v>0</v>
      </c>
      <c r="L426" s="148" t="s">
        <v>57</v>
      </c>
      <c r="M426" s="148" t="s">
        <v>58</v>
      </c>
      <c r="N426" s="156"/>
      <c r="O426" s="157" t="s">
        <v>59</v>
      </c>
      <c r="P426" s="158">
        <v>90</v>
      </c>
      <c r="Q426" s="152" t="s">
        <v>76</v>
      </c>
      <c r="R426" s="152" t="s">
        <v>70</v>
      </c>
      <c r="S426" s="148" t="s">
        <v>1660</v>
      </c>
      <c r="T426" s="148">
        <v>0</v>
      </c>
      <c r="U426" s="159">
        <v>169</v>
      </c>
      <c r="V426" s="160" t="str">
        <f>VLOOKUP(U426,docentes!$A:$E,2,0)</f>
        <v>EVANDIR MEGLIORINI</v>
      </c>
      <c r="W426" s="161" t="str">
        <f>VLOOKUP(U426,docentes!$A:$E,5,0)</f>
        <v>CECS</v>
      </c>
      <c r="X426" s="162"/>
      <c r="Y426" s="163"/>
      <c r="Z426" s="164"/>
    </row>
    <row r="427" spans="1:35" s="44" customFormat="1" ht="66.75" customHeight="1">
      <c r="A427" s="148" t="s">
        <v>84</v>
      </c>
      <c r="B427" s="146" t="s">
        <v>1661</v>
      </c>
      <c r="C427" s="149" t="s">
        <v>1662</v>
      </c>
      <c r="D427" s="150">
        <v>2</v>
      </c>
      <c r="E427" s="150" t="s">
        <v>1663</v>
      </c>
      <c r="F427" s="151" t="s">
        <v>1664</v>
      </c>
      <c r="G427" s="152">
        <v>4</v>
      </c>
      <c r="H427" s="152">
        <v>0</v>
      </c>
      <c r="I427" s="153">
        <v>3</v>
      </c>
      <c r="J427" s="154">
        <v>4</v>
      </c>
      <c r="K427" s="155">
        <v>0</v>
      </c>
      <c r="L427" s="148" t="s">
        <v>57</v>
      </c>
      <c r="M427" s="148" t="s">
        <v>58</v>
      </c>
      <c r="N427" s="156"/>
      <c r="O427" s="157" t="s">
        <v>59</v>
      </c>
      <c r="P427" s="158">
        <v>60</v>
      </c>
      <c r="Q427" s="152" t="s">
        <v>76</v>
      </c>
      <c r="R427" s="152" t="s">
        <v>61</v>
      </c>
      <c r="S427" s="148" t="s">
        <v>1665</v>
      </c>
      <c r="T427" s="148">
        <v>0</v>
      </c>
      <c r="U427" s="159">
        <v>483</v>
      </c>
      <c r="V427" s="160" t="str">
        <f>VLOOKUP(U427,docentes!$A:$E,2,0)</f>
        <v>RICARDO BUSCARIOLLI PEREIRA</v>
      </c>
      <c r="W427" s="161" t="str">
        <f>VLOOKUP(U427,docentes!$A:$E,5,0)</f>
        <v>CECS</v>
      </c>
      <c r="X427" s="162"/>
      <c r="Y427" s="163"/>
      <c r="Z427" s="164"/>
    </row>
    <row r="428" spans="1:35" s="44" customFormat="1" ht="66.75" customHeight="1">
      <c r="A428" s="148" t="s">
        <v>84</v>
      </c>
      <c r="B428" s="146" t="s">
        <v>1666</v>
      </c>
      <c r="C428" s="149" t="s">
        <v>1662</v>
      </c>
      <c r="D428" s="150">
        <v>2</v>
      </c>
      <c r="E428" s="150" t="s">
        <v>1663</v>
      </c>
      <c r="F428" s="151" t="s">
        <v>1667</v>
      </c>
      <c r="G428" s="152">
        <v>4</v>
      </c>
      <c r="H428" s="152">
        <v>0</v>
      </c>
      <c r="I428" s="153">
        <v>3</v>
      </c>
      <c r="J428" s="154">
        <v>4</v>
      </c>
      <c r="K428" s="155">
        <v>0</v>
      </c>
      <c r="L428" s="148" t="s">
        <v>57</v>
      </c>
      <c r="M428" s="148" t="s">
        <v>58</v>
      </c>
      <c r="N428" s="156"/>
      <c r="O428" s="157" t="s">
        <v>59</v>
      </c>
      <c r="P428" s="158">
        <v>90</v>
      </c>
      <c r="Q428" s="152" t="s">
        <v>76</v>
      </c>
      <c r="R428" s="152" t="s">
        <v>70</v>
      </c>
      <c r="S428" s="148" t="s">
        <v>1668</v>
      </c>
      <c r="T428" s="148">
        <v>0</v>
      </c>
      <c r="U428" s="159">
        <v>483</v>
      </c>
      <c r="V428" s="160" t="str">
        <f>VLOOKUP(U428,docentes!$A:$E,2,0)</f>
        <v>RICARDO BUSCARIOLLI PEREIRA</v>
      </c>
      <c r="W428" s="161" t="str">
        <f>VLOOKUP(U428,docentes!$A:$E,5,0)</f>
        <v>CECS</v>
      </c>
      <c r="X428" s="162"/>
      <c r="Y428" s="163"/>
      <c r="Z428" s="164"/>
    </row>
    <row r="429" spans="1:35" s="44" customFormat="1" ht="66.75" customHeight="1">
      <c r="A429" s="148" t="s">
        <v>915</v>
      </c>
      <c r="B429" s="146" t="s">
        <v>1669</v>
      </c>
      <c r="C429" s="149" t="s">
        <v>1670</v>
      </c>
      <c r="D429" s="150">
        <v>1</v>
      </c>
      <c r="E429" s="150" t="s">
        <v>1671</v>
      </c>
      <c r="F429" s="151" t="s">
        <v>1672</v>
      </c>
      <c r="G429" s="152">
        <v>3</v>
      </c>
      <c r="H429" s="152">
        <v>1</v>
      </c>
      <c r="I429" s="153">
        <v>4</v>
      </c>
      <c r="J429" s="154">
        <v>3</v>
      </c>
      <c r="K429" s="155">
        <v>1</v>
      </c>
      <c r="L429" s="148" t="s">
        <v>57</v>
      </c>
      <c r="M429" s="148" t="s">
        <v>58</v>
      </c>
      <c r="N429" s="156"/>
      <c r="O429" s="157" t="s">
        <v>59</v>
      </c>
      <c r="P429" s="158">
        <v>30</v>
      </c>
      <c r="Q429" s="152" t="s">
        <v>60</v>
      </c>
      <c r="R429" s="152" t="s">
        <v>61</v>
      </c>
      <c r="S429" s="148">
        <v>0</v>
      </c>
      <c r="T429" s="148" t="s">
        <v>1673</v>
      </c>
      <c r="U429" s="159">
        <v>1012</v>
      </c>
      <c r="V429" s="160" t="str">
        <f>VLOOKUP(U429,docentes!$A:$E,2,0)</f>
        <v>LUANA SUCUPIRA PEDROZA</v>
      </c>
      <c r="W429" s="161" t="str">
        <f>VLOOKUP(U429,docentes!$A:$E,5,0)</f>
        <v>CCNH</v>
      </c>
      <c r="X429" s="176">
        <v>1012</v>
      </c>
      <c r="Y429" s="160" t="str">
        <f>VLOOKUP(X429,docentes!$A:$E,2,0)</f>
        <v>LUANA SUCUPIRA PEDROZA</v>
      </c>
      <c r="Z429" s="177" t="str">
        <f>VLOOKUP(X429,docentes!$A:$E,5,0)</f>
        <v>CCNH</v>
      </c>
    </row>
    <row r="430" spans="1:35" s="44" customFormat="1" ht="66.75" customHeight="1">
      <c r="A430" s="148" t="s">
        <v>915</v>
      </c>
      <c r="B430" s="146" t="s">
        <v>1674</v>
      </c>
      <c r="C430" s="149" t="s">
        <v>1675</v>
      </c>
      <c r="D430" s="150">
        <v>1</v>
      </c>
      <c r="E430" s="150" t="s">
        <v>1676</v>
      </c>
      <c r="F430" s="151" t="s">
        <v>1677</v>
      </c>
      <c r="G430" s="152">
        <v>3</v>
      </c>
      <c r="H430" s="152">
        <v>1</v>
      </c>
      <c r="I430" s="153">
        <v>4</v>
      </c>
      <c r="J430" s="154">
        <v>3</v>
      </c>
      <c r="K430" s="155">
        <v>1</v>
      </c>
      <c r="L430" s="148" t="s">
        <v>57</v>
      </c>
      <c r="M430" s="148" t="s">
        <v>58</v>
      </c>
      <c r="N430" s="156"/>
      <c r="O430" s="157" t="s">
        <v>59</v>
      </c>
      <c r="P430" s="158">
        <v>30</v>
      </c>
      <c r="Q430" s="152" t="s">
        <v>60</v>
      </c>
      <c r="R430" s="152" t="s">
        <v>61</v>
      </c>
      <c r="S430" s="148" t="s">
        <v>1678</v>
      </c>
      <c r="T430" s="148" t="s">
        <v>1679</v>
      </c>
      <c r="U430" s="159">
        <v>5</v>
      </c>
      <c r="V430" s="160" t="str">
        <f>VLOOKUP(U430,docentes!$A:$E,2,0)</f>
        <v>ADRIANO REINALDO VICOTO BENVENHO</v>
      </c>
      <c r="W430" s="161" t="str">
        <f>VLOOKUP(U430,docentes!$A:$E,5,0)</f>
        <v>CCNH</v>
      </c>
      <c r="X430" s="176">
        <v>5</v>
      </c>
      <c r="Y430" s="160" t="str">
        <f>VLOOKUP(X430,docentes!$A:$E,2,0)</f>
        <v>ADRIANO REINALDO VICOTO BENVENHO</v>
      </c>
      <c r="Z430" s="177" t="str">
        <f>VLOOKUP(X430,docentes!$A:$E,5,0)</f>
        <v>CCNH</v>
      </c>
    </row>
    <row r="431" spans="1:35" s="44" customFormat="1" ht="66.75" customHeight="1">
      <c r="A431" s="148" t="s">
        <v>915</v>
      </c>
      <c r="B431" s="146" t="s">
        <v>1680</v>
      </c>
      <c r="C431" s="149" t="s">
        <v>1681</v>
      </c>
      <c r="D431" s="150">
        <v>2</v>
      </c>
      <c r="E431" s="150" t="s">
        <v>1682</v>
      </c>
      <c r="F431" s="151" t="s">
        <v>1683</v>
      </c>
      <c r="G431" s="152">
        <v>3</v>
      </c>
      <c r="H431" s="152">
        <v>1</v>
      </c>
      <c r="I431" s="153">
        <v>4</v>
      </c>
      <c r="J431" s="154">
        <v>3</v>
      </c>
      <c r="K431" s="155">
        <v>1</v>
      </c>
      <c r="L431" s="148" t="s">
        <v>57</v>
      </c>
      <c r="M431" s="148" t="s">
        <v>58</v>
      </c>
      <c r="N431" s="156"/>
      <c r="O431" s="157" t="s">
        <v>59</v>
      </c>
      <c r="P431" s="158">
        <v>30</v>
      </c>
      <c r="Q431" s="152" t="s">
        <v>60</v>
      </c>
      <c r="R431" s="152" t="s">
        <v>61</v>
      </c>
      <c r="S431" s="148" t="s">
        <v>1684</v>
      </c>
      <c r="T431" s="148" t="s">
        <v>1685</v>
      </c>
      <c r="U431" s="159">
        <v>314</v>
      </c>
      <c r="V431" s="160" t="str">
        <f>VLOOKUP(U431,docentes!$A:$E,2,0)</f>
        <v>LAURA PAULUCCI MARINHO</v>
      </c>
      <c r="W431" s="161" t="str">
        <f>VLOOKUP(U431,docentes!$A:$E,5,0)</f>
        <v>CCNH</v>
      </c>
      <c r="X431" s="176">
        <v>314</v>
      </c>
      <c r="Y431" s="160" t="str">
        <f>VLOOKUP(X431,docentes!$A:$E,2,0)</f>
        <v>LAURA PAULUCCI MARINHO</v>
      </c>
      <c r="Z431" s="177" t="str">
        <f>VLOOKUP(X431,docentes!$A:$E,5,0)</f>
        <v>CCNH</v>
      </c>
    </row>
    <row r="432" spans="1:35" s="44" customFormat="1" ht="66.75" customHeight="1">
      <c r="A432" s="148" t="s">
        <v>915</v>
      </c>
      <c r="B432" s="146" t="s">
        <v>1686</v>
      </c>
      <c r="C432" s="149" t="s">
        <v>1681</v>
      </c>
      <c r="D432" s="150">
        <v>2</v>
      </c>
      <c r="E432" s="150" t="s">
        <v>1682</v>
      </c>
      <c r="F432" s="151" t="s">
        <v>1687</v>
      </c>
      <c r="G432" s="152">
        <v>3</v>
      </c>
      <c r="H432" s="152">
        <v>1</v>
      </c>
      <c r="I432" s="153">
        <v>4</v>
      </c>
      <c r="J432" s="154">
        <v>3</v>
      </c>
      <c r="K432" s="155">
        <v>1</v>
      </c>
      <c r="L432" s="148" t="s">
        <v>57</v>
      </c>
      <c r="M432" s="148" t="s">
        <v>1688</v>
      </c>
      <c r="N432" s="156"/>
      <c r="O432" s="157" t="s">
        <v>59</v>
      </c>
      <c r="P432" s="158">
        <v>30</v>
      </c>
      <c r="Q432" s="152" t="s">
        <v>60</v>
      </c>
      <c r="R432" s="152" t="s">
        <v>70</v>
      </c>
      <c r="S432" s="148" t="s">
        <v>1689</v>
      </c>
      <c r="T432" s="148" t="s">
        <v>1690</v>
      </c>
      <c r="U432" s="159">
        <v>5</v>
      </c>
      <c r="V432" s="160" t="str">
        <f>VLOOKUP(U432,docentes!$A:$E,2,0)</f>
        <v>ADRIANO REINALDO VICOTO BENVENHO</v>
      </c>
      <c r="W432" s="161" t="str">
        <f>VLOOKUP(U432,docentes!$A:$E,5,0)</f>
        <v>CCNH</v>
      </c>
      <c r="X432" s="176">
        <v>5</v>
      </c>
      <c r="Y432" s="160" t="str">
        <f>VLOOKUP(X432,docentes!$A:$E,2,0)</f>
        <v>ADRIANO REINALDO VICOTO BENVENHO</v>
      </c>
      <c r="Z432" s="177" t="str">
        <f>VLOOKUP(X432,docentes!$A:$E,5,0)</f>
        <v>CCNH</v>
      </c>
    </row>
    <row r="433" spans="1:35" s="44" customFormat="1" ht="66.75" customHeight="1">
      <c r="A433" s="148" t="s">
        <v>1000</v>
      </c>
      <c r="B433" s="146" t="s">
        <v>1691</v>
      </c>
      <c r="C433" s="149" t="s">
        <v>1692</v>
      </c>
      <c r="D433" s="150">
        <v>2</v>
      </c>
      <c r="E433" s="150" t="s">
        <v>1693</v>
      </c>
      <c r="F433" s="151" t="s">
        <v>1694</v>
      </c>
      <c r="G433" s="152">
        <v>4</v>
      </c>
      <c r="H433" s="152">
        <v>0</v>
      </c>
      <c r="I433" s="153">
        <v>4</v>
      </c>
      <c r="J433" s="154">
        <v>4</v>
      </c>
      <c r="K433" s="155">
        <v>0</v>
      </c>
      <c r="L433" s="148" t="s">
        <v>57</v>
      </c>
      <c r="M433" s="148" t="s">
        <v>58</v>
      </c>
      <c r="N433" s="178"/>
      <c r="O433" s="157" t="s">
        <v>59</v>
      </c>
      <c r="P433" s="158">
        <v>30</v>
      </c>
      <c r="Q433" s="152" t="s">
        <v>60</v>
      </c>
      <c r="R433" s="152" t="s">
        <v>61</v>
      </c>
      <c r="S433" s="148" t="s">
        <v>1695</v>
      </c>
      <c r="T433" s="148">
        <v>0</v>
      </c>
      <c r="U433" s="159">
        <v>365</v>
      </c>
      <c r="V433" s="160" t="str">
        <f>VLOOKUP(U433,docentes!$A:$E,2,0)</f>
        <v>MARCELO ZANOTELLO</v>
      </c>
      <c r="W433" s="161" t="str">
        <f>VLOOKUP(U433,docentes!$A:$E,5,0)</f>
        <v>CCNH</v>
      </c>
      <c r="X433" s="162"/>
      <c r="Y433" s="163"/>
      <c r="Z433" s="164"/>
    </row>
    <row r="434" spans="1:35" s="44" customFormat="1" ht="66.75" customHeight="1">
      <c r="A434" s="148" t="s">
        <v>1000</v>
      </c>
      <c r="B434" s="146" t="s">
        <v>1696</v>
      </c>
      <c r="C434" s="149" t="s">
        <v>1692</v>
      </c>
      <c r="D434" s="150">
        <v>2</v>
      </c>
      <c r="E434" s="150" t="s">
        <v>1693</v>
      </c>
      <c r="F434" s="151" t="s">
        <v>1697</v>
      </c>
      <c r="G434" s="152">
        <v>4</v>
      </c>
      <c r="H434" s="152">
        <v>0</v>
      </c>
      <c r="I434" s="153">
        <v>4</v>
      </c>
      <c r="J434" s="154">
        <v>4</v>
      </c>
      <c r="K434" s="155">
        <v>0</v>
      </c>
      <c r="L434" s="148" t="s">
        <v>57</v>
      </c>
      <c r="M434" s="148" t="s">
        <v>58</v>
      </c>
      <c r="N434" s="178"/>
      <c r="O434" s="157" t="s">
        <v>59</v>
      </c>
      <c r="P434" s="158">
        <v>30</v>
      </c>
      <c r="Q434" s="152" t="s">
        <v>60</v>
      </c>
      <c r="R434" s="152" t="s">
        <v>70</v>
      </c>
      <c r="S434" s="148" t="s">
        <v>1698</v>
      </c>
      <c r="T434" s="148">
        <v>0</v>
      </c>
      <c r="U434" s="159">
        <v>333</v>
      </c>
      <c r="V434" s="160" t="str">
        <f>VLOOKUP(U434,docentes!$A:$E,2,0)</f>
        <v>LUCIO CAMPOS COSTA</v>
      </c>
      <c r="W434" s="161" t="str">
        <f>VLOOKUP(U434,docentes!$A:$E,5,0)</f>
        <v>CCNH</v>
      </c>
      <c r="X434" s="162"/>
      <c r="Y434" s="163"/>
      <c r="Z434" s="164"/>
    </row>
    <row r="435" spans="1:35" s="44" customFormat="1" ht="66.75" customHeight="1">
      <c r="A435" s="148" t="s">
        <v>1126</v>
      </c>
      <c r="B435" s="146" t="s">
        <v>1699</v>
      </c>
      <c r="C435" s="149" t="s">
        <v>1700</v>
      </c>
      <c r="D435" s="150">
        <v>2</v>
      </c>
      <c r="E435" s="150" t="s">
        <v>1701</v>
      </c>
      <c r="F435" s="151" t="s">
        <v>1702</v>
      </c>
      <c r="G435" s="152">
        <v>0</v>
      </c>
      <c r="H435" s="152">
        <v>6</v>
      </c>
      <c r="I435" s="153">
        <v>7</v>
      </c>
      <c r="J435" s="154">
        <v>0</v>
      </c>
      <c r="K435" s="155">
        <v>6</v>
      </c>
      <c r="L435" s="148" t="s">
        <v>57</v>
      </c>
      <c r="M435" s="148" t="s">
        <v>58</v>
      </c>
      <c r="N435" s="156"/>
      <c r="O435" s="165" t="s">
        <v>810</v>
      </c>
      <c r="P435" s="158">
        <v>25</v>
      </c>
      <c r="Q435" s="152" t="s">
        <v>60</v>
      </c>
      <c r="R435" s="152" t="s">
        <v>61</v>
      </c>
      <c r="S435" s="148">
        <v>0</v>
      </c>
      <c r="T435" s="148" t="s">
        <v>1703</v>
      </c>
      <c r="U435" s="170">
        <v>261</v>
      </c>
      <c r="V435" s="163" t="str">
        <f>VLOOKUP(U435,docentes!$A:$E,2,0)</f>
        <v>JANAINA DE SOUZA GARCIA</v>
      </c>
      <c r="W435" s="171" t="str">
        <f>VLOOKUP(U435,docentes!$A:$E,5,0)</f>
        <v>CCNH</v>
      </c>
      <c r="X435" s="176">
        <v>261</v>
      </c>
      <c r="Y435" s="160" t="str">
        <f>VLOOKUP(X435,docentes!$A:$E,2,0)</f>
        <v>JANAINA DE SOUZA GARCIA</v>
      </c>
      <c r="Z435" s="177" t="str">
        <f>VLOOKUP(X435,docentes!$A:$E,5,0)</f>
        <v>CCNH</v>
      </c>
    </row>
    <row r="436" spans="1:35" s="44" customFormat="1" ht="66.75" customHeight="1">
      <c r="A436" s="148" t="s">
        <v>1126</v>
      </c>
      <c r="B436" s="146" t="s">
        <v>1704</v>
      </c>
      <c r="C436" s="149" t="s">
        <v>1700</v>
      </c>
      <c r="D436" s="150">
        <v>2</v>
      </c>
      <c r="E436" s="150" t="s">
        <v>1701</v>
      </c>
      <c r="F436" s="151" t="s">
        <v>1705</v>
      </c>
      <c r="G436" s="152">
        <v>0</v>
      </c>
      <c r="H436" s="152">
        <v>6</v>
      </c>
      <c r="I436" s="153">
        <v>7</v>
      </c>
      <c r="J436" s="154">
        <v>0</v>
      </c>
      <c r="K436" s="155">
        <v>6</v>
      </c>
      <c r="L436" s="148" t="s">
        <v>57</v>
      </c>
      <c r="M436" s="148" t="s">
        <v>58</v>
      </c>
      <c r="N436" s="156"/>
      <c r="O436" s="165" t="s">
        <v>810</v>
      </c>
      <c r="P436" s="158">
        <v>25</v>
      </c>
      <c r="Q436" s="152" t="s">
        <v>60</v>
      </c>
      <c r="R436" s="152" t="s">
        <v>70</v>
      </c>
      <c r="S436" s="148">
        <v>0</v>
      </c>
      <c r="T436" s="148" t="s">
        <v>1706</v>
      </c>
      <c r="U436" s="170">
        <v>185</v>
      </c>
      <c r="V436" s="163" t="str">
        <f>VLOOKUP(U436,docentes!$A:$E,2,0)</f>
        <v>FERNANDO CARLOS GIACOMELLI</v>
      </c>
      <c r="W436" s="171" t="str">
        <f>VLOOKUP(U436,docentes!$A:$E,5,0)</f>
        <v>CCNH</v>
      </c>
      <c r="X436" s="176">
        <v>185</v>
      </c>
      <c r="Y436" s="160" t="str">
        <f>VLOOKUP(X436,docentes!$A:$E,2,0)</f>
        <v>FERNANDO CARLOS GIACOMELLI</v>
      </c>
      <c r="Z436" s="177" t="str">
        <f>VLOOKUP(X436,docentes!$A:$E,5,0)</f>
        <v>CCNH</v>
      </c>
    </row>
    <row r="437" spans="1:35" s="44" customFormat="1" ht="66.75" customHeight="1">
      <c r="A437" s="148" t="s">
        <v>805</v>
      </c>
      <c r="B437" s="146" t="s">
        <v>1707</v>
      </c>
      <c r="C437" s="149" t="s">
        <v>1708</v>
      </c>
      <c r="D437" s="150">
        <v>1</v>
      </c>
      <c r="E437" s="150" t="s">
        <v>1709</v>
      </c>
      <c r="F437" s="151" t="s">
        <v>1710</v>
      </c>
      <c r="G437" s="152">
        <v>4</v>
      </c>
      <c r="H437" s="152">
        <v>0</v>
      </c>
      <c r="I437" s="153">
        <v>4</v>
      </c>
      <c r="J437" s="154">
        <v>4</v>
      </c>
      <c r="K437" s="155">
        <v>0</v>
      </c>
      <c r="L437" s="148" t="s">
        <v>57</v>
      </c>
      <c r="M437" s="148" t="s">
        <v>58</v>
      </c>
      <c r="N437" s="156">
        <v>0</v>
      </c>
      <c r="O437" s="165" t="s">
        <v>810</v>
      </c>
      <c r="P437" s="158">
        <v>60</v>
      </c>
      <c r="Q437" s="152" t="s">
        <v>60</v>
      </c>
      <c r="R437" s="152" t="s">
        <v>61</v>
      </c>
      <c r="S437" s="148" t="s">
        <v>1711</v>
      </c>
      <c r="T437" s="148">
        <v>0</v>
      </c>
      <c r="U437" s="159">
        <v>295</v>
      </c>
      <c r="V437" s="160" t="str">
        <f>VLOOKUP(U437,docentes!$A:$E,2,0)</f>
        <v>JOSE RUBENS MAIORINO</v>
      </c>
      <c r="W437" s="161" t="str">
        <f>VLOOKUP(U437,docentes!$A:$E,5,0)</f>
        <v>CECS</v>
      </c>
      <c r="X437" s="162">
        <v>295</v>
      </c>
      <c r="Y437" s="163" t="str">
        <f>VLOOKUP(X437,docentes!$A:$E,2,0)</f>
        <v>JOSE RUBENS MAIORINO</v>
      </c>
      <c r="Z437" s="164" t="str">
        <f>VLOOKUP(X437,docentes!$A:$E,5,0)</f>
        <v>CECS</v>
      </c>
      <c r="AB437" s="45"/>
    </row>
    <row r="438" spans="1:35" s="44" customFormat="1" ht="66.75" customHeight="1">
      <c r="A438" s="148" t="s">
        <v>193</v>
      </c>
      <c r="B438" s="146" t="s">
        <v>1712</v>
      </c>
      <c r="C438" s="149" t="s">
        <v>1713</v>
      </c>
      <c r="D438" s="150">
        <v>1</v>
      </c>
      <c r="E438" s="150" t="s">
        <v>1714</v>
      </c>
      <c r="F438" s="151" t="s">
        <v>1715</v>
      </c>
      <c r="G438" s="152">
        <v>4</v>
      </c>
      <c r="H438" s="152">
        <v>0</v>
      </c>
      <c r="I438" s="153">
        <v>4</v>
      </c>
      <c r="J438" s="154">
        <v>4</v>
      </c>
      <c r="K438" s="155">
        <v>0</v>
      </c>
      <c r="L438" s="148"/>
      <c r="M438" s="148"/>
      <c r="N438" s="151"/>
      <c r="O438" s="172" t="s">
        <v>1716</v>
      </c>
      <c r="P438" s="158">
        <v>40</v>
      </c>
      <c r="Q438" s="152" t="s">
        <v>76</v>
      </c>
      <c r="R438" s="152" t="s">
        <v>61</v>
      </c>
      <c r="S438" s="148" t="s">
        <v>1717</v>
      </c>
      <c r="T438" s="148"/>
      <c r="U438" s="159">
        <v>510</v>
      </c>
      <c r="V438" s="160" t="str">
        <f>VLOOKUP(U438,docentes!$A:$E,2,0)</f>
        <v>SALOMÃO BARROS XIMENES</v>
      </c>
      <c r="W438" s="161" t="str">
        <f>VLOOKUP(U438,docentes!$A:$E,5,0)</f>
        <v>CECS</v>
      </c>
      <c r="X438" s="162"/>
      <c r="Y438" s="163"/>
      <c r="Z438" s="164"/>
    </row>
    <row r="439" spans="1:35" s="44" customFormat="1" ht="66.75" customHeight="1">
      <c r="A439" s="148" t="s">
        <v>193</v>
      </c>
      <c r="B439" s="146" t="s">
        <v>1718</v>
      </c>
      <c r="C439" s="149" t="s">
        <v>1719</v>
      </c>
      <c r="D439" s="150">
        <v>1</v>
      </c>
      <c r="E439" s="150" t="s">
        <v>1714</v>
      </c>
      <c r="F439" s="151" t="s">
        <v>1720</v>
      </c>
      <c r="G439" s="152">
        <v>4</v>
      </c>
      <c r="H439" s="152">
        <v>0</v>
      </c>
      <c r="I439" s="153">
        <v>4</v>
      </c>
      <c r="J439" s="154">
        <v>4</v>
      </c>
      <c r="K439" s="155">
        <v>0</v>
      </c>
      <c r="L439" s="148" t="s">
        <v>976</v>
      </c>
      <c r="M439" s="148" t="s">
        <v>977</v>
      </c>
      <c r="N439" s="156"/>
      <c r="O439" s="165" t="s">
        <v>1721</v>
      </c>
      <c r="P439" s="158">
        <v>42</v>
      </c>
      <c r="Q439" s="152" t="s">
        <v>76</v>
      </c>
      <c r="R439" s="152" t="s">
        <v>70</v>
      </c>
      <c r="S439" s="148" t="s">
        <v>1722</v>
      </c>
      <c r="T439" s="148">
        <v>0</v>
      </c>
      <c r="U439" s="159">
        <v>510</v>
      </c>
      <c r="V439" s="160" t="str">
        <f>VLOOKUP(U439,docentes!$A:$E,2,0)</f>
        <v>SALOMÃO BARROS XIMENES</v>
      </c>
      <c r="W439" s="161" t="str">
        <f>VLOOKUP(U439,docentes!$A:$E,5,0)</f>
        <v>CECS</v>
      </c>
      <c r="X439" s="162"/>
      <c r="Y439" s="163"/>
      <c r="Z439" s="164"/>
    </row>
    <row r="440" spans="1:35" s="44" customFormat="1" ht="66.75" customHeight="1">
      <c r="A440" s="148" t="s">
        <v>1024</v>
      </c>
      <c r="B440" s="146" t="s">
        <v>1723</v>
      </c>
      <c r="C440" s="149" t="s">
        <v>1724</v>
      </c>
      <c r="D440" s="150">
        <v>2</v>
      </c>
      <c r="E440" s="150" t="s">
        <v>1725</v>
      </c>
      <c r="F440" s="151" t="s">
        <v>1726</v>
      </c>
      <c r="G440" s="152">
        <v>4</v>
      </c>
      <c r="H440" s="152">
        <v>0</v>
      </c>
      <c r="I440" s="153">
        <v>4</v>
      </c>
      <c r="J440" s="154">
        <v>4</v>
      </c>
      <c r="K440" s="155">
        <v>0</v>
      </c>
      <c r="L440" s="148" t="s">
        <v>97</v>
      </c>
      <c r="M440" s="148" t="s">
        <v>58</v>
      </c>
      <c r="N440" s="156"/>
      <c r="O440" s="157" t="s">
        <v>59</v>
      </c>
      <c r="P440" s="158">
        <v>60</v>
      </c>
      <c r="Q440" s="152" t="s">
        <v>76</v>
      </c>
      <c r="R440" s="152" t="s">
        <v>61</v>
      </c>
      <c r="S440" s="148" t="s">
        <v>1727</v>
      </c>
      <c r="T440" s="148">
        <v>0</v>
      </c>
      <c r="U440" s="159">
        <v>428</v>
      </c>
      <c r="V440" s="160" t="str">
        <f>VLOOKUP(U440,docentes!$A:$E,2,0)</f>
        <v>MURYATAN SANTANA BARBOSA</v>
      </c>
      <c r="W440" s="161" t="str">
        <f>VLOOKUP(U440,docentes!$A:$E,5,0)</f>
        <v>CECS</v>
      </c>
      <c r="X440" s="162"/>
      <c r="Y440" s="163"/>
      <c r="Z440" s="164"/>
    </row>
    <row r="441" spans="1:35" s="44" customFormat="1" ht="66.75" customHeight="1">
      <c r="A441" s="148" t="s">
        <v>1024</v>
      </c>
      <c r="B441" s="146" t="s">
        <v>1728</v>
      </c>
      <c r="C441" s="149" t="s">
        <v>1724</v>
      </c>
      <c r="D441" s="150">
        <v>2</v>
      </c>
      <c r="E441" s="150" t="s">
        <v>1725</v>
      </c>
      <c r="F441" s="151" t="s">
        <v>1729</v>
      </c>
      <c r="G441" s="152">
        <v>4</v>
      </c>
      <c r="H441" s="152">
        <v>0</v>
      </c>
      <c r="I441" s="153">
        <v>4</v>
      </c>
      <c r="J441" s="154">
        <v>4</v>
      </c>
      <c r="K441" s="155">
        <v>0</v>
      </c>
      <c r="L441" s="148" t="s">
        <v>97</v>
      </c>
      <c r="M441" s="148" t="s">
        <v>58</v>
      </c>
      <c r="N441" s="156"/>
      <c r="O441" s="157" t="s">
        <v>59</v>
      </c>
      <c r="P441" s="158">
        <v>60</v>
      </c>
      <c r="Q441" s="152" t="s">
        <v>76</v>
      </c>
      <c r="R441" s="152" t="s">
        <v>70</v>
      </c>
      <c r="S441" s="148" t="s">
        <v>1730</v>
      </c>
      <c r="T441" s="148">
        <v>0</v>
      </c>
      <c r="U441" s="159">
        <v>157</v>
      </c>
      <c r="V441" s="160" t="str">
        <f>VLOOKUP(U441,docentes!$A:$E,2,0)</f>
        <v>ELIAS DAVID MORALES MARTINEZ</v>
      </c>
      <c r="W441" s="161" t="str">
        <f>VLOOKUP(U441,docentes!$A:$E,5,0)</f>
        <v>CECS</v>
      </c>
      <c r="X441" s="162"/>
      <c r="Y441" s="163"/>
      <c r="Z441" s="164"/>
    </row>
    <row r="442" spans="1:35" s="44" customFormat="1" ht="66.75" customHeight="1">
      <c r="A442" s="148" t="s">
        <v>915</v>
      </c>
      <c r="B442" s="146" t="s">
        <v>1731</v>
      </c>
      <c r="C442" s="149" t="s">
        <v>1732</v>
      </c>
      <c r="D442" s="150">
        <v>2</v>
      </c>
      <c r="E442" s="150" t="s">
        <v>1733</v>
      </c>
      <c r="F442" s="151" t="s">
        <v>1734</v>
      </c>
      <c r="G442" s="152">
        <v>4</v>
      </c>
      <c r="H442" s="152">
        <v>0</v>
      </c>
      <c r="I442" s="153">
        <v>4</v>
      </c>
      <c r="J442" s="154">
        <v>4</v>
      </c>
      <c r="K442" s="155">
        <v>0</v>
      </c>
      <c r="L442" s="148" t="s">
        <v>57</v>
      </c>
      <c r="M442" s="148" t="s">
        <v>58</v>
      </c>
      <c r="N442" s="156"/>
      <c r="O442" s="157" t="s">
        <v>59</v>
      </c>
      <c r="P442" s="158">
        <v>30</v>
      </c>
      <c r="Q442" s="152" t="s">
        <v>60</v>
      </c>
      <c r="R442" s="152" t="s">
        <v>61</v>
      </c>
      <c r="S442" s="148" t="s">
        <v>1735</v>
      </c>
      <c r="T442" s="148">
        <v>0</v>
      </c>
      <c r="U442" s="159">
        <v>170</v>
      </c>
      <c r="V442" s="160" t="str">
        <f>VLOOKUP(U442,docentes!$A:$E,2,0)</f>
        <v>EVER ALDO ARROYO MONTERO</v>
      </c>
      <c r="W442" s="161" t="str">
        <f>VLOOKUP(U442,docentes!$A:$E,5,0)</f>
        <v>CCNH</v>
      </c>
      <c r="X442" s="162"/>
      <c r="Y442" s="163"/>
      <c r="Z442" s="164"/>
    </row>
    <row r="443" spans="1:35" s="44" customFormat="1" ht="66.75" customHeight="1">
      <c r="A443" s="148" t="s">
        <v>915</v>
      </c>
      <c r="B443" s="146" t="s">
        <v>1736</v>
      </c>
      <c r="C443" s="149" t="s">
        <v>1732</v>
      </c>
      <c r="D443" s="150">
        <v>2</v>
      </c>
      <c r="E443" s="150" t="s">
        <v>1733</v>
      </c>
      <c r="F443" s="151" t="s">
        <v>1737</v>
      </c>
      <c r="G443" s="152">
        <v>4</v>
      </c>
      <c r="H443" s="152">
        <v>0</v>
      </c>
      <c r="I443" s="153">
        <v>4</v>
      </c>
      <c r="J443" s="154">
        <v>4</v>
      </c>
      <c r="K443" s="155">
        <v>0</v>
      </c>
      <c r="L443" s="148" t="s">
        <v>57</v>
      </c>
      <c r="M443" s="148" t="s">
        <v>58</v>
      </c>
      <c r="N443" s="156"/>
      <c r="O443" s="157" t="s">
        <v>59</v>
      </c>
      <c r="P443" s="158">
        <v>30</v>
      </c>
      <c r="Q443" s="152" t="s">
        <v>60</v>
      </c>
      <c r="R443" s="152" t="s">
        <v>70</v>
      </c>
      <c r="S443" s="148" t="s">
        <v>1738</v>
      </c>
      <c r="T443" s="148">
        <v>0</v>
      </c>
      <c r="U443" s="159" t="e">
        <v>#N/A</v>
      </c>
      <c r="V443" s="160" t="e">
        <f>VLOOKUP(U443,docentes!$A:$E,2,0)</f>
        <v>#N/A</v>
      </c>
      <c r="W443" s="161" t="e">
        <f>VLOOKUP(U443,docentes!$A:$E,5,0)</f>
        <v>#N/A</v>
      </c>
      <c r="X443" s="162"/>
      <c r="Y443" s="163"/>
      <c r="Z443" s="164"/>
    </row>
    <row r="444" spans="1:35" s="44" customFormat="1" ht="66.75" customHeight="1">
      <c r="A444" s="148" t="s">
        <v>222</v>
      </c>
      <c r="B444" s="146" t="s">
        <v>1739</v>
      </c>
      <c r="C444" s="149" t="s">
        <v>1740</v>
      </c>
      <c r="D444" s="150">
        <v>4</v>
      </c>
      <c r="E444" s="150" t="s">
        <v>1741</v>
      </c>
      <c r="F444" s="151" t="s">
        <v>1742</v>
      </c>
      <c r="G444" s="152">
        <v>4</v>
      </c>
      <c r="H444" s="152">
        <v>0</v>
      </c>
      <c r="I444" s="153">
        <v>6</v>
      </c>
      <c r="J444" s="154">
        <v>4</v>
      </c>
      <c r="K444" s="155">
        <v>0</v>
      </c>
      <c r="L444" s="148" t="s">
        <v>57</v>
      </c>
      <c r="M444" s="148" t="s">
        <v>58</v>
      </c>
      <c r="N444" s="151"/>
      <c r="O444" s="157" t="s">
        <v>59</v>
      </c>
      <c r="P444" s="158">
        <v>93</v>
      </c>
      <c r="Q444" s="152" t="s">
        <v>60</v>
      </c>
      <c r="R444" s="152" t="s">
        <v>61</v>
      </c>
      <c r="S444" s="148" t="s">
        <v>1743</v>
      </c>
      <c r="T444" s="148">
        <v>0</v>
      </c>
      <c r="U444" s="159">
        <v>226</v>
      </c>
      <c r="V444" s="160" t="str">
        <f>VLOOKUP(U444,docentes!$A:$E,2,0)</f>
        <v>GORDANA MANIC</v>
      </c>
      <c r="W444" s="161" t="str">
        <f>VLOOKUP(U444,docentes!$A:$E,5,0)</f>
        <v>CMCC</v>
      </c>
      <c r="X444" s="162"/>
      <c r="Y444" s="163"/>
      <c r="Z444" s="164"/>
    </row>
    <row r="445" spans="1:35" s="44" customFormat="1" ht="66.75" customHeight="1">
      <c r="A445" s="148" t="s">
        <v>222</v>
      </c>
      <c r="B445" s="146" t="s">
        <v>1744</v>
      </c>
      <c r="C445" s="149" t="s">
        <v>1740</v>
      </c>
      <c r="D445" s="150">
        <v>4</v>
      </c>
      <c r="E445" s="150" t="s">
        <v>1741</v>
      </c>
      <c r="F445" s="151" t="s">
        <v>1745</v>
      </c>
      <c r="G445" s="152">
        <v>4</v>
      </c>
      <c r="H445" s="152">
        <v>0</v>
      </c>
      <c r="I445" s="153">
        <v>6</v>
      </c>
      <c r="J445" s="154">
        <v>4</v>
      </c>
      <c r="K445" s="155">
        <v>0</v>
      </c>
      <c r="L445" s="148" t="s">
        <v>57</v>
      </c>
      <c r="M445" s="148" t="s">
        <v>58</v>
      </c>
      <c r="N445" s="156"/>
      <c r="O445" s="157" t="s">
        <v>59</v>
      </c>
      <c r="P445" s="158">
        <v>90</v>
      </c>
      <c r="Q445" s="152" t="s">
        <v>76</v>
      </c>
      <c r="R445" s="152" t="s">
        <v>61</v>
      </c>
      <c r="S445" s="148" t="s">
        <v>1746</v>
      </c>
      <c r="T445" s="148">
        <v>0</v>
      </c>
      <c r="U445" s="159">
        <v>174</v>
      </c>
      <c r="V445" s="160" t="str">
        <f>VLOOKUP(U445,docentes!$A:$E,2,0)</f>
        <v>FABIANO GUSTAVO BRAGA BRITO</v>
      </c>
      <c r="W445" s="161" t="str">
        <f>VLOOKUP(U445,docentes!$A:$E,5,0)</f>
        <v>CMCC</v>
      </c>
      <c r="X445" s="162"/>
      <c r="Y445" s="163"/>
      <c r="Z445" s="164"/>
      <c r="AH445" s="45"/>
      <c r="AI445" s="45"/>
    </row>
    <row r="446" spans="1:35" s="44" customFormat="1" ht="66.75" customHeight="1">
      <c r="A446" s="148" t="s">
        <v>222</v>
      </c>
      <c r="B446" s="146" t="s">
        <v>1747</v>
      </c>
      <c r="C446" s="149" t="s">
        <v>1740</v>
      </c>
      <c r="D446" s="150">
        <v>4</v>
      </c>
      <c r="E446" s="150" t="s">
        <v>1741</v>
      </c>
      <c r="F446" s="151" t="s">
        <v>1748</v>
      </c>
      <c r="G446" s="152">
        <v>4</v>
      </c>
      <c r="H446" s="152">
        <v>0</v>
      </c>
      <c r="I446" s="153">
        <v>6</v>
      </c>
      <c r="J446" s="154">
        <v>4</v>
      </c>
      <c r="K446" s="155">
        <v>0</v>
      </c>
      <c r="L446" s="148" t="s">
        <v>57</v>
      </c>
      <c r="M446" s="148" t="s">
        <v>58</v>
      </c>
      <c r="N446" s="156"/>
      <c r="O446" s="157" t="s">
        <v>59</v>
      </c>
      <c r="P446" s="158">
        <v>93</v>
      </c>
      <c r="Q446" s="152" t="s">
        <v>60</v>
      </c>
      <c r="R446" s="152" t="s">
        <v>70</v>
      </c>
      <c r="S446" s="148" t="s">
        <v>1749</v>
      </c>
      <c r="T446" s="148">
        <v>0</v>
      </c>
      <c r="U446" s="159">
        <v>226</v>
      </c>
      <c r="V446" s="160" t="str">
        <f>VLOOKUP(U446,docentes!$A:$E,2,0)</f>
        <v>GORDANA MANIC</v>
      </c>
      <c r="W446" s="161" t="str">
        <f>VLOOKUP(U446,docentes!$A:$E,5,0)</f>
        <v>CMCC</v>
      </c>
      <c r="X446" s="162"/>
      <c r="Y446" s="163"/>
      <c r="Z446" s="164"/>
    </row>
    <row r="447" spans="1:35" s="44" customFormat="1" ht="66.75" customHeight="1">
      <c r="A447" s="148" t="s">
        <v>222</v>
      </c>
      <c r="B447" s="146" t="s">
        <v>1750</v>
      </c>
      <c r="C447" s="149" t="s">
        <v>1740</v>
      </c>
      <c r="D447" s="150">
        <v>4</v>
      </c>
      <c r="E447" s="150" t="s">
        <v>1741</v>
      </c>
      <c r="F447" s="151" t="s">
        <v>1751</v>
      </c>
      <c r="G447" s="152">
        <v>4</v>
      </c>
      <c r="H447" s="152">
        <v>0</v>
      </c>
      <c r="I447" s="153">
        <v>6</v>
      </c>
      <c r="J447" s="154">
        <v>4</v>
      </c>
      <c r="K447" s="155">
        <v>0</v>
      </c>
      <c r="L447" s="148" t="s">
        <v>57</v>
      </c>
      <c r="M447" s="148" t="s">
        <v>58</v>
      </c>
      <c r="N447" s="156"/>
      <c r="O447" s="157" t="s">
        <v>59</v>
      </c>
      <c r="P447" s="158">
        <v>90</v>
      </c>
      <c r="Q447" s="152" t="s">
        <v>76</v>
      </c>
      <c r="R447" s="152" t="s">
        <v>70</v>
      </c>
      <c r="S447" s="148" t="s">
        <v>1752</v>
      </c>
      <c r="T447" s="148">
        <v>0</v>
      </c>
      <c r="U447" s="159">
        <v>174</v>
      </c>
      <c r="V447" s="160" t="str">
        <f>VLOOKUP(U447,docentes!$A:$E,2,0)</f>
        <v>FABIANO GUSTAVO BRAGA BRITO</v>
      </c>
      <c r="W447" s="161" t="str">
        <f>VLOOKUP(U447,docentes!$A:$E,5,0)</f>
        <v>CMCC</v>
      </c>
      <c r="X447" s="162"/>
      <c r="Y447" s="163"/>
      <c r="Z447" s="164"/>
      <c r="AH447" s="45"/>
      <c r="AI447" s="45"/>
    </row>
    <row r="448" spans="1:35" s="44" customFormat="1" ht="66.75" customHeight="1">
      <c r="A448" s="148" t="s">
        <v>222</v>
      </c>
      <c r="B448" s="146" t="s">
        <v>1753</v>
      </c>
      <c r="C448" s="149" t="s">
        <v>1754</v>
      </c>
      <c r="D448" s="150">
        <v>7</v>
      </c>
      <c r="E448" s="150" t="s">
        <v>1755</v>
      </c>
      <c r="F448" s="151" t="s">
        <v>1756</v>
      </c>
      <c r="G448" s="152">
        <v>4</v>
      </c>
      <c r="H448" s="152">
        <v>0</v>
      </c>
      <c r="I448" s="153">
        <v>4</v>
      </c>
      <c r="J448" s="154">
        <v>4</v>
      </c>
      <c r="K448" s="155">
        <v>0</v>
      </c>
      <c r="L448" s="148" t="s">
        <v>67</v>
      </c>
      <c r="M448" s="148" t="s">
        <v>68</v>
      </c>
      <c r="N448" s="156"/>
      <c r="O448" s="165" t="s">
        <v>1757</v>
      </c>
      <c r="P448" s="158">
        <v>121</v>
      </c>
      <c r="Q448" s="152" t="s">
        <v>60</v>
      </c>
      <c r="R448" s="152" t="s">
        <v>61</v>
      </c>
      <c r="S448" s="148" t="s">
        <v>1758</v>
      </c>
      <c r="T448" s="148">
        <v>0</v>
      </c>
      <c r="U448" s="159">
        <v>574</v>
      </c>
      <c r="V448" s="160" t="str">
        <f>VLOOKUP(U448,docentes!$A:$E,2,0)</f>
        <v>ZHANNA GENNADYEVNA KUZNETSOVA</v>
      </c>
      <c r="W448" s="161" t="str">
        <f>VLOOKUP(U448,docentes!$A:$E,5,0)</f>
        <v>CMCC</v>
      </c>
      <c r="X448" s="162"/>
      <c r="Y448" s="163"/>
      <c r="Z448" s="164"/>
    </row>
    <row r="449" spans="1:35" s="44" customFormat="1" ht="66.75" customHeight="1">
      <c r="A449" s="148" t="s">
        <v>222</v>
      </c>
      <c r="B449" s="146" t="s">
        <v>1759</v>
      </c>
      <c r="C449" s="149" t="s">
        <v>1754</v>
      </c>
      <c r="D449" s="150">
        <v>7</v>
      </c>
      <c r="E449" s="150" t="s">
        <v>1755</v>
      </c>
      <c r="F449" s="151" t="s">
        <v>1760</v>
      </c>
      <c r="G449" s="152">
        <v>4</v>
      </c>
      <c r="H449" s="152">
        <v>0</v>
      </c>
      <c r="I449" s="153">
        <v>4</v>
      </c>
      <c r="J449" s="154">
        <v>4</v>
      </c>
      <c r="K449" s="155">
        <v>0</v>
      </c>
      <c r="L449" s="148" t="s">
        <v>57</v>
      </c>
      <c r="M449" s="148" t="s">
        <v>58</v>
      </c>
      <c r="N449" s="156"/>
      <c r="O449" s="157" t="s">
        <v>59</v>
      </c>
      <c r="P449" s="158">
        <v>90</v>
      </c>
      <c r="Q449" s="152" t="s">
        <v>76</v>
      </c>
      <c r="R449" s="152" t="s">
        <v>61</v>
      </c>
      <c r="S449" s="148" t="s">
        <v>1761</v>
      </c>
      <c r="T449" s="148">
        <v>0</v>
      </c>
      <c r="U449" s="159">
        <v>16</v>
      </c>
      <c r="V449" s="160" t="str">
        <f>VLOOKUP(U449,docentes!$A:$E,2,0)</f>
        <v>ALEXANDR KORNEV</v>
      </c>
      <c r="W449" s="161" t="str">
        <f>VLOOKUP(U449,docentes!$A:$E,5,0)</f>
        <v>CMCC</v>
      </c>
      <c r="X449" s="162"/>
      <c r="Y449" s="163"/>
      <c r="Z449" s="164"/>
    </row>
    <row r="450" spans="1:35" ht="66.75" customHeight="1">
      <c r="A450" s="148" t="s">
        <v>222</v>
      </c>
      <c r="B450" s="146" t="s">
        <v>1762</v>
      </c>
      <c r="C450" s="149" t="s">
        <v>1754</v>
      </c>
      <c r="D450" s="150">
        <v>7</v>
      </c>
      <c r="E450" s="150" t="s">
        <v>1755</v>
      </c>
      <c r="F450" s="151" t="s">
        <v>1763</v>
      </c>
      <c r="G450" s="152">
        <v>4</v>
      </c>
      <c r="H450" s="152">
        <v>0</v>
      </c>
      <c r="I450" s="153">
        <v>4</v>
      </c>
      <c r="J450" s="154">
        <v>4</v>
      </c>
      <c r="K450" s="155">
        <v>0</v>
      </c>
      <c r="L450" s="148" t="s">
        <v>67</v>
      </c>
      <c r="M450" s="148" t="s">
        <v>68</v>
      </c>
      <c r="N450" s="156">
        <v>121</v>
      </c>
      <c r="O450" s="165" t="s">
        <v>1757</v>
      </c>
      <c r="P450" s="158">
        <v>121</v>
      </c>
      <c r="Q450" s="152" t="s">
        <v>60</v>
      </c>
      <c r="R450" s="152" t="s">
        <v>70</v>
      </c>
      <c r="S450" s="148" t="s">
        <v>1764</v>
      </c>
      <c r="T450" s="148">
        <v>0</v>
      </c>
      <c r="U450" s="159">
        <v>487</v>
      </c>
      <c r="V450" s="160" t="str">
        <f>VLOOKUP(U450,docentes!$A:$E,2,0)</f>
        <v>RICARDO ROCAMORA PASZKO</v>
      </c>
      <c r="W450" s="161" t="str">
        <f>VLOOKUP(U450,docentes!$A:$E,5,0)</f>
        <v>CCNH</v>
      </c>
      <c r="X450" s="162"/>
      <c r="Y450" s="163"/>
      <c r="Z450" s="164"/>
      <c r="AA450" s="44"/>
      <c r="AB450" s="44"/>
      <c r="AC450" s="44"/>
      <c r="AD450" s="44"/>
      <c r="AE450" s="44"/>
      <c r="AF450" s="44"/>
      <c r="AG450" s="44"/>
      <c r="AH450" s="44"/>
      <c r="AI450" s="44"/>
    </row>
    <row r="451" spans="1:35" s="44" customFormat="1" ht="66.75" customHeight="1">
      <c r="A451" s="148" t="s">
        <v>222</v>
      </c>
      <c r="B451" s="146" t="s">
        <v>1765</v>
      </c>
      <c r="C451" s="149" t="s">
        <v>1754</v>
      </c>
      <c r="D451" s="150">
        <v>7</v>
      </c>
      <c r="E451" s="150" t="s">
        <v>1755</v>
      </c>
      <c r="F451" s="151" t="s">
        <v>1766</v>
      </c>
      <c r="G451" s="152">
        <v>4</v>
      </c>
      <c r="H451" s="152">
        <v>0</v>
      </c>
      <c r="I451" s="153">
        <v>4</v>
      </c>
      <c r="J451" s="154">
        <v>4</v>
      </c>
      <c r="K451" s="155">
        <v>0</v>
      </c>
      <c r="L451" s="148" t="s">
        <v>57</v>
      </c>
      <c r="M451" s="148" t="s">
        <v>58</v>
      </c>
      <c r="N451" s="156"/>
      <c r="O451" s="157" t="s">
        <v>59</v>
      </c>
      <c r="P451" s="158">
        <v>90</v>
      </c>
      <c r="Q451" s="152" t="s">
        <v>76</v>
      </c>
      <c r="R451" s="152" t="s">
        <v>70</v>
      </c>
      <c r="S451" s="148" t="s">
        <v>1767</v>
      </c>
      <c r="T451" s="148">
        <v>0</v>
      </c>
      <c r="U451" s="159">
        <v>16</v>
      </c>
      <c r="V451" s="160" t="str">
        <f>VLOOKUP(U451,docentes!$A:$E,2,0)</f>
        <v>ALEXANDR KORNEV</v>
      </c>
      <c r="W451" s="161" t="str">
        <f>VLOOKUP(U451,docentes!$A:$E,5,0)</f>
        <v>CMCC</v>
      </c>
      <c r="X451" s="162"/>
      <c r="Y451" s="163"/>
      <c r="Z451" s="164"/>
      <c r="AH451" s="45"/>
      <c r="AI451" s="45"/>
    </row>
    <row r="452" spans="1:35" s="44" customFormat="1" ht="66.75" customHeight="1">
      <c r="A452" s="148" t="s">
        <v>222</v>
      </c>
      <c r="B452" s="146" t="s">
        <v>1768</v>
      </c>
      <c r="C452" s="149" t="s">
        <v>1754</v>
      </c>
      <c r="D452" s="150">
        <v>7</v>
      </c>
      <c r="E452" s="150" t="s">
        <v>1755</v>
      </c>
      <c r="F452" s="151" t="s">
        <v>1769</v>
      </c>
      <c r="G452" s="152">
        <v>4</v>
      </c>
      <c r="H452" s="152">
        <v>0</v>
      </c>
      <c r="I452" s="153">
        <v>4</v>
      </c>
      <c r="J452" s="154">
        <v>4</v>
      </c>
      <c r="K452" s="155">
        <v>0</v>
      </c>
      <c r="L452" s="148"/>
      <c r="M452" s="148"/>
      <c r="N452" s="156"/>
      <c r="O452" s="165" t="s">
        <v>969</v>
      </c>
      <c r="P452" s="158">
        <v>60</v>
      </c>
      <c r="Q452" s="152" t="s">
        <v>76</v>
      </c>
      <c r="R452" s="152" t="s">
        <v>70</v>
      </c>
      <c r="S452" s="148" t="s">
        <v>1770</v>
      </c>
      <c r="T452" s="148">
        <v>0</v>
      </c>
      <c r="U452" s="159">
        <v>53</v>
      </c>
      <c r="V452" s="160" t="str">
        <f>VLOOKUP(U452,docentes!$A:$E,2,0)</f>
        <v>ANDRE RICARDO OLIVEIRA DA FONSECA</v>
      </c>
      <c r="W452" s="161" t="str">
        <f>VLOOKUP(U452,docentes!$A:$E,5,0)</f>
        <v>CMCC</v>
      </c>
      <c r="X452" s="162"/>
      <c r="Y452" s="163"/>
      <c r="Z452" s="164"/>
    </row>
    <row r="453" spans="1:35" s="44" customFormat="1" ht="66.75" customHeight="1">
      <c r="A453" s="148" t="s">
        <v>222</v>
      </c>
      <c r="B453" s="146" t="s">
        <v>1771</v>
      </c>
      <c r="C453" s="149" t="s">
        <v>1754</v>
      </c>
      <c r="D453" s="150">
        <v>7</v>
      </c>
      <c r="E453" s="150" t="s">
        <v>1755</v>
      </c>
      <c r="F453" s="151" t="s">
        <v>1772</v>
      </c>
      <c r="G453" s="152">
        <v>4</v>
      </c>
      <c r="H453" s="152">
        <v>0</v>
      </c>
      <c r="I453" s="153">
        <v>4</v>
      </c>
      <c r="J453" s="154">
        <v>4</v>
      </c>
      <c r="K453" s="155">
        <v>0</v>
      </c>
      <c r="L453" s="148" t="s">
        <v>67</v>
      </c>
      <c r="M453" s="148" t="s">
        <v>68</v>
      </c>
      <c r="N453" s="156">
        <v>128</v>
      </c>
      <c r="O453" s="165" t="s">
        <v>1773</v>
      </c>
      <c r="P453" s="158">
        <v>126</v>
      </c>
      <c r="Q453" s="152" t="s">
        <v>60</v>
      </c>
      <c r="R453" s="152" t="s">
        <v>70</v>
      </c>
      <c r="S453" s="148" t="s">
        <v>1774</v>
      </c>
      <c r="T453" s="148">
        <v>0</v>
      </c>
      <c r="U453" s="159">
        <v>487</v>
      </c>
      <c r="V453" s="160" t="str">
        <f>VLOOKUP(U453,docentes!$A:$E,2,0)</f>
        <v>RICARDO ROCAMORA PASZKO</v>
      </c>
      <c r="W453" s="161" t="str">
        <f>VLOOKUP(U453,docentes!$A:$E,5,0)</f>
        <v>CCNH</v>
      </c>
      <c r="X453" s="162"/>
      <c r="Y453" s="163"/>
      <c r="Z453" s="164"/>
      <c r="AH453" s="45"/>
      <c r="AI453" s="45"/>
    </row>
    <row r="454" spans="1:35" s="44" customFormat="1" ht="66.75" customHeight="1">
      <c r="A454" s="148" t="s">
        <v>222</v>
      </c>
      <c r="B454" s="146" t="s">
        <v>1775</v>
      </c>
      <c r="C454" s="149" t="s">
        <v>1754</v>
      </c>
      <c r="D454" s="150">
        <v>7</v>
      </c>
      <c r="E454" s="150" t="s">
        <v>1755</v>
      </c>
      <c r="F454" s="151" t="s">
        <v>1776</v>
      </c>
      <c r="G454" s="152">
        <v>4</v>
      </c>
      <c r="H454" s="152">
        <v>0</v>
      </c>
      <c r="I454" s="153">
        <v>4</v>
      </c>
      <c r="J454" s="154">
        <v>4</v>
      </c>
      <c r="K454" s="155">
        <v>0</v>
      </c>
      <c r="L454" s="148" t="s">
        <v>976</v>
      </c>
      <c r="M454" s="148" t="s">
        <v>977</v>
      </c>
      <c r="N454" s="156"/>
      <c r="O454" s="148" t="s">
        <v>1777</v>
      </c>
      <c r="P454" s="158">
        <v>90</v>
      </c>
      <c r="Q454" s="152" t="s">
        <v>76</v>
      </c>
      <c r="R454" s="152" t="s">
        <v>70</v>
      </c>
      <c r="S454" s="148" t="s">
        <v>1778</v>
      </c>
      <c r="T454" s="148">
        <v>0</v>
      </c>
      <c r="U454" s="159">
        <v>16</v>
      </c>
      <c r="V454" s="160" t="str">
        <f>VLOOKUP(U454,docentes!$A:$E,2,0)</f>
        <v>ALEXANDR KORNEV</v>
      </c>
      <c r="W454" s="161" t="str">
        <f>VLOOKUP(U454,docentes!$A:$E,5,0)</f>
        <v>CMCC</v>
      </c>
      <c r="X454" s="162"/>
      <c r="Y454" s="163"/>
      <c r="Z454" s="164"/>
    </row>
    <row r="455" spans="1:35" s="44" customFormat="1" ht="66.75" customHeight="1">
      <c r="A455" s="148" t="s">
        <v>1126</v>
      </c>
      <c r="B455" s="146" t="s">
        <v>1779</v>
      </c>
      <c r="C455" s="149" t="s">
        <v>1780</v>
      </c>
      <c r="D455" s="150">
        <v>2</v>
      </c>
      <c r="E455" s="150" t="s">
        <v>1781</v>
      </c>
      <c r="F455" s="151" t="s">
        <v>1782</v>
      </c>
      <c r="G455" s="152">
        <v>4</v>
      </c>
      <c r="H455" s="152">
        <v>0</v>
      </c>
      <c r="I455" s="153">
        <v>6</v>
      </c>
      <c r="J455" s="154">
        <v>4</v>
      </c>
      <c r="K455" s="155">
        <v>0</v>
      </c>
      <c r="L455" s="148" t="s">
        <v>57</v>
      </c>
      <c r="M455" s="148" t="s">
        <v>58</v>
      </c>
      <c r="N455" s="156"/>
      <c r="O455" s="165" t="s">
        <v>810</v>
      </c>
      <c r="P455" s="158">
        <v>57</v>
      </c>
      <c r="Q455" s="152" t="s">
        <v>60</v>
      </c>
      <c r="R455" s="152" t="s">
        <v>61</v>
      </c>
      <c r="S455" s="148" t="s">
        <v>1783</v>
      </c>
      <c r="T455" s="148">
        <v>0</v>
      </c>
      <c r="U455" s="159">
        <v>74</v>
      </c>
      <c r="V455" s="160" t="str">
        <f>VLOOKUP(U455,docentes!$A:$E,2,0)</f>
        <v>ARTUR FRANZ KEPPLER</v>
      </c>
      <c r="W455" s="161" t="str">
        <f>VLOOKUP(U455,docentes!$A:$E,5,0)</f>
        <v>CCNH</v>
      </c>
      <c r="X455" s="162"/>
      <c r="Y455" s="163"/>
      <c r="Z455" s="164"/>
    </row>
    <row r="456" spans="1:35" s="44" customFormat="1" ht="66.75" customHeight="1">
      <c r="A456" s="148" t="s">
        <v>1126</v>
      </c>
      <c r="B456" s="146" t="s">
        <v>1784</v>
      </c>
      <c r="C456" s="149" t="s">
        <v>1780</v>
      </c>
      <c r="D456" s="150">
        <v>2</v>
      </c>
      <c r="E456" s="150" t="s">
        <v>1781</v>
      </c>
      <c r="F456" s="151" t="s">
        <v>1785</v>
      </c>
      <c r="G456" s="152">
        <v>4</v>
      </c>
      <c r="H456" s="152">
        <v>0</v>
      </c>
      <c r="I456" s="153">
        <v>6</v>
      </c>
      <c r="J456" s="154">
        <v>4</v>
      </c>
      <c r="K456" s="155">
        <v>0</v>
      </c>
      <c r="L456" s="148" t="s">
        <v>57</v>
      </c>
      <c r="M456" s="148" t="s">
        <v>58</v>
      </c>
      <c r="N456" s="156"/>
      <c r="O456" s="165" t="s">
        <v>810</v>
      </c>
      <c r="P456" s="158">
        <v>57</v>
      </c>
      <c r="Q456" s="152" t="s">
        <v>60</v>
      </c>
      <c r="R456" s="152" t="s">
        <v>70</v>
      </c>
      <c r="S456" s="148" t="s">
        <v>1786</v>
      </c>
      <c r="T456" s="148">
        <v>0</v>
      </c>
      <c r="U456" s="159">
        <v>74</v>
      </c>
      <c r="V456" s="160" t="str">
        <f>VLOOKUP(U456,docentes!$A:$E,2,0)</f>
        <v>ARTUR FRANZ KEPPLER</v>
      </c>
      <c r="W456" s="161" t="str">
        <f>VLOOKUP(U456,docentes!$A:$E,5,0)</f>
        <v>CCNH</v>
      </c>
      <c r="X456" s="162"/>
      <c r="Y456" s="163"/>
      <c r="Z456" s="164"/>
    </row>
    <row r="457" spans="1:35" s="44" customFormat="1" ht="66.75" customHeight="1">
      <c r="A457" s="148" t="s">
        <v>915</v>
      </c>
      <c r="B457" s="146" t="s">
        <v>1787</v>
      </c>
      <c r="C457" s="149" t="s">
        <v>1788</v>
      </c>
      <c r="D457" s="150">
        <v>2</v>
      </c>
      <c r="E457" s="150" t="s">
        <v>1789</v>
      </c>
      <c r="F457" s="151" t="s">
        <v>1790</v>
      </c>
      <c r="G457" s="152">
        <v>4</v>
      </c>
      <c r="H457" s="152">
        <v>0</v>
      </c>
      <c r="I457" s="153">
        <v>4</v>
      </c>
      <c r="J457" s="154">
        <v>4</v>
      </c>
      <c r="K457" s="155">
        <v>0</v>
      </c>
      <c r="L457" s="148" t="s">
        <v>57</v>
      </c>
      <c r="M457" s="148" t="s">
        <v>58</v>
      </c>
      <c r="N457" s="156"/>
      <c r="O457" s="157" t="s">
        <v>59</v>
      </c>
      <c r="P457" s="158">
        <v>30</v>
      </c>
      <c r="Q457" s="152" t="s">
        <v>60</v>
      </c>
      <c r="R457" s="152" t="s">
        <v>61</v>
      </c>
      <c r="S457" s="148" t="s">
        <v>1791</v>
      </c>
      <c r="T457" s="148">
        <v>0</v>
      </c>
      <c r="U457" s="159">
        <v>413</v>
      </c>
      <c r="V457" s="160" t="str">
        <f>VLOOKUP(U457,docentes!$A:$E,2,0)</f>
        <v>MAURO ROGERIO COSENTINO</v>
      </c>
      <c r="W457" s="161" t="str">
        <f>VLOOKUP(U457,docentes!$A:$E,5,0)</f>
        <v>CCNH</v>
      </c>
      <c r="X457" s="162"/>
      <c r="Y457" s="163"/>
      <c r="Z457" s="164"/>
    </row>
    <row r="458" spans="1:35" s="44" customFormat="1" ht="66.75" customHeight="1">
      <c r="A458" s="148" t="s">
        <v>915</v>
      </c>
      <c r="B458" s="146" t="s">
        <v>1792</v>
      </c>
      <c r="C458" s="149" t="s">
        <v>1788</v>
      </c>
      <c r="D458" s="150">
        <v>2</v>
      </c>
      <c r="E458" s="150" t="s">
        <v>1789</v>
      </c>
      <c r="F458" s="151" t="s">
        <v>1793</v>
      </c>
      <c r="G458" s="152">
        <v>4</v>
      </c>
      <c r="H458" s="152">
        <v>0</v>
      </c>
      <c r="I458" s="153">
        <v>4</v>
      </c>
      <c r="J458" s="154">
        <v>4</v>
      </c>
      <c r="K458" s="155">
        <v>0</v>
      </c>
      <c r="L458" s="148" t="s">
        <v>57</v>
      </c>
      <c r="M458" s="148" t="s">
        <v>58</v>
      </c>
      <c r="N458" s="156"/>
      <c r="O458" s="157" t="s">
        <v>59</v>
      </c>
      <c r="P458" s="158">
        <v>30</v>
      </c>
      <c r="Q458" s="152" t="s">
        <v>60</v>
      </c>
      <c r="R458" s="152" t="s">
        <v>70</v>
      </c>
      <c r="S458" s="148" t="s">
        <v>1794</v>
      </c>
      <c r="T458" s="148">
        <v>0</v>
      </c>
      <c r="U458" s="159">
        <v>15</v>
      </c>
      <c r="V458" s="160" t="str">
        <f>VLOOKUP(U458,docentes!$A:$E,2,0)</f>
        <v>ALEX GOMES DIAS</v>
      </c>
      <c r="W458" s="161" t="str">
        <f>VLOOKUP(U458,docentes!$A:$E,5,0)</f>
        <v>CCNH</v>
      </c>
      <c r="X458" s="162"/>
      <c r="Y458" s="163"/>
      <c r="Z458" s="164"/>
    </row>
    <row r="459" spans="1:35" s="44" customFormat="1" ht="66.75" customHeight="1">
      <c r="A459" s="148" t="s">
        <v>915</v>
      </c>
      <c r="B459" s="146" t="s">
        <v>1795</v>
      </c>
      <c r="C459" s="149" t="s">
        <v>1796</v>
      </c>
      <c r="D459" s="150">
        <v>1</v>
      </c>
      <c r="E459" s="150" t="s">
        <v>1797</v>
      </c>
      <c r="F459" s="151" t="s">
        <v>1798</v>
      </c>
      <c r="G459" s="152">
        <v>4</v>
      </c>
      <c r="H459" s="152">
        <v>0</v>
      </c>
      <c r="I459" s="153">
        <v>4</v>
      </c>
      <c r="J459" s="154">
        <v>4</v>
      </c>
      <c r="K459" s="155">
        <v>0</v>
      </c>
      <c r="L459" s="148" t="s">
        <v>57</v>
      </c>
      <c r="M459" s="148" t="s">
        <v>58</v>
      </c>
      <c r="N459" s="156"/>
      <c r="O459" s="157" t="s">
        <v>59</v>
      </c>
      <c r="P459" s="158">
        <v>30</v>
      </c>
      <c r="Q459" s="152" t="s">
        <v>60</v>
      </c>
      <c r="R459" s="152" t="s">
        <v>61</v>
      </c>
      <c r="S459" s="148" t="s">
        <v>1799</v>
      </c>
      <c r="T459" s="148">
        <v>0</v>
      </c>
      <c r="U459" s="159">
        <v>94</v>
      </c>
      <c r="V459" s="160" t="str">
        <f>VLOOKUP(U459,docentes!$A:$E,2,0)</f>
        <v>CECILIA BERTONI MARTHA HADLER CHIRENTI</v>
      </c>
      <c r="W459" s="161" t="str">
        <f>VLOOKUP(U459,docentes!$A:$E,5,0)</f>
        <v>CMCC</v>
      </c>
      <c r="X459" s="162"/>
      <c r="Y459" s="163"/>
      <c r="Z459" s="164"/>
    </row>
    <row r="460" spans="1:35" s="44" customFormat="1" ht="66.75" hidden="1" customHeight="1">
      <c r="A460" s="148" t="s">
        <v>1017</v>
      </c>
      <c r="B460" s="168" t="s">
        <v>1800</v>
      </c>
      <c r="C460" s="149"/>
      <c r="D460" s="150">
        <v>0</v>
      </c>
      <c r="E460" s="150" t="s">
        <v>1801</v>
      </c>
      <c r="F460" s="169" t="s">
        <v>1802</v>
      </c>
      <c r="G460" s="152">
        <v>4</v>
      </c>
      <c r="H460" s="152">
        <v>0</v>
      </c>
      <c r="I460" s="153">
        <v>4</v>
      </c>
      <c r="J460" s="154">
        <v>0</v>
      </c>
      <c r="K460" s="155">
        <v>0</v>
      </c>
      <c r="L460" s="148" t="s">
        <v>644</v>
      </c>
      <c r="M460" s="148" t="s">
        <v>58</v>
      </c>
      <c r="N460" s="178"/>
      <c r="O460" s="165" t="s">
        <v>102</v>
      </c>
      <c r="P460" s="158">
        <v>0</v>
      </c>
      <c r="Q460" s="152" t="s">
        <v>60</v>
      </c>
      <c r="R460" s="152" t="s">
        <v>61</v>
      </c>
      <c r="S460" s="148" t="s">
        <v>1803</v>
      </c>
      <c r="T460" s="148">
        <v>0</v>
      </c>
      <c r="U460" s="170">
        <v>574</v>
      </c>
      <c r="V460" s="163" t="str">
        <f>VLOOKUP(U460,docentes!$A:$E,2,0)</f>
        <v>ZHANNA GENNADYEVNA KUZNETSOVA</v>
      </c>
      <c r="W460" s="171" t="str">
        <f>VLOOKUP(U460,docentes!$A:$E,5,0)</f>
        <v>CMCC</v>
      </c>
      <c r="X460" s="162"/>
      <c r="Y460" s="163"/>
      <c r="Z460" s="164"/>
      <c r="AH460" s="45"/>
      <c r="AI460" s="45"/>
    </row>
    <row r="461" spans="1:35" s="44" customFormat="1" ht="66.75" customHeight="1">
      <c r="A461" s="148" t="s">
        <v>1017</v>
      </c>
      <c r="B461" s="146" t="s">
        <v>1804</v>
      </c>
      <c r="C461" s="149" t="s">
        <v>1805</v>
      </c>
      <c r="D461" s="150">
        <v>1</v>
      </c>
      <c r="E461" s="150" t="s">
        <v>1801</v>
      </c>
      <c r="F461" s="151" t="s">
        <v>1806</v>
      </c>
      <c r="G461" s="152">
        <v>4</v>
      </c>
      <c r="H461" s="152">
        <v>0</v>
      </c>
      <c r="I461" s="153">
        <v>4</v>
      </c>
      <c r="J461" s="154">
        <v>4</v>
      </c>
      <c r="K461" s="155">
        <v>0</v>
      </c>
      <c r="L461" s="148" t="s">
        <v>57</v>
      </c>
      <c r="M461" s="148" t="s">
        <v>58</v>
      </c>
      <c r="N461" s="178"/>
      <c r="O461" s="157" t="s">
        <v>59</v>
      </c>
      <c r="P461" s="158">
        <v>52</v>
      </c>
      <c r="Q461" s="152" t="s">
        <v>60</v>
      </c>
      <c r="R461" s="152" t="s">
        <v>70</v>
      </c>
      <c r="S461" s="148" t="s">
        <v>1807</v>
      </c>
      <c r="T461" s="148">
        <v>0</v>
      </c>
      <c r="U461" s="159">
        <v>574</v>
      </c>
      <c r="V461" s="160" t="str">
        <f>VLOOKUP(U461,docentes!$A:$E,2,0)</f>
        <v>ZHANNA GENNADYEVNA KUZNETSOVA</v>
      </c>
      <c r="W461" s="161" t="str">
        <f>VLOOKUP(U461,docentes!$A:$E,5,0)</f>
        <v>CMCC</v>
      </c>
      <c r="X461" s="162"/>
      <c r="Y461" s="163"/>
      <c r="Z461" s="164"/>
    </row>
    <row r="462" spans="1:35" s="44" customFormat="1" ht="66.75" customHeight="1">
      <c r="A462" s="148" t="s">
        <v>805</v>
      </c>
      <c r="B462" s="146" t="s">
        <v>1808</v>
      </c>
      <c r="C462" s="149" t="s">
        <v>1809</v>
      </c>
      <c r="D462" s="150">
        <v>1</v>
      </c>
      <c r="E462" s="150" t="s">
        <v>1810</v>
      </c>
      <c r="F462" s="151" t="s">
        <v>1811</v>
      </c>
      <c r="G462" s="152">
        <v>4</v>
      </c>
      <c r="H462" s="152">
        <v>0</v>
      </c>
      <c r="I462" s="153">
        <v>4</v>
      </c>
      <c r="J462" s="154">
        <v>4</v>
      </c>
      <c r="K462" s="155">
        <v>0</v>
      </c>
      <c r="L462" s="148" t="s">
        <v>902</v>
      </c>
      <c r="M462" s="148" t="s">
        <v>58</v>
      </c>
      <c r="N462" s="156">
        <v>0</v>
      </c>
      <c r="O462" s="165" t="s">
        <v>913</v>
      </c>
      <c r="P462" s="158">
        <v>45</v>
      </c>
      <c r="Q462" s="152" t="s">
        <v>60</v>
      </c>
      <c r="R462" s="152" t="s">
        <v>61</v>
      </c>
      <c r="S462" s="148" t="s">
        <v>1812</v>
      </c>
      <c r="T462" s="148">
        <v>0</v>
      </c>
      <c r="U462" s="159">
        <v>281</v>
      </c>
      <c r="V462" s="160" t="str">
        <f>VLOOKUP(U462,docentes!$A:$E,2,0)</f>
        <v>JOSÉ ALBERTO TORRICO ALTUNA</v>
      </c>
      <c r="W462" s="161" t="str">
        <f>VLOOKUP(U462,docentes!$A:$E,5,0)</f>
        <v>CECS</v>
      </c>
      <c r="X462" s="162"/>
      <c r="Y462" s="163"/>
      <c r="Z462" s="164"/>
    </row>
    <row r="463" spans="1:35" s="44" customFormat="1" ht="66.75" customHeight="1">
      <c r="A463" s="148" t="s">
        <v>692</v>
      </c>
      <c r="B463" s="146" t="s">
        <v>1813</v>
      </c>
      <c r="C463" s="149" t="s">
        <v>1814</v>
      </c>
      <c r="D463" s="150">
        <v>7</v>
      </c>
      <c r="E463" s="150" t="s">
        <v>1815</v>
      </c>
      <c r="F463" s="151" t="s">
        <v>1816</v>
      </c>
      <c r="G463" s="152">
        <v>1</v>
      </c>
      <c r="H463" s="152">
        <v>3</v>
      </c>
      <c r="I463" s="153">
        <v>4</v>
      </c>
      <c r="J463" s="154">
        <v>1</v>
      </c>
      <c r="K463" s="155">
        <v>3</v>
      </c>
      <c r="L463" s="148" t="s">
        <v>97</v>
      </c>
      <c r="M463" s="148" t="s">
        <v>58</v>
      </c>
      <c r="N463" s="156"/>
      <c r="O463" s="157" t="s">
        <v>59</v>
      </c>
      <c r="P463" s="158">
        <v>30</v>
      </c>
      <c r="Q463" s="152" t="s">
        <v>60</v>
      </c>
      <c r="R463" s="152" t="s">
        <v>61</v>
      </c>
      <c r="S463" s="148" t="s">
        <v>1817</v>
      </c>
      <c r="T463" s="148" t="s">
        <v>1818</v>
      </c>
      <c r="U463" s="159">
        <v>17</v>
      </c>
      <c r="V463" s="160" t="str">
        <f>VLOOKUP(U463,docentes!$A:$E,2,0)</f>
        <v>ALEXANDRE ACACIO DE ANDRADE</v>
      </c>
      <c r="W463" s="161" t="str">
        <f>VLOOKUP(U463,docentes!$A:$E,5,0)</f>
        <v>CECS</v>
      </c>
      <c r="X463" s="176">
        <v>17</v>
      </c>
      <c r="Y463" s="160" t="str">
        <f>VLOOKUP(X463,docentes!$A:$E,2,0)</f>
        <v>ALEXANDRE ACACIO DE ANDRADE</v>
      </c>
      <c r="Z463" s="177" t="str">
        <f>VLOOKUP(X463,docentes!$A:$E,5,0)</f>
        <v>CECS</v>
      </c>
    </row>
    <row r="464" spans="1:35" s="44" customFormat="1" ht="66.75" customHeight="1">
      <c r="A464" s="148" t="s">
        <v>692</v>
      </c>
      <c r="B464" s="146" t="s">
        <v>1819</v>
      </c>
      <c r="C464" s="149" t="s">
        <v>1814</v>
      </c>
      <c r="D464" s="150">
        <v>7</v>
      </c>
      <c r="E464" s="150" t="s">
        <v>1815</v>
      </c>
      <c r="F464" s="151" t="s">
        <v>1820</v>
      </c>
      <c r="G464" s="152">
        <v>1</v>
      </c>
      <c r="H464" s="152">
        <v>3</v>
      </c>
      <c r="I464" s="153">
        <v>4</v>
      </c>
      <c r="J464" s="154">
        <v>1</v>
      </c>
      <c r="K464" s="155">
        <v>3</v>
      </c>
      <c r="L464" s="148" t="s">
        <v>97</v>
      </c>
      <c r="M464" s="148" t="s">
        <v>58</v>
      </c>
      <c r="N464" s="156"/>
      <c r="O464" s="157" t="s">
        <v>59</v>
      </c>
      <c r="P464" s="158">
        <v>40</v>
      </c>
      <c r="Q464" s="152" t="s">
        <v>76</v>
      </c>
      <c r="R464" s="152" t="s">
        <v>61</v>
      </c>
      <c r="S464" s="148" t="s">
        <v>1821</v>
      </c>
      <c r="T464" s="148" t="s">
        <v>1822</v>
      </c>
      <c r="U464" s="159">
        <v>103</v>
      </c>
      <c r="V464" s="160" t="str">
        <f>VLOOKUP(U464,docentes!$A:$E,2,0)</f>
        <v>CICERO RIBEIRO DE LIMA</v>
      </c>
      <c r="W464" s="161" t="str">
        <f>VLOOKUP(U464,docentes!$A:$E,5,0)</f>
        <v>CECS</v>
      </c>
      <c r="X464" s="176">
        <v>103</v>
      </c>
      <c r="Y464" s="160" t="str">
        <f>VLOOKUP(X464,docentes!$A:$E,2,0)</f>
        <v>CICERO RIBEIRO DE LIMA</v>
      </c>
      <c r="Z464" s="177" t="str">
        <f>VLOOKUP(X464,docentes!$A:$E,5,0)</f>
        <v>CECS</v>
      </c>
    </row>
    <row r="465" spans="1:35" s="44" customFormat="1" ht="66.75" customHeight="1">
      <c r="A465" s="148" t="s">
        <v>692</v>
      </c>
      <c r="B465" s="146" t="s">
        <v>1823</v>
      </c>
      <c r="C465" s="149" t="s">
        <v>1814</v>
      </c>
      <c r="D465" s="150">
        <v>7</v>
      </c>
      <c r="E465" s="150" t="s">
        <v>1815</v>
      </c>
      <c r="F465" s="151" t="s">
        <v>1824</v>
      </c>
      <c r="G465" s="152">
        <v>1</v>
      </c>
      <c r="H465" s="152">
        <v>3</v>
      </c>
      <c r="I465" s="153">
        <v>4</v>
      </c>
      <c r="J465" s="154">
        <v>1</v>
      </c>
      <c r="K465" s="155">
        <v>3</v>
      </c>
      <c r="L465" s="148" t="s">
        <v>97</v>
      </c>
      <c r="M465" s="148" t="s">
        <v>58</v>
      </c>
      <c r="N465" s="156"/>
      <c r="O465" s="157" t="s">
        <v>59</v>
      </c>
      <c r="P465" s="158">
        <v>30</v>
      </c>
      <c r="Q465" s="152" t="s">
        <v>60</v>
      </c>
      <c r="R465" s="152" t="s">
        <v>70</v>
      </c>
      <c r="S465" s="148" t="s">
        <v>1825</v>
      </c>
      <c r="T465" s="148" t="s">
        <v>1826</v>
      </c>
      <c r="U465" s="159">
        <v>571</v>
      </c>
      <c r="V465" s="160" t="str">
        <f>VLOOKUP(U465,docentes!$A:$E,2,0)</f>
        <v>WESLEY GOIS</v>
      </c>
      <c r="W465" s="161" t="str">
        <f>VLOOKUP(U465,docentes!$A:$E,5,0)</f>
        <v>CECS</v>
      </c>
      <c r="X465" s="176">
        <v>571</v>
      </c>
      <c r="Y465" s="160" t="str">
        <f>VLOOKUP(X465,docentes!$A:$E,2,0)</f>
        <v>WESLEY GOIS</v>
      </c>
      <c r="Z465" s="177" t="str">
        <f>VLOOKUP(X465,docentes!$A:$E,5,0)</f>
        <v>CECS</v>
      </c>
    </row>
    <row r="466" spans="1:35" s="44" customFormat="1" ht="66.75" customHeight="1">
      <c r="A466" s="148" t="s">
        <v>692</v>
      </c>
      <c r="B466" s="146" t="s">
        <v>1827</v>
      </c>
      <c r="C466" s="149" t="s">
        <v>1814</v>
      </c>
      <c r="D466" s="150">
        <v>7</v>
      </c>
      <c r="E466" s="150" t="s">
        <v>1815</v>
      </c>
      <c r="F466" s="151" t="s">
        <v>1828</v>
      </c>
      <c r="G466" s="152">
        <v>1</v>
      </c>
      <c r="H466" s="152">
        <v>3</v>
      </c>
      <c r="I466" s="153">
        <v>4</v>
      </c>
      <c r="J466" s="154">
        <v>1</v>
      </c>
      <c r="K466" s="155">
        <v>3</v>
      </c>
      <c r="L466" s="148" t="s">
        <v>97</v>
      </c>
      <c r="M466" s="148" t="s">
        <v>58</v>
      </c>
      <c r="N466" s="156"/>
      <c r="O466" s="157" t="s">
        <v>59</v>
      </c>
      <c r="P466" s="158">
        <v>30</v>
      </c>
      <c r="Q466" s="152" t="s">
        <v>60</v>
      </c>
      <c r="R466" s="152" t="s">
        <v>61</v>
      </c>
      <c r="S466" s="148" t="s">
        <v>1829</v>
      </c>
      <c r="T466" s="148" t="s">
        <v>1830</v>
      </c>
      <c r="U466" s="159">
        <v>17</v>
      </c>
      <c r="V466" s="160" t="str">
        <f>VLOOKUP(U466,docentes!$A:$E,2,0)</f>
        <v>ALEXANDRE ACACIO DE ANDRADE</v>
      </c>
      <c r="W466" s="161" t="str">
        <f>VLOOKUP(U466,docentes!$A:$E,5,0)</f>
        <v>CECS</v>
      </c>
      <c r="X466" s="176">
        <v>17</v>
      </c>
      <c r="Y466" s="160" t="str">
        <f>VLOOKUP(X466,docentes!$A:$E,2,0)</f>
        <v>ALEXANDRE ACACIO DE ANDRADE</v>
      </c>
      <c r="Z466" s="177" t="str">
        <f>VLOOKUP(X466,docentes!$A:$E,5,0)</f>
        <v>CECS</v>
      </c>
    </row>
    <row r="467" spans="1:35" s="44" customFormat="1" ht="66.75" customHeight="1">
      <c r="A467" s="148" t="s">
        <v>692</v>
      </c>
      <c r="B467" s="146" t="s">
        <v>1831</v>
      </c>
      <c r="C467" s="149" t="s">
        <v>1814</v>
      </c>
      <c r="D467" s="150">
        <v>7</v>
      </c>
      <c r="E467" s="150" t="s">
        <v>1815</v>
      </c>
      <c r="F467" s="151" t="s">
        <v>1832</v>
      </c>
      <c r="G467" s="152">
        <v>1</v>
      </c>
      <c r="H467" s="152">
        <v>3</v>
      </c>
      <c r="I467" s="153">
        <v>4</v>
      </c>
      <c r="J467" s="154">
        <v>1</v>
      </c>
      <c r="K467" s="155">
        <v>3</v>
      </c>
      <c r="L467" s="148" t="s">
        <v>97</v>
      </c>
      <c r="M467" s="148" t="s">
        <v>58</v>
      </c>
      <c r="N467" s="156"/>
      <c r="O467" s="157" t="s">
        <v>59</v>
      </c>
      <c r="P467" s="158">
        <v>30</v>
      </c>
      <c r="Q467" s="152" t="s">
        <v>60</v>
      </c>
      <c r="R467" s="152" t="s">
        <v>70</v>
      </c>
      <c r="S467" s="148" t="s">
        <v>1833</v>
      </c>
      <c r="T467" s="148" t="s">
        <v>1834</v>
      </c>
      <c r="U467" s="159">
        <v>335</v>
      </c>
      <c r="V467" s="160" t="str">
        <f>VLOOKUP(U467,docentes!$A:$E,2,0)</f>
        <v>LUIS ALBERTO MARTINEZ RIASCOS</v>
      </c>
      <c r="W467" s="161" t="str">
        <f>VLOOKUP(U467,docentes!$A:$E,5,0)</f>
        <v>CECS</v>
      </c>
      <c r="X467" s="176">
        <v>335</v>
      </c>
      <c r="Y467" s="160" t="str">
        <f>VLOOKUP(X467,docentes!$A:$E,2,0)</f>
        <v>LUIS ALBERTO MARTINEZ RIASCOS</v>
      </c>
      <c r="Z467" s="177" t="str">
        <f>VLOOKUP(X467,docentes!$A:$E,5,0)</f>
        <v>CECS</v>
      </c>
    </row>
    <row r="468" spans="1:35" s="44" customFormat="1" ht="66.75" customHeight="1">
      <c r="A468" s="148" t="s">
        <v>692</v>
      </c>
      <c r="B468" s="146" t="s">
        <v>1835</v>
      </c>
      <c r="C468" s="149" t="s">
        <v>1814</v>
      </c>
      <c r="D468" s="150">
        <v>7</v>
      </c>
      <c r="E468" s="150" t="s">
        <v>1815</v>
      </c>
      <c r="F468" s="151" t="s">
        <v>1836</v>
      </c>
      <c r="G468" s="152">
        <v>1</v>
      </c>
      <c r="H468" s="152">
        <v>3</v>
      </c>
      <c r="I468" s="153">
        <v>4</v>
      </c>
      <c r="J468" s="154">
        <v>1</v>
      </c>
      <c r="K468" s="155">
        <v>3</v>
      </c>
      <c r="L468" s="148" t="s">
        <v>97</v>
      </c>
      <c r="M468" s="148" t="s">
        <v>58</v>
      </c>
      <c r="N468" s="156"/>
      <c r="O468" s="157" t="s">
        <v>59</v>
      </c>
      <c r="P468" s="158">
        <v>30</v>
      </c>
      <c r="Q468" s="152" t="s">
        <v>60</v>
      </c>
      <c r="R468" s="152" t="s">
        <v>61</v>
      </c>
      <c r="S468" s="148" t="s">
        <v>1837</v>
      </c>
      <c r="T468" s="148" t="s">
        <v>1838</v>
      </c>
      <c r="U468" s="159">
        <v>106</v>
      </c>
      <c r="V468" s="160" t="str">
        <f>VLOOKUP(U468,docentes!$A:$E,2,0)</f>
        <v>CLAUDIA FRANCISCA ESCOBAR DE PAIVA</v>
      </c>
      <c r="W468" s="161" t="str">
        <f>VLOOKUP(U468,docentes!$A:$E,5,0)</f>
        <v>CECS</v>
      </c>
      <c r="X468" s="176">
        <v>106</v>
      </c>
      <c r="Y468" s="160" t="str">
        <f>VLOOKUP(X468,docentes!$A:$E,2,0)</f>
        <v>CLAUDIA FRANCISCA ESCOBAR DE PAIVA</v>
      </c>
      <c r="Z468" s="177" t="str">
        <f>VLOOKUP(X468,docentes!$A:$E,5,0)</f>
        <v>CECS</v>
      </c>
    </row>
    <row r="469" spans="1:35" s="44" customFormat="1" ht="66.75" customHeight="1">
      <c r="A469" s="148" t="s">
        <v>692</v>
      </c>
      <c r="B469" s="146" t="s">
        <v>1839</v>
      </c>
      <c r="C469" s="149" t="s">
        <v>1814</v>
      </c>
      <c r="D469" s="150">
        <v>7</v>
      </c>
      <c r="E469" s="150" t="s">
        <v>1815</v>
      </c>
      <c r="F469" s="151" t="s">
        <v>1840</v>
      </c>
      <c r="G469" s="152">
        <v>1</v>
      </c>
      <c r="H469" s="152">
        <v>3</v>
      </c>
      <c r="I469" s="153">
        <v>4</v>
      </c>
      <c r="J469" s="154">
        <v>1</v>
      </c>
      <c r="K469" s="155">
        <v>3</v>
      </c>
      <c r="L469" s="148" t="s">
        <v>97</v>
      </c>
      <c r="M469" s="148" t="s">
        <v>58</v>
      </c>
      <c r="N469" s="156"/>
      <c r="O469" s="157" t="s">
        <v>59</v>
      </c>
      <c r="P469" s="158">
        <v>30</v>
      </c>
      <c r="Q469" s="152" t="s">
        <v>60</v>
      </c>
      <c r="R469" s="152" t="s">
        <v>61</v>
      </c>
      <c r="S469" s="148" t="s">
        <v>1841</v>
      </c>
      <c r="T469" s="148" t="s">
        <v>1842</v>
      </c>
      <c r="U469" s="159">
        <v>106</v>
      </c>
      <c r="V469" s="160" t="str">
        <f>VLOOKUP(U469,docentes!$A:$E,2,0)</f>
        <v>CLAUDIA FRANCISCA ESCOBAR DE PAIVA</v>
      </c>
      <c r="W469" s="161" t="str">
        <f>VLOOKUP(U469,docentes!$A:$E,5,0)</f>
        <v>CECS</v>
      </c>
      <c r="X469" s="176">
        <v>106</v>
      </c>
      <c r="Y469" s="160" t="str">
        <f>VLOOKUP(X469,docentes!$A:$E,2,0)</f>
        <v>CLAUDIA FRANCISCA ESCOBAR DE PAIVA</v>
      </c>
      <c r="Z469" s="177" t="str">
        <f>VLOOKUP(X469,docentes!$A:$E,5,0)</f>
        <v>CECS</v>
      </c>
    </row>
    <row r="470" spans="1:35" s="44" customFormat="1" ht="66.75" customHeight="1">
      <c r="A470" s="148" t="s">
        <v>805</v>
      </c>
      <c r="B470" s="146" t="s">
        <v>1843</v>
      </c>
      <c r="C470" s="149" t="s">
        <v>1844</v>
      </c>
      <c r="D470" s="150">
        <v>2</v>
      </c>
      <c r="E470" s="150" t="s">
        <v>1845</v>
      </c>
      <c r="F470" s="151" t="s">
        <v>1846</v>
      </c>
      <c r="G470" s="152">
        <v>2</v>
      </c>
      <c r="H470" s="152">
        <v>2</v>
      </c>
      <c r="I470" s="153">
        <v>5</v>
      </c>
      <c r="J470" s="154">
        <v>2</v>
      </c>
      <c r="K470" s="155">
        <v>2</v>
      </c>
      <c r="L470" s="148" t="s">
        <v>57</v>
      </c>
      <c r="M470" s="148" t="s">
        <v>58</v>
      </c>
      <c r="N470" s="156">
        <v>0</v>
      </c>
      <c r="O470" s="165" t="s">
        <v>810</v>
      </c>
      <c r="P470" s="158">
        <v>30</v>
      </c>
      <c r="Q470" s="152" t="s">
        <v>60</v>
      </c>
      <c r="R470" s="152" t="s">
        <v>70</v>
      </c>
      <c r="S470" s="148" t="s">
        <v>1847</v>
      </c>
      <c r="T470" s="148" t="s">
        <v>1848</v>
      </c>
      <c r="U470" s="159">
        <v>8</v>
      </c>
      <c r="V470" s="160" t="str">
        <f>VLOOKUP(U470,docentes!$A:$E,2,0)</f>
        <v>AHDA PIONKOSKI GRILO PAVANI</v>
      </c>
      <c r="W470" s="161" t="str">
        <f>VLOOKUP(U470,docentes!$A:$E,5,0)</f>
        <v>CECS</v>
      </c>
      <c r="X470" s="176">
        <v>8</v>
      </c>
      <c r="Y470" s="160" t="str">
        <f>VLOOKUP(X470,docentes!$A:$E,2,0)</f>
        <v>AHDA PIONKOSKI GRILO PAVANI</v>
      </c>
      <c r="Z470" s="177" t="str">
        <f>VLOOKUP(X470,docentes!$A:$E,5,0)</f>
        <v>CECS</v>
      </c>
    </row>
    <row r="471" spans="1:35" s="44" customFormat="1" ht="66.75" customHeight="1">
      <c r="A471" s="148" t="s">
        <v>805</v>
      </c>
      <c r="B471" s="146" t="s">
        <v>1849</v>
      </c>
      <c r="C471" s="149" t="s">
        <v>1844</v>
      </c>
      <c r="D471" s="150">
        <v>2</v>
      </c>
      <c r="E471" s="150" t="s">
        <v>1845</v>
      </c>
      <c r="F471" s="151" t="s">
        <v>1850</v>
      </c>
      <c r="G471" s="152">
        <v>2</v>
      </c>
      <c r="H471" s="152">
        <v>2</v>
      </c>
      <c r="I471" s="153">
        <v>5</v>
      </c>
      <c r="J471" s="154">
        <v>0</v>
      </c>
      <c r="K471" s="155">
        <v>2</v>
      </c>
      <c r="L471" s="148" t="s">
        <v>57</v>
      </c>
      <c r="M471" s="148" t="s">
        <v>58</v>
      </c>
      <c r="N471" s="156">
        <v>0</v>
      </c>
      <c r="O471" s="165" t="s">
        <v>810</v>
      </c>
      <c r="P471" s="158">
        <v>30</v>
      </c>
      <c r="Q471" s="152" t="s">
        <v>60</v>
      </c>
      <c r="R471" s="152" t="s">
        <v>70</v>
      </c>
      <c r="S471" s="148" t="s">
        <v>1847</v>
      </c>
      <c r="T471" s="148" t="s">
        <v>1851</v>
      </c>
      <c r="U471" s="170">
        <v>8</v>
      </c>
      <c r="V471" s="163" t="str">
        <f>VLOOKUP(U471,docentes!$A:$E,2,0)</f>
        <v>AHDA PIONKOSKI GRILO PAVANI</v>
      </c>
      <c r="W471" s="171" t="str">
        <f>VLOOKUP(U471,docentes!$A:$E,5,0)</f>
        <v>CECS</v>
      </c>
      <c r="X471" s="176">
        <v>8</v>
      </c>
      <c r="Y471" s="160" t="str">
        <f>VLOOKUP(X471,docentes!$A:$E,2,0)</f>
        <v>AHDA PIONKOSKI GRILO PAVANI</v>
      </c>
      <c r="Z471" s="177" t="str">
        <f>VLOOKUP(X471,docentes!$A:$E,5,0)</f>
        <v>CECS</v>
      </c>
    </row>
    <row r="472" spans="1:35" ht="66.75" customHeight="1">
      <c r="A472" s="148" t="s">
        <v>646</v>
      </c>
      <c r="B472" s="146" t="s">
        <v>1852</v>
      </c>
      <c r="C472" s="149" t="s">
        <v>1853</v>
      </c>
      <c r="D472" s="150">
        <v>2</v>
      </c>
      <c r="E472" s="150" t="s">
        <v>1854</v>
      </c>
      <c r="F472" s="151" t="s">
        <v>1855</v>
      </c>
      <c r="G472" s="152">
        <v>2</v>
      </c>
      <c r="H472" s="152">
        <v>2</v>
      </c>
      <c r="I472" s="153">
        <v>2</v>
      </c>
      <c r="J472" s="154">
        <v>2</v>
      </c>
      <c r="K472" s="155">
        <v>2</v>
      </c>
      <c r="L472" s="148" t="s">
        <v>57</v>
      </c>
      <c r="M472" s="148" t="s">
        <v>58</v>
      </c>
      <c r="N472" s="156"/>
      <c r="O472" s="157" t="s">
        <v>59</v>
      </c>
      <c r="P472" s="158">
        <v>30</v>
      </c>
      <c r="Q472" s="152" t="s">
        <v>60</v>
      </c>
      <c r="R472" s="152" t="s">
        <v>61</v>
      </c>
      <c r="S472" s="148" t="s">
        <v>1856</v>
      </c>
      <c r="T472" s="148" t="s">
        <v>1857</v>
      </c>
      <c r="U472" s="159">
        <v>367</v>
      </c>
      <c r="V472" s="160" t="str">
        <f>VLOOKUP(U472,docentes!$A:$E,2,0)</f>
        <v>MARCIA APARECIDA SPERANCA</v>
      </c>
      <c r="W472" s="161" t="str">
        <f>VLOOKUP(U472,docentes!$A:$E,5,0)</f>
        <v>CCNH</v>
      </c>
      <c r="X472" s="176">
        <v>367</v>
      </c>
      <c r="Y472" s="160" t="str">
        <f>VLOOKUP(X472,docentes!$A:$E,2,0)</f>
        <v>MARCIA APARECIDA SPERANCA</v>
      </c>
      <c r="Z472" s="177" t="str">
        <f>VLOOKUP(X472,docentes!$A:$E,5,0)</f>
        <v>CCNH</v>
      </c>
      <c r="AA472" s="44"/>
      <c r="AB472" s="44"/>
      <c r="AC472" s="44"/>
      <c r="AD472" s="44"/>
      <c r="AE472" s="44"/>
      <c r="AF472" s="44"/>
      <c r="AG472" s="44"/>
      <c r="AH472" s="44"/>
      <c r="AI472" s="44"/>
    </row>
    <row r="473" spans="1:35" s="44" customFormat="1" ht="66.75" customHeight="1">
      <c r="A473" s="148" t="s">
        <v>646</v>
      </c>
      <c r="B473" s="146" t="s">
        <v>1858</v>
      </c>
      <c r="C473" s="149" t="s">
        <v>1853</v>
      </c>
      <c r="D473" s="150">
        <v>2</v>
      </c>
      <c r="E473" s="150" t="s">
        <v>1854</v>
      </c>
      <c r="F473" s="151" t="s">
        <v>1859</v>
      </c>
      <c r="G473" s="152">
        <v>2</v>
      </c>
      <c r="H473" s="152">
        <v>2</v>
      </c>
      <c r="I473" s="153">
        <v>2</v>
      </c>
      <c r="J473" s="154">
        <v>2</v>
      </c>
      <c r="K473" s="155">
        <v>2</v>
      </c>
      <c r="L473" s="148" t="s">
        <v>57</v>
      </c>
      <c r="M473" s="148" t="s">
        <v>58</v>
      </c>
      <c r="N473" s="156"/>
      <c r="O473" s="157" t="s">
        <v>59</v>
      </c>
      <c r="P473" s="158">
        <v>30</v>
      </c>
      <c r="Q473" s="152" t="s">
        <v>60</v>
      </c>
      <c r="R473" s="152" t="s">
        <v>70</v>
      </c>
      <c r="S473" s="148" t="s">
        <v>1860</v>
      </c>
      <c r="T473" s="148" t="s">
        <v>1861</v>
      </c>
      <c r="U473" s="159">
        <v>392</v>
      </c>
      <c r="V473" s="160" t="str">
        <f>VLOOKUP(U473,docentes!$A:$E,2,0)</f>
        <v>MARIA CRISTINA CARLAN DA SILVA</v>
      </c>
      <c r="W473" s="161" t="str">
        <f>VLOOKUP(U473,docentes!$A:$E,5,0)</f>
        <v>CCNH</v>
      </c>
      <c r="X473" s="176">
        <v>392</v>
      </c>
      <c r="Y473" s="160" t="str">
        <f>VLOOKUP(X473,docentes!$A:$E,2,0)</f>
        <v>MARIA CRISTINA CARLAN DA SILVA</v>
      </c>
      <c r="Z473" s="177" t="str">
        <f>VLOOKUP(X473,docentes!$A:$E,5,0)</f>
        <v>CCNH</v>
      </c>
    </row>
    <row r="474" spans="1:35" s="44" customFormat="1" ht="66.75" customHeight="1">
      <c r="A474" s="148" t="s">
        <v>1024</v>
      </c>
      <c r="B474" s="146" t="s">
        <v>1862</v>
      </c>
      <c r="C474" s="149" t="s">
        <v>1863</v>
      </c>
      <c r="D474" s="150">
        <v>2</v>
      </c>
      <c r="E474" s="150" t="s">
        <v>1864</v>
      </c>
      <c r="F474" s="151" t="s">
        <v>1865</v>
      </c>
      <c r="G474" s="152">
        <v>4</v>
      </c>
      <c r="H474" s="152">
        <v>0</v>
      </c>
      <c r="I474" s="153">
        <v>4</v>
      </c>
      <c r="J474" s="154">
        <v>4</v>
      </c>
      <c r="K474" s="155">
        <v>0</v>
      </c>
      <c r="L474" s="148" t="s">
        <v>97</v>
      </c>
      <c r="M474" s="148" t="s">
        <v>58</v>
      </c>
      <c r="N474" s="156"/>
      <c r="O474" s="157" t="s">
        <v>59</v>
      </c>
      <c r="P474" s="158">
        <v>60</v>
      </c>
      <c r="Q474" s="152" t="s">
        <v>76</v>
      </c>
      <c r="R474" s="152" t="s">
        <v>61</v>
      </c>
      <c r="S474" s="148" t="s">
        <v>1866</v>
      </c>
      <c r="T474" s="148">
        <v>0</v>
      </c>
      <c r="U474" s="159">
        <v>68</v>
      </c>
      <c r="V474" s="160" t="str">
        <f>VLOOKUP(U474,docentes!$A:$E,2,0)</f>
        <v>ANTONIO MARCOS ROSEIRA</v>
      </c>
      <c r="W474" s="161" t="str">
        <f>VLOOKUP(U474,docentes!$A:$E,5,0)</f>
        <v>CECS</v>
      </c>
      <c r="X474" s="162"/>
      <c r="Y474" s="163"/>
      <c r="Z474" s="164"/>
    </row>
    <row r="475" spans="1:35" s="44" customFormat="1" ht="66.75" customHeight="1">
      <c r="A475" s="148" t="s">
        <v>1024</v>
      </c>
      <c r="B475" s="146" t="s">
        <v>1867</v>
      </c>
      <c r="C475" s="149" t="s">
        <v>1863</v>
      </c>
      <c r="D475" s="150">
        <v>2</v>
      </c>
      <c r="E475" s="150" t="s">
        <v>1864</v>
      </c>
      <c r="F475" s="151" t="s">
        <v>1868</v>
      </c>
      <c r="G475" s="152">
        <v>4</v>
      </c>
      <c r="H475" s="152">
        <v>0</v>
      </c>
      <c r="I475" s="153">
        <v>4</v>
      </c>
      <c r="J475" s="154">
        <v>4</v>
      </c>
      <c r="K475" s="155">
        <v>0</v>
      </c>
      <c r="L475" s="148" t="s">
        <v>97</v>
      </c>
      <c r="M475" s="148" t="s">
        <v>58</v>
      </c>
      <c r="N475" s="156"/>
      <c r="O475" s="157" t="s">
        <v>59</v>
      </c>
      <c r="P475" s="158">
        <v>60</v>
      </c>
      <c r="Q475" s="152" t="s">
        <v>76</v>
      </c>
      <c r="R475" s="152" t="s">
        <v>70</v>
      </c>
      <c r="S475" s="148" t="s">
        <v>1869</v>
      </c>
      <c r="T475" s="148">
        <v>0</v>
      </c>
      <c r="U475" s="159">
        <v>68</v>
      </c>
      <c r="V475" s="160" t="str">
        <f>VLOOKUP(U475,docentes!$A:$E,2,0)</f>
        <v>ANTONIO MARCOS ROSEIRA</v>
      </c>
      <c r="W475" s="161" t="str">
        <f>VLOOKUP(U475,docentes!$A:$E,5,0)</f>
        <v>CECS</v>
      </c>
      <c r="X475" s="162"/>
      <c r="Y475" s="163"/>
      <c r="Z475" s="164"/>
    </row>
    <row r="476" spans="1:35" s="44" customFormat="1" ht="66.75" customHeight="1">
      <c r="A476" s="148" t="s">
        <v>78</v>
      </c>
      <c r="B476" s="146" t="s">
        <v>1870</v>
      </c>
      <c r="C476" s="149" t="s">
        <v>1871</v>
      </c>
      <c r="D476" s="150">
        <v>2</v>
      </c>
      <c r="E476" s="150" t="s">
        <v>1872</v>
      </c>
      <c r="F476" s="151" t="s">
        <v>1873</v>
      </c>
      <c r="G476" s="152">
        <v>4</v>
      </c>
      <c r="H476" s="152">
        <v>0</v>
      </c>
      <c r="I476" s="153">
        <v>4</v>
      </c>
      <c r="J476" s="154">
        <v>4</v>
      </c>
      <c r="K476" s="155">
        <v>0</v>
      </c>
      <c r="L476" s="148" t="s">
        <v>97</v>
      </c>
      <c r="M476" s="148" t="s">
        <v>58</v>
      </c>
      <c r="N476" s="156"/>
      <c r="O476" s="157" t="s">
        <v>59</v>
      </c>
      <c r="P476" s="158">
        <v>45</v>
      </c>
      <c r="Q476" s="152" t="s">
        <v>60</v>
      </c>
      <c r="R476" s="152" t="s">
        <v>61</v>
      </c>
      <c r="S476" s="148" t="s">
        <v>1874</v>
      </c>
      <c r="T476" s="148">
        <v>0</v>
      </c>
      <c r="U476" s="159">
        <v>433</v>
      </c>
      <c r="V476" s="160" t="str">
        <f>VLOOKUP(U476,docentes!$A:$E,2,0)</f>
        <v>NORBERTO ANIBAL MAIDANA</v>
      </c>
      <c r="W476" s="161" t="str">
        <f>VLOOKUP(U476,docentes!$A:$E,5,0)</f>
        <v>CMCC</v>
      </c>
      <c r="X476" s="162"/>
      <c r="Y476" s="163"/>
      <c r="Z476" s="164"/>
    </row>
    <row r="477" spans="1:35" s="44" customFormat="1" ht="66.75" customHeight="1">
      <c r="A477" s="148" t="s">
        <v>78</v>
      </c>
      <c r="B477" s="146" t="s">
        <v>1875</v>
      </c>
      <c r="C477" s="149" t="s">
        <v>1871</v>
      </c>
      <c r="D477" s="150">
        <v>2</v>
      </c>
      <c r="E477" s="150" t="s">
        <v>1872</v>
      </c>
      <c r="F477" s="151" t="s">
        <v>1876</v>
      </c>
      <c r="G477" s="152">
        <v>4</v>
      </c>
      <c r="H477" s="152">
        <v>0</v>
      </c>
      <c r="I477" s="153">
        <v>4</v>
      </c>
      <c r="J477" s="154">
        <v>4</v>
      </c>
      <c r="K477" s="155">
        <v>0</v>
      </c>
      <c r="L477" s="148" t="s">
        <v>97</v>
      </c>
      <c r="M477" s="148" t="s">
        <v>58</v>
      </c>
      <c r="N477" s="156"/>
      <c r="O477" s="157" t="s">
        <v>59</v>
      </c>
      <c r="P477" s="158">
        <v>44</v>
      </c>
      <c r="Q477" s="152" t="s">
        <v>60</v>
      </c>
      <c r="R477" s="152" t="s">
        <v>70</v>
      </c>
      <c r="S477" s="148" t="s">
        <v>1877</v>
      </c>
      <c r="T477" s="148">
        <v>0</v>
      </c>
      <c r="U477" s="159">
        <v>433</v>
      </c>
      <c r="V477" s="160" t="str">
        <f>VLOOKUP(U477,docentes!$A:$E,2,0)</f>
        <v>NORBERTO ANIBAL MAIDANA</v>
      </c>
      <c r="W477" s="161" t="str">
        <f>VLOOKUP(U477,docentes!$A:$E,5,0)</f>
        <v>CMCC</v>
      </c>
      <c r="X477" s="162"/>
      <c r="Y477" s="163"/>
      <c r="Z477" s="164"/>
    </row>
    <row r="478" spans="1:35" s="44" customFormat="1" ht="66.75" customHeight="1">
      <c r="A478" s="148" t="s">
        <v>184</v>
      </c>
      <c r="B478" s="146" t="s">
        <v>1878</v>
      </c>
      <c r="C478" s="149" t="s">
        <v>1879</v>
      </c>
      <c r="D478" s="150">
        <v>2</v>
      </c>
      <c r="E478" s="150" t="s">
        <v>1880</v>
      </c>
      <c r="F478" s="151" t="s">
        <v>1881</v>
      </c>
      <c r="G478" s="152">
        <v>2</v>
      </c>
      <c r="H478" s="152">
        <v>2</v>
      </c>
      <c r="I478" s="153">
        <v>3</v>
      </c>
      <c r="J478" s="154">
        <v>2</v>
      </c>
      <c r="K478" s="155">
        <v>2</v>
      </c>
      <c r="L478" s="148" t="s">
        <v>750</v>
      </c>
      <c r="M478" s="148" t="s">
        <v>58</v>
      </c>
      <c r="N478" s="156"/>
      <c r="O478" s="165" t="s">
        <v>1882</v>
      </c>
      <c r="P478" s="158">
        <v>77</v>
      </c>
      <c r="Q478" s="152" t="s">
        <v>60</v>
      </c>
      <c r="R478" s="152" t="s">
        <v>61</v>
      </c>
      <c r="S478" s="148" t="s">
        <v>1883</v>
      </c>
      <c r="T478" s="148">
        <v>0</v>
      </c>
      <c r="U478" s="159">
        <v>192</v>
      </c>
      <c r="V478" s="160" t="str">
        <f>VLOOKUP(U478,docentes!$A:$E,2,0)</f>
        <v>FERNANDO ROCHA NOGUEIRA</v>
      </c>
      <c r="W478" s="161" t="str">
        <f>VLOOKUP(U478,docentes!$A:$E,5,0)</f>
        <v>CECS</v>
      </c>
      <c r="X478" s="176">
        <v>308</v>
      </c>
      <c r="Y478" s="160" t="str">
        <f>VLOOKUP(X478,docentes!$A:$E,2,0)</f>
        <v>KATIA CANIL</v>
      </c>
      <c r="Z478" s="177" t="str">
        <f>VLOOKUP(X478,docentes!$A:$E,5,0)</f>
        <v>CECS</v>
      </c>
    </row>
    <row r="479" spans="1:35" s="44" customFormat="1" ht="66.75" customHeight="1">
      <c r="A479" s="148" t="s">
        <v>184</v>
      </c>
      <c r="B479" s="146" t="s">
        <v>1884</v>
      </c>
      <c r="C479" s="149" t="s">
        <v>1879</v>
      </c>
      <c r="D479" s="150">
        <v>2</v>
      </c>
      <c r="E479" s="150" t="s">
        <v>1880</v>
      </c>
      <c r="F479" s="151" t="s">
        <v>1885</v>
      </c>
      <c r="G479" s="152">
        <v>2</v>
      </c>
      <c r="H479" s="152">
        <v>2</v>
      </c>
      <c r="I479" s="153">
        <v>3</v>
      </c>
      <c r="J479" s="154">
        <v>2</v>
      </c>
      <c r="K479" s="155">
        <v>2</v>
      </c>
      <c r="L479" s="148" t="s">
        <v>750</v>
      </c>
      <c r="M479" s="148" t="s">
        <v>58</v>
      </c>
      <c r="N479" s="156"/>
      <c r="O479" s="165" t="s">
        <v>1886</v>
      </c>
      <c r="P479" s="158">
        <v>79</v>
      </c>
      <c r="Q479" s="152" t="s">
        <v>60</v>
      </c>
      <c r="R479" s="152" t="s">
        <v>70</v>
      </c>
      <c r="S479" s="148" t="s">
        <v>1887</v>
      </c>
      <c r="T479" s="148">
        <v>0</v>
      </c>
      <c r="U479" s="159">
        <v>308</v>
      </c>
      <c r="V479" s="160" t="str">
        <f>VLOOKUP(U479,docentes!$A:$E,2,0)</f>
        <v>KATIA CANIL</v>
      </c>
      <c r="W479" s="161" t="str">
        <f>VLOOKUP(U479,docentes!$A:$E,5,0)</f>
        <v>CECS</v>
      </c>
      <c r="X479" s="176">
        <v>192</v>
      </c>
      <c r="Y479" s="160" t="str">
        <f>VLOOKUP(X479,docentes!$A:$E,2,0)</f>
        <v>FERNANDO ROCHA NOGUEIRA</v>
      </c>
      <c r="Z479" s="177" t="str">
        <f>VLOOKUP(X479,docentes!$A:$E,5,0)</f>
        <v>CECS</v>
      </c>
    </row>
    <row r="480" spans="1:35" s="44" customFormat="1" ht="66.75" customHeight="1">
      <c r="A480" s="148" t="s">
        <v>128</v>
      </c>
      <c r="B480" s="146" t="s">
        <v>1888</v>
      </c>
      <c r="C480" s="149" t="s">
        <v>1889</v>
      </c>
      <c r="D480" s="150">
        <v>2</v>
      </c>
      <c r="E480" s="150" t="s">
        <v>1890</v>
      </c>
      <c r="F480" s="151" t="s">
        <v>1891</v>
      </c>
      <c r="G480" s="152">
        <v>2</v>
      </c>
      <c r="H480" s="152">
        <v>0</v>
      </c>
      <c r="I480" s="153">
        <v>3</v>
      </c>
      <c r="J480" s="154">
        <v>2</v>
      </c>
      <c r="K480" s="155">
        <v>0</v>
      </c>
      <c r="L480" s="148" t="s">
        <v>57</v>
      </c>
      <c r="M480" s="148" t="s">
        <v>58</v>
      </c>
      <c r="N480" s="156"/>
      <c r="O480" s="157" t="s">
        <v>59</v>
      </c>
      <c r="P480" s="158">
        <v>62</v>
      </c>
      <c r="Q480" s="152" t="s">
        <v>76</v>
      </c>
      <c r="R480" s="152" t="s">
        <v>61</v>
      </c>
      <c r="S480" s="148" t="s">
        <v>1892</v>
      </c>
      <c r="T480" s="148">
        <v>0</v>
      </c>
      <c r="U480" s="159">
        <v>319</v>
      </c>
      <c r="V480" s="160" t="str">
        <f>VLOOKUP(U480,docentes!$A:$E,2,0)</f>
        <v>LEONARDO RIBEIRO RODRIGUES</v>
      </c>
      <c r="W480" s="161" t="str">
        <f>VLOOKUP(U480,docentes!$A:$E,5,0)</f>
        <v>CECS</v>
      </c>
      <c r="X480" s="162"/>
      <c r="Y480" s="163"/>
      <c r="Z480" s="164"/>
    </row>
    <row r="481" spans="1:35" s="44" customFormat="1" ht="66.75" customHeight="1">
      <c r="A481" s="148" t="s">
        <v>128</v>
      </c>
      <c r="B481" s="146" t="s">
        <v>1893</v>
      </c>
      <c r="C481" s="149" t="s">
        <v>1889</v>
      </c>
      <c r="D481" s="150">
        <v>2</v>
      </c>
      <c r="E481" s="150" t="s">
        <v>1890</v>
      </c>
      <c r="F481" s="151" t="s">
        <v>1894</v>
      </c>
      <c r="G481" s="152">
        <v>2</v>
      </c>
      <c r="H481" s="152">
        <v>0</v>
      </c>
      <c r="I481" s="153">
        <v>3</v>
      </c>
      <c r="J481" s="154">
        <v>2</v>
      </c>
      <c r="K481" s="155">
        <v>0</v>
      </c>
      <c r="L481" s="148" t="s">
        <v>57</v>
      </c>
      <c r="M481" s="148" t="s">
        <v>58</v>
      </c>
      <c r="N481" s="156"/>
      <c r="O481" s="157" t="s">
        <v>59</v>
      </c>
      <c r="P481" s="158">
        <v>63</v>
      </c>
      <c r="Q481" s="152" t="s">
        <v>76</v>
      </c>
      <c r="R481" s="152" t="s">
        <v>70</v>
      </c>
      <c r="S481" s="148" t="s">
        <v>1895</v>
      </c>
      <c r="T481" s="148">
        <v>0</v>
      </c>
      <c r="U481" s="159">
        <v>319</v>
      </c>
      <c r="V481" s="160" t="str">
        <f>VLOOKUP(U481,docentes!$A:$E,2,0)</f>
        <v>LEONARDO RIBEIRO RODRIGUES</v>
      </c>
      <c r="W481" s="161" t="str">
        <f>VLOOKUP(U481,docentes!$A:$E,5,0)</f>
        <v>CECS</v>
      </c>
      <c r="X481" s="162"/>
      <c r="Y481" s="163"/>
      <c r="Z481" s="164"/>
    </row>
    <row r="482" spans="1:35" s="44" customFormat="1" ht="66.75" customHeight="1">
      <c r="A482" s="148" t="s">
        <v>128</v>
      </c>
      <c r="B482" s="146" t="s">
        <v>1896</v>
      </c>
      <c r="C482" s="149" t="s">
        <v>1897</v>
      </c>
      <c r="D482" s="150">
        <v>2</v>
      </c>
      <c r="E482" s="150" t="s">
        <v>1898</v>
      </c>
      <c r="F482" s="151" t="s">
        <v>1899</v>
      </c>
      <c r="G482" s="152">
        <v>4</v>
      </c>
      <c r="H482" s="152">
        <v>0</v>
      </c>
      <c r="I482" s="153">
        <v>5</v>
      </c>
      <c r="J482" s="154">
        <v>4</v>
      </c>
      <c r="K482" s="155">
        <v>0</v>
      </c>
      <c r="L482" s="148" t="s">
        <v>57</v>
      </c>
      <c r="M482" s="148" t="s">
        <v>58</v>
      </c>
      <c r="N482" s="156"/>
      <c r="O482" s="157" t="s">
        <v>59</v>
      </c>
      <c r="P482" s="158">
        <v>62</v>
      </c>
      <c r="Q482" s="152" t="s">
        <v>76</v>
      </c>
      <c r="R482" s="152" t="s">
        <v>61</v>
      </c>
      <c r="S482" s="148" t="s">
        <v>1900</v>
      </c>
      <c r="T482" s="148">
        <v>0</v>
      </c>
      <c r="U482" s="159">
        <v>369</v>
      </c>
      <c r="V482" s="160" t="str">
        <f>VLOOKUP(U482,docentes!$A:$E,2,0)</f>
        <v>MARCIA MARIA PENTEADO MARCHESINI</v>
      </c>
      <c r="W482" s="161" t="str">
        <f>VLOOKUP(U482,docentes!$A:$E,5,0)</f>
        <v>CECS</v>
      </c>
      <c r="X482" s="162"/>
      <c r="Y482" s="163"/>
      <c r="Z482" s="164"/>
    </row>
    <row r="483" spans="1:35" s="44" customFormat="1" ht="66.75" customHeight="1">
      <c r="A483" s="148" t="s">
        <v>128</v>
      </c>
      <c r="B483" s="146" t="s">
        <v>1901</v>
      </c>
      <c r="C483" s="149" t="s">
        <v>1897</v>
      </c>
      <c r="D483" s="150">
        <v>2</v>
      </c>
      <c r="E483" s="150" t="s">
        <v>1898</v>
      </c>
      <c r="F483" s="151" t="s">
        <v>1902</v>
      </c>
      <c r="G483" s="152">
        <v>4</v>
      </c>
      <c r="H483" s="152">
        <v>0</v>
      </c>
      <c r="I483" s="153">
        <v>5</v>
      </c>
      <c r="J483" s="154">
        <v>4</v>
      </c>
      <c r="K483" s="155">
        <v>0</v>
      </c>
      <c r="L483" s="148" t="s">
        <v>57</v>
      </c>
      <c r="M483" s="148" t="s">
        <v>58</v>
      </c>
      <c r="N483" s="156"/>
      <c r="O483" s="157" t="s">
        <v>59</v>
      </c>
      <c r="P483" s="158">
        <v>63</v>
      </c>
      <c r="Q483" s="152" t="s">
        <v>76</v>
      </c>
      <c r="R483" s="152" t="s">
        <v>70</v>
      </c>
      <c r="S483" s="148" t="s">
        <v>1903</v>
      </c>
      <c r="T483" s="148">
        <v>0</v>
      </c>
      <c r="U483" s="159">
        <v>369</v>
      </c>
      <c r="V483" s="160" t="str">
        <f>VLOOKUP(U483,docentes!$A:$E,2,0)</f>
        <v>MARCIA MARIA PENTEADO MARCHESINI</v>
      </c>
      <c r="W483" s="161" t="str">
        <f>VLOOKUP(U483,docentes!$A:$E,5,0)</f>
        <v>CECS</v>
      </c>
      <c r="X483" s="162"/>
      <c r="Y483" s="163"/>
      <c r="Z483" s="164"/>
    </row>
    <row r="484" spans="1:35" s="44" customFormat="1" ht="66.75" customHeight="1">
      <c r="A484" s="148" t="s">
        <v>193</v>
      </c>
      <c r="B484" s="146" t="s">
        <v>1904</v>
      </c>
      <c r="C484" s="149" t="s">
        <v>1905</v>
      </c>
      <c r="D484" s="150">
        <v>2</v>
      </c>
      <c r="E484" s="150" t="s">
        <v>1906</v>
      </c>
      <c r="F484" s="151" t="s">
        <v>1907</v>
      </c>
      <c r="G484" s="152">
        <v>4</v>
      </c>
      <c r="H484" s="152">
        <v>0</v>
      </c>
      <c r="I484" s="153">
        <v>4</v>
      </c>
      <c r="J484" s="154">
        <v>4</v>
      </c>
      <c r="K484" s="155">
        <v>0</v>
      </c>
      <c r="L484" s="148" t="s">
        <v>821</v>
      </c>
      <c r="M484" s="148">
        <v>48</v>
      </c>
      <c r="N484" s="156"/>
      <c r="O484" s="148" t="s">
        <v>1908</v>
      </c>
      <c r="P484" s="158">
        <v>48</v>
      </c>
      <c r="Q484" s="152" t="s">
        <v>76</v>
      </c>
      <c r="R484" s="152" t="s">
        <v>61</v>
      </c>
      <c r="S484" s="148" t="s">
        <v>1909</v>
      </c>
      <c r="T484" s="148">
        <v>0</v>
      </c>
      <c r="U484" s="159">
        <v>334</v>
      </c>
      <c r="V484" s="160" t="str">
        <f>VLOOKUP(U484,docentes!$A:$E,2,0)</f>
        <v>LUCIO NAGIB BITTENCOURT</v>
      </c>
      <c r="W484" s="161" t="str">
        <f>VLOOKUP(U484,docentes!$A:$E,5,0)</f>
        <v>CECS</v>
      </c>
      <c r="X484" s="162"/>
      <c r="Y484" s="163"/>
      <c r="Z484" s="164"/>
    </row>
    <row r="485" spans="1:35" s="44" customFormat="1" ht="66.75" customHeight="1">
      <c r="A485" s="148" t="s">
        <v>193</v>
      </c>
      <c r="B485" s="146" t="s">
        <v>1910</v>
      </c>
      <c r="C485" s="149" t="s">
        <v>1905</v>
      </c>
      <c r="D485" s="150">
        <v>2</v>
      </c>
      <c r="E485" s="150" t="s">
        <v>1906</v>
      </c>
      <c r="F485" s="151" t="s">
        <v>1911</v>
      </c>
      <c r="G485" s="152">
        <v>4</v>
      </c>
      <c r="H485" s="152">
        <v>0</v>
      </c>
      <c r="I485" s="153">
        <v>4</v>
      </c>
      <c r="J485" s="154">
        <v>4</v>
      </c>
      <c r="K485" s="155">
        <v>0</v>
      </c>
      <c r="L485" s="148" t="s">
        <v>97</v>
      </c>
      <c r="M485" s="148" t="s">
        <v>58</v>
      </c>
      <c r="N485" s="156"/>
      <c r="O485" s="157" t="s">
        <v>59</v>
      </c>
      <c r="P485" s="158">
        <v>42</v>
      </c>
      <c r="Q485" s="152" t="s">
        <v>76</v>
      </c>
      <c r="R485" s="152" t="s">
        <v>70</v>
      </c>
      <c r="S485" s="148" t="s">
        <v>1912</v>
      </c>
      <c r="T485" s="148">
        <v>0</v>
      </c>
      <c r="U485" s="159">
        <v>334</v>
      </c>
      <c r="V485" s="160" t="str">
        <f>VLOOKUP(U485,docentes!$A:$E,2,0)</f>
        <v>LUCIO NAGIB BITTENCOURT</v>
      </c>
      <c r="W485" s="161" t="str">
        <f>VLOOKUP(U485,docentes!$A:$E,5,0)</f>
        <v>CECS</v>
      </c>
      <c r="X485" s="162"/>
      <c r="Y485" s="163"/>
      <c r="Z485" s="164"/>
    </row>
    <row r="486" spans="1:35" s="44" customFormat="1" ht="66.75" customHeight="1">
      <c r="A486" s="148" t="s">
        <v>184</v>
      </c>
      <c r="B486" s="146" t="s">
        <v>1913</v>
      </c>
      <c r="C486" s="149" t="s">
        <v>1914</v>
      </c>
      <c r="D486" s="150">
        <v>2</v>
      </c>
      <c r="E486" s="150" t="s">
        <v>1915</v>
      </c>
      <c r="F486" s="151" t="s">
        <v>1916</v>
      </c>
      <c r="G486" s="152">
        <v>3</v>
      </c>
      <c r="H486" s="152">
        <v>1</v>
      </c>
      <c r="I486" s="153">
        <v>3</v>
      </c>
      <c r="J486" s="154">
        <v>3</v>
      </c>
      <c r="K486" s="155">
        <v>1</v>
      </c>
      <c r="L486" s="148" t="s">
        <v>57</v>
      </c>
      <c r="M486" s="148" t="s">
        <v>58</v>
      </c>
      <c r="N486" s="156"/>
      <c r="O486" s="157" t="s">
        <v>59</v>
      </c>
      <c r="P486" s="158">
        <v>60</v>
      </c>
      <c r="Q486" s="152" t="s">
        <v>60</v>
      </c>
      <c r="R486" s="152" t="s">
        <v>61</v>
      </c>
      <c r="S486" s="148" t="s">
        <v>1917</v>
      </c>
      <c r="T486" s="148">
        <v>0</v>
      </c>
      <c r="U486" s="159">
        <v>391</v>
      </c>
      <c r="V486" s="160" t="str">
        <f>VLOOKUP(U486,docentes!$A:$E,2,0)</f>
        <v>MARIA CLEOFE VALVERDE BRAMBILA</v>
      </c>
      <c r="W486" s="161" t="str">
        <f>VLOOKUP(U486,docentes!$A:$E,5,0)</f>
        <v>CECS</v>
      </c>
      <c r="X486" s="176">
        <v>56</v>
      </c>
      <c r="Y486" s="160" t="str">
        <f>VLOOKUP(X486,docentes!$A:$E,2,0)</f>
        <v>ANDREA DE OLIVEIRA CARDOSO</v>
      </c>
      <c r="Z486" s="177" t="str">
        <f>VLOOKUP(X486,docentes!$A:$E,5,0)</f>
        <v>CECS</v>
      </c>
    </row>
    <row r="487" spans="1:35" s="44" customFormat="1" ht="66.75" customHeight="1">
      <c r="A487" s="148" t="s">
        <v>184</v>
      </c>
      <c r="B487" s="146" t="s">
        <v>1918</v>
      </c>
      <c r="C487" s="149" t="s">
        <v>1914</v>
      </c>
      <c r="D487" s="150">
        <v>2</v>
      </c>
      <c r="E487" s="150" t="s">
        <v>1915</v>
      </c>
      <c r="F487" s="151" t="s">
        <v>1919</v>
      </c>
      <c r="G487" s="152">
        <v>3</v>
      </c>
      <c r="H487" s="152">
        <v>1</v>
      </c>
      <c r="I487" s="153">
        <v>3</v>
      </c>
      <c r="J487" s="154">
        <v>3</v>
      </c>
      <c r="K487" s="155">
        <v>1</v>
      </c>
      <c r="L487" s="148" t="s">
        <v>57</v>
      </c>
      <c r="M487" s="148" t="s">
        <v>58</v>
      </c>
      <c r="N487" s="156"/>
      <c r="O487" s="157" t="s">
        <v>59</v>
      </c>
      <c r="P487" s="158">
        <v>60</v>
      </c>
      <c r="Q487" s="152" t="s">
        <v>60</v>
      </c>
      <c r="R487" s="152" t="s">
        <v>70</v>
      </c>
      <c r="S487" s="148" t="s">
        <v>1920</v>
      </c>
      <c r="T487" s="148">
        <v>0</v>
      </c>
      <c r="U487" s="159">
        <v>56</v>
      </c>
      <c r="V487" s="160" t="str">
        <f>VLOOKUP(U487,docentes!$A:$E,2,0)</f>
        <v>ANDREA DE OLIVEIRA CARDOSO</v>
      </c>
      <c r="W487" s="161" t="str">
        <f>VLOOKUP(U487,docentes!$A:$E,5,0)</f>
        <v>CECS</v>
      </c>
      <c r="X487" s="176">
        <v>391</v>
      </c>
      <c r="Y487" s="160" t="str">
        <f>VLOOKUP(X487,docentes!$A:$E,2,0)</f>
        <v>MARIA CLEOFE VALVERDE BRAMBILA</v>
      </c>
      <c r="Z487" s="177" t="str">
        <f>VLOOKUP(X487,docentes!$A:$E,5,0)</f>
        <v>CECS</v>
      </c>
    </row>
    <row r="488" spans="1:35" s="44" customFormat="1" ht="66.75" customHeight="1">
      <c r="A488" s="148" t="s">
        <v>980</v>
      </c>
      <c r="B488" s="146" t="s">
        <v>1921</v>
      </c>
      <c r="C488" s="149" t="s">
        <v>1922</v>
      </c>
      <c r="D488" s="150">
        <v>2</v>
      </c>
      <c r="E488" s="150" t="s">
        <v>1923</v>
      </c>
      <c r="F488" s="151" t="s">
        <v>1924</v>
      </c>
      <c r="G488" s="152">
        <v>4</v>
      </c>
      <c r="H488" s="152">
        <v>0</v>
      </c>
      <c r="I488" s="153">
        <v>4</v>
      </c>
      <c r="J488" s="154">
        <v>4</v>
      </c>
      <c r="K488" s="155">
        <v>0</v>
      </c>
      <c r="L488" s="148" t="s">
        <v>57</v>
      </c>
      <c r="M488" s="148" t="s">
        <v>58</v>
      </c>
      <c r="N488" s="156"/>
      <c r="O488" s="157" t="s">
        <v>59</v>
      </c>
      <c r="P488" s="158">
        <v>38</v>
      </c>
      <c r="Q488" s="152" t="s">
        <v>76</v>
      </c>
      <c r="R488" s="152" t="s">
        <v>61</v>
      </c>
      <c r="S488" s="148" t="s">
        <v>1925</v>
      </c>
      <c r="T488" s="148">
        <v>0</v>
      </c>
      <c r="U488" s="159">
        <v>525</v>
      </c>
      <c r="V488" s="160" t="str">
        <f>VLOOKUP(U488,docentes!$A:$E,2,0)</f>
        <v>SILVIA HELENA FACCIOLLA PASSARELLI</v>
      </c>
      <c r="W488" s="161" t="str">
        <f>VLOOKUP(U488,docentes!$A:$E,5,0)</f>
        <v>CECS</v>
      </c>
      <c r="X488" s="162">
        <v>525</v>
      </c>
      <c r="Y488" s="163" t="str">
        <f>VLOOKUP(X488,docentes!$A:$E,2,0)</f>
        <v>SILVIA HELENA FACCIOLLA PASSARELLI</v>
      </c>
      <c r="Z488" s="164" t="str">
        <f>VLOOKUP(X488,docentes!$A:$E,5,0)</f>
        <v>CECS</v>
      </c>
      <c r="AB488" s="45"/>
    </row>
    <row r="489" spans="1:35" s="44" customFormat="1" ht="66.75" customHeight="1">
      <c r="A489" s="148" t="s">
        <v>980</v>
      </c>
      <c r="B489" s="146" t="s">
        <v>1926</v>
      </c>
      <c r="C489" s="149" t="s">
        <v>1922</v>
      </c>
      <c r="D489" s="150">
        <v>2</v>
      </c>
      <c r="E489" s="150" t="s">
        <v>1923</v>
      </c>
      <c r="F489" s="151" t="s">
        <v>1927</v>
      </c>
      <c r="G489" s="152">
        <v>4</v>
      </c>
      <c r="H489" s="152">
        <v>0</v>
      </c>
      <c r="I489" s="153">
        <v>4</v>
      </c>
      <c r="J489" s="154">
        <v>4</v>
      </c>
      <c r="K489" s="155">
        <v>0</v>
      </c>
      <c r="L489" s="148" t="s">
        <v>57</v>
      </c>
      <c r="M489" s="148" t="s">
        <v>58</v>
      </c>
      <c r="N489" s="156"/>
      <c r="O489" s="157" t="s">
        <v>59</v>
      </c>
      <c r="P489" s="158">
        <v>38</v>
      </c>
      <c r="Q489" s="152" t="s">
        <v>76</v>
      </c>
      <c r="R489" s="152" t="s">
        <v>70</v>
      </c>
      <c r="S489" s="148" t="s">
        <v>1928</v>
      </c>
      <c r="T489" s="148">
        <v>0</v>
      </c>
      <c r="U489" s="159">
        <v>395</v>
      </c>
      <c r="V489" s="160" t="str">
        <f>VLOOKUP(U489,docentes!$A:$E,2,0)</f>
        <v>MARIA DE LOURDES PEREIRA FONSECA</v>
      </c>
      <c r="W489" s="161" t="str">
        <f>VLOOKUP(U489,docentes!$A:$E,5,0)</f>
        <v>CECS</v>
      </c>
      <c r="X489" s="162">
        <v>395</v>
      </c>
      <c r="Y489" s="163" t="str">
        <f>VLOOKUP(X489,docentes!$A:$E,2,0)</f>
        <v>MARIA DE LOURDES PEREIRA FONSECA</v>
      </c>
      <c r="Z489" s="164" t="str">
        <f>VLOOKUP(X489,docentes!$A:$E,5,0)</f>
        <v>CECS</v>
      </c>
      <c r="AB489" s="45"/>
    </row>
    <row r="490" spans="1:35" s="44" customFormat="1" ht="66.75" customHeight="1">
      <c r="A490" s="148" t="s">
        <v>1000</v>
      </c>
      <c r="B490" s="146" t="s">
        <v>1929</v>
      </c>
      <c r="C490" s="149" t="s">
        <v>1930</v>
      </c>
      <c r="D490" s="150">
        <v>3</v>
      </c>
      <c r="E490" s="150" t="s">
        <v>1931</v>
      </c>
      <c r="F490" s="151" t="s">
        <v>1932</v>
      </c>
      <c r="G490" s="152">
        <v>2</v>
      </c>
      <c r="H490" s="152">
        <v>0</v>
      </c>
      <c r="I490" s="153">
        <v>2</v>
      </c>
      <c r="J490" s="154">
        <v>2</v>
      </c>
      <c r="K490" s="155">
        <v>0</v>
      </c>
      <c r="L490" s="148"/>
      <c r="M490" s="148"/>
      <c r="N490" s="178"/>
      <c r="O490" s="165" t="s">
        <v>1933</v>
      </c>
      <c r="P490" s="158">
        <v>40</v>
      </c>
      <c r="Q490" s="152" t="s">
        <v>60</v>
      </c>
      <c r="R490" s="152" t="s">
        <v>70</v>
      </c>
      <c r="S490" s="148" t="s">
        <v>1934</v>
      </c>
      <c r="T490" s="148">
        <v>0</v>
      </c>
      <c r="U490" s="159">
        <v>333</v>
      </c>
      <c r="V490" s="160" t="str">
        <f>VLOOKUP(U490,docentes!$A:$E,2,0)</f>
        <v>LUCIO CAMPOS COSTA</v>
      </c>
      <c r="W490" s="161" t="str">
        <f>VLOOKUP(U490,docentes!$A:$E,5,0)</f>
        <v>CCNH</v>
      </c>
      <c r="X490" s="162"/>
      <c r="Y490" s="163"/>
      <c r="Z490" s="164"/>
    </row>
    <row r="491" spans="1:35" s="44" customFormat="1" ht="66.75" customHeight="1">
      <c r="A491" s="148" t="s">
        <v>1000</v>
      </c>
      <c r="B491" s="146" t="s">
        <v>1935</v>
      </c>
      <c r="C491" s="149" t="s">
        <v>1930</v>
      </c>
      <c r="D491" s="150">
        <v>3</v>
      </c>
      <c r="E491" s="150" t="s">
        <v>1931</v>
      </c>
      <c r="F491" s="151" t="s">
        <v>1936</v>
      </c>
      <c r="G491" s="152">
        <v>2</v>
      </c>
      <c r="H491" s="152">
        <v>0</v>
      </c>
      <c r="I491" s="153">
        <v>2</v>
      </c>
      <c r="J491" s="154">
        <v>2</v>
      </c>
      <c r="K491" s="155">
        <v>0</v>
      </c>
      <c r="L491" s="148" t="s">
        <v>821</v>
      </c>
      <c r="M491" s="148"/>
      <c r="N491" s="178" t="s">
        <v>1005</v>
      </c>
      <c r="O491" s="165" t="s">
        <v>986</v>
      </c>
      <c r="P491" s="158">
        <v>40</v>
      </c>
      <c r="Q491" s="152" t="s">
        <v>60</v>
      </c>
      <c r="R491" s="152" t="s">
        <v>61</v>
      </c>
      <c r="S491" s="148" t="s">
        <v>1937</v>
      </c>
      <c r="T491" s="148">
        <v>0</v>
      </c>
      <c r="U491" s="159">
        <v>77</v>
      </c>
      <c r="V491" s="160" t="str">
        <f>VLOOKUP(U491,docentes!$A:$E,2,0)</f>
        <v>BRENO ARSIOLI MOURA</v>
      </c>
      <c r="W491" s="161" t="str">
        <f>VLOOKUP(U491,docentes!$A:$E,5,0)</f>
        <v>CCNH</v>
      </c>
      <c r="X491" s="162"/>
      <c r="Y491" s="163"/>
      <c r="Z491" s="164"/>
    </row>
    <row r="492" spans="1:35" s="44" customFormat="1" ht="66.75" customHeight="1">
      <c r="A492" s="148" t="s">
        <v>1000</v>
      </c>
      <c r="B492" s="146" t="s">
        <v>1938</v>
      </c>
      <c r="C492" s="149" t="s">
        <v>1930</v>
      </c>
      <c r="D492" s="150">
        <v>3</v>
      </c>
      <c r="E492" s="150" t="s">
        <v>1931</v>
      </c>
      <c r="F492" s="151" t="s">
        <v>1939</v>
      </c>
      <c r="G492" s="152">
        <v>2</v>
      </c>
      <c r="H492" s="152">
        <v>0</v>
      </c>
      <c r="I492" s="153">
        <v>2</v>
      </c>
      <c r="J492" s="154">
        <v>2</v>
      </c>
      <c r="K492" s="155">
        <v>0</v>
      </c>
      <c r="L492" s="148" t="s">
        <v>845</v>
      </c>
      <c r="M492" s="148" t="s">
        <v>1940</v>
      </c>
      <c r="N492" s="178" t="s">
        <v>1005</v>
      </c>
      <c r="O492" s="165" t="s">
        <v>1941</v>
      </c>
      <c r="P492" s="158">
        <v>30</v>
      </c>
      <c r="Q492" s="152" t="s">
        <v>60</v>
      </c>
      <c r="R492" s="152" t="s">
        <v>70</v>
      </c>
      <c r="S492" s="148" t="s">
        <v>1942</v>
      </c>
      <c r="T492" s="148">
        <v>0</v>
      </c>
      <c r="U492" s="159">
        <v>77</v>
      </c>
      <c r="V492" s="160" t="str">
        <f>VLOOKUP(U492,docentes!$A:$E,2,0)</f>
        <v>BRENO ARSIOLI MOURA</v>
      </c>
      <c r="W492" s="161" t="str">
        <f>VLOOKUP(U492,docentes!$A:$E,5,0)</f>
        <v>CCNH</v>
      </c>
      <c r="X492" s="162"/>
      <c r="Y492" s="163"/>
      <c r="Z492" s="164"/>
      <c r="AH492" s="45"/>
      <c r="AI492" s="45"/>
    </row>
    <row r="493" spans="1:35" s="44" customFormat="1" ht="66.75" customHeight="1">
      <c r="A493" s="148" t="s">
        <v>1336</v>
      </c>
      <c r="B493" s="146" t="s">
        <v>1943</v>
      </c>
      <c r="C493" s="149" t="s">
        <v>1944</v>
      </c>
      <c r="D493" s="150">
        <v>2</v>
      </c>
      <c r="E493" s="150" t="s">
        <v>1945</v>
      </c>
      <c r="F493" s="151" t="s">
        <v>1946</v>
      </c>
      <c r="G493" s="152">
        <v>4</v>
      </c>
      <c r="H493" s="152">
        <v>0</v>
      </c>
      <c r="I493" s="153">
        <v>4</v>
      </c>
      <c r="J493" s="154">
        <v>4</v>
      </c>
      <c r="K493" s="155">
        <v>0</v>
      </c>
      <c r="L493" s="148" t="s">
        <v>57</v>
      </c>
      <c r="M493" s="148" t="s">
        <v>58</v>
      </c>
      <c r="N493" s="156"/>
      <c r="O493" s="157" t="s">
        <v>59</v>
      </c>
      <c r="P493" s="158">
        <v>40</v>
      </c>
      <c r="Q493" s="152" t="s">
        <v>76</v>
      </c>
      <c r="R493" s="152" t="s">
        <v>61</v>
      </c>
      <c r="S493" s="148" t="s">
        <v>1947</v>
      </c>
      <c r="T493" s="148">
        <v>0</v>
      </c>
      <c r="U493" s="159">
        <v>1017</v>
      </c>
      <c r="V493" s="160" t="str">
        <f>VLOOKUP(U493,docentes!$A:$E,2,0)</f>
        <v>Professor Adjunto aprovado no concurso de Filosofia Antiga</v>
      </c>
      <c r="W493" s="161">
        <f>VLOOKUP(U493,docentes!$A:$E,5,0)</f>
        <v>0</v>
      </c>
      <c r="X493" s="162"/>
      <c r="Y493" s="163"/>
      <c r="Z493" s="164"/>
    </row>
    <row r="494" spans="1:35" s="44" customFormat="1" ht="66.75" customHeight="1">
      <c r="A494" s="148" t="s">
        <v>1336</v>
      </c>
      <c r="B494" s="146" t="s">
        <v>1948</v>
      </c>
      <c r="C494" s="149" t="s">
        <v>1944</v>
      </c>
      <c r="D494" s="150">
        <v>2</v>
      </c>
      <c r="E494" s="150" t="s">
        <v>1945</v>
      </c>
      <c r="F494" s="151" t="s">
        <v>1949</v>
      </c>
      <c r="G494" s="152">
        <v>4</v>
      </c>
      <c r="H494" s="152">
        <v>0</v>
      </c>
      <c r="I494" s="153">
        <v>4</v>
      </c>
      <c r="J494" s="154">
        <v>4</v>
      </c>
      <c r="K494" s="155">
        <v>0</v>
      </c>
      <c r="L494" s="148" t="s">
        <v>57</v>
      </c>
      <c r="M494" s="148" t="s">
        <v>58</v>
      </c>
      <c r="N494" s="156"/>
      <c r="O494" s="157" t="s">
        <v>59</v>
      </c>
      <c r="P494" s="158">
        <v>40</v>
      </c>
      <c r="Q494" s="152" t="s">
        <v>76</v>
      </c>
      <c r="R494" s="152" t="s">
        <v>70</v>
      </c>
      <c r="S494" s="148" t="s">
        <v>1950</v>
      </c>
      <c r="T494" s="148">
        <v>0</v>
      </c>
      <c r="U494" s="159">
        <v>1017</v>
      </c>
      <c r="V494" s="160" t="str">
        <f>VLOOKUP(U494,docentes!$A:$E,2,0)</f>
        <v>Professor Adjunto aprovado no concurso de Filosofia Antiga</v>
      </c>
      <c r="W494" s="161">
        <f>VLOOKUP(U494,docentes!$A:$E,5,0)</f>
        <v>0</v>
      </c>
      <c r="X494" s="162"/>
      <c r="Y494" s="163"/>
      <c r="Z494" s="164"/>
    </row>
    <row r="495" spans="1:35" s="44" customFormat="1" ht="66.75" customHeight="1">
      <c r="A495" s="148" t="s">
        <v>1336</v>
      </c>
      <c r="B495" s="146" t="s">
        <v>1951</v>
      </c>
      <c r="C495" s="149" t="s">
        <v>1952</v>
      </c>
      <c r="D495" s="150">
        <v>2</v>
      </c>
      <c r="E495" s="150" t="s">
        <v>1953</v>
      </c>
      <c r="F495" s="151" t="s">
        <v>1954</v>
      </c>
      <c r="G495" s="152">
        <v>4</v>
      </c>
      <c r="H495" s="152">
        <v>0</v>
      </c>
      <c r="I495" s="153">
        <v>4</v>
      </c>
      <c r="J495" s="154">
        <v>4</v>
      </c>
      <c r="K495" s="155">
        <v>0</v>
      </c>
      <c r="L495" s="148" t="s">
        <v>57</v>
      </c>
      <c r="M495" s="148" t="s">
        <v>58</v>
      </c>
      <c r="N495" s="156"/>
      <c r="O495" s="157" t="s">
        <v>59</v>
      </c>
      <c r="P495" s="158">
        <v>40</v>
      </c>
      <c r="Q495" s="152" t="s">
        <v>76</v>
      </c>
      <c r="R495" s="152" t="s">
        <v>61</v>
      </c>
      <c r="S495" s="148" t="s">
        <v>1955</v>
      </c>
      <c r="T495" s="148">
        <v>0</v>
      </c>
      <c r="U495" s="159">
        <v>426</v>
      </c>
      <c r="V495" s="160" t="str">
        <f>VLOOKUP(U495,docentes!$A:$E,2,0)</f>
        <v>MONIQUE HULSHOF</v>
      </c>
      <c r="W495" s="161" t="str">
        <f>VLOOKUP(U495,docentes!$A:$E,5,0)</f>
        <v>CCNH</v>
      </c>
      <c r="X495" s="162"/>
      <c r="Y495" s="163"/>
      <c r="Z495" s="164"/>
    </row>
    <row r="496" spans="1:35" s="44" customFormat="1" ht="66.75" customHeight="1">
      <c r="A496" s="148" t="s">
        <v>1336</v>
      </c>
      <c r="B496" s="146" t="s">
        <v>1956</v>
      </c>
      <c r="C496" s="149" t="s">
        <v>1952</v>
      </c>
      <c r="D496" s="150">
        <v>2</v>
      </c>
      <c r="E496" s="150" t="s">
        <v>1953</v>
      </c>
      <c r="F496" s="151" t="s">
        <v>1957</v>
      </c>
      <c r="G496" s="152">
        <v>4</v>
      </c>
      <c r="H496" s="152">
        <v>0</v>
      </c>
      <c r="I496" s="153">
        <v>4</v>
      </c>
      <c r="J496" s="154">
        <v>4</v>
      </c>
      <c r="K496" s="155">
        <v>0</v>
      </c>
      <c r="L496" s="148" t="s">
        <v>57</v>
      </c>
      <c r="M496" s="148" t="s">
        <v>58</v>
      </c>
      <c r="N496" s="156"/>
      <c r="O496" s="157" t="s">
        <v>59</v>
      </c>
      <c r="P496" s="158">
        <v>40</v>
      </c>
      <c r="Q496" s="152" t="s">
        <v>76</v>
      </c>
      <c r="R496" s="152" t="s">
        <v>70</v>
      </c>
      <c r="S496" s="148" t="s">
        <v>1958</v>
      </c>
      <c r="T496" s="148">
        <v>0</v>
      </c>
      <c r="U496" s="159">
        <v>426</v>
      </c>
      <c r="V496" s="160" t="str">
        <f>VLOOKUP(U496,docentes!$A:$E,2,0)</f>
        <v>MONIQUE HULSHOF</v>
      </c>
      <c r="W496" s="161" t="str">
        <f>VLOOKUP(U496,docentes!$A:$E,5,0)</f>
        <v>CCNH</v>
      </c>
      <c r="X496" s="162"/>
      <c r="Y496" s="163"/>
      <c r="Z496" s="164"/>
    </row>
    <row r="497" spans="1:35" s="44" customFormat="1" ht="66.75" customHeight="1">
      <c r="A497" s="148" t="s">
        <v>1017</v>
      </c>
      <c r="B497" s="146" t="s">
        <v>1959</v>
      </c>
      <c r="C497" s="149" t="s">
        <v>1960</v>
      </c>
      <c r="D497" s="150">
        <v>1</v>
      </c>
      <c r="E497" s="150" t="s">
        <v>1961</v>
      </c>
      <c r="F497" s="151" t="s">
        <v>1962</v>
      </c>
      <c r="G497" s="152">
        <v>4</v>
      </c>
      <c r="H497" s="152">
        <v>0</v>
      </c>
      <c r="I497" s="153">
        <v>4</v>
      </c>
      <c r="J497" s="154">
        <v>4</v>
      </c>
      <c r="K497" s="155">
        <v>0</v>
      </c>
      <c r="L497" s="148" t="s">
        <v>57</v>
      </c>
      <c r="M497" s="148" t="s">
        <v>58</v>
      </c>
      <c r="N497" s="178"/>
      <c r="O497" s="157" t="s">
        <v>59</v>
      </c>
      <c r="P497" s="158">
        <v>52</v>
      </c>
      <c r="Q497" s="152" t="s">
        <v>60</v>
      </c>
      <c r="R497" s="152" t="s">
        <v>70</v>
      </c>
      <c r="S497" s="148" t="s">
        <v>1963</v>
      </c>
      <c r="T497" s="148">
        <v>0</v>
      </c>
      <c r="U497" s="159">
        <v>562</v>
      </c>
      <c r="V497" s="160" t="str">
        <f>VLOOKUP(U497,docentes!$A:$E,2,0)</f>
        <v>VIVILI MARIA SILVA GOMES</v>
      </c>
      <c r="W497" s="161" t="str">
        <f>VLOOKUP(U497,docentes!$A:$E,5,0)</f>
        <v>CMCC</v>
      </c>
      <c r="X497" s="162"/>
      <c r="Y497" s="163"/>
      <c r="Z497" s="164"/>
    </row>
    <row r="498" spans="1:35" s="44" customFormat="1" ht="66.75" hidden="1" customHeight="1">
      <c r="A498" s="148" t="s">
        <v>1336</v>
      </c>
      <c r="B498" s="168" t="s">
        <v>1964</v>
      </c>
      <c r="C498" s="149"/>
      <c r="D498" s="150">
        <v>0</v>
      </c>
      <c r="E498" s="150" t="s">
        <v>1965</v>
      </c>
      <c r="F498" s="169" t="s">
        <v>1966</v>
      </c>
      <c r="G498" s="152">
        <v>4</v>
      </c>
      <c r="H498" s="152">
        <v>0</v>
      </c>
      <c r="I498" s="153">
        <v>4</v>
      </c>
      <c r="J498" s="154">
        <v>0</v>
      </c>
      <c r="K498" s="155">
        <v>0</v>
      </c>
      <c r="L498" s="148" t="s">
        <v>644</v>
      </c>
      <c r="M498" s="148" t="s">
        <v>58</v>
      </c>
      <c r="N498" s="156"/>
      <c r="O498" s="165" t="s">
        <v>102</v>
      </c>
      <c r="P498" s="158">
        <v>0</v>
      </c>
      <c r="Q498" s="152" t="s">
        <v>76</v>
      </c>
      <c r="R498" s="152" t="s">
        <v>61</v>
      </c>
      <c r="S498" s="148" t="s">
        <v>1967</v>
      </c>
      <c r="T498" s="148">
        <v>0</v>
      </c>
      <c r="U498" s="170">
        <v>310</v>
      </c>
      <c r="V498" s="163" t="str">
        <f>VLOOKUP(U498,docentes!$A:$E,2,0)</f>
        <v>KATYA MARGARETH AURANI</v>
      </c>
      <c r="W498" s="171" t="str">
        <f>VLOOKUP(U498,docentes!$A:$E,5,0)</f>
        <v>CCNH</v>
      </c>
      <c r="X498" s="162"/>
      <c r="Y498" s="163"/>
      <c r="Z498" s="164"/>
    </row>
    <row r="499" spans="1:35" s="44" customFormat="1" ht="66.75" customHeight="1">
      <c r="A499" s="148" t="s">
        <v>1336</v>
      </c>
      <c r="B499" s="146" t="s">
        <v>1968</v>
      </c>
      <c r="C499" s="149" t="s">
        <v>1969</v>
      </c>
      <c r="D499" s="150">
        <v>1</v>
      </c>
      <c r="E499" s="150" t="s">
        <v>1965</v>
      </c>
      <c r="F499" s="151" t="s">
        <v>1970</v>
      </c>
      <c r="G499" s="152">
        <v>4</v>
      </c>
      <c r="H499" s="152">
        <v>0</v>
      </c>
      <c r="I499" s="153">
        <v>4</v>
      </c>
      <c r="J499" s="154">
        <v>4</v>
      </c>
      <c r="K499" s="155">
        <v>0</v>
      </c>
      <c r="L499" s="148" t="s">
        <v>57</v>
      </c>
      <c r="M499" s="148" t="s">
        <v>58</v>
      </c>
      <c r="N499" s="156"/>
      <c r="O499" s="157" t="s">
        <v>59</v>
      </c>
      <c r="P499" s="158">
        <v>40</v>
      </c>
      <c r="Q499" s="152" t="s">
        <v>76</v>
      </c>
      <c r="R499" s="152" t="s">
        <v>70</v>
      </c>
      <c r="S499" s="148" t="s">
        <v>1971</v>
      </c>
      <c r="T499" s="148">
        <v>0</v>
      </c>
      <c r="U499" s="159">
        <v>310</v>
      </c>
      <c r="V499" s="160" t="str">
        <f>VLOOKUP(U499,docentes!$A:$E,2,0)</f>
        <v>KATYA MARGARETH AURANI</v>
      </c>
      <c r="W499" s="161" t="str">
        <f>VLOOKUP(U499,docentes!$A:$E,5,0)</f>
        <v>CCNH</v>
      </c>
      <c r="X499" s="162"/>
      <c r="Y499" s="163"/>
      <c r="Z499" s="164"/>
    </row>
    <row r="500" spans="1:35" ht="66.75" customHeight="1">
      <c r="A500" s="148" t="s">
        <v>713</v>
      </c>
      <c r="B500" s="146" t="s">
        <v>1972</v>
      </c>
      <c r="C500" s="149" t="s">
        <v>1973</v>
      </c>
      <c r="D500" s="150">
        <v>5</v>
      </c>
      <c r="E500" s="150" t="s">
        <v>1974</v>
      </c>
      <c r="F500" s="151" t="s">
        <v>1975</v>
      </c>
      <c r="G500" s="152">
        <v>3</v>
      </c>
      <c r="H500" s="152">
        <v>0</v>
      </c>
      <c r="I500" s="153">
        <v>4</v>
      </c>
      <c r="J500" s="154">
        <v>3</v>
      </c>
      <c r="K500" s="155">
        <v>0</v>
      </c>
      <c r="L500" s="148" t="s">
        <v>821</v>
      </c>
      <c r="M500" s="148">
        <v>100</v>
      </c>
      <c r="N500" s="156"/>
      <c r="O500" s="165" t="s">
        <v>751</v>
      </c>
      <c r="P500" s="158"/>
      <c r="Q500" s="152" t="s">
        <v>76</v>
      </c>
      <c r="R500" s="152" t="s">
        <v>61</v>
      </c>
      <c r="S500" s="148" t="s">
        <v>1976</v>
      </c>
      <c r="T500" s="148">
        <v>0</v>
      </c>
      <c r="U500" s="159">
        <v>58</v>
      </c>
      <c r="V500" s="160" t="str">
        <f>VLOOKUP(U500,docentes!$A:$E,2,0)</f>
        <v>ANDREA PAULA DOS SANTOS OLIVEIRA KAMENSKY</v>
      </c>
      <c r="W500" s="161" t="str">
        <f>VLOOKUP(U500,docentes!$A:$E,5,0)</f>
        <v>CECS</v>
      </c>
      <c r="X500" s="162"/>
      <c r="Y500" s="163"/>
      <c r="Z500" s="164"/>
      <c r="AA500" s="44"/>
      <c r="AB500" s="44"/>
      <c r="AC500" s="44"/>
      <c r="AD500" s="44"/>
      <c r="AE500" s="44"/>
      <c r="AF500" s="44"/>
      <c r="AG500" s="44"/>
      <c r="AH500" s="44"/>
      <c r="AI500" s="44"/>
    </row>
    <row r="501" spans="1:35" s="44" customFormat="1" ht="66.75" customHeight="1">
      <c r="A501" s="148" t="s">
        <v>713</v>
      </c>
      <c r="B501" s="146" t="s">
        <v>1977</v>
      </c>
      <c r="C501" s="149" t="s">
        <v>1978</v>
      </c>
      <c r="D501" s="150">
        <v>4</v>
      </c>
      <c r="E501" s="150" t="s">
        <v>1974</v>
      </c>
      <c r="F501" s="151" t="s">
        <v>1975</v>
      </c>
      <c r="G501" s="152">
        <v>3</v>
      </c>
      <c r="H501" s="152">
        <v>0</v>
      </c>
      <c r="I501" s="153">
        <v>4</v>
      </c>
      <c r="J501" s="154">
        <v>3</v>
      </c>
      <c r="K501" s="155">
        <v>0</v>
      </c>
      <c r="L501" s="148" t="s">
        <v>57</v>
      </c>
      <c r="M501" s="148" t="s">
        <v>58</v>
      </c>
      <c r="N501" s="156"/>
      <c r="O501" s="157" t="s">
        <v>59</v>
      </c>
      <c r="P501" s="158">
        <v>120</v>
      </c>
      <c r="Q501" s="152" t="s">
        <v>76</v>
      </c>
      <c r="R501" s="152" t="s">
        <v>61</v>
      </c>
      <c r="S501" s="148" t="s">
        <v>1979</v>
      </c>
      <c r="T501" s="148">
        <v>0</v>
      </c>
      <c r="U501" s="159">
        <v>0</v>
      </c>
      <c r="V501" s="160" t="e">
        <f>VLOOKUP(U501,docentes!$A:$E,2,0)</f>
        <v>#N/A</v>
      </c>
      <c r="W501" s="161" t="e">
        <f>VLOOKUP(U501,docentes!$A:$E,5,0)</f>
        <v>#N/A</v>
      </c>
      <c r="X501" s="162"/>
      <c r="Y501" s="163"/>
      <c r="Z501" s="164"/>
    </row>
    <row r="502" spans="1:35" s="44" customFormat="1" ht="66.75" customHeight="1">
      <c r="A502" s="148" t="s">
        <v>713</v>
      </c>
      <c r="B502" s="146" t="s">
        <v>1980</v>
      </c>
      <c r="C502" s="149" t="s">
        <v>1973</v>
      </c>
      <c r="D502" s="150">
        <v>5</v>
      </c>
      <c r="E502" s="150" t="s">
        <v>1974</v>
      </c>
      <c r="F502" s="151" t="s">
        <v>1981</v>
      </c>
      <c r="G502" s="152">
        <v>3</v>
      </c>
      <c r="H502" s="152">
        <v>0</v>
      </c>
      <c r="I502" s="153">
        <v>4</v>
      </c>
      <c r="J502" s="154">
        <v>3</v>
      </c>
      <c r="K502" s="155">
        <v>0</v>
      </c>
      <c r="L502" s="148" t="s">
        <v>57</v>
      </c>
      <c r="M502" s="148" t="s">
        <v>58</v>
      </c>
      <c r="N502" s="156"/>
      <c r="O502" s="157" t="s">
        <v>59</v>
      </c>
      <c r="P502" s="158">
        <v>90</v>
      </c>
      <c r="Q502" s="152" t="s">
        <v>76</v>
      </c>
      <c r="R502" s="152" t="s">
        <v>70</v>
      </c>
      <c r="S502" s="148" t="s">
        <v>1982</v>
      </c>
      <c r="T502" s="148">
        <v>0</v>
      </c>
      <c r="U502" s="159">
        <v>396</v>
      </c>
      <c r="V502" s="160" t="str">
        <f>VLOOKUP(U502,docentes!$A:$E,2,0)</f>
        <v>MARIA GABRIELA SILVA MARTINS CUNHA MARINHO</v>
      </c>
      <c r="W502" s="161" t="str">
        <f>VLOOKUP(U502,docentes!$A:$E,5,0)</f>
        <v>CECS</v>
      </c>
      <c r="X502" s="162"/>
      <c r="Y502" s="163"/>
      <c r="Z502" s="164"/>
    </row>
    <row r="503" spans="1:35" s="44" customFormat="1" ht="66.75" customHeight="1">
      <c r="A503" s="148" t="s">
        <v>713</v>
      </c>
      <c r="B503" s="146" t="s">
        <v>1983</v>
      </c>
      <c r="C503" s="149" t="s">
        <v>1978</v>
      </c>
      <c r="D503" s="150">
        <v>4</v>
      </c>
      <c r="E503" s="150" t="s">
        <v>1974</v>
      </c>
      <c r="F503" s="151" t="s">
        <v>1981</v>
      </c>
      <c r="G503" s="152">
        <v>3</v>
      </c>
      <c r="H503" s="152">
        <v>0</v>
      </c>
      <c r="I503" s="153">
        <v>4</v>
      </c>
      <c r="J503" s="154">
        <v>3</v>
      </c>
      <c r="K503" s="155">
        <v>0</v>
      </c>
      <c r="L503" s="148" t="s">
        <v>57</v>
      </c>
      <c r="M503" s="148" t="s">
        <v>58</v>
      </c>
      <c r="N503" s="156"/>
      <c r="O503" s="157" t="s">
        <v>59</v>
      </c>
      <c r="P503" s="158">
        <v>120</v>
      </c>
      <c r="Q503" s="152" t="s">
        <v>76</v>
      </c>
      <c r="R503" s="152" t="s">
        <v>70</v>
      </c>
      <c r="S503" s="148" t="s">
        <v>1984</v>
      </c>
      <c r="T503" s="148">
        <v>0</v>
      </c>
      <c r="U503" s="159">
        <v>1004</v>
      </c>
      <c r="V503" s="160" t="str">
        <f>VLOOKUP(U503,docentes!$A:$E,2,0)</f>
        <v>WILSON MESQUISA DE ALMEIDA</v>
      </c>
      <c r="W503" s="161" t="str">
        <f>VLOOKUP(U503,docentes!$A:$E,5,0)</f>
        <v>não identificado</v>
      </c>
      <c r="X503" s="162"/>
      <c r="Y503" s="163"/>
      <c r="Z503" s="164"/>
    </row>
    <row r="504" spans="1:35" s="44" customFormat="1" ht="66.75" customHeight="1">
      <c r="A504" s="148" t="s">
        <v>713</v>
      </c>
      <c r="B504" s="146" t="s">
        <v>1985</v>
      </c>
      <c r="C504" s="149" t="s">
        <v>1973</v>
      </c>
      <c r="D504" s="150">
        <v>5</v>
      </c>
      <c r="E504" s="150" t="s">
        <v>1974</v>
      </c>
      <c r="F504" s="151" t="s">
        <v>1986</v>
      </c>
      <c r="G504" s="152">
        <v>3</v>
      </c>
      <c r="H504" s="152">
        <v>0</v>
      </c>
      <c r="I504" s="153">
        <v>4</v>
      </c>
      <c r="J504" s="154">
        <v>3</v>
      </c>
      <c r="K504" s="155">
        <v>0</v>
      </c>
      <c r="L504" s="148"/>
      <c r="M504" s="148"/>
      <c r="N504" s="156"/>
      <c r="O504" s="165" t="s">
        <v>1716</v>
      </c>
      <c r="P504" s="158">
        <v>90</v>
      </c>
      <c r="Q504" s="149" t="s">
        <v>76</v>
      </c>
      <c r="R504" s="152" t="s">
        <v>61</v>
      </c>
      <c r="S504" s="148" t="s">
        <v>1987</v>
      </c>
      <c r="T504" s="148"/>
      <c r="U504" s="159">
        <v>1005</v>
      </c>
      <c r="V504" s="160" t="str">
        <f>VLOOKUP(U504,docentes!$A:$E,2,0)</f>
        <v>PROFESSOR BPP</v>
      </c>
      <c r="W504" s="177" t="str">
        <f>VLOOKUP(U504,docentes!$A:$E,5,0)</f>
        <v>em contratação</v>
      </c>
      <c r="X504" s="162"/>
      <c r="Y504" s="163"/>
      <c r="Z504" s="164"/>
    </row>
    <row r="505" spans="1:35" s="44" customFormat="1" ht="66.75" customHeight="1">
      <c r="A505" s="148" t="s">
        <v>713</v>
      </c>
      <c r="B505" s="146" t="s">
        <v>1988</v>
      </c>
      <c r="C505" s="149" t="s">
        <v>1973</v>
      </c>
      <c r="D505" s="150">
        <v>5</v>
      </c>
      <c r="E505" s="150" t="s">
        <v>1974</v>
      </c>
      <c r="F505" s="151" t="s">
        <v>1989</v>
      </c>
      <c r="G505" s="152">
        <v>3</v>
      </c>
      <c r="H505" s="152">
        <v>0</v>
      </c>
      <c r="I505" s="153">
        <v>4</v>
      </c>
      <c r="J505" s="154">
        <v>3</v>
      </c>
      <c r="K505" s="155">
        <v>0</v>
      </c>
      <c r="L505" s="148" t="s">
        <v>976</v>
      </c>
      <c r="M505" s="148" t="s">
        <v>977</v>
      </c>
      <c r="N505" s="156">
        <v>94</v>
      </c>
      <c r="O505" s="148" t="s">
        <v>1990</v>
      </c>
      <c r="P505" s="158">
        <v>90</v>
      </c>
      <c r="Q505" s="149" t="s">
        <v>76</v>
      </c>
      <c r="R505" s="152" t="s">
        <v>61</v>
      </c>
      <c r="S505" s="148" t="s">
        <v>1987</v>
      </c>
      <c r="T505" s="148">
        <v>0</v>
      </c>
      <c r="U505" s="159">
        <v>58</v>
      </c>
      <c r="V505" s="160" t="str">
        <f>VLOOKUP(U505,docentes!$A:$E,2,0)</f>
        <v>ANDREA PAULA DOS SANTOS OLIVEIRA KAMENSKY</v>
      </c>
      <c r="W505" s="161" t="str">
        <f>VLOOKUP(U505,docentes!$A:$E,5,0)</f>
        <v>CECS</v>
      </c>
      <c r="X505" s="162"/>
      <c r="Y505" s="163"/>
      <c r="Z505" s="164"/>
    </row>
    <row r="506" spans="1:35" s="44" customFormat="1" ht="66.75" customHeight="1">
      <c r="A506" s="148" t="s">
        <v>713</v>
      </c>
      <c r="B506" s="146" t="s">
        <v>1991</v>
      </c>
      <c r="C506" s="149" t="s">
        <v>1978</v>
      </c>
      <c r="D506" s="150">
        <v>4</v>
      </c>
      <c r="E506" s="150" t="s">
        <v>1974</v>
      </c>
      <c r="F506" s="151" t="s">
        <v>1989</v>
      </c>
      <c r="G506" s="152">
        <v>3</v>
      </c>
      <c r="H506" s="152">
        <v>0</v>
      </c>
      <c r="I506" s="153">
        <v>4</v>
      </c>
      <c r="J506" s="154">
        <v>3</v>
      </c>
      <c r="K506" s="155">
        <v>0</v>
      </c>
      <c r="L506" s="148" t="s">
        <v>57</v>
      </c>
      <c r="M506" s="148" t="s">
        <v>58</v>
      </c>
      <c r="N506" s="156"/>
      <c r="O506" s="157" t="s">
        <v>59</v>
      </c>
      <c r="P506" s="158">
        <v>80</v>
      </c>
      <c r="Q506" s="152" t="s">
        <v>76</v>
      </c>
      <c r="R506" s="152" t="s">
        <v>61</v>
      </c>
      <c r="S506" s="148" t="s">
        <v>1992</v>
      </c>
      <c r="T506" s="148">
        <v>0</v>
      </c>
      <c r="U506" s="159">
        <v>0</v>
      </c>
      <c r="V506" s="160" t="e">
        <f>VLOOKUP(U506,docentes!$A:$E,2,0)</f>
        <v>#N/A</v>
      </c>
      <c r="W506" s="161" t="e">
        <f>VLOOKUP(U506,docentes!$A:$E,5,0)</f>
        <v>#N/A</v>
      </c>
      <c r="X506" s="162"/>
      <c r="Y506" s="163"/>
      <c r="Z506" s="164"/>
    </row>
    <row r="507" spans="1:35" s="44" customFormat="1" ht="66.75" customHeight="1">
      <c r="A507" s="148" t="s">
        <v>713</v>
      </c>
      <c r="B507" s="146" t="s">
        <v>1993</v>
      </c>
      <c r="C507" s="149" t="s">
        <v>1978</v>
      </c>
      <c r="D507" s="150">
        <v>4</v>
      </c>
      <c r="E507" s="150" t="s">
        <v>1974</v>
      </c>
      <c r="F507" s="151" t="s">
        <v>1994</v>
      </c>
      <c r="G507" s="152">
        <v>3</v>
      </c>
      <c r="H507" s="152">
        <v>0</v>
      </c>
      <c r="I507" s="153">
        <v>4</v>
      </c>
      <c r="J507" s="154">
        <v>3</v>
      </c>
      <c r="K507" s="155">
        <v>0</v>
      </c>
      <c r="L507" s="148" t="s">
        <v>57</v>
      </c>
      <c r="M507" s="148" t="s">
        <v>58</v>
      </c>
      <c r="N507" s="156"/>
      <c r="O507" s="157" t="s">
        <v>59</v>
      </c>
      <c r="P507" s="158">
        <v>80</v>
      </c>
      <c r="Q507" s="152" t="s">
        <v>76</v>
      </c>
      <c r="R507" s="152" t="s">
        <v>70</v>
      </c>
      <c r="S507" s="148" t="s">
        <v>1995</v>
      </c>
      <c r="T507" s="148">
        <v>0</v>
      </c>
      <c r="U507" s="159">
        <v>1004</v>
      </c>
      <c r="V507" s="160" t="str">
        <f>VLOOKUP(U507,docentes!$A:$E,2,0)</f>
        <v>WILSON MESQUISA DE ALMEIDA</v>
      </c>
      <c r="W507" s="161" t="str">
        <f>VLOOKUP(U507,docentes!$A:$E,5,0)</f>
        <v>não identificado</v>
      </c>
      <c r="X507" s="162"/>
      <c r="Y507" s="163"/>
      <c r="Z507" s="164"/>
    </row>
    <row r="508" spans="1:35" s="44" customFormat="1" ht="66.75" customHeight="1">
      <c r="A508" s="148" t="s">
        <v>713</v>
      </c>
      <c r="B508" s="146" t="s">
        <v>1996</v>
      </c>
      <c r="C508" s="149" t="s">
        <v>1973</v>
      </c>
      <c r="D508" s="150">
        <v>5</v>
      </c>
      <c r="E508" s="150" t="s">
        <v>1974</v>
      </c>
      <c r="F508" s="151" t="s">
        <v>1994</v>
      </c>
      <c r="G508" s="152">
        <v>3</v>
      </c>
      <c r="H508" s="152">
        <v>0</v>
      </c>
      <c r="I508" s="153">
        <v>4</v>
      </c>
      <c r="J508" s="154">
        <v>3</v>
      </c>
      <c r="K508" s="155">
        <v>0</v>
      </c>
      <c r="L508" s="148" t="s">
        <v>750</v>
      </c>
      <c r="M508" s="148" t="s">
        <v>58</v>
      </c>
      <c r="N508" s="156"/>
      <c r="O508" s="148" t="s">
        <v>751</v>
      </c>
      <c r="P508" s="158"/>
      <c r="Q508" s="152" t="s">
        <v>76</v>
      </c>
      <c r="R508" s="152" t="s">
        <v>70</v>
      </c>
      <c r="S508" s="148" t="s">
        <v>1997</v>
      </c>
      <c r="T508" s="148">
        <v>0</v>
      </c>
      <c r="U508" s="159">
        <v>396</v>
      </c>
      <c r="V508" s="160" t="str">
        <f>VLOOKUP(U508,docentes!$A:$E,2,0)</f>
        <v>MARIA GABRIELA SILVA MARTINS CUNHA MARINHO</v>
      </c>
      <c r="W508" s="161" t="str">
        <f>VLOOKUP(U508,docentes!$A:$E,5,0)</f>
        <v>CECS</v>
      </c>
      <c r="X508" s="162"/>
      <c r="Y508" s="163"/>
      <c r="Z508" s="164"/>
    </row>
    <row r="509" spans="1:35" s="44" customFormat="1" ht="66.75" customHeight="1">
      <c r="A509" s="148" t="s">
        <v>128</v>
      </c>
      <c r="B509" s="146" t="s">
        <v>1998</v>
      </c>
      <c r="C509" s="149" t="s">
        <v>1999</v>
      </c>
      <c r="D509" s="150">
        <v>2</v>
      </c>
      <c r="E509" s="150" t="s">
        <v>2000</v>
      </c>
      <c r="F509" s="151" t="s">
        <v>2001</v>
      </c>
      <c r="G509" s="152">
        <v>2</v>
      </c>
      <c r="H509" s="152">
        <v>2</v>
      </c>
      <c r="I509" s="153">
        <v>2</v>
      </c>
      <c r="J509" s="154">
        <v>2</v>
      </c>
      <c r="K509" s="155">
        <v>2</v>
      </c>
      <c r="L509" s="148" t="s">
        <v>57</v>
      </c>
      <c r="M509" s="148" t="s">
        <v>58</v>
      </c>
      <c r="N509" s="156"/>
      <c r="O509" s="157" t="s">
        <v>59</v>
      </c>
      <c r="P509" s="158">
        <v>62</v>
      </c>
      <c r="Q509" s="152" t="s">
        <v>76</v>
      </c>
      <c r="R509" s="152" t="s">
        <v>61</v>
      </c>
      <c r="S509" s="148" t="s">
        <v>2002</v>
      </c>
      <c r="T509" s="148">
        <v>0</v>
      </c>
      <c r="U509" s="159">
        <v>280</v>
      </c>
      <c r="V509" s="160" t="str">
        <f>VLOOKUP(U509,docentes!$A:$E,2,0)</f>
        <v>JORGE TOMIOKA</v>
      </c>
      <c r="W509" s="161" t="str">
        <f>VLOOKUP(U509,docentes!$A:$E,5,0)</f>
        <v>CECS</v>
      </c>
      <c r="X509" s="176">
        <v>280</v>
      </c>
      <c r="Y509" s="160" t="str">
        <f>VLOOKUP(X509,docentes!$A:$E,2,0)</f>
        <v>JORGE TOMIOKA</v>
      </c>
      <c r="Z509" s="177" t="str">
        <f>VLOOKUP(X509,docentes!$A:$E,5,0)</f>
        <v>CECS</v>
      </c>
    </row>
    <row r="510" spans="1:35" s="44" customFormat="1" ht="66.75" customHeight="1">
      <c r="A510" s="148" t="s">
        <v>128</v>
      </c>
      <c r="B510" s="146" t="s">
        <v>2003</v>
      </c>
      <c r="C510" s="149" t="s">
        <v>1999</v>
      </c>
      <c r="D510" s="150">
        <v>2</v>
      </c>
      <c r="E510" s="150" t="s">
        <v>2000</v>
      </c>
      <c r="F510" s="151" t="s">
        <v>2004</v>
      </c>
      <c r="G510" s="152">
        <v>2</v>
      </c>
      <c r="H510" s="152">
        <v>2</v>
      </c>
      <c r="I510" s="153">
        <v>2</v>
      </c>
      <c r="J510" s="154">
        <v>2</v>
      </c>
      <c r="K510" s="155">
        <v>2</v>
      </c>
      <c r="L510" s="148" t="s">
        <v>57</v>
      </c>
      <c r="M510" s="148" t="s">
        <v>58</v>
      </c>
      <c r="N510" s="156"/>
      <c r="O510" s="157" t="s">
        <v>59</v>
      </c>
      <c r="P510" s="158">
        <v>63</v>
      </c>
      <c r="Q510" s="152" t="s">
        <v>76</v>
      </c>
      <c r="R510" s="152" t="s">
        <v>70</v>
      </c>
      <c r="S510" s="148" t="s">
        <v>2005</v>
      </c>
      <c r="T510" s="148">
        <v>0</v>
      </c>
      <c r="U510" s="159">
        <v>280</v>
      </c>
      <c r="V510" s="160" t="str">
        <f>VLOOKUP(U510,docentes!$A:$E,2,0)</f>
        <v>JORGE TOMIOKA</v>
      </c>
      <c r="W510" s="161" t="str">
        <f>VLOOKUP(U510,docentes!$A:$E,5,0)</f>
        <v>CECS</v>
      </c>
      <c r="X510" s="176">
        <v>280</v>
      </c>
      <c r="Y510" s="160" t="str">
        <f>VLOOKUP(X510,docentes!$A:$E,2,0)</f>
        <v>JORGE TOMIOKA</v>
      </c>
      <c r="Z510" s="177" t="str">
        <f>VLOOKUP(X510,docentes!$A:$E,5,0)</f>
        <v>CECS</v>
      </c>
    </row>
    <row r="511" spans="1:35" s="44" customFormat="1" ht="66.75" customHeight="1">
      <c r="A511" s="148" t="s">
        <v>134</v>
      </c>
      <c r="B511" s="146" t="s">
        <v>2006</v>
      </c>
      <c r="C511" s="149" t="s">
        <v>2007</v>
      </c>
      <c r="D511" s="150">
        <v>1</v>
      </c>
      <c r="E511" s="150" t="s">
        <v>2008</v>
      </c>
      <c r="F511" s="151" t="s">
        <v>2009</v>
      </c>
      <c r="G511" s="152">
        <v>2</v>
      </c>
      <c r="H511" s="152">
        <v>2</v>
      </c>
      <c r="I511" s="153">
        <v>4</v>
      </c>
      <c r="J511" s="154">
        <v>2</v>
      </c>
      <c r="K511" s="155">
        <v>2</v>
      </c>
      <c r="L511" s="148" t="s">
        <v>821</v>
      </c>
      <c r="M511" s="148" t="s">
        <v>68</v>
      </c>
      <c r="N511" s="156">
        <v>32</v>
      </c>
      <c r="O511" s="148" t="s">
        <v>822</v>
      </c>
      <c r="P511" s="158">
        <v>32</v>
      </c>
      <c r="Q511" s="152" t="s">
        <v>60</v>
      </c>
      <c r="R511" s="152" t="s">
        <v>61</v>
      </c>
      <c r="S511" s="148" t="s">
        <v>2010</v>
      </c>
      <c r="T511" s="148" t="s">
        <v>2011</v>
      </c>
      <c r="U511" s="159">
        <v>28</v>
      </c>
      <c r="V511" s="160" t="str">
        <f>VLOOKUP(U511,docentes!$A:$E,2,0)</f>
        <v>ALVARO BATISTA DIETRICH</v>
      </c>
      <c r="W511" s="161" t="str">
        <f>VLOOKUP(U511,docentes!$A:$E,5,0)</f>
        <v>CECS</v>
      </c>
      <c r="X511" s="176">
        <v>28</v>
      </c>
      <c r="Y511" s="160" t="str">
        <f>VLOOKUP(X511,docentes!$A:$E,2,0)</f>
        <v>ALVARO BATISTA DIETRICH</v>
      </c>
      <c r="Z511" s="177" t="str">
        <f>VLOOKUP(X511,docentes!$A:$E,5,0)</f>
        <v>CECS</v>
      </c>
    </row>
    <row r="512" spans="1:35" s="44" customFormat="1" ht="66.75" customHeight="1">
      <c r="A512" s="148" t="s">
        <v>675</v>
      </c>
      <c r="B512" s="146" t="s">
        <v>2012</v>
      </c>
      <c r="C512" s="149" t="s">
        <v>2013</v>
      </c>
      <c r="D512" s="150">
        <v>1</v>
      </c>
      <c r="E512" s="150" t="s">
        <v>2014</v>
      </c>
      <c r="F512" s="151" t="s">
        <v>2015</v>
      </c>
      <c r="G512" s="152">
        <v>2</v>
      </c>
      <c r="H512" s="152">
        <v>2</v>
      </c>
      <c r="I512" s="153">
        <v>4</v>
      </c>
      <c r="J512" s="154">
        <v>2</v>
      </c>
      <c r="K512" s="155">
        <v>2</v>
      </c>
      <c r="L512" s="148" t="s">
        <v>97</v>
      </c>
      <c r="M512" s="148" t="s">
        <v>58</v>
      </c>
      <c r="N512" s="156"/>
      <c r="O512" s="157" t="s">
        <v>59</v>
      </c>
      <c r="P512" s="158">
        <v>57</v>
      </c>
      <c r="Q512" s="152" t="s">
        <v>60</v>
      </c>
      <c r="R512" s="152" t="s">
        <v>61</v>
      </c>
      <c r="S512" s="148" t="s">
        <v>2016</v>
      </c>
      <c r="T512" s="148">
        <v>0</v>
      </c>
      <c r="U512" s="159">
        <v>503</v>
      </c>
      <c r="V512" s="160" t="str">
        <f>VLOOKUP(U512,docentes!$A:$E,2,0)</f>
        <v>RONNY CALIXTO CARBONARI</v>
      </c>
      <c r="W512" s="161" t="str">
        <f>VLOOKUP(U512,docentes!$A:$E,5,0)</f>
        <v>CECS</v>
      </c>
      <c r="X512" s="176">
        <v>503</v>
      </c>
      <c r="Y512" s="160" t="str">
        <f>VLOOKUP(X512,docentes!$A:$E,2,0)</f>
        <v>RONNY CALIXTO CARBONARI</v>
      </c>
      <c r="Z512" s="177" t="str">
        <f>VLOOKUP(X512,docentes!$A:$E,5,0)</f>
        <v>CECS</v>
      </c>
    </row>
    <row r="513" spans="1:35" s="44" customFormat="1" ht="66.75" customHeight="1">
      <c r="A513" s="148" t="s">
        <v>675</v>
      </c>
      <c r="B513" s="146" t="s">
        <v>2017</v>
      </c>
      <c r="C513" s="149" t="s">
        <v>2018</v>
      </c>
      <c r="D513" s="150">
        <v>2</v>
      </c>
      <c r="E513" s="150" t="s">
        <v>2019</v>
      </c>
      <c r="F513" s="151" t="s">
        <v>2020</v>
      </c>
      <c r="G513" s="152">
        <v>3</v>
      </c>
      <c r="H513" s="152">
        <v>2</v>
      </c>
      <c r="I513" s="153">
        <v>4</v>
      </c>
      <c r="J513" s="154">
        <v>3</v>
      </c>
      <c r="K513" s="155">
        <v>2</v>
      </c>
      <c r="L513" s="148" t="s">
        <v>97</v>
      </c>
      <c r="M513" s="148" t="s">
        <v>58</v>
      </c>
      <c r="N513" s="156"/>
      <c r="O513" s="157" t="s">
        <v>59</v>
      </c>
      <c r="P513" s="158">
        <v>30</v>
      </c>
      <c r="Q513" s="152" t="s">
        <v>60</v>
      </c>
      <c r="R513" s="152" t="s">
        <v>61</v>
      </c>
      <c r="S513" s="148" t="s">
        <v>2021</v>
      </c>
      <c r="T513" s="148" t="s">
        <v>2022</v>
      </c>
      <c r="U513" s="159">
        <v>435</v>
      </c>
      <c r="V513" s="160" t="str">
        <f>VLOOKUP(U513,docentes!$A:$E,2,0)</f>
        <v>OLAVO LUPPI SILVA</v>
      </c>
      <c r="W513" s="161" t="str">
        <f>VLOOKUP(U513,docentes!$A:$E,5,0)</f>
        <v>CECS</v>
      </c>
      <c r="X513" s="176">
        <v>435</v>
      </c>
      <c r="Y513" s="160" t="str">
        <f>VLOOKUP(X513,docentes!$A:$E,2,0)</f>
        <v>OLAVO LUPPI SILVA</v>
      </c>
      <c r="Z513" s="177" t="str">
        <f>VLOOKUP(X513,docentes!$A:$E,5,0)</f>
        <v>CECS</v>
      </c>
    </row>
    <row r="514" spans="1:35" s="44" customFormat="1" ht="66.75" customHeight="1">
      <c r="A514" s="148" t="s">
        <v>675</v>
      </c>
      <c r="B514" s="146" t="s">
        <v>2023</v>
      </c>
      <c r="C514" s="149" t="s">
        <v>2018</v>
      </c>
      <c r="D514" s="150">
        <v>2</v>
      </c>
      <c r="E514" s="150" t="s">
        <v>2019</v>
      </c>
      <c r="F514" s="151" t="s">
        <v>2024</v>
      </c>
      <c r="G514" s="152">
        <v>3</v>
      </c>
      <c r="H514" s="152">
        <v>2</v>
      </c>
      <c r="I514" s="153">
        <v>4</v>
      </c>
      <c r="J514" s="154">
        <v>3</v>
      </c>
      <c r="K514" s="155">
        <v>2</v>
      </c>
      <c r="L514" s="148" t="s">
        <v>97</v>
      </c>
      <c r="M514" s="148" t="s">
        <v>58</v>
      </c>
      <c r="N514" s="156"/>
      <c r="O514" s="157" t="s">
        <v>59</v>
      </c>
      <c r="P514" s="158">
        <v>30</v>
      </c>
      <c r="Q514" s="152" t="s">
        <v>60</v>
      </c>
      <c r="R514" s="152" t="s">
        <v>70</v>
      </c>
      <c r="S514" s="148" t="s">
        <v>2025</v>
      </c>
      <c r="T514" s="148" t="s">
        <v>2026</v>
      </c>
      <c r="U514" s="159">
        <v>193</v>
      </c>
      <c r="V514" s="160" t="str">
        <f>VLOOKUP(U514,docentes!$A:$E,2,0)</f>
        <v>FERNANDO SILVA DE MOURA</v>
      </c>
      <c r="W514" s="161" t="str">
        <f>VLOOKUP(U514,docentes!$A:$E,5,0)</f>
        <v>CECS</v>
      </c>
      <c r="X514" s="176">
        <v>193</v>
      </c>
      <c r="Y514" s="160" t="str">
        <f>VLOOKUP(X514,docentes!$A:$E,2,0)</f>
        <v>FERNANDO SILVA DE MOURA</v>
      </c>
      <c r="Z514" s="177" t="str">
        <f>VLOOKUP(X514,docentes!$A:$E,5,0)</f>
        <v>CECS</v>
      </c>
    </row>
    <row r="515" spans="1:35" s="44" customFormat="1" ht="66.75" customHeight="1">
      <c r="A515" s="148" t="s">
        <v>692</v>
      </c>
      <c r="B515" s="146" t="s">
        <v>2027</v>
      </c>
      <c r="C515" s="149" t="s">
        <v>19</v>
      </c>
      <c r="D515" s="150">
        <v>6</v>
      </c>
      <c r="E515" s="150" t="s">
        <v>2028</v>
      </c>
      <c r="F515" s="151" t="s">
        <v>2029</v>
      </c>
      <c r="G515" s="152">
        <v>3</v>
      </c>
      <c r="H515" s="152">
        <v>1</v>
      </c>
      <c r="I515" s="153">
        <v>5</v>
      </c>
      <c r="J515" s="154">
        <v>3</v>
      </c>
      <c r="K515" s="155">
        <v>1</v>
      </c>
      <c r="L515" s="148" t="s">
        <v>97</v>
      </c>
      <c r="M515" s="148" t="s">
        <v>58</v>
      </c>
      <c r="N515" s="156"/>
      <c r="O515" s="157" t="s">
        <v>59</v>
      </c>
      <c r="P515" s="158">
        <v>30</v>
      </c>
      <c r="Q515" s="152" t="s">
        <v>60</v>
      </c>
      <c r="R515" s="152" t="s">
        <v>61</v>
      </c>
      <c r="S515" s="148" t="s">
        <v>2030</v>
      </c>
      <c r="T515" s="148" t="s">
        <v>2031</v>
      </c>
      <c r="U515" s="159">
        <v>418</v>
      </c>
      <c r="V515" s="160" t="str">
        <f>VLOOKUP(U515,docentes!$A:$E,2,0)</f>
        <v>MICHEL OLIVEIRA DA SILVA DANTAS</v>
      </c>
      <c r="W515" s="161" t="str">
        <f>VLOOKUP(U515,docentes!$A:$E,5,0)</f>
        <v>CECS</v>
      </c>
      <c r="X515" s="176">
        <v>418</v>
      </c>
      <c r="Y515" s="160" t="str">
        <f>VLOOKUP(X515,docentes!$A:$E,2,0)</f>
        <v>MICHEL OLIVEIRA DA SILVA DANTAS</v>
      </c>
      <c r="Z515" s="177" t="str">
        <f>VLOOKUP(X515,docentes!$A:$E,5,0)</f>
        <v>CECS</v>
      </c>
    </row>
    <row r="516" spans="1:35" s="44" customFormat="1" ht="66.75" customHeight="1">
      <c r="A516" s="148" t="s">
        <v>692</v>
      </c>
      <c r="B516" s="146" t="s">
        <v>2032</v>
      </c>
      <c r="C516" s="149" t="s">
        <v>19</v>
      </c>
      <c r="D516" s="150">
        <v>6</v>
      </c>
      <c r="E516" s="150" t="s">
        <v>2028</v>
      </c>
      <c r="F516" s="151" t="s">
        <v>2033</v>
      </c>
      <c r="G516" s="152">
        <v>3</v>
      </c>
      <c r="H516" s="152">
        <v>1</v>
      </c>
      <c r="I516" s="153">
        <v>5</v>
      </c>
      <c r="J516" s="154">
        <v>3</v>
      </c>
      <c r="K516" s="155">
        <v>1</v>
      </c>
      <c r="L516" s="148" t="s">
        <v>97</v>
      </c>
      <c r="M516" s="148" t="s">
        <v>58</v>
      </c>
      <c r="N516" s="156"/>
      <c r="O516" s="157" t="s">
        <v>59</v>
      </c>
      <c r="P516" s="158">
        <v>30</v>
      </c>
      <c r="Q516" s="152" t="s">
        <v>60</v>
      </c>
      <c r="R516" s="152" t="s">
        <v>70</v>
      </c>
      <c r="S516" s="148" t="s">
        <v>2034</v>
      </c>
      <c r="T516" s="148" t="s">
        <v>2035</v>
      </c>
      <c r="U516" s="159">
        <v>514</v>
      </c>
      <c r="V516" s="160" t="str">
        <f>VLOOKUP(U516,docentes!$A:$E,2,0)</f>
        <v>SEGUNDO NILO MESTANZA MUNOZ</v>
      </c>
      <c r="W516" s="161" t="str">
        <f>VLOOKUP(U516,docentes!$A:$E,5,0)</f>
        <v>CECS</v>
      </c>
      <c r="X516" s="176">
        <v>514</v>
      </c>
      <c r="Y516" s="160" t="str">
        <f>VLOOKUP(X516,docentes!$A:$E,2,0)</f>
        <v>SEGUNDO NILO MESTANZA MUNOZ</v>
      </c>
      <c r="Z516" s="177" t="str">
        <f>VLOOKUP(X516,docentes!$A:$E,5,0)</f>
        <v>CECS</v>
      </c>
    </row>
    <row r="517" spans="1:35" s="44" customFormat="1" ht="66.75" customHeight="1">
      <c r="A517" s="148" t="s">
        <v>692</v>
      </c>
      <c r="B517" s="146" t="s">
        <v>2036</v>
      </c>
      <c r="C517" s="149" t="s">
        <v>19</v>
      </c>
      <c r="D517" s="150">
        <v>6</v>
      </c>
      <c r="E517" s="150" t="s">
        <v>2028</v>
      </c>
      <c r="F517" s="151" t="s">
        <v>2037</v>
      </c>
      <c r="G517" s="152">
        <v>3</v>
      </c>
      <c r="H517" s="152">
        <v>1</v>
      </c>
      <c r="I517" s="153">
        <v>5</v>
      </c>
      <c r="J517" s="154">
        <v>0</v>
      </c>
      <c r="K517" s="155">
        <v>1</v>
      </c>
      <c r="L517" s="148" t="s">
        <v>97</v>
      </c>
      <c r="M517" s="148" t="s">
        <v>58</v>
      </c>
      <c r="N517" s="156"/>
      <c r="O517" s="157" t="s">
        <v>59</v>
      </c>
      <c r="P517" s="158">
        <v>30</v>
      </c>
      <c r="Q517" s="152" t="s">
        <v>60</v>
      </c>
      <c r="R517" s="152" t="s">
        <v>61</v>
      </c>
      <c r="S517" s="148" t="s">
        <v>2030</v>
      </c>
      <c r="T517" s="148" t="s">
        <v>2038</v>
      </c>
      <c r="U517" s="170">
        <v>418</v>
      </c>
      <c r="V517" s="163" t="str">
        <f>VLOOKUP(U517,docentes!$A:$E,2,0)</f>
        <v>MICHEL OLIVEIRA DA SILVA DANTAS</v>
      </c>
      <c r="W517" s="171" t="str">
        <f>VLOOKUP(U517,docentes!$A:$E,5,0)</f>
        <v>CECS</v>
      </c>
      <c r="X517" s="176">
        <v>354</v>
      </c>
      <c r="Y517" s="160" t="str">
        <f>VLOOKUP(X517,docentes!$A:$E,2,0)</f>
        <v>MARAT RAFIKOV</v>
      </c>
      <c r="Z517" s="177" t="str">
        <f>VLOOKUP(X517,docentes!$A:$E,5,0)</f>
        <v>CECS</v>
      </c>
    </row>
    <row r="518" spans="1:35" s="44" customFormat="1" ht="66.75" customHeight="1">
      <c r="A518" s="148" t="s">
        <v>692</v>
      </c>
      <c r="B518" s="146" t="s">
        <v>2039</v>
      </c>
      <c r="C518" s="149" t="s">
        <v>19</v>
      </c>
      <c r="D518" s="150">
        <v>6</v>
      </c>
      <c r="E518" s="150" t="s">
        <v>2028</v>
      </c>
      <c r="F518" s="151" t="s">
        <v>2040</v>
      </c>
      <c r="G518" s="152">
        <v>3</v>
      </c>
      <c r="H518" s="152">
        <v>1</v>
      </c>
      <c r="I518" s="153">
        <v>5</v>
      </c>
      <c r="J518" s="154">
        <v>0</v>
      </c>
      <c r="K518" s="155">
        <v>1</v>
      </c>
      <c r="L518" s="148" t="s">
        <v>97</v>
      </c>
      <c r="M518" s="148" t="s">
        <v>58</v>
      </c>
      <c r="N518" s="156"/>
      <c r="O518" s="157" t="s">
        <v>59</v>
      </c>
      <c r="P518" s="158">
        <v>30</v>
      </c>
      <c r="Q518" s="152" t="s">
        <v>60</v>
      </c>
      <c r="R518" s="152" t="s">
        <v>70</v>
      </c>
      <c r="S518" s="148" t="s">
        <v>2041</v>
      </c>
      <c r="T518" s="148" t="s">
        <v>2042</v>
      </c>
      <c r="U518" s="170">
        <v>514</v>
      </c>
      <c r="V518" s="163" t="str">
        <f>VLOOKUP(U518,docentes!$A:$E,2,0)</f>
        <v>SEGUNDO NILO MESTANZA MUNOZ</v>
      </c>
      <c r="W518" s="171" t="str">
        <f>VLOOKUP(U518,docentes!$A:$E,5,0)</f>
        <v>CECS</v>
      </c>
      <c r="X518" s="176">
        <v>354</v>
      </c>
      <c r="Y518" s="160" t="str">
        <f>VLOOKUP(X518,docentes!$A:$E,2,0)</f>
        <v>MARAT RAFIKOV</v>
      </c>
      <c r="Z518" s="177" t="str">
        <f>VLOOKUP(X518,docentes!$A:$E,5,0)</f>
        <v>CECS</v>
      </c>
    </row>
    <row r="519" spans="1:35" s="44" customFormat="1" ht="66.75" customHeight="1">
      <c r="A519" s="148" t="s">
        <v>692</v>
      </c>
      <c r="B519" s="146" t="s">
        <v>2043</v>
      </c>
      <c r="C519" s="149" t="s">
        <v>19</v>
      </c>
      <c r="D519" s="150">
        <v>6</v>
      </c>
      <c r="E519" s="150" t="s">
        <v>2028</v>
      </c>
      <c r="F519" s="151" t="s">
        <v>2044</v>
      </c>
      <c r="G519" s="152">
        <v>3</v>
      </c>
      <c r="H519" s="152">
        <v>1</v>
      </c>
      <c r="I519" s="153">
        <v>5</v>
      </c>
      <c r="J519" s="154">
        <v>3</v>
      </c>
      <c r="K519" s="155">
        <v>1</v>
      </c>
      <c r="L519" s="148" t="s">
        <v>97</v>
      </c>
      <c r="M519" s="148" t="s">
        <v>58</v>
      </c>
      <c r="N519" s="156"/>
      <c r="O519" s="157" t="s">
        <v>59</v>
      </c>
      <c r="P519" s="158">
        <v>30</v>
      </c>
      <c r="Q519" s="152" t="s">
        <v>76</v>
      </c>
      <c r="R519" s="152" t="s">
        <v>61</v>
      </c>
      <c r="S519" s="148" t="s">
        <v>2045</v>
      </c>
      <c r="T519" s="148" t="s">
        <v>2046</v>
      </c>
      <c r="U519" s="159">
        <v>152</v>
      </c>
      <c r="V519" s="160" t="str">
        <f>VLOOKUP(U519,docentes!$A:$E,2,0)</f>
        <v>EDUARDO DOS SANTOS FERREIRA</v>
      </c>
      <c r="W519" s="161" t="str">
        <f>VLOOKUP(U519,docentes!$A:$E,5,0)</f>
        <v>CECS</v>
      </c>
      <c r="X519" s="176">
        <v>152</v>
      </c>
      <c r="Y519" s="160" t="str">
        <f>VLOOKUP(X519,docentes!$A:$E,2,0)</f>
        <v>EDUARDO DOS SANTOS FERREIRA</v>
      </c>
      <c r="Z519" s="177" t="str">
        <f>VLOOKUP(X519,docentes!$A:$E,5,0)</f>
        <v>CECS</v>
      </c>
      <c r="AH519" s="45"/>
      <c r="AI519" s="45"/>
    </row>
    <row r="520" spans="1:35" s="44" customFormat="1" ht="66.75" customHeight="1">
      <c r="A520" s="148" t="s">
        <v>692</v>
      </c>
      <c r="B520" s="146" t="s">
        <v>2047</v>
      </c>
      <c r="C520" s="149" t="s">
        <v>19</v>
      </c>
      <c r="D520" s="150">
        <v>6</v>
      </c>
      <c r="E520" s="150" t="s">
        <v>2028</v>
      </c>
      <c r="F520" s="151" t="s">
        <v>2048</v>
      </c>
      <c r="G520" s="152">
        <v>3</v>
      </c>
      <c r="H520" s="152">
        <v>1</v>
      </c>
      <c r="I520" s="153">
        <v>5</v>
      </c>
      <c r="J520" s="154">
        <v>3</v>
      </c>
      <c r="K520" s="155">
        <v>1</v>
      </c>
      <c r="L520" s="148" t="s">
        <v>97</v>
      </c>
      <c r="M520" s="148" t="s">
        <v>58</v>
      </c>
      <c r="N520" s="156"/>
      <c r="O520" s="157" t="s">
        <v>59</v>
      </c>
      <c r="P520" s="158">
        <v>30</v>
      </c>
      <c r="Q520" s="152" t="s">
        <v>76</v>
      </c>
      <c r="R520" s="152" t="s">
        <v>61</v>
      </c>
      <c r="S520" s="148" t="s">
        <v>2049</v>
      </c>
      <c r="T520" s="148" t="s">
        <v>2050</v>
      </c>
      <c r="U520" s="159">
        <v>315</v>
      </c>
      <c r="V520" s="160" t="str">
        <f>VLOOKUP(U520,docentes!$A:$E,2,0)</f>
        <v>LEANDRO BARONI</v>
      </c>
      <c r="W520" s="161" t="str">
        <f>VLOOKUP(U520,docentes!$A:$E,5,0)</f>
        <v>CECS</v>
      </c>
      <c r="X520" s="176">
        <v>315</v>
      </c>
      <c r="Y520" s="160" t="str">
        <f>VLOOKUP(X520,docentes!$A:$E,2,0)</f>
        <v>LEANDRO BARONI</v>
      </c>
      <c r="Z520" s="177" t="str">
        <f>VLOOKUP(X520,docentes!$A:$E,5,0)</f>
        <v>CECS</v>
      </c>
    </row>
    <row r="521" spans="1:35" s="44" customFormat="1" ht="66.75" customHeight="1">
      <c r="A521" s="172" t="s">
        <v>114</v>
      </c>
      <c r="B521" s="146" t="s">
        <v>2051</v>
      </c>
      <c r="C521" s="149" t="s">
        <v>2052</v>
      </c>
      <c r="D521" s="150">
        <v>2</v>
      </c>
      <c r="E521" s="150" t="s">
        <v>2053</v>
      </c>
      <c r="F521" s="151" t="s">
        <v>2054</v>
      </c>
      <c r="G521" s="149">
        <v>3</v>
      </c>
      <c r="H521" s="173">
        <v>1</v>
      </c>
      <c r="I521" s="174">
        <v>4</v>
      </c>
      <c r="J521" s="155">
        <v>3</v>
      </c>
      <c r="K521" s="155">
        <v>1</v>
      </c>
      <c r="L521" s="172" t="s">
        <v>2055</v>
      </c>
      <c r="M521" s="172" t="e">
        <v>#N/A</v>
      </c>
      <c r="N521" s="151"/>
      <c r="O521" s="172" t="s">
        <v>2056</v>
      </c>
      <c r="P521" s="175">
        <v>70</v>
      </c>
      <c r="Q521" s="152" t="s">
        <v>60</v>
      </c>
      <c r="R521" s="152" t="s">
        <v>61</v>
      </c>
      <c r="S521" s="148" t="s">
        <v>2057</v>
      </c>
      <c r="T521" s="148" t="s">
        <v>2058</v>
      </c>
      <c r="U521" s="159">
        <v>132</v>
      </c>
      <c r="V521" s="160" t="str">
        <f>VLOOKUP(U521,docentes!$A:$E,2,0)</f>
        <v>DEBORA MARIA ROSSI DE MEDEIROS</v>
      </c>
      <c r="W521" s="161" t="str">
        <f>VLOOKUP(U521,docentes!$A:$E,5,0)</f>
        <v>CMCC</v>
      </c>
      <c r="X521" s="176">
        <v>132</v>
      </c>
      <c r="Y521" s="160" t="str">
        <f>VLOOKUP(X521,docentes!$A:$E,2,0)</f>
        <v>DEBORA MARIA ROSSI DE MEDEIROS</v>
      </c>
      <c r="Z521" s="177" t="str">
        <f>VLOOKUP(X521,docentes!$A:$E,5,0)</f>
        <v>CMCC</v>
      </c>
      <c r="AA521" s="45"/>
      <c r="AB521" s="45"/>
      <c r="AC521" s="45"/>
      <c r="AD521" s="45"/>
      <c r="AE521" s="45"/>
      <c r="AF521" s="45"/>
      <c r="AG521" s="45"/>
    </row>
    <row r="522" spans="1:35" s="44" customFormat="1" ht="66.75" customHeight="1">
      <c r="A522" s="172" t="s">
        <v>114</v>
      </c>
      <c r="B522" s="146" t="s">
        <v>2059</v>
      </c>
      <c r="C522" s="149" t="s">
        <v>2052</v>
      </c>
      <c r="D522" s="150">
        <v>2</v>
      </c>
      <c r="E522" s="150" t="s">
        <v>2053</v>
      </c>
      <c r="F522" s="151" t="s">
        <v>2060</v>
      </c>
      <c r="G522" s="149">
        <v>3</v>
      </c>
      <c r="H522" s="173">
        <v>1</v>
      </c>
      <c r="I522" s="174">
        <v>4</v>
      </c>
      <c r="J522" s="155">
        <v>3</v>
      </c>
      <c r="K522" s="155">
        <v>1</v>
      </c>
      <c r="L522" s="172" t="s">
        <v>125</v>
      </c>
      <c r="M522" s="172" t="e">
        <v>#N/A</v>
      </c>
      <c r="N522" s="151"/>
      <c r="O522" s="172" t="s">
        <v>2061</v>
      </c>
      <c r="P522" s="175">
        <v>53</v>
      </c>
      <c r="Q522" s="152" t="s">
        <v>60</v>
      </c>
      <c r="R522" s="152" t="s">
        <v>70</v>
      </c>
      <c r="S522" s="148" t="s">
        <v>2062</v>
      </c>
      <c r="T522" s="148" t="s">
        <v>2063</v>
      </c>
      <c r="U522" s="159">
        <v>132</v>
      </c>
      <c r="V522" s="160" t="str">
        <f>VLOOKUP(U522,docentes!$A:$E,2,0)</f>
        <v>DEBORA MARIA ROSSI DE MEDEIROS</v>
      </c>
      <c r="W522" s="161" t="str">
        <f>VLOOKUP(U522,docentes!$A:$E,5,0)</f>
        <v>CMCC</v>
      </c>
      <c r="X522" s="176">
        <v>132</v>
      </c>
      <c r="Y522" s="160" t="str">
        <f>VLOOKUP(X522,docentes!$A:$E,2,0)</f>
        <v>DEBORA MARIA ROSSI DE MEDEIROS</v>
      </c>
      <c r="Z522" s="177" t="str">
        <f>VLOOKUP(X522,docentes!$A:$E,5,0)</f>
        <v>CMCC</v>
      </c>
      <c r="AA522" s="45"/>
      <c r="AB522" s="45"/>
      <c r="AC522" s="45"/>
      <c r="AD522" s="45"/>
      <c r="AE522" s="45"/>
      <c r="AF522" s="45"/>
      <c r="AG522" s="45"/>
    </row>
    <row r="523" spans="1:35" s="44" customFormat="1" ht="66.75" customHeight="1">
      <c r="A523" s="148" t="s">
        <v>222</v>
      </c>
      <c r="B523" s="146" t="s">
        <v>2064</v>
      </c>
      <c r="C523" s="149" t="s">
        <v>2065</v>
      </c>
      <c r="D523" s="150">
        <v>6</v>
      </c>
      <c r="E523" s="150" t="s">
        <v>2066</v>
      </c>
      <c r="F523" s="151" t="s">
        <v>2067</v>
      </c>
      <c r="G523" s="152">
        <v>3</v>
      </c>
      <c r="H523" s="152">
        <v>0</v>
      </c>
      <c r="I523" s="153">
        <v>4</v>
      </c>
      <c r="J523" s="154">
        <v>3</v>
      </c>
      <c r="K523" s="155">
        <v>0</v>
      </c>
      <c r="L523" s="148" t="s">
        <v>57</v>
      </c>
      <c r="M523" s="148" t="s">
        <v>58</v>
      </c>
      <c r="N523" s="156"/>
      <c r="O523" s="157" t="s">
        <v>59</v>
      </c>
      <c r="P523" s="158">
        <v>93</v>
      </c>
      <c r="Q523" s="152" t="s">
        <v>60</v>
      </c>
      <c r="R523" s="152" t="s">
        <v>61</v>
      </c>
      <c r="S523" s="148" t="s">
        <v>2068</v>
      </c>
      <c r="T523" s="148">
        <v>0</v>
      </c>
      <c r="U523" s="159">
        <v>244</v>
      </c>
      <c r="V523" s="160" t="str">
        <f>VLOOKUP(U523,docentes!$A:$E,2,0)</f>
        <v>HERCULANO DA SILVA MARTINHO</v>
      </c>
      <c r="W523" s="161" t="str">
        <f>VLOOKUP(U523,docentes!$A:$E,5,0)</f>
        <v>CCNH</v>
      </c>
      <c r="X523" s="162"/>
      <c r="Y523" s="163"/>
      <c r="Z523" s="164"/>
    </row>
    <row r="524" spans="1:35" s="44" customFormat="1" ht="66.75" customHeight="1">
      <c r="A524" s="148" t="s">
        <v>222</v>
      </c>
      <c r="B524" s="146" t="s">
        <v>2069</v>
      </c>
      <c r="C524" s="149" t="s">
        <v>2065</v>
      </c>
      <c r="D524" s="150">
        <v>6</v>
      </c>
      <c r="E524" s="150" t="s">
        <v>2066</v>
      </c>
      <c r="F524" s="151" t="s">
        <v>2070</v>
      </c>
      <c r="G524" s="152">
        <v>3</v>
      </c>
      <c r="H524" s="152">
        <v>0</v>
      </c>
      <c r="I524" s="153">
        <v>4</v>
      </c>
      <c r="J524" s="154">
        <v>3</v>
      </c>
      <c r="K524" s="155">
        <v>0</v>
      </c>
      <c r="L524" s="148" t="s">
        <v>57</v>
      </c>
      <c r="M524" s="148" t="s">
        <v>58</v>
      </c>
      <c r="N524" s="156"/>
      <c r="O524" s="157" t="s">
        <v>59</v>
      </c>
      <c r="P524" s="158">
        <v>90</v>
      </c>
      <c r="Q524" s="152" t="s">
        <v>76</v>
      </c>
      <c r="R524" s="152" t="s">
        <v>61</v>
      </c>
      <c r="S524" s="148" t="s">
        <v>2071</v>
      </c>
      <c r="T524" s="148">
        <v>0</v>
      </c>
      <c r="U524" s="159">
        <v>501</v>
      </c>
      <c r="V524" s="160" t="str">
        <f>VLOOKUP(U524,docentes!$A:$E,2,0)</f>
        <v>RONE PETERSON GALVAO DE ANDRADE</v>
      </c>
      <c r="W524" s="161" t="str">
        <f>VLOOKUP(U524,docentes!$A:$E,5,0)</f>
        <v>CCNH</v>
      </c>
      <c r="X524" s="162"/>
      <c r="Y524" s="163"/>
      <c r="Z524" s="164"/>
      <c r="AH524" s="45"/>
      <c r="AI524" s="45"/>
    </row>
    <row r="525" spans="1:35" s="44" customFormat="1" ht="66.75" customHeight="1">
      <c r="A525" s="148" t="s">
        <v>222</v>
      </c>
      <c r="B525" s="146" t="s">
        <v>2072</v>
      </c>
      <c r="C525" s="149" t="s">
        <v>2065</v>
      </c>
      <c r="D525" s="150">
        <v>6</v>
      </c>
      <c r="E525" s="150" t="s">
        <v>2066</v>
      </c>
      <c r="F525" s="151" t="s">
        <v>2073</v>
      </c>
      <c r="G525" s="152">
        <v>3</v>
      </c>
      <c r="H525" s="152">
        <v>0</v>
      </c>
      <c r="I525" s="153">
        <v>4</v>
      </c>
      <c r="J525" s="154">
        <v>3</v>
      </c>
      <c r="K525" s="155">
        <v>0</v>
      </c>
      <c r="L525" s="148" t="s">
        <v>57</v>
      </c>
      <c r="M525" s="148" t="s">
        <v>58</v>
      </c>
      <c r="N525" s="156"/>
      <c r="O525" s="157" t="s">
        <v>59</v>
      </c>
      <c r="P525" s="158">
        <v>93</v>
      </c>
      <c r="Q525" s="152" t="s">
        <v>60</v>
      </c>
      <c r="R525" s="152" t="s">
        <v>70</v>
      </c>
      <c r="S525" s="148" t="s">
        <v>2074</v>
      </c>
      <c r="T525" s="148">
        <v>0</v>
      </c>
      <c r="U525" s="159">
        <v>376</v>
      </c>
      <c r="V525" s="160" t="str">
        <f>VLOOKUP(U525,docentes!$A:$E,2,0)</f>
        <v>MARCOS DE ABREU AVILA</v>
      </c>
      <c r="W525" s="161" t="str">
        <f>VLOOKUP(U525,docentes!$A:$E,5,0)</f>
        <v>CCNH</v>
      </c>
      <c r="X525" s="162"/>
      <c r="Y525" s="163"/>
      <c r="Z525" s="164"/>
      <c r="AH525" s="45"/>
      <c r="AI525" s="45"/>
    </row>
    <row r="526" spans="1:35" s="44" customFormat="1" ht="66.75" customHeight="1">
      <c r="A526" s="148" t="s">
        <v>222</v>
      </c>
      <c r="B526" s="146" t="s">
        <v>2075</v>
      </c>
      <c r="C526" s="149" t="s">
        <v>2065</v>
      </c>
      <c r="D526" s="150">
        <v>6</v>
      </c>
      <c r="E526" s="150" t="s">
        <v>2066</v>
      </c>
      <c r="F526" s="151" t="s">
        <v>2076</v>
      </c>
      <c r="G526" s="152">
        <v>3</v>
      </c>
      <c r="H526" s="152">
        <v>0</v>
      </c>
      <c r="I526" s="153">
        <v>4</v>
      </c>
      <c r="J526" s="154">
        <v>3</v>
      </c>
      <c r="K526" s="155">
        <v>0</v>
      </c>
      <c r="L526" s="148" t="s">
        <v>57</v>
      </c>
      <c r="M526" s="148" t="s">
        <v>58</v>
      </c>
      <c r="N526" s="156"/>
      <c r="O526" s="157" t="s">
        <v>59</v>
      </c>
      <c r="P526" s="158">
        <v>90</v>
      </c>
      <c r="Q526" s="152" t="s">
        <v>76</v>
      </c>
      <c r="R526" s="152" t="s">
        <v>70</v>
      </c>
      <c r="S526" s="148" t="s">
        <v>2077</v>
      </c>
      <c r="T526" s="148">
        <v>0</v>
      </c>
      <c r="U526" s="159">
        <v>501</v>
      </c>
      <c r="V526" s="160" t="str">
        <f>VLOOKUP(U526,docentes!$A:$E,2,0)</f>
        <v>RONE PETERSON GALVAO DE ANDRADE</v>
      </c>
      <c r="W526" s="161" t="str">
        <f>VLOOKUP(U526,docentes!$A:$E,5,0)</f>
        <v>CCNH</v>
      </c>
      <c r="X526" s="162"/>
      <c r="Y526" s="163"/>
      <c r="Z526" s="164"/>
    </row>
    <row r="527" spans="1:35" s="44" customFormat="1" ht="66.75" customHeight="1">
      <c r="A527" s="148" t="s">
        <v>222</v>
      </c>
      <c r="B527" s="146" t="s">
        <v>2078</v>
      </c>
      <c r="C527" s="149" t="s">
        <v>2065</v>
      </c>
      <c r="D527" s="150">
        <v>6</v>
      </c>
      <c r="E527" s="150" t="s">
        <v>2066</v>
      </c>
      <c r="F527" s="151" t="s">
        <v>2079</v>
      </c>
      <c r="G527" s="152">
        <v>3</v>
      </c>
      <c r="H527" s="152">
        <v>0</v>
      </c>
      <c r="I527" s="153">
        <v>4</v>
      </c>
      <c r="J527" s="154">
        <v>3</v>
      </c>
      <c r="K527" s="155">
        <v>0</v>
      </c>
      <c r="L527" s="148" t="s">
        <v>57</v>
      </c>
      <c r="M527" s="148" t="s">
        <v>58</v>
      </c>
      <c r="N527" s="156"/>
      <c r="O527" s="157" t="s">
        <v>59</v>
      </c>
      <c r="P527" s="158">
        <v>92</v>
      </c>
      <c r="Q527" s="152" t="s">
        <v>60</v>
      </c>
      <c r="R527" s="152" t="s">
        <v>61</v>
      </c>
      <c r="S527" s="148" t="s">
        <v>2080</v>
      </c>
      <c r="T527" s="148">
        <v>0</v>
      </c>
      <c r="U527" s="159">
        <v>244</v>
      </c>
      <c r="V527" s="160" t="str">
        <f>VLOOKUP(U527,docentes!$A:$E,2,0)</f>
        <v>HERCULANO DA SILVA MARTINHO</v>
      </c>
      <c r="W527" s="161" t="str">
        <f>VLOOKUP(U527,docentes!$A:$E,5,0)</f>
        <v>CCNH</v>
      </c>
      <c r="X527" s="162"/>
      <c r="Y527" s="163"/>
      <c r="Z527" s="164"/>
    </row>
    <row r="528" spans="1:35" s="44" customFormat="1" ht="66.75" customHeight="1">
      <c r="A528" s="148" t="s">
        <v>222</v>
      </c>
      <c r="B528" s="146" t="s">
        <v>2081</v>
      </c>
      <c r="C528" s="149" t="s">
        <v>2065</v>
      </c>
      <c r="D528" s="150">
        <v>6</v>
      </c>
      <c r="E528" s="150" t="s">
        <v>2066</v>
      </c>
      <c r="F528" s="151" t="s">
        <v>2082</v>
      </c>
      <c r="G528" s="152">
        <v>3</v>
      </c>
      <c r="H528" s="152">
        <v>0</v>
      </c>
      <c r="I528" s="153">
        <v>4</v>
      </c>
      <c r="J528" s="154">
        <v>3</v>
      </c>
      <c r="K528" s="155">
        <v>0</v>
      </c>
      <c r="L528" s="148" t="s">
        <v>57</v>
      </c>
      <c r="M528" s="148" t="s">
        <v>58</v>
      </c>
      <c r="N528" s="156"/>
      <c r="O528" s="157" t="s">
        <v>59</v>
      </c>
      <c r="P528" s="158">
        <v>92</v>
      </c>
      <c r="Q528" s="152" t="s">
        <v>60</v>
      </c>
      <c r="R528" s="152" t="s">
        <v>70</v>
      </c>
      <c r="S528" s="148" t="s">
        <v>2083</v>
      </c>
      <c r="T528" s="148">
        <v>0</v>
      </c>
      <c r="U528" s="159">
        <v>376</v>
      </c>
      <c r="V528" s="160" t="str">
        <f>VLOOKUP(U528,docentes!$A:$E,2,0)</f>
        <v>MARCOS DE ABREU AVILA</v>
      </c>
      <c r="W528" s="161" t="str">
        <f>VLOOKUP(U528,docentes!$A:$E,5,0)</f>
        <v>CCNH</v>
      </c>
      <c r="X528" s="162"/>
      <c r="Y528" s="163"/>
      <c r="Z528" s="164"/>
    </row>
    <row r="529" spans="1:35" s="44" customFormat="1" ht="66.75" customHeight="1">
      <c r="A529" s="148" t="s">
        <v>713</v>
      </c>
      <c r="B529" s="146" t="s">
        <v>2084</v>
      </c>
      <c r="C529" s="149" t="s">
        <v>2085</v>
      </c>
      <c r="D529" s="150">
        <v>4</v>
      </c>
      <c r="E529" s="150" t="s">
        <v>2086</v>
      </c>
      <c r="F529" s="151" t="s">
        <v>2087</v>
      </c>
      <c r="G529" s="152">
        <v>4</v>
      </c>
      <c r="H529" s="152">
        <v>0</v>
      </c>
      <c r="I529" s="153">
        <v>4</v>
      </c>
      <c r="J529" s="154">
        <v>4</v>
      </c>
      <c r="K529" s="155">
        <v>0</v>
      </c>
      <c r="L529" s="148" t="s">
        <v>57</v>
      </c>
      <c r="M529" s="148" t="s">
        <v>58</v>
      </c>
      <c r="N529" s="156"/>
      <c r="O529" s="157" t="s">
        <v>59</v>
      </c>
      <c r="P529" s="158">
        <v>120</v>
      </c>
      <c r="Q529" s="152" t="s">
        <v>76</v>
      </c>
      <c r="R529" s="152" t="s">
        <v>61</v>
      </c>
      <c r="S529" s="148" t="s">
        <v>2088</v>
      </c>
      <c r="T529" s="148">
        <v>0</v>
      </c>
      <c r="U529" s="159">
        <v>71</v>
      </c>
      <c r="V529" s="160" t="str">
        <f>VLOOKUP(U529,docentes!$A:$E,2,0)</f>
        <v>ARILSON DA SILVA FAVARETO</v>
      </c>
      <c r="W529" s="161" t="str">
        <f>VLOOKUP(U529,docentes!$A:$E,5,0)</f>
        <v>CECS</v>
      </c>
      <c r="X529" s="162"/>
      <c r="Y529" s="163"/>
      <c r="Z529" s="164"/>
    </row>
    <row r="530" spans="1:35" s="44" customFormat="1" ht="66.75" customHeight="1">
      <c r="A530" s="148" t="s">
        <v>713</v>
      </c>
      <c r="B530" s="146" t="s">
        <v>2089</v>
      </c>
      <c r="C530" s="149" t="s">
        <v>2085</v>
      </c>
      <c r="D530" s="150">
        <v>4</v>
      </c>
      <c r="E530" s="150" t="s">
        <v>2086</v>
      </c>
      <c r="F530" s="151" t="s">
        <v>2090</v>
      </c>
      <c r="G530" s="152">
        <v>4</v>
      </c>
      <c r="H530" s="152">
        <v>0</v>
      </c>
      <c r="I530" s="153">
        <v>4</v>
      </c>
      <c r="J530" s="154">
        <v>4</v>
      </c>
      <c r="K530" s="155">
        <v>0</v>
      </c>
      <c r="L530" s="148" t="s">
        <v>57</v>
      </c>
      <c r="M530" s="148" t="s">
        <v>58</v>
      </c>
      <c r="N530" s="156"/>
      <c r="O530" s="157" t="s">
        <v>59</v>
      </c>
      <c r="P530" s="158">
        <v>120</v>
      </c>
      <c r="Q530" s="152" t="s">
        <v>76</v>
      </c>
      <c r="R530" s="152" t="s">
        <v>70</v>
      </c>
      <c r="S530" s="148" t="s">
        <v>2091</v>
      </c>
      <c r="T530" s="148">
        <v>0</v>
      </c>
      <c r="U530" s="159">
        <v>1006</v>
      </c>
      <c r="V530" s="160" t="str">
        <f>VLOOKUP(U530,docentes!$A:$E,2,0)</f>
        <v>PROFESSOR ECONOMIA (EM CONTRATAÇÃO)</v>
      </c>
      <c r="W530" s="177" t="str">
        <f>VLOOKUP(U530,docentes!$A:$E,5,0)</f>
        <v>em contratação</v>
      </c>
      <c r="X530" s="162"/>
      <c r="Y530" s="163"/>
      <c r="Z530" s="164"/>
    </row>
    <row r="531" spans="1:35" s="44" customFormat="1" ht="66.75" customHeight="1">
      <c r="A531" s="148" t="s">
        <v>713</v>
      </c>
      <c r="B531" s="146" t="s">
        <v>2092</v>
      </c>
      <c r="C531" s="149" t="s">
        <v>2085</v>
      </c>
      <c r="D531" s="150">
        <v>4</v>
      </c>
      <c r="E531" s="150" t="s">
        <v>2086</v>
      </c>
      <c r="F531" s="151" t="s">
        <v>2093</v>
      </c>
      <c r="G531" s="152">
        <v>4</v>
      </c>
      <c r="H531" s="152">
        <v>0</v>
      </c>
      <c r="I531" s="153">
        <v>4</v>
      </c>
      <c r="J531" s="154">
        <v>4</v>
      </c>
      <c r="K531" s="155">
        <v>0</v>
      </c>
      <c r="L531" s="148" t="s">
        <v>750</v>
      </c>
      <c r="M531" s="148" t="s">
        <v>58</v>
      </c>
      <c r="N531" s="156"/>
      <c r="O531" s="148" t="s">
        <v>751</v>
      </c>
      <c r="P531" s="158"/>
      <c r="Q531" s="152" t="s">
        <v>76</v>
      </c>
      <c r="R531" s="152" t="s">
        <v>61</v>
      </c>
      <c r="S531" s="148" t="s">
        <v>2094</v>
      </c>
      <c r="T531" s="148">
        <v>0</v>
      </c>
      <c r="U531" s="159">
        <v>428</v>
      </c>
      <c r="V531" s="160" t="str">
        <f>VLOOKUP(U531,docentes!$A:$E,2,0)</f>
        <v>MURYATAN SANTANA BARBOSA</v>
      </c>
      <c r="W531" s="161" t="str">
        <f>VLOOKUP(U531,docentes!$A:$E,5,0)</f>
        <v>CECS</v>
      </c>
      <c r="X531" s="162"/>
      <c r="Y531" s="163"/>
      <c r="Z531" s="164"/>
    </row>
    <row r="532" spans="1:35" s="44" customFormat="1" ht="66.75" customHeight="1">
      <c r="A532" s="148" t="s">
        <v>713</v>
      </c>
      <c r="B532" s="146" t="s">
        <v>2095</v>
      </c>
      <c r="C532" s="149" t="s">
        <v>2085</v>
      </c>
      <c r="D532" s="150">
        <v>4</v>
      </c>
      <c r="E532" s="150" t="s">
        <v>2086</v>
      </c>
      <c r="F532" s="151" t="s">
        <v>2096</v>
      </c>
      <c r="G532" s="152">
        <v>4</v>
      </c>
      <c r="H532" s="152">
        <v>0</v>
      </c>
      <c r="I532" s="153">
        <v>4</v>
      </c>
      <c r="J532" s="154">
        <v>4</v>
      </c>
      <c r="K532" s="155">
        <v>0</v>
      </c>
      <c r="L532" s="148" t="s">
        <v>821</v>
      </c>
      <c r="M532" s="148">
        <v>100</v>
      </c>
      <c r="N532" s="156"/>
      <c r="O532" s="165" t="s">
        <v>751</v>
      </c>
      <c r="P532" s="158"/>
      <c r="Q532" s="152" t="s">
        <v>76</v>
      </c>
      <c r="R532" s="152" t="s">
        <v>70</v>
      </c>
      <c r="S532" s="148" t="s">
        <v>2097</v>
      </c>
      <c r="T532" s="148">
        <v>0</v>
      </c>
      <c r="U532" s="159">
        <v>217</v>
      </c>
      <c r="V532" s="160" t="str">
        <f>VLOOKUP(U532,docentes!$A:$E,2,0)</f>
        <v>GILBERTO MARINGONI DE OLIVEIRA</v>
      </c>
      <c r="W532" s="161" t="str">
        <f>VLOOKUP(U532,docentes!$A:$E,5,0)</f>
        <v>CECS</v>
      </c>
      <c r="X532" s="162"/>
      <c r="Y532" s="163"/>
      <c r="Z532" s="164"/>
    </row>
    <row r="533" spans="1:35" s="44" customFormat="1" ht="66.75" customHeight="1">
      <c r="A533" s="148" t="s">
        <v>675</v>
      </c>
      <c r="B533" s="146" t="s">
        <v>2098</v>
      </c>
      <c r="C533" s="149" t="s">
        <v>2099</v>
      </c>
      <c r="D533" s="150">
        <v>2</v>
      </c>
      <c r="E533" s="150" t="s">
        <v>2100</v>
      </c>
      <c r="F533" s="151" t="s">
        <v>2101</v>
      </c>
      <c r="G533" s="152">
        <v>3</v>
      </c>
      <c r="H533" s="152">
        <v>1</v>
      </c>
      <c r="I533" s="153">
        <v>4</v>
      </c>
      <c r="J533" s="154">
        <v>3</v>
      </c>
      <c r="K533" s="155">
        <v>1</v>
      </c>
      <c r="L533" s="148" t="s">
        <v>97</v>
      </c>
      <c r="M533" s="148" t="s">
        <v>58</v>
      </c>
      <c r="N533" s="156"/>
      <c r="O533" s="157" t="s">
        <v>59</v>
      </c>
      <c r="P533" s="158">
        <v>30</v>
      </c>
      <c r="Q533" s="152" t="s">
        <v>76</v>
      </c>
      <c r="R533" s="152" t="s">
        <v>61</v>
      </c>
      <c r="S533" s="148" t="s">
        <v>2102</v>
      </c>
      <c r="T533" s="148">
        <v>0</v>
      </c>
      <c r="U533" s="159">
        <v>429</v>
      </c>
      <c r="V533" s="160" t="str">
        <f>VLOOKUP(U533,docentes!$A:$E,2,0)</f>
        <v>NASSER ALI DAGHASTANLI</v>
      </c>
      <c r="W533" s="161" t="str">
        <f>VLOOKUP(U533,docentes!$A:$E,5,0)</f>
        <v>CECS</v>
      </c>
      <c r="X533" s="176">
        <v>429</v>
      </c>
      <c r="Y533" s="160" t="str">
        <f>VLOOKUP(X533,docentes!$A:$E,2,0)</f>
        <v>NASSER ALI DAGHASTANLI</v>
      </c>
      <c r="Z533" s="177" t="str">
        <f>VLOOKUP(X533,docentes!$A:$E,5,0)</f>
        <v>CECS</v>
      </c>
    </row>
    <row r="534" spans="1:35" s="44" customFormat="1" ht="66.75" hidden="1" customHeight="1">
      <c r="A534" s="148" t="s">
        <v>675</v>
      </c>
      <c r="B534" s="168" t="s">
        <v>2103</v>
      </c>
      <c r="C534" s="149"/>
      <c r="D534" s="150">
        <v>0</v>
      </c>
      <c r="E534" s="150" t="s">
        <v>2100</v>
      </c>
      <c r="F534" s="169" t="s">
        <v>2104</v>
      </c>
      <c r="G534" s="152">
        <v>3</v>
      </c>
      <c r="H534" s="152">
        <v>1</v>
      </c>
      <c r="I534" s="153">
        <v>4</v>
      </c>
      <c r="J534" s="154">
        <v>0</v>
      </c>
      <c r="K534" s="155">
        <v>0</v>
      </c>
      <c r="L534" s="148"/>
      <c r="M534" s="148" t="s">
        <v>644</v>
      </c>
      <c r="N534" s="156" t="s">
        <v>2105</v>
      </c>
      <c r="O534" s="165" t="s">
        <v>2106</v>
      </c>
      <c r="P534" s="158">
        <v>0</v>
      </c>
      <c r="Q534" s="152" t="s">
        <v>60</v>
      </c>
      <c r="R534" s="152" t="s">
        <v>70</v>
      </c>
      <c r="S534" s="148" t="s">
        <v>2107</v>
      </c>
      <c r="T534" s="148">
        <v>0</v>
      </c>
      <c r="U534" s="170">
        <v>429</v>
      </c>
      <c r="V534" s="163" t="str">
        <f>VLOOKUP(U534,docentes!$A:$E,2,0)</f>
        <v>NASSER ALI DAGHASTANLI</v>
      </c>
      <c r="W534" s="171" t="str">
        <f>VLOOKUP(U534,docentes!$A:$E,5,0)</f>
        <v>CECS</v>
      </c>
      <c r="X534" s="162">
        <v>429</v>
      </c>
      <c r="Y534" s="163" t="str">
        <f>VLOOKUP(X534,docentes!$A:$E,2,0)</f>
        <v>NASSER ALI DAGHASTANLI</v>
      </c>
      <c r="Z534" s="164" t="str">
        <f>VLOOKUP(X534,docentes!$A:$E,5,0)</f>
        <v>CECS</v>
      </c>
    </row>
    <row r="535" spans="1:35" s="44" customFormat="1" ht="66.75" customHeight="1">
      <c r="A535" s="148" t="s">
        <v>675</v>
      </c>
      <c r="B535" s="146" t="s">
        <v>2108</v>
      </c>
      <c r="C535" s="149" t="s">
        <v>2099</v>
      </c>
      <c r="D535" s="150">
        <v>2</v>
      </c>
      <c r="E535" s="150" t="s">
        <v>2100</v>
      </c>
      <c r="F535" s="151" t="s">
        <v>2109</v>
      </c>
      <c r="G535" s="152">
        <v>3</v>
      </c>
      <c r="H535" s="152">
        <v>1</v>
      </c>
      <c r="I535" s="153">
        <v>4</v>
      </c>
      <c r="J535" s="154">
        <v>3</v>
      </c>
      <c r="K535" s="155">
        <v>1</v>
      </c>
      <c r="L535" s="148"/>
      <c r="M535" s="148"/>
      <c r="N535" s="156"/>
      <c r="O535" s="165" t="s">
        <v>1716</v>
      </c>
      <c r="P535" s="158">
        <v>30</v>
      </c>
      <c r="Q535" s="152" t="s">
        <v>76</v>
      </c>
      <c r="R535" s="152" t="s">
        <v>70</v>
      </c>
      <c r="S535" s="148" t="s">
        <v>2110</v>
      </c>
      <c r="T535" s="148">
        <v>0</v>
      </c>
      <c r="U535" s="159">
        <v>429</v>
      </c>
      <c r="V535" s="160" t="str">
        <f>VLOOKUP(U535,docentes!$A:$E,2,0)</f>
        <v>NASSER ALI DAGHASTANLI</v>
      </c>
      <c r="W535" s="161" t="str">
        <f>VLOOKUP(U535,docentes!$A:$E,5,0)</f>
        <v>CECS</v>
      </c>
      <c r="X535" s="176">
        <v>429</v>
      </c>
      <c r="Y535" s="160" t="str">
        <f>VLOOKUP(X535,docentes!$A:$E,2,0)</f>
        <v>NASSER ALI DAGHASTANLI</v>
      </c>
      <c r="Z535" s="177" t="str">
        <f>VLOOKUP(X535,docentes!$A:$E,5,0)</f>
        <v>CECS</v>
      </c>
    </row>
    <row r="536" spans="1:35" s="44" customFormat="1" ht="66.75" customHeight="1">
      <c r="A536" s="148" t="s">
        <v>915</v>
      </c>
      <c r="B536" s="146" t="s">
        <v>2111</v>
      </c>
      <c r="C536" s="149" t="s">
        <v>2112</v>
      </c>
      <c r="D536" s="150">
        <v>1</v>
      </c>
      <c r="E536" s="150" t="s">
        <v>2113</v>
      </c>
      <c r="F536" s="151" t="s">
        <v>2114</v>
      </c>
      <c r="G536" s="152">
        <v>4</v>
      </c>
      <c r="H536" s="152">
        <v>0</v>
      </c>
      <c r="I536" s="153">
        <v>4</v>
      </c>
      <c r="J536" s="154">
        <v>4</v>
      </c>
      <c r="K536" s="155">
        <v>0</v>
      </c>
      <c r="L536" s="148" t="s">
        <v>57</v>
      </c>
      <c r="M536" s="148" t="s">
        <v>58</v>
      </c>
      <c r="N536" s="156"/>
      <c r="O536" s="157" t="s">
        <v>59</v>
      </c>
      <c r="P536" s="158">
        <v>30</v>
      </c>
      <c r="Q536" s="152" t="s">
        <v>60</v>
      </c>
      <c r="R536" s="152" t="s">
        <v>61</v>
      </c>
      <c r="S536" s="148" t="s">
        <v>2115</v>
      </c>
      <c r="T536" s="148">
        <v>0</v>
      </c>
      <c r="U536" s="159">
        <v>461</v>
      </c>
      <c r="V536" s="160" t="str">
        <f>VLOOKUP(U536,docentes!$A:$E,2,0)</f>
        <v>PIETRO CHIMENTI</v>
      </c>
      <c r="W536" s="161" t="str">
        <f>VLOOKUP(U536,docentes!$A:$E,5,0)</f>
        <v>CCNH</v>
      </c>
      <c r="X536" s="162"/>
      <c r="Y536" s="163"/>
      <c r="Z536" s="164"/>
    </row>
    <row r="537" spans="1:35" s="44" customFormat="1" ht="66.75" customHeight="1">
      <c r="A537" s="148" t="s">
        <v>78</v>
      </c>
      <c r="B537" s="146" t="s">
        <v>2116</v>
      </c>
      <c r="C537" s="149" t="s">
        <v>2117</v>
      </c>
      <c r="D537" s="150">
        <v>2</v>
      </c>
      <c r="E537" s="150" t="s">
        <v>2118</v>
      </c>
      <c r="F537" s="151" t="s">
        <v>2119</v>
      </c>
      <c r="G537" s="152">
        <v>3</v>
      </c>
      <c r="H537" s="152">
        <v>1</v>
      </c>
      <c r="I537" s="153">
        <v>4</v>
      </c>
      <c r="J537" s="154">
        <v>3</v>
      </c>
      <c r="K537" s="155">
        <v>1</v>
      </c>
      <c r="L537" s="148" t="s">
        <v>97</v>
      </c>
      <c r="M537" s="148" t="s">
        <v>58</v>
      </c>
      <c r="N537" s="181"/>
      <c r="O537" s="157" t="s">
        <v>59</v>
      </c>
      <c r="P537" s="158">
        <v>48</v>
      </c>
      <c r="Q537" s="152" t="s">
        <v>60</v>
      </c>
      <c r="R537" s="152" t="s">
        <v>61</v>
      </c>
      <c r="S537" s="148" t="s">
        <v>2120</v>
      </c>
      <c r="T537" s="148">
        <v>0</v>
      </c>
      <c r="U537" s="159">
        <v>111</v>
      </c>
      <c r="V537" s="160" t="str">
        <f>VLOOKUP(U537,docentes!$A:$E,2,0)</f>
        <v>CRISTIAN FAVIO COLETTI</v>
      </c>
      <c r="W537" s="161" t="str">
        <f>VLOOKUP(U537,docentes!$A:$E,5,0)</f>
        <v>CMCC</v>
      </c>
      <c r="X537" s="176">
        <v>111</v>
      </c>
      <c r="Y537" s="160" t="str">
        <f>VLOOKUP(X537,docentes!$A:$E,2,0)</f>
        <v>CRISTIAN FAVIO COLETTI</v>
      </c>
      <c r="Z537" s="177" t="str">
        <f>VLOOKUP(X537,docentes!$A:$E,5,0)</f>
        <v>CMCC</v>
      </c>
    </row>
    <row r="538" spans="1:35" s="44" customFormat="1" ht="66.75" customHeight="1">
      <c r="A538" s="148" t="s">
        <v>78</v>
      </c>
      <c r="B538" s="146" t="s">
        <v>2121</v>
      </c>
      <c r="C538" s="149" t="s">
        <v>2117</v>
      </c>
      <c r="D538" s="150">
        <v>2</v>
      </c>
      <c r="E538" s="150" t="s">
        <v>2118</v>
      </c>
      <c r="F538" s="151" t="s">
        <v>2122</v>
      </c>
      <c r="G538" s="152">
        <v>3</v>
      </c>
      <c r="H538" s="152">
        <v>1</v>
      </c>
      <c r="I538" s="153">
        <v>4</v>
      </c>
      <c r="J538" s="154">
        <v>3</v>
      </c>
      <c r="K538" s="155">
        <v>1</v>
      </c>
      <c r="L538" s="148" t="s">
        <v>97</v>
      </c>
      <c r="M538" s="148" t="s">
        <v>58</v>
      </c>
      <c r="N538" s="156"/>
      <c r="O538" s="157" t="s">
        <v>59</v>
      </c>
      <c r="P538" s="158">
        <v>48</v>
      </c>
      <c r="Q538" s="152" t="s">
        <v>60</v>
      </c>
      <c r="R538" s="152" t="s">
        <v>70</v>
      </c>
      <c r="S538" s="148" t="s">
        <v>2123</v>
      </c>
      <c r="T538" s="148">
        <v>0</v>
      </c>
      <c r="U538" s="159">
        <v>111</v>
      </c>
      <c r="V538" s="160" t="str">
        <f>VLOOKUP(U538,docentes!$A:$E,2,0)</f>
        <v>CRISTIAN FAVIO COLETTI</v>
      </c>
      <c r="W538" s="161" t="str">
        <f>VLOOKUP(U538,docentes!$A:$E,5,0)</f>
        <v>CMCC</v>
      </c>
      <c r="X538" s="176">
        <v>111</v>
      </c>
      <c r="Y538" s="160" t="str">
        <f>VLOOKUP(X538,docentes!$A:$E,2,0)</f>
        <v>CRISTIAN FAVIO COLETTI</v>
      </c>
      <c r="Z538" s="177" t="str">
        <f>VLOOKUP(X538,docentes!$A:$E,5,0)</f>
        <v>CMCC</v>
      </c>
    </row>
    <row r="539" spans="1:35" s="44" customFormat="1" ht="66.75" customHeight="1">
      <c r="A539" s="148" t="s">
        <v>636</v>
      </c>
      <c r="B539" s="146" t="s">
        <v>2124</v>
      </c>
      <c r="C539" s="149" t="s">
        <v>2125</v>
      </c>
      <c r="D539" s="150">
        <v>1</v>
      </c>
      <c r="E539" s="150" t="s">
        <v>2126</v>
      </c>
      <c r="F539" s="151" t="s">
        <v>2127</v>
      </c>
      <c r="G539" s="152">
        <v>4</v>
      </c>
      <c r="H539" s="152">
        <v>0</v>
      </c>
      <c r="I539" s="153">
        <v>5</v>
      </c>
      <c r="J539" s="154">
        <v>4</v>
      </c>
      <c r="K539" s="155">
        <v>0</v>
      </c>
      <c r="L539" s="148" t="s">
        <v>67</v>
      </c>
      <c r="M539" s="148">
        <v>88</v>
      </c>
      <c r="N539" s="156"/>
      <c r="O539" s="165" t="s">
        <v>2128</v>
      </c>
      <c r="P539" s="158">
        <v>88</v>
      </c>
      <c r="Q539" s="152" t="s">
        <v>60</v>
      </c>
      <c r="R539" s="152" t="s">
        <v>61</v>
      </c>
      <c r="S539" s="148" t="s">
        <v>2129</v>
      </c>
      <c r="T539" s="148">
        <v>0</v>
      </c>
      <c r="U539" s="159">
        <v>449</v>
      </c>
      <c r="V539" s="160" t="str">
        <f>VLOOKUP(U539,docentes!$A:$E,2,0)</f>
        <v>PAULA AYAKO TIBA</v>
      </c>
      <c r="W539" s="161" t="str">
        <f>VLOOKUP(U539,docentes!$A:$E,5,0)</f>
        <v>CMCC</v>
      </c>
      <c r="X539" s="162"/>
      <c r="Y539" s="163"/>
      <c r="Z539" s="164"/>
    </row>
    <row r="540" spans="1:35" s="44" customFormat="1" ht="66.75" customHeight="1">
      <c r="A540" s="148" t="s">
        <v>636</v>
      </c>
      <c r="B540" s="146" t="s">
        <v>2130</v>
      </c>
      <c r="C540" s="149" t="s">
        <v>2131</v>
      </c>
      <c r="D540" s="150">
        <v>2</v>
      </c>
      <c r="E540" s="150" t="s">
        <v>2132</v>
      </c>
      <c r="F540" s="151" t="s">
        <v>2133</v>
      </c>
      <c r="G540" s="152">
        <v>4</v>
      </c>
      <c r="H540" s="152">
        <v>0</v>
      </c>
      <c r="I540" s="153">
        <v>4</v>
      </c>
      <c r="J540" s="154">
        <v>4</v>
      </c>
      <c r="K540" s="155">
        <v>0</v>
      </c>
      <c r="L540" s="148" t="s">
        <v>57</v>
      </c>
      <c r="M540" s="148" t="s">
        <v>58</v>
      </c>
      <c r="N540" s="156"/>
      <c r="O540" s="157" t="s">
        <v>59</v>
      </c>
      <c r="P540" s="158">
        <v>42</v>
      </c>
      <c r="Q540" s="149" t="s">
        <v>76</v>
      </c>
      <c r="R540" s="152" t="s">
        <v>61</v>
      </c>
      <c r="S540" s="148">
        <v>0</v>
      </c>
      <c r="T540" s="148" t="s">
        <v>2134</v>
      </c>
      <c r="U540" s="159">
        <v>465</v>
      </c>
      <c r="V540" s="160" t="str">
        <f>VLOOKUP(U540,docentes!$A:$E,2,0)</f>
        <v>RAPHAEL YOKOINGAWA DE CAMARGO</v>
      </c>
      <c r="W540" s="161" t="str">
        <f>VLOOKUP(U540,docentes!$A:$E,5,0)</f>
        <v>CMCC</v>
      </c>
      <c r="X540" s="162">
        <v>176</v>
      </c>
      <c r="Y540" s="163" t="str">
        <f>VLOOKUP(X540,docentes!$A:$E,2,0)</f>
        <v>FABIO MARQUES SIMOES DE SOUZA</v>
      </c>
      <c r="Z540" s="164" t="str">
        <f>VLOOKUP(X540,docentes!$A:$E,5,0)</f>
        <v>CMCC</v>
      </c>
      <c r="AB540" s="45"/>
    </row>
    <row r="541" spans="1:35" s="44" customFormat="1" ht="66.75" customHeight="1">
      <c r="A541" s="148" t="s">
        <v>636</v>
      </c>
      <c r="B541" s="146" t="s">
        <v>2135</v>
      </c>
      <c r="C541" s="149" t="s">
        <v>2131</v>
      </c>
      <c r="D541" s="150">
        <v>2</v>
      </c>
      <c r="E541" s="150" t="s">
        <v>2132</v>
      </c>
      <c r="F541" s="151" t="s">
        <v>2136</v>
      </c>
      <c r="G541" s="152">
        <v>4</v>
      </c>
      <c r="H541" s="152">
        <v>0</v>
      </c>
      <c r="I541" s="153">
        <v>4</v>
      </c>
      <c r="J541" s="154">
        <v>4</v>
      </c>
      <c r="K541" s="155">
        <v>0</v>
      </c>
      <c r="L541" s="148" t="s">
        <v>57</v>
      </c>
      <c r="M541" s="148" t="s">
        <v>58</v>
      </c>
      <c r="N541" s="156"/>
      <c r="O541" s="157" t="s">
        <v>59</v>
      </c>
      <c r="P541" s="158">
        <v>42</v>
      </c>
      <c r="Q541" s="149" t="s">
        <v>76</v>
      </c>
      <c r="R541" s="152" t="s">
        <v>70</v>
      </c>
      <c r="S541" s="148">
        <v>0</v>
      </c>
      <c r="T541" s="148" t="s">
        <v>2137</v>
      </c>
      <c r="U541" s="159">
        <v>176</v>
      </c>
      <c r="V541" s="160" t="str">
        <f>VLOOKUP(U541,docentes!$A:$E,2,0)</f>
        <v>FABIO MARQUES SIMOES DE SOUZA</v>
      </c>
      <c r="W541" s="161" t="str">
        <f>VLOOKUP(U541,docentes!$A:$E,5,0)</f>
        <v>CMCC</v>
      </c>
      <c r="X541" s="162">
        <v>465</v>
      </c>
      <c r="Y541" s="163" t="str">
        <f>VLOOKUP(X541,docentes!$A:$E,2,0)</f>
        <v>RAPHAEL YOKOINGAWA DE CAMARGO</v>
      </c>
      <c r="Z541" s="164" t="str">
        <f>VLOOKUP(X541,docentes!$A:$E,5,0)</f>
        <v>CMCC</v>
      </c>
      <c r="AB541" s="45"/>
    </row>
    <row r="542" spans="1:35" s="44" customFormat="1" ht="66.75" customHeight="1">
      <c r="A542" s="148" t="s">
        <v>222</v>
      </c>
      <c r="B542" s="146" t="s">
        <v>2138</v>
      </c>
      <c r="C542" s="149" t="s">
        <v>2139</v>
      </c>
      <c r="D542" s="150">
        <v>14</v>
      </c>
      <c r="E542" s="150" t="s">
        <v>2140</v>
      </c>
      <c r="F542" s="151" t="s">
        <v>2141</v>
      </c>
      <c r="G542" s="152">
        <v>3</v>
      </c>
      <c r="H542" s="152">
        <v>0</v>
      </c>
      <c r="I542" s="153">
        <v>4</v>
      </c>
      <c r="J542" s="154">
        <v>3</v>
      </c>
      <c r="K542" s="155">
        <v>0</v>
      </c>
      <c r="L542" s="148" t="s">
        <v>57</v>
      </c>
      <c r="M542" s="148" t="s">
        <v>58</v>
      </c>
      <c r="N542" s="156"/>
      <c r="O542" s="157" t="s">
        <v>59</v>
      </c>
      <c r="P542" s="158">
        <v>106</v>
      </c>
      <c r="Q542" s="152" t="s">
        <v>60</v>
      </c>
      <c r="R542" s="152" t="s">
        <v>61</v>
      </c>
      <c r="S542" s="148" t="s">
        <v>2142</v>
      </c>
      <c r="T542" s="148">
        <v>0</v>
      </c>
      <c r="U542" s="159">
        <v>121</v>
      </c>
      <c r="V542" s="160" t="str">
        <f>VLOOKUP(U542,docentes!$A:$E,2,0)</f>
        <v>DANIEL MIRANDA MACHADO</v>
      </c>
      <c r="W542" s="161" t="str">
        <f>VLOOKUP(U542,docentes!$A:$E,5,0)</f>
        <v>CMCC</v>
      </c>
      <c r="X542" s="162"/>
      <c r="Y542" s="163"/>
      <c r="Z542" s="164"/>
      <c r="AH542" s="45"/>
      <c r="AI542" s="45"/>
    </row>
    <row r="543" spans="1:35" s="44" customFormat="1" ht="66.75" customHeight="1">
      <c r="A543" s="148" t="s">
        <v>222</v>
      </c>
      <c r="B543" s="146" t="s">
        <v>2143</v>
      </c>
      <c r="C543" s="149" t="s">
        <v>2139</v>
      </c>
      <c r="D543" s="150">
        <v>14</v>
      </c>
      <c r="E543" s="150" t="s">
        <v>2140</v>
      </c>
      <c r="F543" s="151" t="s">
        <v>2144</v>
      </c>
      <c r="G543" s="152">
        <v>3</v>
      </c>
      <c r="H543" s="152">
        <v>0</v>
      </c>
      <c r="I543" s="153">
        <v>4</v>
      </c>
      <c r="J543" s="154">
        <v>3</v>
      </c>
      <c r="K543" s="155">
        <v>0</v>
      </c>
      <c r="L543" s="148" t="s">
        <v>845</v>
      </c>
      <c r="M543" s="148" t="s">
        <v>58</v>
      </c>
      <c r="N543" s="156"/>
      <c r="O543" s="148" t="s">
        <v>2145</v>
      </c>
      <c r="P543" s="158">
        <v>106</v>
      </c>
      <c r="Q543" s="152" t="s">
        <v>60</v>
      </c>
      <c r="R543" s="152" t="s">
        <v>70</v>
      </c>
      <c r="S543" s="148" t="s">
        <v>2146</v>
      </c>
      <c r="T543" s="148">
        <v>0</v>
      </c>
      <c r="U543" s="159">
        <v>563</v>
      </c>
      <c r="V543" s="160" t="str">
        <f>VLOOKUP(U543,docentes!$A:$E,2,0)</f>
        <v>VLADIMIR PERCHINE</v>
      </c>
      <c r="W543" s="161" t="str">
        <f>VLOOKUP(U543,docentes!$A:$E,5,0)</f>
        <v>CMCC</v>
      </c>
      <c r="X543" s="162"/>
      <c r="Y543" s="163"/>
      <c r="Z543" s="164"/>
      <c r="AH543" s="45"/>
      <c r="AI543" s="45"/>
    </row>
    <row r="544" spans="1:35" s="44" customFormat="1" ht="66.75" customHeight="1">
      <c r="A544" s="148" t="s">
        <v>222</v>
      </c>
      <c r="B544" s="146" t="s">
        <v>2147</v>
      </c>
      <c r="C544" s="149" t="s">
        <v>2139</v>
      </c>
      <c r="D544" s="150">
        <v>14</v>
      </c>
      <c r="E544" s="150" t="s">
        <v>2140</v>
      </c>
      <c r="F544" s="151" t="s">
        <v>2148</v>
      </c>
      <c r="G544" s="152">
        <v>3</v>
      </c>
      <c r="H544" s="152">
        <v>0</v>
      </c>
      <c r="I544" s="153">
        <v>4</v>
      </c>
      <c r="J544" s="154">
        <v>3</v>
      </c>
      <c r="K544" s="155">
        <v>0</v>
      </c>
      <c r="L544" s="148" t="s">
        <v>845</v>
      </c>
      <c r="M544" s="148" t="s">
        <v>58</v>
      </c>
      <c r="N544" s="156"/>
      <c r="O544" s="165" t="s">
        <v>2145</v>
      </c>
      <c r="P544" s="158">
        <v>89</v>
      </c>
      <c r="Q544" s="152" t="s">
        <v>60</v>
      </c>
      <c r="R544" s="152" t="s">
        <v>61</v>
      </c>
      <c r="S544" s="148" t="s">
        <v>2149</v>
      </c>
      <c r="T544" s="148">
        <v>0</v>
      </c>
      <c r="U544" s="159">
        <v>352</v>
      </c>
      <c r="V544" s="160" t="str">
        <f>VLOOKUP(U544,docentes!$A:$E,2,0)</f>
        <v>MANUELA GIBIM RODRIGUES</v>
      </c>
      <c r="W544" s="161" t="str">
        <f>VLOOKUP(U544,docentes!$A:$E,5,0)</f>
        <v>CMCC</v>
      </c>
      <c r="X544" s="162"/>
      <c r="Y544" s="163"/>
      <c r="Z544" s="164"/>
      <c r="AH544" s="45"/>
      <c r="AI544" s="45"/>
    </row>
    <row r="545" spans="1:35" ht="66.75" customHeight="1">
      <c r="A545" s="148" t="s">
        <v>222</v>
      </c>
      <c r="B545" s="146" t="s">
        <v>2150</v>
      </c>
      <c r="C545" s="149" t="s">
        <v>2139</v>
      </c>
      <c r="D545" s="150">
        <v>14</v>
      </c>
      <c r="E545" s="150" t="s">
        <v>2140</v>
      </c>
      <c r="F545" s="151" t="s">
        <v>2151</v>
      </c>
      <c r="G545" s="152">
        <v>3</v>
      </c>
      <c r="H545" s="152">
        <v>0</v>
      </c>
      <c r="I545" s="153">
        <v>4</v>
      </c>
      <c r="J545" s="154">
        <v>3</v>
      </c>
      <c r="K545" s="155">
        <v>0</v>
      </c>
      <c r="L545" s="148" t="s">
        <v>57</v>
      </c>
      <c r="M545" s="148" t="s">
        <v>58</v>
      </c>
      <c r="N545" s="156"/>
      <c r="O545" s="157" t="s">
        <v>59</v>
      </c>
      <c r="P545" s="158">
        <v>89</v>
      </c>
      <c r="Q545" s="152" t="s">
        <v>60</v>
      </c>
      <c r="R545" s="152" t="s">
        <v>70</v>
      </c>
      <c r="S545" s="148" t="s">
        <v>2152</v>
      </c>
      <c r="T545" s="148">
        <v>0</v>
      </c>
      <c r="U545" s="159">
        <v>541</v>
      </c>
      <c r="V545" s="160" t="str">
        <f>VLOOKUP(U545,docentes!$A:$E,2,0)</f>
        <v>THOMAS LOGAN RITCHIE</v>
      </c>
      <c r="W545" s="161" t="str">
        <f>VLOOKUP(U545,docentes!$A:$E,5,0)</f>
        <v>CMCC</v>
      </c>
      <c r="X545" s="162"/>
      <c r="Y545" s="163"/>
      <c r="Z545" s="164"/>
      <c r="AA545" s="44"/>
      <c r="AB545" s="44"/>
      <c r="AC545" s="44"/>
      <c r="AD545" s="44"/>
      <c r="AE545" s="44"/>
      <c r="AF545" s="44"/>
      <c r="AG545" s="44"/>
      <c r="AH545" s="44"/>
      <c r="AI545" s="44"/>
    </row>
    <row r="546" spans="1:35" s="44" customFormat="1" ht="66.75" customHeight="1">
      <c r="A546" s="148" t="s">
        <v>222</v>
      </c>
      <c r="B546" s="146" t="s">
        <v>2153</v>
      </c>
      <c r="C546" s="149" t="s">
        <v>2139</v>
      </c>
      <c r="D546" s="150">
        <v>14</v>
      </c>
      <c r="E546" s="150" t="s">
        <v>2140</v>
      </c>
      <c r="F546" s="151" t="s">
        <v>2154</v>
      </c>
      <c r="G546" s="152">
        <v>3</v>
      </c>
      <c r="H546" s="152">
        <v>0</v>
      </c>
      <c r="I546" s="153">
        <v>4</v>
      </c>
      <c r="J546" s="154">
        <v>3</v>
      </c>
      <c r="K546" s="155">
        <v>0</v>
      </c>
      <c r="L546" s="148" t="s">
        <v>57</v>
      </c>
      <c r="M546" s="148" t="s">
        <v>58</v>
      </c>
      <c r="N546" s="156"/>
      <c r="O546" s="157" t="s">
        <v>59</v>
      </c>
      <c r="P546" s="158">
        <v>112</v>
      </c>
      <c r="Q546" s="152" t="s">
        <v>60</v>
      </c>
      <c r="R546" s="152" t="s">
        <v>61</v>
      </c>
      <c r="S546" s="148" t="s">
        <v>2155</v>
      </c>
      <c r="T546" s="148">
        <v>0</v>
      </c>
      <c r="U546" s="159">
        <v>23</v>
      </c>
      <c r="V546" s="160" t="str">
        <f>VLOOKUP(U546,docentes!$A:$E,2,0)</f>
        <v>ALEXEI MAGALHAES VENEZIANI</v>
      </c>
      <c r="W546" s="161" t="str">
        <f>VLOOKUP(U546,docentes!$A:$E,5,0)</f>
        <v>CMCC</v>
      </c>
      <c r="X546" s="162"/>
      <c r="Y546" s="163"/>
      <c r="Z546" s="164"/>
    </row>
    <row r="547" spans="1:35" s="44" customFormat="1" ht="66.75" customHeight="1">
      <c r="A547" s="148" t="s">
        <v>222</v>
      </c>
      <c r="B547" s="146" t="s">
        <v>2156</v>
      </c>
      <c r="C547" s="149" t="s">
        <v>2139</v>
      </c>
      <c r="D547" s="150">
        <v>14</v>
      </c>
      <c r="E547" s="150" t="s">
        <v>2140</v>
      </c>
      <c r="F547" s="151" t="s">
        <v>2157</v>
      </c>
      <c r="G547" s="152">
        <v>3</v>
      </c>
      <c r="H547" s="152">
        <v>0</v>
      </c>
      <c r="I547" s="153">
        <v>4</v>
      </c>
      <c r="J547" s="154">
        <v>3</v>
      </c>
      <c r="K547" s="155">
        <v>0</v>
      </c>
      <c r="L547" s="148" t="s">
        <v>845</v>
      </c>
      <c r="M547" s="148" t="s">
        <v>58</v>
      </c>
      <c r="N547" s="156"/>
      <c r="O547" s="148" t="s">
        <v>2145</v>
      </c>
      <c r="P547" s="158">
        <v>112</v>
      </c>
      <c r="Q547" s="152" t="s">
        <v>60</v>
      </c>
      <c r="R547" s="152" t="s">
        <v>70</v>
      </c>
      <c r="S547" s="148" t="s">
        <v>2158</v>
      </c>
      <c r="T547" s="148">
        <v>0</v>
      </c>
      <c r="U547" s="159">
        <v>23</v>
      </c>
      <c r="V547" s="160" t="str">
        <f>VLOOKUP(U547,docentes!$A:$E,2,0)</f>
        <v>ALEXEI MAGALHAES VENEZIANI</v>
      </c>
      <c r="W547" s="161" t="str">
        <f>VLOOKUP(U547,docentes!$A:$E,5,0)</f>
        <v>CMCC</v>
      </c>
      <c r="X547" s="162"/>
      <c r="Y547" s="163"/>
      <c r="Z547" s="164"/>
    </row>
    <row r="548" spans="1:35" s="44" customFormat="1" ht="66.75" customHeight="1">
      <c r="A548" s="148" t="s">
        <v>222</v>
      </c>
      <c r="B548" s="146" t="s">
        <v>2159</v>
      </c>
      <c r="C548" s="149" t="s">
        <v>2139</v>
      </c>
      <c r="D548" s="150">
        <v>14</v>
      </c>
      <c r="E548" s="150" t="s">
        <v>2140</v>
      </c>
      <c r="F548" s="151" t="s">
        <v>2160</v>
      </c>
      <c r="G548" s="152">
        <v>3</v>
      </c>
      <c r="H548" s="152">
        <v>0</v>
      </c>
      <c r="I548" s="153">
        <v>4</v>
      </c>
      <c r="J548" s="154">
        <v>3</v>
      </c>
      <c r="K548" s="155">
        <v>0</v>
      </c>
      <c r="L548" s="148" t="s">
        <v>57</v>
      </c>
      <c r="M548" s="148" t="s">
        <v>58</v>
      </c>
      <c r="N548" s="156"/>
      <c r="O548" s="157" t="s">
        <v>59</v>
      </c>
      <c r="P548" s="158">
        <v>90</v>
      </c>
      <c r="Q548" s="152" t="s">
        <v>76</v>
      </c>
      <c r="R548" s="152" t="s">
        <v>61</v>
      </c>
      <c r="S548" s="148" t="s">
        <v>2161</v>
      </c>
      <c r="T548" s="148">
        <v>0</v>
      </c>
      <c r="U548" s="159">
        <v>87</v>
      </c>
      <c r="V548" s="160" t="str">
        <f>VLOOKUP(U548,docentes!$A:$E,2,0)</f>
        <v>CARLOS DA SILVA DOS SANTOS</v>
      </c>
      <c r="W548" s="161" t="str">
        <f>VLOOKUP(U548,docentes!$A:$E,5,0)</f>
        <v>CMCC</v>
      </c>
      <c r="X548" s="162"/>
      <c r="Y548" s="163"/>
      <c r="Z548" s="164"/>
    </row>
    <row r="549" spans="1:35" ht="66.75" customHeight="1">
      <c r="A549" s="148" t="s">
        <v>222</v>
      </c>
      <c r="B549" s="146" t="s">
        <v>2162</v>
      </c>
      <c r="C549" s="149" t="s">
        <v>2139</v>
      </c>
      <c r="D549" s="150">
        <v>14</v>
      </c>
      <c r="E549" s="150" t="s">
        <v>2140</v>
      </c>
      <c r="F549" s="151" t="s">
        <v>2163</v>
      </c>
      <c r="G549" s="152">
        <v>3</v>
      </c>
      <c r="H549" s="152">
        <v>0</v>
      </c>
      <c r="I549" s="153">
        <v>4</v>
      </c>
      <c r="J549" s="154">
        <v>3</v>
      </c>
      <c r="K549" s="155">
        <v>0</v>
      </c>
      <c r="L549" s="148" t="s">
        <v>57</v>
      </c>
      <c r="M549" s="148" t="s">
        <v>58</v>
      </c>
      <c r="N549" s="151"/>
      <c r="O549" s="157" t="s">
        <v>59</v>
      </c>
      <c r="P549" s="158">
        <v>90</v>
      </c>
      <c r="Q549" s="152" t="s">
        <v>76</v>
      </c>
      <c r="R549" s="152" t="s">
        <v>70</v>
      </c>
      <c r="S549" s="148" t="s">
        <v>2164</v>
      </c>
      <c r="T549" s="148">
        <v>0</v>
      </c>
      <c r="U549" s="159">
        <v>543</v>
      </c>
      <c r="V549" s="160" t="str">
        <f>VLOOKUP(U549,docentes!$A:$E,2,0)</f>
        <v>VALDECIR MARVULLE</v>
      </c>
      <c r="W549" s="161" t="str">
        <f>VLOOKUP(U549,docentes!$A:$E,5,0)</f>
        <v>CMCC</v>
      </c>
      <c r="X549" s="162"/>
      <c r="Y549" s="163"/>
      <c r="Z549" s="164"/>
      <c r="AA549" s="44"/>
      <c r="AB549" s="44"/>
      <c r="AC549" s="44"/>
      <c r="AD549" s="44"/>
      <c r="AE549" s="44"/>
      <c r="AF549" s="44"/>
      <c r="AG549" s="44"/>
      <c r="AH549" s="44"/>
      <c r="AI549" s="44"/>
    </row>
    <row r="550" spans="1:35" s="44" customFormat="1" ht="66.75" customHeight="1">
      <c r="A550" s="148" t="s">
        <v>222</v>
      </c>
      <c r="B550" s="146" t="s">
        <v>2165</v>
      </c>
      <c r="C550" s="149" t="s">
        <v>2139</v>
      </c>
      <c r="D550" s="150">
        <v>14</v>
      </c>
      <c r="E550" s="150" t="s">
        <v>2140</v>
      </c>
      <c r="F550" s="151" t="s">
        <v>2166</v>
      </c>
      <c r="G550" s="152">
        <v>3</v>
      </c>
      <c r="H550" s="152">
        <v>0</v>
      </c>
      <c r="I550" s="153">
        <v>4</v>
      </c>
      <c r="J550" s="154">
        <v>3</v>
      </c>
      <c r="K550" s="155">
        <v>0</v>
      </c>
      <c r="L550" s="148" t="s">
        <v>57</v>
      </c>
      <c r="M550" s="148" t="s">
        <v>58</v>
      </c>
      <c r="N550" s="166"/>
      <c r="O550" s="157" t="s">
        <v>59</v>
      </c>
      <c r="P550" s="158">
        <v>103</v>
      </c>
      <c r="Q550" s="152" t="s">
        <v>60</v>
      </c>
      <c r="R550" s="152" t="s">
        <v>61</v>
      </c>
      <c r="S550" s="148" t="s">
        <v>2167</v>
      </c>
      <c r="T550" s="148">
        <v>0</v>
      </c>
      <c r="U550" s="159">
        <v>121</v>
      </c>
      <c r="V550" s="160" t="str">
        <f>VLOOKUP(U550,docentes!$A:$E,2,0)</f>
        <v>DANIEL MIRANDA MACHADO</v>
      </c>
      <c r="W550" s="161" t="str">
        <f>VLOOKUP(U550,docentes!$A:$E,5,0)</f>
        <v>CMCC</v>
      </c>
      <c r="X550" s="162"/>
      <c r="Y550" s="163"/>
      <c r="Z550" s="164"/>
    </row>
    <row r="551" spans="1:35" s="44" customFormat="1" ht="66.75" customHeight="1">
      <c r="A551" s="148" t="s">
        <v>222</v>
      </c>
      <c r="B551" s="146" t="s">
        <v>2168</v>
      </c>
      <c r="C551" s="149" t="s">
        <v>2139</v>
      </c>
      <c r="D551" s="150">
        <v>14</v>
      </c>
      <c r="E551" s="150" t="s">
        <v>2140</v>
      </c>
      <c r="F551" s="151" t="s">
        <v>2169</v>
      </c>
      <c r="G551" s="152">
        <v>3</v>
      </c>
      <c r="H551" s="152">
        <v>0</v>
      </c>
      <c r="I551" s="153">
        <v>4</v>
      </c>
      <c r="J551" s="154">
        <v>3</v>
      </c>
      <c r="K551" s="155">
        <v>0</v>
      </c>
      <c r="L551" s="148" t="s">
        <v>845</v>
      </c>
      <c r="M551" s="148" t="s">
        <v>58</v>
      </c>
      <c r="N551" s="156"/>
      <c r="O551" s="165" t="s">
        <v>2145</v>
      </c>
      <c r="P551" s="158">
        <v>103</v>
      </c>
      <c r="Q551" s="152" t="s">
        <v>60</v>
      </c>
      <c r="R551" s="152" t="s">
        <v>70</v>
      </c>
      <c r="S551" s="148" t="s">
        <v>2170</v>
      </c>
      <c r="T551" s="148">
        <v>0</v>
      </c>
      <c r="U551" s="159">
        <v>563</v>
      </c>
      <c r="V551" s="160" t="str">
        <f>VLOOKUP(U551,docentes!$A:$E,2,0)</f>
        <v>VLADIMIR PERCHINE</v>
      </c>
      <c r="W551" s="161" t="str">
        <f>VLOOKUP(U551,docentes!$A:$E,5,0)</f>
        <v>CMCC</v>
      </c>
      <c r="X551" s="162"/>
      <c r="Y551" s="163"/>
      <c r="Z551" s="164"/>
    </row>
    <row r="552" spans="1:35" s="44" customFormat="1" ht="66.75" customHeight="1">
      <c r="A552" s="148" t="s">
        <v>222</v>
      </c>
      <c r="B552" s="146" t="s">
        <v>2171</v>
      </c>
      <c r="C552" s="149" t="s">
        <v>2139</v>
      </c>
      <c r="D552" s="150">
        <v>14</v>
      </c>
      <c r="E552" s="150" t="s">
        <v>2140</v>
      </c>
      <c r="F552" s="151" t="s">
        <v>2172</v>
      </c>
      <c r="G552" s="152">
        <v>3</v>
      </c>
      <c r="H552" s="152">
        <v>0</v>
      </c>
      <c r="I552" s="153">
        <v>4</v>
      </c>
      <c r="J552" s="154">
        <v>3</v>
      </c>
      <c r="K552" s="155">
        <v>0</v>
      </c>
      <c r="L552" s="148" t="s">
        <v>845</v>
      </c>
      <c r="M552" s="148" t="s">
        <v>58</v>
      </c>
      <c r="N552" s="156"/>
      <c r="O552" s="165" t="s">
        <v>2145</v>
      </c>
      <c r="P552" s="158">
        <v>99</v>
      </c>
      <c r="Q552" s="152" t="s">
        <v>60</v>
      </c>
      <c r="R552" s="152" t="s">
        <v>61</v>
      </c>
      <c r="S552" s="148" t="s">
        <v>2173</v>
      </c>
      <c r="T552" s="148">
        <v>0</v>
      </c>
      <c r="U552" s="159">
        <v>352</v>
      </c>
      <c r="V552" s="160" t="str">
        <f>VLOOKUP(U552,docentes!$A:$E,2,0)</f>
        <v>MANUELA GIBIM RODRIGUES</v>
      </c>
      <c r="W552" s="161" t="str">
        <f>VLOOKUP(U552,docentes!$A:$E,5,0)</f>
        <v>CMCC</v>
      </c>
      <c r="X552" s="162"/>
      <c r="Y552" s="163"/>
      <c r="Z552" s="164"/>
      <c r="AH552" s="45"/>
      <c r="AI552" s="45"/>
    </row>
    <row r="553" spans="1:35" s="44" customFormat="1" ht="66.75" customHeight="1">
      <c r="A553" s="148" t="s">
        <v>222</v>
      </c>
      <c r="B553" s="146" t="s">
        <v>2174</v>
      </c>
      <c r="C553" s="149" t="s">
        <v>2139</v>
      </c>
      <c r="D553" s="150">
        <v>14</v>
      </c>
      <c r="E553" s="150" t="s">
        <v>2140</v>
      </c>
      <c r="F553" s="151" t="s">
        <v>2175</v>
      </c>
      <c r="G553" s="152">
        <v>3</v>
      </c>
      <c r="H553" s="152">
        <v>0</v>
      </c>
      <c r="I553" s="153">
        <v>4</v>
      </c>
      <c r="J553" s="154">
        <v>3</v>
      </c>
      <c r="K553" s="155">
        <v>0</v>
      </c>
      <c r="L553" s="148" t="s">
        <v>57</v>
      </c>
      <c r="M553" s="148" t="s">
        <v>58</v>
      </c>
      <c r="N553" s="156"/>
      <c r="O553" s="157" t="s">
        <v>59</v>
      </c>
      <c r="P553" s="158">
        <v>92</v>
      </c>
      <c r="Q553" s="152" t="s">
        <v>60</v>
      </c>
      <c r="R553" s="152" t="s">
        <v>70</v>
      </c>
      <c r="S553" s="148" t="s">
        <v>2176</v>
      </c>
      <c r="T553" s="148">
        <v>0</v>
      </c>
      <c r="U553" s="159">
        <v>541</v>
      </c>
      <c r="V553" s="160" t="str">
        <f>VLOOKUP(U553,docentes!$A:$E,2,0)</f>
        <v>THOMAS LOGAN RITCHIE</v>
      </c>
      <c r="W553" s="161" t="str">
        <f>VLOOKUP(U553,docentes!$A:$E,5,0)</f>
        <v>CMCC</v>
      </c>
      <c r="X553" s="162"/>
      <c r="Y553" s="163"/>
      <c r="Z553" s="164"/>
    </row>
    <row r="554" spans="1:35" s="44" customFormat="1" ht="66.75" customHeight="1">
      <c r="A554" s="148" t="s">
        <v>713</v>
      </c>
      <c r="B554" s="146" t="s">
        <v>2177</v>
      </c>
      <c r="C554" s="149" t="s">
        <v>2139</v>
      </c>
      <c r="D554" s="150">
        <v>14</v>
      </c>
      <c r="E554" s="150" t="s">
        <v>2140</v>
      </c>
      <c r="F554" s="151" t="s">
        <v>2178</v>
      </c>
      <c r="G554" s="152">
        <v>3</v>
      </c>
      <c r="H554" s="152">
        <v>0</v>
      </c>
      <c r="I554" s="153">
        <v>4</v>
      </c>
      <c r="J554" s="154">
        <v>3</v>
      </c>
      <c r="K554" s="155">
        <v>0</v>
      </c>
      <c r="L554" s="148" t="s">
        <v>57</v>
      </c>
      <c r="M554" s="148" t="s">
        <v>58</v>
      </c>
      <c r="N554" s="156"/>
      <c r="O554" s="157" t="s">
        <v>59</v>
      </c>
      <c r="P554" s="158">
        <v>90</v>
      </c>
      <c r="Q554" s="152" t="s">
        <v>76</v>
      </c>
      <c r="R554" s="152" t="s">
        <v>61</v>
      </c>
      <c r="S554" s="148" t="s">
        <v>2179</v>
      </c>
      <c r="T554" s="148">
        <v>0</v>
      </c>
      <c r="U554" s="159">
        <v>543</v>
      </c>
      <c r="V554" s="160" t="str">
        <f>VLOOKUP(U554,docentes!$A:$E,2,0)</f>
        <v>VALDECIR MARVULLE</v>
      </c>
      <c r="W554" s="161" t="str">
        <f>VLOOKUP(U554,docentes!$A:$E,5,0)</f>
        <v>CMCC</v>
      </c>
      <c r="X554" s="162"/>
      <c r="Y554" s="163"/>
      <c r="Z554" s="164"/>
    </row>
    <row r="555" spans="1:35" s="44" customFormat="1" ht="66.75" customHeight="1">
      <c r="A555" s="148" t="s">
        <v>713</v>
      </c>
      <c r="B555" s="146" t="s">
        <v>2180</v>
      </c>
      <c r="C555" s="149" t="s">
        <v>2139</v>
      </c>
      <c r="D555" s="150">
        <v>14</v>
      </c>
      <c r="E555" s="150" t="s">
        <v>2140</v>
      </c>
      <c r="F555" s="151" t="s">
        <v>2181</v>
      </c>
      <c r="G555" s="152">
        <v>3</v>
      </c>
      <c r="H555" s="152">
        <v>0</v>
      </c>
      <c r="I555" s="153">
        <v>4</v>
      </c>
      <c r="J555" s="154">
        <v>3</v>
      </c>
      <c r="K555" s="155">
        <v>0</v>
      </c>
      <c r="L555" s="148" t="s">
        <v>750</v>
      </c>
      <c r="M555" s="148" t="s">
        <v>58</v>
      </c>
      <c r="N555" s="156"/>
      <c r="O555" s="165" t="s">
        <v>751</v>
      </c>
      <c r="P555" s="158"/>
      <c r="Q555" s="152" t="s">
        <v>76</v>
      </c>
      <c r="R555" s="152" t="s">
        <v>61</v>
      </c>
      <c r="S555" s="148" t="s">
        <v>2182</v>
      </c>
      <c r="T555" s="148">
        <v>0</v>
      </c>
      <c r="U555" s="159">
        <v>87</v>
      </c>
      <c r="V555" s="160" t="str">
        <f>VLOOKUP(U555,docentes!$A:$E,2,0)</f>
        <v>CARLOS DA SILVA DOS SANTOS</v>
      </c>
      <c r="W555" s="161" t="str">
        <f>VLOOKUP(U555,docentes!$A:$E,5,0)</f>
        <v>CMCC</v>
      </c>
      <c r="X555" s="162"/>
      <c r="Y555" s="163"/>
      <c r="Z555" s="164"/>
    </row>
    <row r="556" spans="1:35" s="44" customFormat="1" ht="66.75" customHeight="1">
      <c r="A556" s="148" t="s">
        <v>1126</v>
      </c>
      <c r="B556" s="146" t="s">
        <v>2183</v>
      </c>
      <c r="C556" s="149" t="s">
        <v>2184</v>
      </c>
      <c r="D556" s="150">
        <v>2</v>
      </c>
      <c r="E556" s="150" t="s">
        <v>2185</v>
      </c>
      <c r="F556" s="151" t="s">
        <v>2186</v>
      </c>
      <c r="G556" s="152">
        <v>2</v>
      </c>
      <c r="H556" s="152">
        <v>0</v>
      </c>
      <c r="I556" s="153">
        <v>5</v>
      </c>
      <c r="J556" s="154">
        <v>2</v>
      </c>
      <c r="K556" s="155">
        <v>0</v>
      </c>
      <c r="L556" s="148" t="s">
        <v>57</v>
      </c>
      <c r="M556" s="148" t="s">
        <v>58</v>
      </c>
      <c r="N556" s="156"/>
      <c r="O556" s="165" t="s">
        <v>810</v>
      </c>
      <c r="P556" s="158">
        <v>57</v>
      </c>
      <c r="Q556" s="152" t="s">
        <v>60</v>
      </c>
      <c r="R556" s="152" t="s">
        <v>61</v>
      </c>
      <c r="S556" s="148" t="s">
        <v>2187</v>
      </c>
      <c r="T556" s="148">
        <v>0</v>
      </c>
      <c r="U556" s="159">
        <v>22</v>
      </c>
      <c r="V556" s="160" t="str">
        <f>VLOOKUP(U556,docentes!$A:$E,2,0)</f>
        <v>ALEXANDRE ZATKOVSKIS CARVALHO</v>
      </c>
      <c r="W556" s="161" t="str">
        <f>VLOOKUP(U556,docentes!$A:$E,5,0)</f>
        <v>CCNH</v>
      </c>
      <c r="X556" s="162"/>
      <c r="Y556" s="163"/>
      <c r="Z556" s="164"/>
    </row>
    <row r="557" spans="1:35" s="44" customFormat="1" ht="66.75" customHeight="1">
      <c r="A557" s="148" t="s">
        <v>1126</v>
      </c>
      <c r="B557" s="146" t="s">
        <v>2188</v>
      </c>
      <c r="C557" s="149" t="s">
        <v>2184</v>
      </c>
      <c r="D557" s="150">
        <v>2</v>
      </c>
      <c r="E557" s="150" t="s">
        <v>2185</v>
      </c>
      <c r="F557" s="151" t="s">
        <v>2189</v>
      </c>
      <c r="G557" s="152">
        <v>2</v>
      </c>
      <c r="H557" s="152">
        <v>0</v>
      </c>
      <c r="I557" s="153">
        <v>5</v>
      </c>
      <c r="J557" s="154">
        <v>2</v>
      </c>
      <c r="K557" s="155">
        <v>0</v>
      </c>
      <c r="L557" s="148" t="s">
        <v>57</v>
      </c>
      <c r="M557" s="148" t="s">
        <v>58</v>
      </c>
      <c r="N557" s="156"/>
      <c r="O557" s="165" t="s">
        <v>810</v>
      </c>
      <c r="P557" s="158">
        <v>57</v>
      </c>
      <c r="Q557" s="152" t="s">
        <v>60</v>
      </c>
      <c r="R557" s="152" t="s">
        <v>70</v>
      </c>
      <c r="S557" s="148" t="s">
        <v>2190</v>
      </c>
      <c r="T557" s="148">
        <v>0</v>
      </c>
      <c r="U557" s="159">
        <v>22</v>
      </c>
      <c r="V557" s="160" t="str">
        <f>VLOOKUP(U557,docentes!$A:$E,2,0)</f>
        <v>ALEXANDRE ZATKOVSKIS CARVALHO</v>
      </c>
      <c r="W557" s="161" t="str">
        <f>VLOOKUP(U557,docentes!$A:$E,5,0)</f>
        <v>CCNH</v>
      </c>
      <c r="X557" s="162"/>
      <c r="Y557" s="163"/>
      <c r="Z557" s="164"/>
    </row>
    <row r="558" spans="1:35" s="44" customFormat="1" ht="66.75" customHeight="1">
      <c r="A558" s="172" t="s">
        <v>114</v>
      </c>
      <c r="B558" s="146" t="s">
        <v>2191</v>
      </c>
      <c r="C558" s="149" t="s">
        <v>2192</v>
      </c>
      <c r="D558" s="150">
        <v>2</v>
      </c>
      <c r="E558" s="150" t="s">
        <v>2193</v>
      </c>
      <c r="F558" s="151" t="s">
        <v>2194</v>
      </c>
      <c r="G558" s="149">
        <v>0</v>
      </c>
      <c r="H558" s="173">
        <v>4</v>
      </c>
      <c r="I558" s="174">
        <v>4</v>
      </c>
      <c r="J558" s="155">
        <v>0</v>
      </c>
      <c r="K558" s="155">
        <v>4</v>
      </c>
      <c r="L558" s="172" t="s">
        <v>2195</v>
      </c>
      <c r="M558" s="172" t="e">
        <v>#N/A</v>
      </c>
      <c r="N558" s="151"/>
      <c r="O558" s="172" t="s">
        <v>2196</v>
      </c>
      <c r="P558" s="175">
        <v>35</v>
      </c>
      <c r="Q558" s="152" t="s">
        <v>60</v>
      </c>
      <c r="R558" s="152" t="s">
        <v>70</v>
      </c>
      <c r="S558" s="148">
        <v>0</v>
      </c>
      <c r="T558" s="148" t="s">
        <v>2197</v>
      </c>
      <c r="U558" s="170">
        <v>240</v>
      </c>
      <c r="V558" s="163" t="str">
        <f>VLOOKUP(U558,docentes!$A:$E,2,0)</f>
        <v>HARLEN COSTA BATAGELO</v>
      </c>
      <c r="W558" s="171" t="str">
        <f>VLOOKUP(U558,docentes!$A:$E,5,0)</f>
        <v>CMCC</v>
      </c>
      <c r="X558" s="176">
        <v>240</v>
      </c>
      <c r="Y558" s="160" t="str">
        <f>VLOOKUP(X558,docentes!$A:$E,2,0)</f>
        <v>HARLEN COSTA BATAGELO</v>
      </c>
      <c r="Z558" s="177" t="str">
        <f>VLOOKUP(X558,docentes!$A:$E,5,0)</f>
        <v>CMCC</v>
      </c>
      <c r="AA558" s="45"/>
      <c r="AB558" s="45"/>
      <c r="AC558" s="45"/>
      <c r="AD558" s="45"/>
      <c r="AE558" s="45"/>
      <c r="AF558" s="45"/>
      <c r="AG558" s="45"/>
    </row>
    <row r="559" spans="1:35" s="44" customFormat="1" ht="66.75" customHeight="1">
      <c r="A559" s="172" t="s">
        <v>114</v>
      </c>
      <c r="B559" s="146" t="s">
        <v>2198</v>
      </c>
      <c r="C559" s="149" t="s">
        <v>2192</v>
      </c>
      <c r="D559" s="150">
        <v>2</v>
      </c>
      <c r="E559" s="150" t="s">
        <v>2193</v>
      </c>
      <c r="F559" s="151" t="s">
        <v>2199</v>
      </c>
      <c r="G559" s="149">
        <v>0</v>
      </c>
      <c r="H559" s="173">
        <v>4</v>
      </c>
      <c r="I559" s="174">
        <v>4</v>
      </c>
      <c r="J559" s="155">
        <v>0</v>
      </c>
      <c r="K559" s="155">
        <v>4</v>
      </c>
      <c r="L559" s="172" t="s">
        <v>2195</v>
      </c>
      <c r="M559" s="172" t="s">
        <v>2200</v>
      </c>
      <c r="N559" s="151"/>
      <c r="O559" s="172" t="s">
        <v>2201</v>
      </c>
      <c r="P559" s="175">
        <v>35</v>
      </c>
      <c r="Q559" s="152" t="s">
        <v>60</v>
      </c>
      <c r="R559" s="152" t="s">
        <v>70</v>
      </c>
      <c r="S559" s="148">
        <v>0</v>
      </c>
      <c r="T559" s="148" t="s">
        <v>2202</v>
      </c>
      <c r="U559" s="170">
        <v>240</v>
      </c>
      <c r="V559" s="163" t="str">
        <f>VLOOKUP(U559,docentes!$A:$E,2,0)</f>
        <v>HARLEN COSTA BATAGELO</v>
      </c>
      <c r="W559" s="171" t="str">
        <f>VLOOKUP(U559,docentes!$A:$E,5,0)</f>
        <v>CMCC</v>
      </c>
      <c r="X559" s="176">
        <v>240</v>
      </c>
      <c r="Y559" s="160" t="str">
        <f>VLOOKUP(X559,docentes!$A:$E,2,0)</f>
        <v>HARLEN COSTA BATAGELO</v>
      </c>
      <c r="Z559" s="177" t="str">
        <f>VLOOKUP(X559,docentes!$A:$E,5,0)</f>
        <v>CMCC</v>
      </c>
      <c r="AA559" s="45"/>
      <c r="AB559" s="45"/>
      <c r="AC559" s="45"/>
      <c r="AD559" s="45"/>
      <c r="AE559" s="45"/>
      <c r="AF559" s="45"/>
      <c r="AG559" s="45"/>
    </row>
    <row r="560" spans="1:35" s="44" customFormat="1" ht="66.75" customHeight="1">
      <c r="A560" s="148" t="s">
        <v>636</v>
      </c>
      <c r="B560" s="146" t="s">
        <v>2203</v>
      </c>
      <c r="C560" s="149" t="s">
        <v>2204</v>
      </c>
      <c r="D560" s="150">
        <v>2</v>
      </c>
      <c r="E560" s="150" t="s">
        <v>2205</v>
      </c>
      <c r="F560" s="151" t="s">
        <v>2206</v>
      </c>
      <c r="G560" s="152">
        <v>4</v>
      </c>
      <c r="H560" s="152">
        <v>0</v>
      </c>
      <c r="I560" s="153">
        <v>4</v>
      </c>
      <c r="J560" s="154">
        <v>4</v>
      </c>
      <c r="K560" s="155">
        <v>0</v>
      </c>
      <c r="L560" s="148" t="s">
        <v>57</v>
      </c>
      <c r="M560" s="148" t="s">
        <v>58</v>
      </c>
      <c r="N560" s="166"/>
      <c r="O560" s="157" t="s">
        <v>59</v>
      </c>
      <c r="P560" s="158">
        <v>40</v>
      </c>
      <c r="Q560" s="152" t="s">
        <v>76</v>
      </c>
      <c r="R560" s="152" t="s">
        <v>61</v>
      </c>
      <c r="S560" s="148" t="s">
        <v>2207</v>
      </c>
      <c r="T560" s="148">
        <v>0</v>
      </c>
      <c r="U560" s="159">
        <v>399</v>
      </c>
      <c r="V560" s="160" t="str">
        <f>VLOOKUP(U560,docentes!$A:$E,2,0)</f>
        <v>MARIA TERESA CARTHERY</v>
      </c>
      <c r="W560" s="161" t="str">
        <f>VLOOKUP(U560,docentes!$A:$E,5,0)</f>
        <v>CMCC</v>
      </c>
      <c r="X560" s="162"/>
      <c r="Y560" s="163"/>
      <c r="Z560" s="164"/>
    </row>
    <row r="561" spans="1:35" s="44" customFormat="1" ht="66.75" customHeight="1">
      <c r="A561" s="148" t="s">
        <v>636</v>
      </c>
      <c r="B561" s="146" t="s">
        <v>2208</v>
      </c>
      <c r="C561" s="149" t="s">
        <v>2204</v>
      </c>
      <c r="D561" s="150">
        <v>2</v>
      </c>
      <c r="E561" s="150" t="s">
        <v>2205</v>
      </c>
      <c r="F561" s="151" t="s">
        <v>2209</v>
      </c>
      <c r="G561" s="152">
        <v>4</v>
      </c>
      <c r="H561" s="152">
        <v>0</v>
      </c>
      <c r="I561" s="153">
        <v>4</v>
      </c>
      <c r="J561" s="154">
        <v>4</v>
      </c>
      <c r="K561" s="155">
        <v>0</v>
      </c>
      <c r="L561" s="148" t="s">
        <v>67</v>
      </c>
      <c r="M561" s="148">
        <v>60</v>
      </c>
      <c r="N561" s="166"/>
      <c r="O561" s="165" t="s">
        <v>2210</v>
      </c>
      <c r="P561" s="158">
        <v>60</v>
      </c>
      <c r="Q561" s="152" t="s">
        <v>76</v>
      </c>
      <c r="R561" s="152" t="s">
        <v>70</v>
      </c>
      <c r="S561" s="148" t="s">
        <v>2211</v>
      </c>
      <c r="T561" s="148">
        <v>0</v>
      </c>
      <c r="U561" s="159">
        <v>399</v>
      </c>
      <c r="V561" s="160" t="str">
        <f>VLOOKUP(U561,docentes!$A:$E,2,0)</f>
        <v>MARIA TERESA CARTHERY</v>
      </c>
      <c r="W561" s="161" t="str">
        <f>VLOOKUP(U561,docentes!$A:$E,5,0)</f>
        <v>CMCC</v>
      </c>
      <c r="X561" s="162"/>
      <c r="Y561" s="163"/>
      <c r="Z561" s="164"/>
    </row>
    <row r="562" spans="1:35" s="44" customFormat="1" ht="66.75" customHeight="1">
      <c r="A562" s="148" t="s">
        <v>128</v>
      </c>
      <c r="B562" s="146" t="s">
        <v>2212</v>
      </c>
      <c r="C562" s="149" t="s">
        <v>2213</v>
      </c>
      <c r="D562" s="150">
        <v>1</v>
      </c>
      <c r="E562" s="150" t="s">
        <v>2214</v>
      </c>
      <c r="F562" s="151" t="s">
        <v>2215</v>
      </c>
      <c r="G562" s="152">
        <v>4</v>
      </c>
      <c r="H562" s="152">
        <v>2</v>
      </c>
      <c r="I562" s="153">
        <v>4</v>
      </c>
      <c r="J562" s="154">
        <v>4</v>
      </c>
      <c r="K562" s="155">
        <v>2</v>
      </c>
      <c r="L562" s="148" t="s">
        <v>57</v>
      </c>
      <c r="M562" s="148" t="s">
        <v>58</v>
      </c>
      <c r="N562" s="156"/>
      <c r="O562" s="157" t="s">
        <v>59</v>
      </c>
      <c r="P562" s="158">
        <v>62</v>
      </c>
      <c r="Q562" s="152" t="s">
        <v>76</v>
      </c>
      <c r="R562" s="152" t="s">
        <v>61</v>
      </c>
      <c r="S562" s="148" t="s">
        <v>2216</v>
      </c>
      <c r="T562" s="148">
        <v>0</v>
      </c>
      <c r="U562" s="159">
        <v>229</v>
      </c>
      <c r="V562" s="160" t="str">
        <f>VLOOKUP(U562,docentes!$A:$E,2,0)</f>
        <v>GUILHERME CANUTO DA SILVA</v>
      </c>
      <c r="W562" s="161" t="str">
        <f>VLOOKUP(U562,docentes!$A:$E,5,0)</f>
        <v>CECS</v>
      </c>
      <c r="X562" s="176">
        <v>229</v>
      </c>
      <c r="Y562" s="160" t="str">
        <f>VLOOKUP(X562,docentes!$A:$E,2,0)</f>
        <v>GUILHERME CANUTO DA SILVA</v>
      </c>
      <c r="Z562" s="177" t="str">
        <f>VLOOKUP(X562,docentes!$A:$E,5,0)</f>
        <v>CECS</v>
      </c>
    </row>
    <row r="563" spans="1:35" s="44" customFormat="1" ht="66.75" customHeight="1">
      <c r="A563" s="148" t="s">
        <v>805</v>
      </c>
      <c r="B563" s="146" t="s">
        <v>2217</v>
      </c>
      <c r="C563" s="149" t="s">
        <v>2218</v>
      </c>
      <c r="D563" s="150">
        <v>1</v>
      </c>
      <c r="E563" s="150" t="s">
        <v>2219</v>
      </c>
      <c r="F563" s="151" t="s">
        <v>2220</v>
      </c>
      <c r="G563" s="152">
        <v>3</v>
      </c>
      <c r="H563" s="152">
        <v>1</v>
      </c>
      <c r="I563" s="153">
        <v>5</v>
      </c>
      <c r="J563" s="154">
        <v>3</v>
      </c>
      <c r="K563" s="155">
        <v>1</v>
      </c>
      <c r="L563" s="148" t="s">
        <v>57</v>
      </c>
      <c r="M563" s="148" t="s">
        <v>58</v>
      </c>
      <c r="N563" s="156">
        <v>0</v>
      </c>
      <c r="O563" s="165" t="s">
        <v>810</v>
      </c>
      <c r="P563" s="158">
        <v>45</v>
      </c>
      <c r="Q563" s="152" t="s">
        <v>60</v>
      </c>
      <c r="R563" s="152" t="s">
        <v>61</v>
      </c>
      <c r="S563" s="148" t="s">
        <v>2221</v>
      </c>
      <c r="T563" s="148">
        <v>0</v>
      </c>
      <c r="U563" s="159">
        <v>241</v>
      </c>
      <c r="V563" s="160" t="str">
        <f>VLOOKUP(U563,docentes!$A:$E,2,0)</f>
        <v>HAROLDO DE FARIA JUNIOR</v>
      </c>
      <c r="W563" s="161" t="str">
        <f>VLOOKUP(U563,docentes!$A:$E,5,0)</f>
        <v>CECS</v>
      </c>
      <c r="X563" s="176">
        <v>241</v>
      </c>
      <c r="Y563" s="160" t="str">
        <f>VLOOKUP(X563,docentes!$A:$E,2,0)</f>
        <v>HAROLDO DE FARIA JUNIOR</v>
      </c>
      <c r="Z563" s="177" t="str">
        <f>VLOOKUP(X563,docentes!$A:$E,5,0)</f>
        <v>CECS</v>
      </c>
    </row>
    <row r="564" spans="1:35" s="44" customFormat="1" ht="66.75" customHeight="1">
      <c r="A564" s="148" t="s">
        <v>692</v>
      </c>
      <c r="B564" s="146" t="s">
        <v>2222</v>
      </c>
      <c r="C564" s="149" t="s">
        <v>2223</v>
      </c>
      <c r="D564" s="150">
        <v>3</v>
      </c>
      <c r="E564" s="150" t="s">
        <v>2224</v>
      </c>
      <c r="F564" s="151" t="s">
        <v>2225</v>
      </c>
      <c r="G564" s="152">
        <v>2</v>
      </c>
      <c r="H564" s="152">
        <v>0</v>
      </c>
      <c r="I564" s="153">
        <v>4</v>
      </c>
      <c r="J564" s="154">
        <v>2</v>
      </c>
      <c r="K564" s="155">
        <v>0</v>
      </c>
      <c r="L564" s="148" t="s">
        <v>97</v>
      </c>
      <c r="M564" s="148" t="s">
        <v>58</v>
      </c>
      <c r="N564" s="156"/>
      <c r="O564" s="157" t="s">
        <v>59</v>
      </c>
      <c r="P564" s="158">
        <v>90</v>
      </c>
      <c r="Q564" s="152" t="s">
        <v>60</v>
      </c>
      <c r="R564" s="152" t="s">
        <v>61</v>
      </c>
      <c r="S564" s="148" t="s">
        <v>2226</v>
      </c>
      <c r="T564" s="148">
        <v>0</v>
      </c>
      <c r="U564" s="159">
        <v>105</v>
      </c>
      <c r="V564" s="160" t="str">
        <f>VLOOKUP(U564,docentes!$A:$E,2,0)</f>
        <v>CLAUDIA CELESTE CELESTINO DE PAULA SANTOS</v>
      </c>
      <c r="W564" s="161" t="str">
        <f>VLOOKUP(U564,docentes!$A:$E,5,0)</f>
        <v>CECS</v>
      </c>
      <c r="X564" s="162"/>
      <c r="Y564" s="163"/>
      <c r="Z564" s="164"/>
    </row>
    <row r="565" spans="1:35" s="44" customFormat="1" ht="66.75" customHeight="1">
      <c r="A565" s="148" t="s">
        <v>692</v>
      </c>
      <c r="B565" s="146" t="s">
        <v>2227</v>
      </c>
      <c r="C565" s="149" t="s">
        <v>2223</v>
      </c>
      <c r="D565" s="150">
        <v>3</v>
      </c>
      <c r="E565" s="150" t="s">
        <v>2224</v>
      </c>
      <c r="F565" s="151" t="s">
        <v>2228</v>
      </c>
      <c r="G565" s="152">
        <v>2</v>
      </c>
      <c r="H565" s="152">
        <v>0</v>
      </c>
      <c r="I565" s="153">
        <v>4</v>
      </c>
      <c r="J565" s="154">
        <v>2</v>
      </c>
      <c r="K565" s="155">
        <v>0</v>
      </c>
      <c r="L565" s="148" t="s">
        <v>97</v>
      </c>
      <c r="M565" s="148" t="s">
        <v>58</v>
      </c>
      <c r="N565" s="151"/>
      <c r="O565" s="157" t="s">
        <v>59</v>
      </c>
      <c r="P565" s="158">
        <v>90</v>
      </c>
      <c r="Q565" s="152" t="s">
        <v>76</v>
      </c>
      <c r="R565" s="152" t="s">
        <v>61</v>
      </c>
      <c r="S565" s="148" t="s">
        <v>2229</v>
      </c>
      <c r="T565" s="148">
        <v>0</v>
      </c>
      <c r="U565" s="159">
        <v>369</v>
      </c>
      <c r="V565" s="160" t="str">
        <f>VLOOKUP(U565,docentes!$A:$E,2,0)</f>
        <v>MARCIA MARIA PENTEADO MARCHESINI</v>
      </c>
      <c r="W565" s="161" t="str">
        <f>VLOOKUP(U565,docentes!$A:$E,5,0)</f>
        <v>CECS</v>
      </c>
      <c r="X565" s="162"/>
      <c r="Y565" s="163"/>
      <c r="Z565" s="164"/>
    </row>
    <row r="566" spans="1:35" s="44" customFormat="1" ht="66.75" customHeight="1">
      <c r="A566" s="148" t="s">
        <v>692</v>
      </c>
      <c r="B566" s="146" t="s">
        <v>2230</v>
      </c>
      <c r="C566" s="149" t="s">
        <v>2223</v>
      </c>
      <c r="D566" s="150">
        <v>3</v>
      </c>
      <c r="E566" s="150" t="s">
        <v>2224</v>
      </c>
      <c r="F566" s="151" t="s">
        <v>2231</v>
      </c>
      <c r="G566" s="152">
        <v>2</v>
      </c>
      <c r="H566" s="152">
        <v>0</v>
      </c>
      <c r="I566" s="153">
        <v>4</v>
      </c>
      <c r="J566" s="154">
        <v>2</v>
      </c>
      <c r="K566" s="155">
        <v>0</v>
      </c>
      <c r="L566" s="148" t="s">
        <v>998</v>
      </c>
      <c r="M566" s="148" t="s">
        <v>68</v>
      </c>
      <c r="N566" s="151" t="s">
        <v>2232</v>
      </c>
      <c r="O566" s="148" t="s">
        <v>2233</v>
      </c>
      <c r="P566" s="158">
        <v>100</v>
      </c>
      <c r="Q566" s="152" t="s">
        <v>60</v>
      </c>
      <c r="R566" s="152" t="s">
        <v>70</v>
      </c>
      <c r="S566" s="148" t="s">
        <v>2234</v>
      </c>
      <c r="T566" s="148">
        <v>0</v>
      </c>
      <c r="U566" s="159">
        <v>202</v>
      </c>
      <c r="V566" s="160" t="str">
        <f>VLOOKUP(U566,docentes!$A:$E,2,0)</f>
        <v>FRANCISCO DE ASSIS COMARU</v>
      </c>
      <c r="W566" s="161" t="str">
        <f>VLOOKUP(U566,docentes!$A:$E,5,0)</f>
        <v>CECS</v>
      </c>
      <c r="X566" s="162"/>
      <c r="Y566" s="163"/>
      <c r="Z566" s="164"/>
    </row>
    <row r="567" spans="1:35" s="44" customFormat="1" ht="66.75" customHeight="1">
      <c r="A567" s="148" t="s">
        <v>222</v>
      </c>
      <c r="B567" s="146" t="s">
        <v>2235</v>
      </c>
      <c r="C567" s="149" t="s">
        <v>2236</v>
      </c>
      <c r="D567" s="150">
        <v>14</v>
      </c>
      <c r="E567" s="150" t="s">
        <v>2237</v>
      </c>
      <c r="F567" s="151" t="s">
        <v>2238</v>
      </c>
      <c r="G567" s="152">
        <v>4</v>
      </c>
      <c r="H567" s="152">
        <v>0</v>
      </c>
      <c r="I567" s="153">
        <v>4</v>
      </c>
      <c r="J567" s="154">
        <v>4</v>
      </c>
      <c r="K567" s="155">
        <v>0</v>
      </c>
      <c r="L567" s="148" t="s">
        <v>67</v>
      </c>
      <c r="M567" s="148" t="s">
        <v>68</v>
      </c>
      <c r="N567" s="156"/>
      <c r="O567" s="165" t="s">
        <v>2239</v>
      </c>
      <c r="P567" s="158">
        <v>128</v>
      </c>
      <c r="Q567" s="152" t="s">
        <v>60</v>
      </c>
      <c r="R567" s="152" t="s">
        <v>61</v>
      </c>
      <c r="S567" s="148" t="s">
        <v>2240</v>
      </c>
      <c r="T567" s="148">
        <v>0</v>
      </c>
      <c r="U567" s="159">
        <v>463</v>
      </c>
      <c r="V567" s="160" t="str">
        <f>VLOOKUP(U567,docentes!$A:$E,2,0)</f>
        <v>RAFAEL RIBEIRO DIAS VILELA DE OLIVEIRA</v>
      </c>
      <c r="W567" s="161" t="str">
        <f>VLOOKUP(U567,docentes!$A:$E,5,0)</f>
        <v>CMCC</v>
      </c>
      <c r="X567" s="162"/>
      <c r="Y567" s="163"/>
      <c r="Z567" s="164"/>
      <c r="AH567" s="45"/>
      <c r="AI567" s="45"/>
    </row>
    <row r="568" spans="1:35" s="44" customFormat="1" ht="66.75" customHeight="1">
      <c r="A568" s="148" t="s">
        <v>222</v>
      </c>
      <c r="B568" s="146" t="s">
        <v>2241</v>
      </c>
      <c r="C568" s="149" t="s">
        <v>2236</v>
      </c>
      <c r="D568" s="150">
        <v>14</v>
      </c>
      <c r="E568" s="150" t="s">
        <v>2237</v>
      </c>
      <c r="F568" s="151" t="s">
        <v>2242</v>
      </c>
      <c r="G568" s="152">
        <v>4</v>
      </c>
      <c r="H568" s="152">
        <v>0</v>
      </c>
      <c r="I568" s="153">
        <v>4</v>
      </c>
      <c r="J568" s="154">
        <v>4</v>
      </c>
      <c r="K568" s="155">
        <v>0</v>
      </c>
      <c r="L568" s="148" t="s">
        <v>976</v>
      </c>
      <c r="M568" s="148" t="s">
        <v>977</v>
      </c>
      <c r="N568" s="156"/>
      <c r="O568" s="165" t="s">
        <v>2145</v>
      </c>
      <c r="P568" s="158">
        <v>106</v>
      </c>
      <c r="Q568" s="152" t="s">
        <v>60</v>
      </c>
      <c r="R568" s="152" t="s">
        <v>70</v>
      </c>
      <c r="S568" s="148" t="s">
        <v>2243</v>
      </c>
      <c r="T568" s="148">
        <v>0</v>
      </c>
      <c r="U568" s="159">
        <v>189</v>
      </c>
      <c r="V568" s="160" t="str">
        <f>VLOOKUP(U568,docentes!$A:$E,2,0)</f>
        <v>FERNANDO LUIS SEMIAO DA SILVA</v>
      </c>
      <c r="W568" s="161" t="str">
        <f>VLOOKUP(U568,docentes!$A:$E,5,0)</f>
        <v>CCNH</v>
      </c>
      <c r="X568" s="162"/>
      <c r="Y568" s="163"/>
      <c r="Z568" s="164"/>
    </row>
    <row r="569" spans="1:35" s="44" customFormat="1" ht="66.75" customHeight="1">
      <c r="A569" s="148" t="s">
        <v>222</v>
      </c>
      <c r="B569" s="146" t="s">
        <v>2244</v>
      </c>
      <c r="C569" s="149" t="s">
        <v>2236</v>
      </c>
      <c r="D569" s="150">
        <v>14</v>
      </c>
      <c r="E569" s="150" t="s">
        <v>2237</v>
      </c>
      <c r="F569" s="151" t="s">
        <v>2245</v>
      </c>
      <c r="G569" s="152">
        <v>4</v>
      </c>
      <c r="H569" s="152">
        <v>0</v>
      </c>
      <c r="I569" s="153">
        <v>4</v>
      </c>
      <c r="J569" s="154">
        <v>4</v>
      </c>
      <c r="K569" s="155">
        <v>0</v>
      </c>
      <c r="L569" s="148" t="s">
        <v>67</v>
      </c>
      <c r="M569" s="148" t="s">
        <v>68</v>
      </c>
      <c r="N569" s="156"/>
      <c r="O569" s="165" t="s">
        <v>2246</v>
      </c>
      <c r="P569" s="158">
        <v>106</v>
      </c>
      <c r="Q569" s="152" t="s">
        <v>60</v>
      </c>
      <c r="R569" s="152" t="s">
        <v>61</v>
      </c>
      <c r="S569" s="148" t="s">
        <v>2247</v>
      </c>
      <c r="T569" s="148">
        <v>0</v>
      </c>
      <c r="U569" s="159">
        <v>564</v>
      </c>
      <c r="V569" s="160" t="str">
        <f>VLOOKUP(U569,docentes!$A:$E,2,0)</f>
        <v>VLADISLAV KUPRIYANOV</v>
      </c>
      <c r="W569" s="161" t="str">
        <f>VLOOKUP(U569,docentes!$A:$E,5,0)</f>
        <v>CMCC</v>
      </c>
      <c r="X569" s="162"/>
      <c r="Y569" s="163"/>
      <c r="Z569" s="164"/>
    </row>
    <row r="570" spans="1:35" s="44" customFormat="1" ht="66.75" customHeight="1">
      <c r="A570" s="148" t="s">
        <v>222</v>
      </c>
      <c r="B570" s="146" t="s">
        <v>2248</v>
      </c>
      <c r="C570" s="149" t="s">
        <v>2236</v>
      </c>
      <c r="D570" s="150">
        <v>14</v>
      </c>
      <c r="E570" s="150" t="s">
        <v>2237</v>
      </c>
      <c r="F570" s="151" t="s">
        <v>2249</v>
      </c>
      <c r="G570" s="152">
        <v>4</v>
      </c>
      <c r="H570" s="152">
        <v>0</v>
      </c>
      <c r="I570" s="153">
        <v>4</v>
      </c>
      <c r="J570" s="154">
        <v>4</v>
      </c>
      <c r="K570" s="155">
        <v>0</v>
      </c>
      <c r="L570" s="148" t="s">
        <v>845</v>
      </c>
      <c r="M570" s="148" t="s">
        <v>58</v>
      </c>
      <c r="N570" s="156"/>
      <c r="O570" s="165" t="s">
        <v>2145</v>
      </c>
      <c r="P570" s="158">
        <v>89</v>
      </c>
      <c r="Q570" s="152" t="s">
        <v>60</v>
      </c>
      <c r="R570" s="152" t="s">
        <v>70</v>
      </c>
      <c r="S570" s="148" t="s">
        <v>2250</v>
      </c>
      <c r="T570" s="148">
        <v>0</v>
      </c>
      <c r="U570" s="159">
        <v>564</v>
      </c>
      <c r="V570" s="160" t="str">
        <f>VLOOKUP(U570,docentes!$A:$E,2,0)</f>
        <v>VLADISLAV KUPRIYANOV</v>
      </c>
      <c r="W570" s="161" t="str">
        <f>VLOOKUP(U570,docentes!$A:$E,5,0)</f>
        <v>CMCC</v>
      </c>
      <c r="X570" s="162"/>
      <c r="Y570" s="163"/>
      <c r="Z570" s="164"/>
    </row>
    <row r="571" spans="1:35" s="44" customFormat="1" ht="66.75" customHeight="1">
      <c r="A571" s="148" t="s">
        <v>222</v>
      </c>
      <c r="B571" s="146" t="s">
        <v>2251</v>
      </c>
      <c r="C571" s="149" t="s">
        <v>2236</v>
      </c>
      <c r="D571" s="150">
        <v>14</v>
      </c>
      <c r="E571" s="150" t="s">
        <v>2237</v>
      </c>
      <c r="F571" s="151" t="s">
        <v>2252</v>
      </c>
      <c r="G571" s="152">
        <v>4</v>
      </c>
      <c r="H571" s="152">
        <v>0</v>
      </c>
      <c r="I571" s="153">
        <v>4</v>
      </c>
      <c r="J571" s="154">
        <v>4</v>
      </c>
      <c r="K571" s="155">
        <v>0</v>
      </c>
      <c r="L571" s="148"/>
      <c r="M571" s="148"/>
      <c r="N571" s="156"/>
      <c r="O571" s="165" t="s">
        <v>969</v>
      </c>
      <c r="P571" s="158">
        <v>86</v>
      </c>
      <c r="Q571" s="152" t="s">
        <v>60</v>
      </c>
      <c r="R571" s="152" t="s">
        <v>70</v>
      </c>
      <c r="S571" s="148" t="s">
        <v>2253</v>
      </c>
      <c r="T571" s="148">
        <v>0</v>
      </c>
      <c r="U571" s="159">
        <v>448</v>
      </c>
      <c r="V571" s="160" t="str">
        <f>VLOOKUP(U571,docentes!$A:$E,2,0)</f>
        <v>PAULA ANDREA CADAVID SALAZAR</v>
      </c>
      <c r="W571" s="161" t="str">
        <f>VLOOKUP(U571,docentes!$A:$E,5,0)</f>
        <v>CMCC</v>
      </c>
      <c r="X571" s="162"/>
      <c r="Y571" s="163"/>
      <c r="Z571" s="164"/>
    </row>
    <row r="572" spans="1:35" s="44" customFormat="1" ht="66.75" customHeight="1">
      <c r="A572" s="148" t="s">
        <v>222</v>
      </c>
      <c r="B572" s="146" t="s">
        <v>2254</v>
      </c>
      <c r="C572" s="149" t="s">
        <v>2236</v>
      </c>
      <c r="D572" s="150">
        <v>14</v>
      </c>
      <c r="E572" s="150" t="s">
        <v>2237</v>
      </c>
      <c r="F572" s="151" t="s">
        <v>2255</v>
      </c>
      <c r="G572" s="152">
        <v>4</v>
      </c>
      <c r="H572" s="152">
        <v>0</v>
      </c>
      <c r="I572" s="153">
        <v>4</v>
      </c>
      <c r="J572" s="154">
        <v>4</v>
      </c>
      <c r="K572" s="155">
        <v>0</v>
      </c>
      <c r="L572" s="148" t="s">
        <v>57</v>
      </c>
      <c r="M572" s="148" t="s">
        <v>58</v>
      </c>
      <c r="N572" s="156"/>
      <c r="O572" s="157" t="s">
        <v>59</v>
      </c>
      <c r="P572" s="158">
        <v>90</v>
      </c>
      <c r="Q572" s="152" t="s">
        <v>76</v>
      </c>
      <c r="R572" s="152" t="s">
        <v>61</v>
      </c>
      <c r="S572" s="148" t="s">
        <v>2256</v>
      </c>
      <c r="T572" s="148">
        <v>0</v>
      </c>
      <c r="U572" s="159">
        <v>557</v>
      </c>
      <c r="V572" s="160" t="str">
        <f>VLOOKUP(U572,docentes!$A:$E,2,0)</f>
        <v>VINICIUS CIFU LOPES</v>
      </c>
      <c r="W572" s="161" t="str">
        <f>VLOOKUP(U572,docentes!$A:$E,5,0)</f>
        <v>CMCC</v>
      </c>
      <c r="X572" s="162"/>
      <c r="Y572" s="163"/>
      <c r="Z572" s="164"/>
    </row>
    <row r="573" spans="1:35" s="44" customFormat="1" ht="66.75" customHeight="1">
      <c r="A573" s="148" t="s">
        <v>222</v>
      </c>
      <c r="B573" s="146" t="s">
        <v>2257</v>
      </c>
      <c r="C573" s="149" t="s">
        <v>2236</v>
      </c>
      <c r="D573" s="150">
        <v>14</v>
      </c>
      <c r="E573" s="150" t="s">
        <v>2237</v>
      </c>
      <c r="F573" s="151" t="s">
        <v>2258</v>
      </c>
      <c r="G573" s="152">
        <v>4</v>
      </c>
      <c r="H573" s="152">
        <v>0</v>
      </c>
      <c r="I573" s="153">
        <v>4</v>
      </c>
      <c r="J573" s="154">
        <v>4</v>
      </c>
      <c r="K573" s="155">
        <v>0</v>
      </c>
      <c r="L573" s="148" t="s">
        <v>57</v>
      </c>
      <c r="M573" s="148" t="s">
        <v>58</v>
      </c>
      <c r="N573" s="156"/>
      <c r="O573" s="157" t="s">
        <v>59</v>
      </c>
      <c r="P573" s="158">
        <v>90</v>
      </c>
      <c r="Q573" s="152" t="s">
        <v>76</v>
      </c>
      <c r="R573" s="152" t="s">
        <v>70</v>
      </c>
      <c r="S573" s="148" t="s">
        <v>2259</v>
      </c>
      <c r="T573" s="148">
        <v>0</v>
      </c>
      <c r="U573" s="159">
        <v>531</v>
      </c>
      <c r="V573" s="160" t="str">
        <f>VLOOKUP(U573,docentes!$A:$E,2,0)</f>
        <v>STYLIANOS DIMAS</v>
      </c>
      <c r="W573" s="161" t="str">
        <f>VLOOKUP(U573,docentes!$A:$E,5,0)</f>
        <v>CMCC</v>
      </c>
      <c r="X573" s="162"/>
      <c r="Y573" s="163"/>
      <c r="Z573" s="164"/>
    </row>
    <row r="574" spans="1:35" s="44" customFormat="1" ht="66.75" customHeight="1">
      <c r="A574" s="148" t="s">
        <v>222</v>
      </c>
      <c r="B574" s="146" t="s">
        <v>2260</v>
      </c>
      <c r="C574" s="149" t="s">
        <v>2236</v>
      </c>
      <c r="D574" s="150">
        <v>14</v>
      </c>
      <c r="E574" s="150" t="s">
        <v>2237</v>
      </c>
      <c r="F574" s="151" t="s">
        <v>2261</v>
      </c>
      <c r="G574" s="152">
        <v>4</v>
      </c>
      <c r="H574" s="152">
        <v>0</v>
      </c>
      <c r="I574" s="153">
        <v>4</v>
      </c>
      <c r="J574" s="154">
        <v>4</v>
      </c>
      <c r="K574" s="155">
        <v>0</v>
      </c>
      <c r="L574" s="148" t="s">
        <v>57</v>
      </c>
      <c r="M574" s="148" t="s">
        <v>58</v>
      </c>
      <c r="N574" s="156"/>
      <c r="O574" s="157" t="s">
        <v>59</v>
      </c>
      <c r="P574" s="158">
        <v>98</v>
      </c>
      <c r="Q574" s="152" t="s">
        <v>60</v>
      </c>
      <c r="R574" s="152" t="s">
        <v>61</v>
      </c>
      <c r="S574" s="148" t="s">
        <v>2262</v>
      </c>
      <c r="T574" s="148">
        <v>0</v>
      </c>
      <c r="U574" s="159">
        <v>463</v>
      </c>
      <c r="V574" s="160" t="str">
        <f>VLOOKUP(U574,docentes!$A:$E,2,0)</f>
        <v>RAFAEL RIBEIRO DIAS VILELA DE OLIVEIRA</v>
      </c>
      <c r="W574" s="161" t="str">
        <f>VLOOKUP(U574,docentes!$A:$E,5,0)</f>
        <v>CMCC</v>
      </c>
      <c r="X574" s="162"/>
      <c r="Y574" s="163"/>
      <c r="Z574" s="164"/>
    </row>
    <row r="575" spans="1:35" s="44" customFormat="1" ht="66.75" customHeight="1">
      <c r="A575" s="148" t="s">
        <v>222</v>
      </c>
      <c r="B575" s="146" t="s">
        <v>2263</v>
      </c>
      <c r="C575" s="149" t="s">
        <v>2236</v>
      </c>
      <c r="D575" s="150">
        <v>14</v>
      </c>
      <c r="E575" s="150" t="s">
        <v>2237</v>
      </c>
      <c r="F575" s="151" t="s">
        <v>2264</v>
      </c>
      <c r="G575" s="152">
        <v>4</v>
      </c>
      <c r="H575" s="152">
        <v>0</v>
      </c>
      <c r="I575" s="153">
        <v>4</v>
      </c>
      <c r="J575" s="154">
        <v>4</v>
      </c>
      <c r="K575" s="155">
        <v>0</v>
      </c>
      <c r="L575" s="148" t="s">
        <v>976</v>
      </c>
      <c r="M575" s="148" t="s">
        <v>977</v>
      </c>
      <c r="N575" s="156"/>
      <c r="O575" s="165" t="s">
        <v>2265</v>
      </c>
      <c r="P575" s="158">
        <v>98</v>
      </c>
      <c r="Q575" s="152" t="s">
        <v>60</v>
      </c>
      <c r="R575" s="152" t="s">
        <v>70</v>
      </c>
      <c r="S575" s="148" t="s">
        <v>2266</v>
      </c>
      <c r="T575" s="148">
        <v>0</v>
      </c>
      <c r="U575" s="159">
        <v>189</v>
      </c>
      <c r="V575" s="160" t="str">
        <f>VLOOKUP(U575,docentes!$A:$E,2,0)</f>
        <v>FERNANDO LUIS SEMIAO DA SILVA</v>
      </c>
      <c r="W575" s="161" t="str">
        <f>VLOOKUP(U575,docentes!$A:$E,5,0)</f>
        <v>CCNH</v>
      </c>
      <c r="X575" s="162"/>
      <c r="Y575" s="163"/>
      <c r="Z575" s="164"/>
    </row>
    <row r="576" spans="1:35" s="44" customFormat="1" ht="66.75" customHeight="1">
      <c r="A576" s="148" t="s">
        <v>222</v>
      </c>
      <c r="B576" s="146" t="s">
        <v>2267</v>
      </c>
      <c r="C576" s="149" t="s">
        <v>2236</v>
      </c>
      <c r="D576" s="150">
        <v>14</v>
      </c>
      <c r="E576" s="150" t="s">
        <v>2237</v>
      </c>
      <c r="F576" s="151" t="s">
        <v>2268</v>
      </c>
      <c r="G576" s="152">
        <v>4</v>
      </c>
      <c r="H576" s="152">
        <v>0</v>
      </c>
      <c r="I576" s="153">
        <v>4</v>
      </c>
      <c r="J576" s="154">
        <v>4</v>
      </c>
      <c r="K576" s="155">
        <v>0</v>
      </c>
      <c r="L576" s="148" t="s">
        <v>67</v>
      </c>
      <c r="M576" s="148" t="s">
        <v>68</v>
      </c>
      <c r="N576" s="156"/>
      <c r="O576" s="148" t="s">
        <v>2269</v>
      </c>
      <c r="P576" s="158">
        <v>126</v>
      </c>
      <c r="Q576" s="152" t="s">
        <v>60</v>
      </c>
      <c r="R576" s="152" t="s">
        <v>61</v>
      </c>
      <c r="S576" s="148" t="s">
        <v>2270</v>
      </c>
      <c r="T576" s="148">
        <v>0</v>
      </c>
      <c r="U576" s="159">
        <v>564</v>
      </c>
      <c r="V576" s="160" t="str">
        <f>VLOOKUP(U576,docentes!$A:$E,2,0)</f>
        <v>VLADISLAV KUPRIYANOV</v>
      </c>
      <c r="W576" s="161" t="str">
        <f>VLOOKUP(U576,docentes!$A:$E,5,0)</f>
        <v>CMCC</v>
      </c>
      <c r="X576" s="162"/>
      <c r="Y576" s="163"/>
      <c r="Z576" s="164"/>
    </row>
    <row r="577" spans="1:33" s="44" customFormat="1" ht="66.75" customHeight="1">
      <c r="A577" s="148" t="s">
        <v>222</v>
      </c>
      <c r="B577" s="146" t="s">
        <v>2271</v>
      </c>
      <c r="C577" s="149" t="s">
        <v>2236</v>
      </c>
      <c r="D577" s="150">
        <v>14</v>
      </c>
      <c r="E577" s="150" t="s">
        <v>2237</v>
      </c>
      <c r="F577" s="151" t="s">
        <v>2272</v>
      </c>
      <c r="G577" s="152">
        <v>4</v>
      </c>
      <c r="H577" s="152">
        <v>0</v>
      </c>
      <c r="I577" s="153">
        <v>4</v>
      </c>
      <c r="J577" s="154">
        <v>4</v>
      </c>
      <c r="K577" s="155">
        <v>0</v>
      </c>
      <c r="L577" s="148" t="s">
        <v>845</v>
      </c>
      <c r="M577" s="148" t="s">
        <v>58</v>
      </c>
      <c r="N577" s="156"/>
      <c r="O577" s="165" t="s">
        <v>2145</v>
      </c>
      <c r="P577" s="158">
        <v>103</v>
      </c>
      <c r="Q577" s="152" t="s">
        <v>60</v>
      </c>
      <c r="R577" s="152" t="s">
        <v>70</v>
      </c>
      <c r="S577" s="148" t="s">
        <v>2273</v>
      </c>
      <c r="T577" s="148">
        <v>0</v>
      </c>
      <c r="U577" s="159">
        <v>564</v>
      </c>
      <c r="V577" s="160" t="str">
        <f>VLOOKUP(U577,docentes!$A:$E,2,0)</f>
        <v>VLADISLAV KUPRIYANOV</v>
      </c>
      <c r="W577" s="161" t="str">
        <f>VLOOKUP(U577,docentes!$A:$E,5,0)</f>
        <v>CMCC</v>
      </c>
      <c r="X577" s="162"/>
      <c r="Y577" s="163"/>
      <c r="Z577" s="164"/>
    </row>
    <row r="578" spans="1:33" s="44" customFormat="1" ht="66.75" customHeight="1">
      <c r="A578" s="148" t="s">
        <v>222</v>
      </c>
      <c r="B578" s="146" t="s">
        <v>2274</v>
      </c>
      <c r="C578" s="149" t="s">
        <v>2236</v>
      </c>
      <c r="D578" s="150">
        <v>14</v>
      </c>
      <c r="E578" s="150" t="s">
        <v>2237</v>
      </c>
      <c r="F578" s="151" t="s">
        <v>2275</v>
      </c>
      <c r="G578" s="152">
        <v>4</v>
      </c>
      <c r="H578" s="152">
        <v>0</v>
      </c>
      <c r="I578" s="153">
        <v>4</v>
      </c>
      <c r="J578" s="154">
        <v>4</v>
      </c>
      <c r="K578" s="155">
        <v>0</v>
      </c>
      <c r="L578" s="148"/>
      <c r="M578" s="148"/>
      <c r="N578" s="156"/>
      <c r="O578" s="165" t="s">
        <v>969</v>
      </c>
      <c r="P578" s="158">
        <v>99</v>
      </c>
      <c r="Q578" s="152" t="s">
        <v>60</v>
      </c>
      <c r="R578" s="152" t="s">
        <v>70</v>
      </c>
      <c r="S578" s="148" t="s">
        <v>2276</v>
      </c>
      <c r="T578" s="148">
        <v>0</v>
      </c>
      <c r="U578" s="159">
        <v>448</v>
      </c>
      <c r="V578" s="160" t="str">
        <f>VLOOKUP(U578,docentes!$A:$E,2,0)</f>
        <v>PAULA ANDREA CADAVID SALAZAR</v>
      </c>
      <c r="W578" s="161" t="str">
        <f>VLOOKUP(U578,docentes!$A:$E,5,0)</f>
        <v>CMCC</v>
      </c>
      <c r="X578" s="162"/>
      <c r="Y578" s="163"/>
      <c r="Z578" s="164"/>
    </row>
    <row r="579" spans="1:33" s="44" customFormat="1" ht="66.75" customHeight="1">
      <c r="A579" s="148" t="s">
        <v>222</v>
      </c>
      <c r="B579" s="146" t="s">
        <v>2277</v>
      </c>
      <c r="C579" s="149" t="s">
        <v>2236</v>
      </c>
      <c r="D579" s="150">
        <v>14</v>
      </c>
      <c r="E579" s="150" t="s">
        <v>2237</v>
      </c>
      <c r="F579" s="151" t="s">
        <v>2278</v>
      </c>
      <c r="G579" s="152">
        <v>4</v>
      </c>
      <c r="H579" s="152">
        <v>0</v>
      </c>
      <c r="I579" s="153">
        <v>4</v>
      </c>
      <c r="J579" s="154">
        <v>4</v>
      </c>
      <c r="K579" s="155">
        <v>0</v>
      </c>
      <c r="L579" s="148" t="s">
        <v>57</v>
      </c>
      <c r="M579" s="148" t="s">
        <v>58</v>
      </c>
      <c r="N579" s="156"/>
      <c r="O579" s="157" t="s">
        <v>59</v>
      </c>
      <c r="P579" s="158">
        <v>90</v>
      </c>
      <c r="Q579" s="152" t="s">
        <v>76</v>
      </c>
      <c r="R579" s="152" t="s">
        <v>61</v>
      </c>
      <c r="S579" s="148" t="s">
        <v>2279</v>
      </c>
      <c r="T579" s="148">
        <v>0</v>
      </c>
      <c r="U579" s="159">
        <v>557</v>
      </c>
      <c r="V579" s="160" t="str">
        <f>VLOOKUP(U579,docentes!$A:$E,2,0)</f>
        <v>VINICIUS CIFU LOPES</v>
      </c>
      <c r="W579" s="161" t="str">
        <f>VLOOKUP(U579,docentes!$A:$E,5,0)</f>
        <v>CMCC</v>
      </c>
      <c r="X579" s="162"/>
      <c r="Y579" s="163"/>
      <c r="Z579" s="164"/>
    </row>
    <row r="580" spans="1:33" s="44" customFormat="1" ht="66.75" customHeight="1">
      <c r="A580" s="148" t="s">
        <v>222</v>
      </c>
      <c r="B580" s="146" t="s">
        <v>2280</v>
      </c>
      <c r="C580" s="149" t="s">
        <v>2236</v>
      </c>
      <c r="D580" s="150">
        <v>14</v>
      </c>
      <c r="E580" s="150" t="s">
        <v>2237</v>
      </c>
      <c r="F580" s="151" t="s">
        <v>2281</v>
      </c>
      <c r="G580" s="152">
        <v>4</v>
      </c>
      <c r="H580" s="152">
        <v>0</v>
      </c>
      <c r="I580" s="153">
        <v>4</v>
      </c>
      <c r="J580" s="154">
        <v>4</v>
      </c>
      <c r="K580" s="155">
        <v>0</v>
      </c>
      <c r="L580" s="148" t="s">
        <v>57</v>
      </c>
      <c r="M580" s="148" t="s">
        <v>58</v>
      </c>
      <c r="N580" s="156"/>
      <c r="O580" s="157" t="s">
        <v>59</v>
      </c>
      <c r="P580" s="158">
        <v>90</v>
      </c>
      <c r="Q580" s="152" t="s">
        <v>76</v>
      </c>
      <c r="R580" s="152" t="s">
        <v>70</v>
      </c>
      <c r="S580" s="148" t="s">
        <v>2282</v>
      </c>
      <c r="T580" s="148">
        <v>0</v>
      </c>
      <c r="U580" s="159">
        <v>531</v>
      </c>
      <c r="V580" s="160" t="str">
        <f>VLOOKUP(U580,docentes!$A:$E,2,0)</f>
        <v>STYLIANOS DIMAS</v>
      </c>
      <c r="W580" s="161" t="str">
        <f>VLOOKUP(U580,docentes!$A:$E,5,0)</f>
        <v>CMCC</v>
      </c>
      <c r="X580" s="162"/>
      <c r="Y580" s="163"/>
      <c r="Z580" s="164"/>
    </row>
    <row r="581" spans="1:33" s="44" customFormat="1" ht="66.75" customHeight="1">
      <c r="A581" s="148" t="s">
        <v>193</v>
      </c>
      <c r="B581" s="146" t="s">
        <v>2283</v>
      </c>
      <c r="C581" s="149" t="s">
        <v>2284</v>
      </c>
      <c r="D581" s="150">
        <v>1</v>
      </c>
      <c r="E581" s="150" t="s">
        <v>2285</v>
      </c>
      <c r="F581" s="151" t="s">
        <v>2286</v>
      </c>
      <c r="G581" s="152">
        <v>4</v>
      </c>
      <c r="H581" s="152">
        <v>0</v>
      </c>
      <c r="I581" s="153">
        <v>4</v>
      </c>
      <c r="J581" s="154">
        <v>4</v>
      </c>
      <c r="K581" s="155">
        <v>0</v>
      </c>
      <c r="L581" s="148" t="s">
        <v>821</v>
      </c>
      <c r="M581" s="148">
        <v>51</v>
      </c>
      <c r="N581" s="156"/>
      <c r="O581" s="165" t="s">
        <v>2287</v>
      </c>
      <c r="P581" s="158">
        <v>51</v>
      </c>
      <c r="Q581" s="152" t="s">
        <v>60</v>
      </c>
      <c r="R581" s="152" t="s">
        <v>70</v>
      </c>
      <c r="S581" s="148" t="s">
        <v>2288</v>
      </c>
      <c r="T581" s="148">
        <v>0</v>
      </c>
      <c r="U581" s="159">
        <v>380</v>
      </c>
      <c r="V581" s="160" t="str">
        <f>VLOOKUP(U581,docentes!$A:$E,2,0)</f>
        <v>MARCOS VINICIUS PO</v>
      </c>
      <c r="W581" s="161" t="str">
        <f>VLOOKUP(U581,docentes!$A:$E,5,0)</f>
        <v>CECS</v>
      </c>
      <c r="X581" s="162"/>
      <c r="Y581" s="163"/>
      <c r="Z581" s="164"/>
    </row>
    <row r="582" spans="1:33" s="44" customFormat="1" ht="66.75" customHeight="1">
      <c r="A582" s="148" t="s">
        <v>915</v>
      </c>
      <c r="B582" s="146" t="s">
        <v>2289</v>
      </c>
      <c r="C582" s="149" t="s">
        <v>2290</v>
      </c>
      <c r="D582" s="150">
        <v>2</v>
      </c>
      <c r="E582" s="150" t="s">
        <v>2291</v>
      </c>
      <c r="F582" s="151" t="s">
        <v>2292</v>
      </c>
      <c r="G582" s="152">
        <v>0</v>
      </c>
      <c r="H582" s="152">
        <v>3</v>
      </c>
      <c r="I582" s="153">
        <v>5</v>
      </c>
      <c r="J582" s="154">
        <v>0</v>
      </c>
      <c r="K582" s="155">
        <v>3</v>
      </c>
      <c r="L582" s="148" t="s">
        <v>57</v>
      </c>
      <c r="M582" s="148" t="s">
        <v>58</v>
      </c>
      <c r="N582" s="156" t="s">
        <v>2293</v>
      </c>
      <c r="O582" s="157" t="s">
        <v>59</v>
      </c>
      <c r="P582" s="158">
        <v>30</v>
      </c>
      <c r="Q582" s="152" t="s">
        <v>60</v>
      </c>
      <c r="R582" s="152" t="s">
        <v>61</v>
      </c>
      <c r="S582" s="148">
        <v>0</v>
      </c>
      <c r="T582" s="148" t="s">
        <v>2294</v>
      </c>
      <c r="U582" s="170"/>
      <c r="V582" s="163"/>
      <c r="W582" s="171"/>
      <c r="X582" s="176">
        <v>262</v>
      </c>
      <c r="Y582" s="160" t="str">
        <f>VLOOKUP(X582,docentes!$A:$E,2,0)</f>
        <v>JEAN JACQUES BONVENT</v>
      </c>
      <c r="Z582" s="177" t="str">
        <f>VLOOKUP(X582,docentes!$A:$E,5,0)</f>
        <v>CCNH</v>
      </c>
    </row>
    <row r="583" spans="1:33" s="44" customFormat="1" ht="66.75" customHeight="1">
      <c r="A583" s="148" t="s">
        <v>915</v>
      </c>
      <c r="B583" s="146" t="s">
        <v>2295</v>
      </c>
      <c r="C583" s="149" t="s">
        <v>2290</v>
      </c>
      <c r="D583" s="150">
        <v>2</v>
      </c>
      <c r="E583" s="150" t="s">
        <v>2291</v>
      </c>
      <c r="F583" s="151" t="s">
        <v>2296</v>
      </c>
      <c r="G583" s="152">
        <v>0</v>
      </c>
      <c r="H583" s="152">
        <v>3</v>
      </c>
      <c r="I583" s="153">
        <v>5</v>
      </c>
      <c r="J583" s="154">
        <v>0</v>
      </c>
      <c r="K583" s="155">
        <v>3</v>
      </c>
      <c r="L583" s="148" t="s">
        <v>57</v>
      </c>
      <c r="M583" s="148" t="s">
        <v>58</v>
      </c>
      <c r="N583" s="156" t="s">
        <v>2293</v>
      </c>
      <c r="O583" s="157" t="s">
        <v>59</v>
      </c>
      <c r="P583" s="158">
        <v>30</v>
      </c>
      <c r="Q583" s="152" t="s">
        <v>60</v>
      </c>
      <c r="R583" s="152" t="s">
        <v>70</v>
      </c>
      <c r="S583" s="148">
        <v>0</v>
      </c>
      <c r="T583" s="148" t="s">
        <v>2297</v>
      </c>
      <c r="U583" s="170"/>
      <c r="V583" s="163"/>
      <c r="W583" s="171"/>
      <c r="X583" s="176">
        <v>262</v>
      </c>
      <c r="Y583" s="160" t="str">
        <f>VLOOKUP(X583,docentes!$A:$E,2,0)</f>
        <v>JEAN JACQUES BONVENT</v>
      </c>
      <c r="Z583" s="177" t="str">
        <f>VLOOKUP(X583,docentes!$A:$E,5,0)</f>
        <v>CCNH</v>
      </c>
    </row>
    <row r="584" spans="1:33" s="44" customFormat="1" ht="66.75" customHeight="1">
      <c r="A584" s="148" t="s">
        <v>52</v>
      </c>
      <c r="B584" s="146" t="s">
        <v>2298</v>
      </c>
      <c r="C584" s="149" t="s">
        <v>2299</v>
      </c>
      <c r="D584" s="150">
        <v>1</v>
      </c>
      <c r="E584" s="150" t="s">
        <v>2300</v>
      </c>
      <c r="F584" s="151" t="s">
        <v>2301</v>
      </c>
      <c r="G584" s="152">
        <v>0</v>
      </c>
      <c r="H584" s="152">
        <v>4</v>
      </c>
      <c r="I584" s="153">
        <v>4</v>
      </c>
      <c r="J584" s="154">
        <v>0</v>
      </c>
      <c r="K584" s="155">
        <v>4</v>
      </c>
      <c r="L584" s="148" t="s">
        <v>57</v>
      </c>
      <c r="M584" s="148" t="s">
        <v>58</v>
      </c>
      <c r="N584" s="156">
        <v>0</v>
      </c>
      <c r="O584" s="157" t="s">
        <v>59</v>
      </c>
      <c r="P584" s="158">
        <v>32</v>
      </c>
      <c r="Q584" s="152" t="s">
        <v>60</v>
      </c>
      <c r="R584" s="152" t="s">
        <v>70</v>
      </c>
      <c r="S584" s="148">
        <v>0</v>
      </c>
      <c r="T584" s="148" t="s">
        <v>2302</v>
      </c>
      <c r="U584" s="170"/>
      <c r="V584" s="163"/>
      <c r="W584" s="171"/>
      <c r="X584" s="176">
        <v>67</v>
      </c>
      <c r="Y584" s="160" t="str">
        <f>VLOOKUP(X584,docentes!$A:$E,2,0)</f>
        <v>ANTONIO GIL VICENTE DE BRUM</v>
      </c>
      <c r="Z584" s="177" t="str">
        <f>VLOOKUP(X584,docentes!$A:$E,5,0)</f>
        <v>CECS</v>
      </c>
    </row>
    <row r="585" spans="1:33" s="44" customFormat="1" ht="66.75" customHeight="1">
      <c r="A585" s="148" t="s">
        <v>128</v>
      </c>
      <c r="B585" s="146" t="s">
        <v>2303</v>
      </c>
      <c r="C585" s="149" t="s">
        <v>2304</v>
      </c>
      <c r="D585" s="150">
        <v>2</v>
      </c>
      <c r="E585" s="150" t="s">
        <v>2305</v>
      </c>
      <c r="F585" s="151" t="s">
        <v>2306</v>
      </c>
      <c r="G585" s="152">
        <v>0</v>
      </c>
      <c r="H585" s="152">
        <v>2</v>
      </c>
      <c r="I585" s="153">
        <v>4</v>
      </c>
      <c r="J585" s="154">
        <v>0</v>
      </c>
      <c r="K585" s="155">
        <v>2</v>
      </c>
      <c r="L585" s="148" t="s">
        <v>57</v>
      </c>
      <c r="M585" s="148" t="s">
        <v>58</v>
      </c>
      <c r="N585" s="156"/>
      <c r="O585" s="157" t="s">
        <v>59</v>
      </c>
      <c r="P585" s="158">
        <v>62</v>
      </c>
      <c r="Q585" s="152" t="s">
        <v>76</v>
      </c>
      <c r="R585" s="152" t="s">
        <v>61</v>
      </c>
      <c r="S585" s="148" t="s">
        <v>2307</v>
      </c>
      <c r="T585" s="148">
        <v>0</v>
      </c>
      <c r="U585" s="170">
        <v>353</v>
      </c>
      <c r="V585" s="163" t="str">
        <f>VLOOKUP(U585,docentes!$A:$E,2,0)</f>
        <v>MARA MARLY GOMES BARRETO</v>
      </c>
      <c r="W585" s="171" t="str">
        <f>VLOOKUP(U585,docentes!$A:$E,5,0)</f>
        <v>CECS</v>
      </c>
      <c r="X585" s="176">
        <v>353</v>
      </c>
      <c r="Y585" s="160" t="str">
        <f>VLOOKUP(X585,docentes!$A:$E,2,0)</f>
        <v>MARA MARLY GOMES BARRETO</v>
      </c>
      <c r="Z585" s="177" t="str">
        <f>VLOOKUP(X585,docentes!$A:$E,5,0)</f>
        <v>CECS</v>
      </c>
    </row>
    <row r="586" spans="1:33" s="44" customFormat="1" ht="66.75" customHeight="1">
      <c r="A586" s="148" t="s">
        <v>128</v>
      </c>
      <c r="B586" s="146" t="s">
        <v>2308</v>
      </c>
      <c r="C586" s="149" t="s">
        <v>2304</v>
      </c>
      <c r="D586" s="150">
        <v>2</v>
      </c>
      <c r="E586" s="150" t="s">
        <v>2305</v>
      </c>
      <c r="F586" s="151" t="s">
        <v>2309</v>
      </c>
      <c r="G586" s="152">
        <v>0</v>
      </c>
      <c r="H586" s="152">
        <v>2</v>
      </c>
      <c r="I586" s="153">
        <v>4</v>
      </c>
      <c r="J586" s="154">
        <v>0</v>
      </c>
      <c r="K586" s="155">
        <v>2</v>
      </c>
      <c r="L586" s="148" t="s">
        <v>57</v>
      </c>
      <c r="M586" s="148" t="s">
        <v>58</v>
      </c>
      <c r="N586" s="166"/>
      <c r="O586" s="157" t="s">
        <v>59</v>
      </c>
      <c r="P586" s="158">
        <v>63</v>
      </c>
      <c r="Q586" s="152" t="s">
        <v>76</v>
      </c>
      <c r="R586" s="152" t="s">
        <v>70</v>
      </c>
      <c r="S586" s="148" t="s">
        <v>2310</v>
      </c>
      <c r="T586" s="148">
        <v>0</v>
      </c>
      <c r="U586" s="170">
        <v>353</v>
      </c>
      <c r="V586" s="163" t="str">
        <f>VLOOKUP(U586,docentes!$A:$E,2,0)</f>
        <v>MARA MARLY GOMES BARRETO</v>
      </c>
      <c r="W586" s="171" t="str">
        <f>VLOOKUP(U586,docentes!$A:$E,5,0)</f>
        <v>CECS</v>
      </c>
      <c r="X586" s="176">
        <v>353</v>
      </c>
      <c r="Y586" s="160" t="str">
        <f>VLOOKUP(X586,docentes!$A:$E,2,0)</f>
        <v>MARA MARLY GOMES BARRETO</v>
      </c>
      <c r="Z586" s="177" t="str">
        <f>VLOOKUP(X586,docentes!$A:$E,5,0)</f>
        <v>CECS</v>
      </c>
    </row>
    <row r="587" spans="1:33" s="44" customFormat="1" ht="66.75" customHeight="1">
      <c r="A587" s="148" t="s">
        <v>84</v>
      </c>
      <c r="B587" s="146" t="s">
        <v>2311</v>
      </c>
      <c r="C587" s="149" t="s">
        <v>2312</v>
      </c>
      <c r="D587" s="150">
        <v>2</v>
      </c>
      <c r="E587" s="150" t="s">
        <v>2313</v>
      </c>
      <c r="F587" s="151" t="s">
        <v>2314</v>
      </c>
      <c r="G587" s="152">
        <v>3</v>
      </c>
      <c r="H587" s="152">
        <v>0</v>
      </c>
      <c r="I587" s="153">
        <v>4</v>
      </c>
      <c r="J587" s="154">
        <v>3</v>
      </c>
      <c r="K587" s="155">
        <v>0</v>
      </c>
      <c r="L587" s="148" t="s">
        <v>57</v>
      </c>
      <c r="M587" s="148" t="s">
        <v>58</v>
      </c>
      <c r="N587" s="156"/>
      <c r="O587" s="157" t="s">
        <v>59</v>
      </c>
      <c r="P587" s="158">
        <v>90</v>
      </c>
      <c r="Q587" s="152" t="s">
        <v>76</v>
      </c>
      <c r="R587" s="152" t="s">
        <v>61</v>
      </c>
      <c r="S587" s="148" t="s">
        <v>2315</v>
      </c>
      <c r="T587" s="148">
        <v>0</v>
      </c>
      <c r="U587" s="159">
        <v>1015</v>
      </c>
      <c r="V587" s="160" t="str">
        <f>VLOOKUP(U587,docentes!$A:$E,2,0)</f>
        <v>Bruno Rocha</v>
      </c>
      <c r="W587" s="161" t="str">
        <f>VLOOKUP(U587,docentes!$A:$E,5,0)</f>
        <v>em contratação</v>
      </c>
      <c r="X587" s="162"/>
      <c r="Y587" s="163"/>
      <c r="Z587" s="164"/>
    </row>
    <row r="588" spans="1:33" s="44" customFormat="1" ht="66.75" customHeight="1">
      <c r="A588" s="148" t="s">
        <v>84</v>
      </c>
      <c r="B588" s="146" t="s">
        <v>2316</v>
      </c>
      <c r="C588" s="149" t="s">
        <v>2312</v>
      </c>
      <c r="D588" s="150">
        <v>2</v>
      </c>
      <c r="E588" s="150" t="s">
        <v>2313</v>
      </c>
      <c r="F588" s="151" t="s">
        <v>2317</v>
      </c>
      <c r="G588" s="152">
        <v>3</v>
      </c>
      <c r="H588" s="152">
        <v>0</v>
      </c>
      <c r="I588" s="153">
        <v>4</v>
      </c>
      <c r="J588" s="154">
        <v>3</v>
      </c>
      <c r="K588" s="155">
        <v>0</v>
      </c>
      <c r="L588" s="148" t="s">
        <v>57</v>
      </c>
      <c r="M588" s="148" t="s">
        <v>58</v>
      </c>
      <c r="N588" s="156"/>
      <c r="O588" s="157" t="s">
        <v>59</v>
      </c>
      <c r="P588" s="158">
        <v>90</v>
      </c>
      <c r="Q588" s="152" t="s">
        <v>76</v>
      </c>
      <c r="R588" s="152" t="s">
        <v>70</v>
      </c>
      <c r="S588" s="148" t="s">
        <v>2318</v>
      </c>
      <c r="T588" s="148">
        <v>0</v>
      </c>
      <c r="U588" s="159">
        <v>1015</v>
      </c>
      <c r="V588" s="160" t="str">
        <f>VLOOKUP(U588,docentes!$A:$E,2,0)</f>
        <v>Bruno Rocha</v>
      </c>
      <c r="W588" s="161" t="str">
        <f>VLOOKUP(U588,docentes!$A:$E,5,0)</f>
        <v>em contratação</v>
      </c>
      <c r="X588" s="162"/>
      <c r="Y588" s="163"/>
      <c r="Z588" s="164"/>
    </row>
    <row r="589" spans="1:33" s="44" customFormat="1" ht="66.75" customHeight="1">
      <c r="A589" s="148" t="s">
        <v>805</v>
      </c>
      <c r="B589" s="146" t="s">
        <v>2319</v>
      </c>
      <c r="C589" s="149" t="s">
        <v>2320</v>
      </c>
      <c r="D589" s="150">
        <v>2</v>
      </c>
      <c r="E589" s="150" t="s">
        <v>2321</v>
      </c>
      <c r="F589" s="151" t="s">
        <v>2322</v>
      </c>
      <c r="G589" s="152">
        <v>3</v>
      </c>
      <c r="H589" s="152">
        <v>2</v>
      </c>
      <c r="I589" s="153">
        <v>4</v>
      </c>
      <c r="J589" s="154">
        <v>3</v>
      </c>
      <c r="K589" s="155">
        <v>2</v>
      </c>
      <c r="L589" s="148" t="s">
        <v>57</v>
      </c>
      <c r="M589" s="148" t="s">
        <v>58</v>
      </c>
      <c r="N589" s="156">
        <v>0</v>
      </c>
      <c r="O589" s="148" t="s">
        <v>810</v>
      </c>
      <c r="P589" s="158">
        <v>30</v>
      </c>
      <c r="Q589" s="152" t="s">
        <v>60</v>
      </c>
      <c r="R589" s="152" t="s">
        <v>61</v>
      </c>
      <c r="S589" s="148" t="s">
        <v>2323</v>
      </c>
      <c r="T589" s="148" t="s">
        <v>2324</v>
      </c>
      <c r="U589" s="159">
        <v>8</v>
      </c>
      <c r="V589" s="160" t="str">
        <f>VLOOKUP(U589,docentes!$A:$E,2,0)</f>
        <v>AHDA PIONKOSKI GRILO PAVANI</v>
      </c>
      <c r="W589" s="161" t="str">
        <f>VLOOKUP(U589,docentes!$A:$E,5,0)</f>
        <v>CECS</v>
      </c>
      <c r="X589" s="176">
        <v>8</v>
      </c>
      <c r="Y589" s="160" t="str">
        <f>VLOOKUP(X589,docentes!$A:$E,2,0)</f>
        <v>AHDA PIONKOSKI GRILO PAVANI</v>
      </c>
      <c r="Z589" s="177" t="str">
        <f>VLOOKUP(X589,docentes!$A:$E,5,0)</f>
        <v>CECS</v>
      </c>
    </row>
    <row r="590" spans="1:33" s="44" customFormat="1" ht="66.75" customHeight="1">
      <c r="A590" s="148" t="s">
        <v>134</v>
      </c>
      <c r="B590" s="146" t="s">
        <v>2325</v>
      </c>
      <c r="C590" s="149" t="s">
        <v>2320</v>
      </c>
      <c r="D590" s="150">
        <v>2</v>
      </c>
      <c r="E590" s="150" t="s">
        <v>2321</v>
      </c>
      <c r="F590" s="151" t="s">
        <v>2326</v>
      </c>
      <c r="G590" s="152">
        <v>3</v>
      </c>
      <c r="H590" s="152">
        <v>2</v>
      </c>
      <c r="I590" s="153">
        <v>4</v>
      </c>
      <c r="J590" s="154">
        <v>3</v>
      </c>
      <c r="K590" s="155">
        <v>2</v>
      </c>
      <c r="L590" s="148" t="s">
        <v>821</v>
      </c>
      <c r="M590" s="148" t="s">
        <v>68</v>
      </c>
      <c r="N590" s="151">
        <v>32</v>
      </c>
      <c r="O590" s="148" t="s">
        <v>822</v>
      </c>
      <c r="P590" s="158">
        <v>32</v>
      </c>
      <c r="Q590" s="152" t="s">
        <v>60</v>
      </c>
      <c r="R590" s="152" t="s">
        <v>70</v>
      </c>
      <c r="S590" s="148" t="s">
        <v>2327</v>
      </c>
      <c r="T590" s="148" t="s">
        <v>2328</v>
      </c>
      <c r="U590" s="159">
        <v>303</v>
      </c>
      <c r="V590" s="160" t="str">
        <f>VLOOKUP(U590,docentes!$A:$E,2,0)</f>
        <v>JULIO CARLOS TEIXEIRA</v>
      </c>
      <c r="W590" s="161" t="str">
        <f>VLOOKUP(U590,docentes!$A:$E,5,0)</f>
        <v>CECS</v>
      </c>
      <c r="X590" s="176">
        <v>303</v>
      </c>
      <c r="Y590" s="160" t="str">
        <f>VLOOKUP(X590,docentes!$A:$E,2,0)</f>
        <v>JULIO CARLOS TEIXEIRA</v>
      </c>
      <c r="Z590" s="177" t="str">
        <f>VLOOKUP(X590,docentes!$A:$E,5,0)</f>
        <v>CECS</v>
      </c>
    </row>
    <row r="591" spans="1:33" s="44" customFormat="1" ht="66.75" customHeight="1">
      <c r="A591" s="172" t="s">
        <v>114</v>
      </c>
      <c r="B591" s="146" t="s">
        <v>2329</v>
      </c>
      <c r="C591" s="149" t="s">
        <v>2330</v>
      </c>
      <c r="D591" s="150">
        <v>2</v>
      </c>
      <c r="E591" s="150" t="s">
        <v>2331</v>
      </c>
      <c r="F591" s="151" t="s">
        <v>2332</v>
      </c>
      <c r="G591" s="149">
        <v>4</v>
      </c>
      <c r="H591" s="173">
        <v>0</v>
      </c>
      <c r="I591" s="174">
        <v>4</v>
      </c>
      <c r="J591" s="155">
        <v>4</v>
      </c>
      <c r="K591" s="155">
        <v>0</v>
      </c>
      <c r="L591" s="172" t="s">
        <v>97</v>
      </c>
      <c r="M591" s="172" t="s">
        <v>58</v>
      </c>
      <c r="N591" s="185"/>
      <c r="O591" s="157" t="s">
        <v>59</v>
      </c>
      <c r="P591" s="175">
        <v>62</v>
      </c>
      <c r="Q591" s="152" t="s">
        <v>60</v>
      </c>
      <c r="R591" s="152" t="s">
        <v>61</v>
      </c>
      <c r="S591" s="148" t="s">
        <v>2333</v>
      </c>
      <c r="T591" s="148">
        <v>0</v>
      </c>
      <c r="U591" s="159">
        <v>20</v>
      </c>
      <c r="V591" s="160" t="str">
        <f>VLOOKUP(U591,docentes!$A:$E,2,0)</f>
        <v>ALEXANDRE NOMA</v>
      </c>
      <c r="W591" s="161" t="str">
        <f>VLOOKUP(U591,docentes!$A:$E,5,0)</f>
        <v>CMCC</v>
      </c>
      <c r="X591" s="162">
        <v>20</v>
      </c>
      <c r="Y591" s="163" t="str">
        <f>VLOOKUP(X591,docentes!$A:$E,2,0)</f>
        <v>ALEXANDRE NOMA</v>
      </c>
      <c r="Z591" s="164" t="str">
        <f>VLOOKUP(X591,docentes!$A:$E,5,0)</f>
        <v>CMCC</v>
      </c>
      <c r="AA591" s="45"/>
      <c r="AB591" s="45"/>
      <c r="AC591" s="45"/>
      <c r="AD591" s="45"/>
      <c r="AE591" s="45"/>
      <c r="AF591" s="45"/>
      <c r="AG591" s="45"/>
    </row>
    <row r="592" spans="1:33" s="44" customFormat="1" ht="66.75" customHeight="1">
      <c r="A592" s="172" t="s">
        <v>114</v>
      </c>
      <c r="B592" s="146" t="s">
        <v>2334</v>
      </c>
      <c r="C592" s="149" t="s">
        <v>2330</v>
      </c>
      <c r="D592" s="150">
        <v>2</v>
      </c>
      <c r="E592" s="150" t="s">
        <v>2331</v>
      </c>
      <c r="F592" s="151" t="s">
        <v>2335</v>
      </c>
      <c r="G592" s="149">
        <v>4</v>
      </c>
      <c r="H592" s="173">
        <v>0</v>
      </c>
      <c r="I592" s="174">
        <v>4</v>
      </c>
      <c r="J592" s="155">
        <v>4</v>
      </c>
      <c r="K592" s="155">
        <v>0</v>
      </c>
      <c r="L592" s="172" t="s">
        <v>2336</v>
      </c>
      <c r="M592" s="172" t="e">
        <v>#N/A</v>
      </c>
      <c r="N592" s="151"/>
      <c r="O592" s="172" t="s">
        <v>2337</v>
      </c>
      <c r="P592" s="175">
        <v>67</v>
      </c>
      <c r="Q592" s="152" t="s">
        <v>60</v>
      </c>
      <c r="R592" s="152" t="s">
        <v>70</v>
      </c>
      <c r="S592" s="148" t="s">
        <v>2338</v>
      </c>
      <c r="T592" s="148">
        <v>0</v>
      </c>
      <c r="U592" s="159">
        <v>404</v>
      </c>
      <c r="V592" s="160" t="str">
        <f>VLOOKUP(U592,docentes!$A:$E,2,0)</f>
        <v>MARINA SPARVOLI DE MEDEIROS</v>
      </c>
      <c r="W592" s="161" t="str">
        <f>VLOOKUP(U592,docentes!$A:$E,5,0)</f>
        <v>CMCC</v>
      </c>
      <c r="X592" s="162">
        <v>404</v>
      </c>
      <c r="Y592" s="163" t="str">
        <f>VLOOKUP(X592,docentes!$A:$E,2,0)</f>
        <v>MARINA SPARVOLI DE MEDEIROS</v>
      </c>
      <c r="Z592" s="164" t="str">
        <f>VLOOKUP(X592,docentes!$A:$E,5,0)</f>
        <v>CMCC</v>
      </c>
      <c r="AA592" s="45"/>
      <c r="AB592" s="45"/>
      <c r="AC592" s="45"/>
      <c r="AD592" s="45"/>
      <c r="AE592" s="45"/>
      <c r="AF592" s="45"/>
      <c r="AG592" s="45"/>
    </row>
    <row r="593" spans="1:26" s="44" customFormat="1" ht="66.75" customHeight="1">
      <c r="A593" s="148" t="s">
        <v>993</v>
      </c>
      <c r="B593" s="146" t="s">
        <v>2339</v>
      </c>
      <c r="C593" s="149" t="s">
        <v>2340</v>
      </c>
      <c r="D593" s="150">
        <v>4</v>
      </c>
      <c r="E593" s="150" t="s">
        <v>2341</v>
      </c>
      <c r="F593" s="151" t="s">
        <v>2342</v>
      </c>
      <c r="G593" s="152">
        <v>3</v>
      </c>
      <c r="H593" s="152">
        <v>1</v>
      </c>
      <c r="I593" s="153">
        <v>4</v>
      </c>
      <c r="J593" s="154">
        <v>3</v>
      </c>
      <c r="K593" s="155">
        <v>1</v>
      </c>
      <c r="L593" s="148"/>
      <c r="M593" s="148"/>
      <c r="N593" s="151"/>
      <c r="O593" s="148" t="s">
        <v>1716</v>
      </c>
      <c r="P593" s="158">
        <v>36</v>
      </c>
      <c r="Q593" s="152" t="s">
        <v>60</v>
      </c>
      <c r="R593" s="152" t="s">
        <v>61</v>
      </c>
      <c r="S593" s="148" t="s">
        <v>2343</v>
      </c>
      <c r="T593" s="148" t="s">
        <v>2344</v>
      </c>
      <c r="U593" s="159">
        <v>473</v>
      </c>
      <c r="V593" s="160" t="str">
        <f>VLOOKUP(U593,docentes!$A:$E,2,0)</f>
        <v>RENATA AYRES ROCHA</v>
      </c>
      <c r="W593" s="161" t="str">
        <f>VLOOKUP(U593,docentes!$A:$E,5,0)</f>
        <v>CECS</v>
      </c>
      <c r="X593" s="176">
        <v>473</v>
      </c>
      <c r="Y593" s="160" t="str">
        <f>VLOOKUP(X593,docentes!$A:$E,2,0)</f>
        <v>RENATA AYRES ROCHA</v>
      </c>
      <c r="Z593" s="177" t="str">
        <f>VLOOKUP(X593,docentes!$A:$E,5,0)</f>
        <v>CECS</v>
      </c>
    </row>
    <row r="594" spans="1:26" s="44" customFormat="1" ht="66.75" customHeight="1">
      <c r="A594" s="148" t="s">
        <v>993</v>
      </c>
      <c r="B594" s="146" t="s">
        <v>2345</v>
      </c>
      <c r="C594" s="149" t="s">
        <v>2340</v>
      </c>
      <c r="D594" s="150">
        <v>4</v>
      </c>
      <c r="E594" s="150" t="s">
        <v>2341</v>
      </c>
      <c r="F594" s="151" t="s">
        <v>2346</v>
      </c>
      <c r="G594" s="152">
        <v>3</v>
      </c>
      <c r="H594" s="152">
        <v>1</v>
      </c>
      <c r="I594" s="153">
        <v>4</v>
      </c>
      <c r="J594" s="154">
        <v>3</v>
      </c>
      <c r="K594" s="155">
        <v>1</v>
      </c>
      <c r="L594" s="148" t="s">
        <v>2347</v>
      </c>
      <c r="M594" s="148"/>
      <c r="N594" s="156"/>
      <c r="O594" s="165" t="s">
        <v>1716</v>
      </c>
      <c r="P594" s="158">
        <v>33</v>
      </c>
      <c r="Q594" s="152" t="s">
        <v>60</v>
      </c>
      <c r="R594" s="152" t="s">
        <v>70</v>
      </c>
      <c r="S594" s="148" t="s">
        <v>2348</v>
      </c>
      <c r="T594" s="148" t="s">
        <v>2349</v>
      </c>
      <c r="U594" s="159">
        <v>248</v>
      </c>
      <c r="V594" s="160" t="str">
        <f>VLOOKUP(U594,docentes!$A:$E,2,0)</f>
        <v>HUMBERTO NAOYUKI YOSHIMURA</v>
      </c>
      <c r="W594" s="161" t="str">
        <f>VLOOKUP(U594,docentes!$A:$E,5,0)</f>
        <v>CECS</v>
      </c>
      <c r="X594" s="176">
        <v>248</v>
      </c>
      <c r="Y594" s="160" t="str">
        <f>VLOOKUP(X594,docentes!$A:$E,2,0)</f>
        <v>HUMBERTO NAOYUKI YOSHIMURA</v>
      </c>
      <c r="Z594" s="177" t="str">
        <f>VLOOKUP(X594,docentes!$A:$E,5,0)</f>
        <v>CECS</v>
      </c>
    </row>
    <row r="595" spans="1:26" s="44" customFormat="1" ht="66.75" customHeight="1">
      <c r="A595" s="148" t="s">
        <v>993</v>
      </c>
      <c r="B595" s="146" t="s">
        <v>2350</v>
      </c>
      <c r="C595" s="149" t="s">
        <v>2340</v>
      </c>
      <c r="D595" s="150">
        <v>4</v>
      </c>
      <c r="E595" s="150" t="s">
        <v>2341</v>
      </c>
      <c r="F595" s="151" t="s">
        <v>2351</v>
      </c>
      <c r="G595" s="152">
        <v>3</v>
      </c>
      <c r="H595" s="152">
        <v>1</v>
      </c>
      <c r="I595" s="153">
        <v>4</v>
      </c>
      <c r="J595" s="154">
        <v>3</v>
      </c>
      <c r="K595" s="155">
        <v>1</v>
      </c>
      <c r="L595" s="148" t="s">
        <v>2347</v>
      </c>
      <c r="M595" s="148" t="s">
        <v>977</v>
      </c>
      <c r="N595" s="156">
        <v>0</v>
      </c>
      <c r="O595" s="165" t="s">
        <v>2352</v>
      </c>
      <c r="P595" s="158">
        <v>30</v>
      </c>
      <c r="Q595" s="152" t="s">
        <v>60</v>
      </c>
      <c r="R595" s="152" t="s">
        <v>61</v>
      </c>
      <c r="S595" s="148" t="s">
        <v>2353</v>
      </c>
      <c r="T595" s="148" t="s">
        <v>2354</v>
      </c>
      <c r="U595" s="159">
        <v>473</v>
      </c>
      <c r="V595" s="160" t="str">
        <f>VLOOKUP(U595,docentes!$A:$E,2,0)</f>
        <v>RENATA AYRES ROCHA</v>
      </c>
      <c r="W595" s="161" t="str">
        <f>VLOOKUP(U595,docentes!$A:$E,5,0)</f>
        <v>CECS</v>
      </c>
      <c r="X595" s="176">
        <v>473</v>
      </c>
      <c r="Y595" s="160" t="str">
        <f>VLOOKUP(X595,docentes!$A:$E,2,0)</f>
        <v>RENATA AYRES ROCHA</v>
      </c>
      <c r="Z595" s="177" t="str">
        <f>VLOOKUP(X595,docentes!$A:$E,5,0)</f>
        <v>CECS</v>
      </c>
    </row>
    <row r="596" spans="1:26" s="44" customFormat="1" ht="66.75" customHeight="1">
      <c r="A596" s="148" t="s">
        <v>993</v>
      </c>
      <c r="B596" s="146" t="s">
        <v>2355</v>
      </c>
      <c r="C596" s="149" t="s">
        <v>2340</v>
      </c>
      <c r="D596" s="150">
        <v>4</v>
      </c>
      <c r="E596" s="150" t="s">
        <v>2341</v>
      </c>
      <c r="F596" s="151" t="s">
        <v>2356</v>
      </c>
      <c r="G596" s="152">
        <v>3</v>
      </c>
      <c r="H596" s="152">
        <v>1</v>
      </c>
      <c r="I596" s="153">
        <v>4</v>
      </c>
      <c r="J596" s="154">
        <v>3</v>
      </c>
      <c r="K596" s="155">
        <v>1</v>
      </c>
      <c r="L596" s="148" t="s">
        <v>2347</v>
      </c>
      <c r="M596" s="148" t="s">
        <v>977</v>
      </c>
      <c r="N596" s="156">
        <v>0</v>
      </c>
      <c r="O596" s="165" t="s">
        <v>2352</v>
      </c>
      <c r="P596" s="158">
        <v>30</v>
      </c>
      <c r="Q596" s="152" t="s">
        <v>60</v>
      </c>
      <c r="R596" s="152" t="s">
        <v>70</v>
      </c>
      <c r="S596" s="148" t="s">
        <v>2357</v>
      </c>
      <c r="T596" s="148" t="s">
        <v>2358</v>
      </c>
      <c r="U596" s="159">
        <v>248</v>
      </c>
      <c r="V596" s="160" t="str">
        <f>VLOOKUP(U596,docentes!$A:$E,2,0)</f>
        <v>HUMBERTO NAOYUKI YOSHIMURA</v>
      </c>
      <c r="W596" s="161" t="str">
        <f>VLOOKUP(U596,docentes!$A:$E,5,0)</f>
        <v>CECS</v>
      </c>
      <c r="X596" s="176">
        <v>248</v>
      </c>
      <c r="Y596" s="160" t="str">
        <f>VLOOKUP(X596,docentes!$A:$E,2,0)</f>
        <v>HUMBERTO NAOYUKI YOSHIMURA</v>
      </c>
      <c r="Z596" s="177" t="str">
        <f>VLOOKUP(X596,docentes!$A:$E,5,0)</f>
        <v>CECS</v>
      </c>
    </row>
    <row r="597" spans="1:26" s="44" customFormat="1" ht="66.75" customHeight="1">
      <c r="A597" s="148" t="s">
        <v>993</v>
      </c>
      <c r="B597" s="146" t="s">
        <v>2359</v>
      </c>
      <c r="C597" s="149" t="s">
        <v>2360</v>
      </c>
      <c r="D597" s="150">
        <v>4</v>
      </c>
      <c r="E597" s="150" t="s">
        <v>2361</v>
      </c>
      <c r="F597" s="151" t="s">
        <v>2362</v>
      </c>
      <c r="G597" s="152">
        <v>3</v>
      </c>
      <c r="H597" s="152">
        <v>1</v>
      </c>
      <c r="I597" s="153">
        <v>4</v>
      </c>
      <c r="J597" s="154">
        <v>3</v>
      </c>
      <c r="K597" s="155">
        <v>1</v>
      </c>
      <c r="L597" s="148" t="s">
        <v>2347</v>
      </c>
      <c r="M597" s="148"/>
      <c r="N597" s="156"/>
      <c r="O597" s="165" t="s">
        <v>1716</v>
      </c>
      <c r="P597" s="158">
        <v>32</v>
      </c>
      <c r="Q597" s="152" t="s">
        <v>60</v>
      </c>
      <c r="R597" s="152" t="s">
        <v>61</v>
      </c>
      <c r="S597" s="148" t="s">
        <v>2363</v>
      </c>
      <c r="T597" s="148" t="s">
        <v>2364</v>
      </c>
      <c r="U597" s="159">
        <v>135</v>
      </c>
      <c r="V597" s="160" t="str">
        <f>VLOOKUP(U597,docentes!$A:$E,2,0)</f>
        <v>DEMETRIO JACKSON DOS SANTOS</v>
      </c>
      <c r="W597" s="161" t="str">
        <f>VLOOKUP(U597,docentes!$A:$E,5,0)</f>
        <v>CECS</v>
      </c>
      <c r="X597" s="176">
        <v>135</v>
      </c>
      <c r="Y597" s="160" t="str">
        <f>VLOOKUP(X597,docentes!$A:$E,2,0)</f>
        <v>DEMETRIO JACKSON DOS SANTOS</v>
      </c>
      <c r="Z597" s="177" t="str">
        <f>VLOOKUP(X597,docentes!$A:$E,5,0)</f>
        <v>CECS</v>
      </c>
    </row>
    <row r="598" spans="1:26" s="44" customFormat="1" ht="66.75" customHeight="1">
      <c r="A598" s="148" t="s">
        <v>993</v>
      </c>
      <c r="B598" s="146" t="s">
        <v>2365</v>
      </c>
      <c r="C598" s="149" t="s">
        <v>2360</v>
      </c>
      <c r="D598" s="150">
        <v>4</v>
      </c>
      <c r="E598" s="150" t="s">
        <v>2361</v>
      </c>
      <c r="F598" s="151" t="s">
        <v>2366</v>
      </c>
      <c r="G598" s="152">
        <v>3</v>
      </c>
      <c r="H598" s="152">
        <v>1</v>
      </c>
      <c r="I598" s="153">
        <v>4</v>
      </c>
      <c r="J598" s="154">
        <v>3</v>
      </c>
      <c r="K598" s="155">
        <v>1</v>
      </c>
      <c r="L598" s="148" t="s">
        <v>2347</v>
      </c>
      <c r="M598" s="148"/>
      <c r="N598" s="156"/>
      <c r="O598" s="165" t="s">
        <v>1716</v>
      </c>
      <c r="P598" s="158">
        <v>33</v>
      </c>
      <c r="Q598" s="152" t="s">
        <v>60</v>
      </c>
      <c r="R598" s="152" t="s">
        <v>70</v>
      </c>
      <c r="S598" s="148" t="s">
        <v>2367</v>
      </c>
      <c r="T598" s="148" t="s">
        <v>2368</v>
      </c>
      <c r="U598" s="159">
        <v>135</v>
      </c>
      <c r="V598" s="160" t="str">
        <f>VLOOKUP(U598,docentes!$A:$E,2,0)</f>
        <v>DEMETRIO JACKSON DOS SANTOS</v>
      </c>
      <c r="W598" s="161" t="str">
        <f>VLOOKUP(U598,docentes!$A:$E,5,0)</f>
        <v>CECS</v>
      </c>
      <c r="X598" s="176">
        <v>135</v>
      </c>
      <c r="Y598" s="160" t="str">
        <f>VLOOKUP(X598,docentes!$A:$E,2,0)</f>
        <v>DEMETRIO JACKSON DOS SANTOS</v>
      </c>
      <c r="Z598" s="177" t="str">
        <f>VLOOKUP(X598,docentes!$A:$E,5,0)</f>
        <v>CECS</v>
      </c>
    </row>
    <row r="599" spans="1:26" s="44" customFormat="1" ht="66.75" customHeight="1">
      <c r="A599" s="148" t="s">
        <v>993</v>
      </c>
      <c r="B599" s="146" t="s">
        <v>2369</v>
      </c>
      <c r="C599" s="149" t="s">
        <v>2360</v>
      </c>
      <c r="D599" s="150">
        <v>4</v>
      </c>
      <c r="E599" s="150" t="s">
        <v>2361</v>
      </c>
      <c r="F599" s="151" t="s">
        <v>2370</v>
      </c>
      <c r="G599" s="152">
        <v>3</v>
      </c>
      <c r="H599" s="152">
        <v>1</v>
      </c>
      <c r="I599" s="153">
        <v>4</v>
      </c>
      <c r="J599" s="154">
        <v>3</v>
      </c>
      <c r="K599" s="155">
        <v>1</v>
      </c>
      <c r="L599" s="148" t="s">
        <v>2347</v>
      </c>
      <c r="M599" s="148" t="s">
        <v>977</v>
      </c>
      <c r="N599" s="156">
        <v>0</v>
      </c>
      <c r="O599" s="165" t="s">
        <v>2352</v>
      </c>
      <c r="P599" s="158">
        <v>30</v>
      </c>
      <c r="Q599" s="152" t="s">
        <v>60</v>
      </c>
      <c r="R599" s="152" t="s">
        <v>61</v>
      </c>
      <c r="S599" s="148" t="s">
        <v>2371</v>
      </c>
      <c r="T599" s="148" t="s">
        <v>2372</v>
      </c>
      <c r="U599" s="159">
        <v>135</v>
      </c>
      <c r="V599" s="160" t="str">
        <f>VLOOKUP(U599,docentes!$A:$E,2,0)</f>
        <v>DEMETRIO JACKSON DOS SANTOS</v>
      </c>
      <c r="W599" s="161" t="str">
        <f>VLOOKUP(U599,docentes!$A:$E,5,0)</f>
        <v>CECS</v>
      </c>
      <c r="X599" s="176">
        <v>135</v>
      </c>
      <c r="Y599" s="160" t="str">
        <f>VLOOKUP(X599,docentes!$A:$E,2,0)</f>
        <v>DEMETRIO JACKSON DOS SANTOS</v>
      </c>
      <c r="Z599" s="177" t="str">
        <f>VLOOKUP(X599,docentes!$A:$E,5,0)</f>
        <v>CECS</v>
      </c>
    </row>
    <row r="600" spans="1:26" s="44" customFormat="1" ht="66.75" customHeight="1">
      <c r="A600" s="148" t="s">
        <v>993</v>
      </c>
      <c r="B600" s="146" t="s">
        <v>2373</v>
      </c>
      <c r="C600" s="149" t="s">
        <v>2360</v>
      </c>
      <c r="D600" s="150">
        <v>4</v>
      </c>
      <c r="E600" s="150" t="s">
        <v>2361</v>
      </c>
      <c r="F600" s="151" t="s">
        <v>2374</v>
      </c>
      <c r="G600" s="152">
        <v>3</v>
      </c>
      <c r="H600" s="152">
        <v>1</v>
      </c>
      <c r="I600" s="153">
        <v>4</v>
      </c>
      <c r="J600" s="154">
        <v>3</v>
      </c>
      <c r="K600" s="155">
        <v>1</v>
      </c>
      <c r="L600" s="148" t="s">
        <v>2347</v>
      </c>
      <c r="M600" s="148" t="s">
        <v>977</v>
      </c>
      <c r="N600" s="156">
        <v>0</v>
      </c>
      <c r="O600" s="165" t="s">
        <v>2352</v>
      </c>
      <c r="P600" s="158">
        <v>30</v>
      </c>
      <c r="Q600" s="152" t="s">
        <v>60</v>
      </c>
      <c r="R600" s="152" t="s">
        <v>70</v>
      </c>
      <c r="S600" s="148" t="s">
        <v>2375</v>
      </c>
      <c r="T600" s="148" t="s">
        <v>2376</v>
      </c>
      <c r="U600" s="159">
        <v>135</v>
      </c>
      <c r="V600" s="160" t="str">
        <f>VLOOKUP(U600,docentes!$A:$E,2,0)</f>
        <v>DEMETRIO JACKSON DOS SANTOS</v>
      </c>
      <c r="W600" s="161" t="str">
        <f>VLOOKUP(U600,docentes!$A:$E,5,0)</f>
        <v>CECS</v>
      </c>
      <c r="X600" s="176">
        <v>135</v>
      </c>
      <c r="Y600" s="160" t="str">
        <f>VLOOKUP(X600,docentes!$A:$E,2,0)</f>
        <v>DEMETRIO JACKSON DOS SANTOS</v>
      </c>
      <c r="Z600" s="177" t="str">
        <f>VLOOKUP(X600,docentes!$A:$E,5,0)</f>
        <v>CECS</v>
      </c>
    </row>
    <row r="601" spans="1:26" s="44" customFormat="1" ht="66.75" customHeight="1">
      <c r="A601" s="148" t="s">
        <v>52</v>
      </c>
      <c r="B601" s="146" t="s">
        <v>2377</v>
      </c>
      <c r="C601" s="149" t="s">
        <v>2378</v>
      </c>
      <c r="D601" s="150">
        <v>1</v>
      </c>
      <c r="E601" s="150" t="s">
        <v>2379</v>
      </c>
      <c r="F601" s="151" t="s">
        <v>2380</v>
      </c>
      <c r="G601" s="152">
        <v>4</v>
      </c>
      <c r="H601" s="152">
        <v>0</v>
      </c>
      <c r="I601" s="153">
        <v>4</v>
      </c>
      <c r="J601" s="154">
        <v>4</v>
      </c>
      <c r="K601" s="155">
        <v>0</v>
      </c>
      <c r="L601" s="148" t="s">
        <v>750</v>
      </c>
      <c r="M601" s="148" t="s">
        <v>58</v>
      </c>
      <c r="N601" s="156">
        <v>55</v>
      </c>
      <c r="O601" s="148" t="s">
        <v>2381</v>
      </c>
      <c r="P601" s="158">
        <v>55</v>
      </c>
      <c r="Q601" s="152" t="s">
        <v>76</v>
      </c>
      <c r="R601" s="152" t="s">
        <v>61</v>
      </c>
      <c r="S601" s="148" t="s">
        <v>2382</v>
      </c>
      <c r="T601" s="148">
        <v>0</v>
      </c>
      <c r="U601" s="159">
        <v>3</v>
      </c>
      <c r="V601" s="160" t="str">
        <f>VLOOKUP(U601,docentes!$A:$E,2,0)</f>
        <v>ADRIAN MARCEL ZALMANOVICI</v>
      </c>
      <c r="W601" s="161" t="str">
        <f>VLOOKUP(U601,docentes!$A:$E,5,0)</f>
        <v>CECS</v>
      </c>
      <c r="X601" s="162"/>
      <c r="Y601" s="163"/>
      <c r="Z601" s="164"/>
    </row>
    <row r="602" spans="1:26" s="44" customFormat="1" ht="66.75" customHeight="1">
      <c r="A602" s="148" t="s">
        <v>692</v>
      </c>
      <c r="B602" s="146" t="s">
        <v>2383</v>
      </c>
      <c r="C602" s="149" t="s">
        <v>2384</v>
      </c>
      <c r="D602" s="150">
        <v>6</v>
      </c>
      <c r="E602" s="150" t="s">
        <v>2385</v>
      </c>
      <c r="F602" s="151" t="s">
        <v>2386</v>
      </c>
      <c r="G602" s="152">
        <v>3</v>
      </c>
      <c r="H602" s="152">
        <v>1</v>
      </c>
      <c r="I602" s="153">
        <v>5</v>
      </c>
      <c r="J602" s="154">
        <v>3</v>
      </c>
      <c r="K602" s="155">
        <v>1</v>
      </c>
      <c r="L602" s="148" t="s">
        <v>998</v>
      </c>
      <c r="M602" s="148" t="s">
        <v>68</v>
      </c>
      <c r="N602" s="156" t="s">
        <v>2387</v>
      </c>
      <c r="O602" s="165" t="s">
        <v>2388</v>
      </c>
      <c r="P602" s="158">
        <v>60</v>
      </c>
      <c r="Q602" s="152" t="s">
        <v>60</v>
      </c>
      <c r="R602" s="152" t="s">
        <v>61</v>
      </c>
      <c r="S602" s="148" t="s">
        <v>2389</v>
      </c>
      <c r="T602" s="148" t="s">
        <v>2390</v>
      </c>
      <c r="U602" s="159">
        <v>269</v>
      </c>
      <c r="V602" s="160" t="str">
        <f>VLOOKUP(U602,docentes!$A:$E,2,0)</f>
        <v>JEVERSON TEODORO ARANTES JUNIOR</v>
      </c>
      <c r="W602" s="161" t="str">
        <f>VLOOKUP(U602,docentes!$A:$E,5,0)</f>
        <v>CECS</v>
      </c>
      <c r="X602" s="176">
        <v>269</v>
      </c>
      <c r="Y602" s="160" t="str">
        <f>VLOOKUP(X602,docentes!$A:$E,2,0)</f>
        <v>JEVERSON TEODORO ARANTES JUNIOR</v>
      </c>
      <c r="Z602" s="177" t="str">
        <f>VLOOKUP(X602,docentes!$A:$E,5,0)</f>
        <v>CECS</v>
      </c>
    </row>
    <row r="603" spans="1:26" s="44" customFormat="1" ht="66.75" customHeight="1">
      <c r="A603" s="148" t="s">
        <v>692</v>
      </c>
      <c r="B603" s="146" t="s">
        <v>2391</v>
      </c>
      <c r="C603" s="149" t="s">
        <v>2384</v>
      </c>
      <c r="D603" s="150">
        <v>6</v>
      </c>
      <c r="E603" s="150" t="s">
        <v>2385</v>
      </c>
      <c r="F603" s="151" t="s">
        <v>2392</v>
      </c>
      <c r="G603" s="152">
        <v>3</v>
      </c>
      <c r="H603" s="152">
        <v>1</v>
      </c>
      <c r="I603" s="153">
        <v>5</v>
      </c>
      <c r="J603" s="154">
        <v>3</v>
      </c>
      <c r="K603" s="155">
        <v>1</v>
      </c>
      <c r="L603" s="148" t="s">
        <v>998</v>
      </c>
      <c r="M603" s="148" t="s">
        <v>68</v>
      </c>
      <c r="N603" s="156" t="s">
        <v>2387</v>
      </c>
      <c r="O603" s="165" t="s">
        <v>2388</v>
      </c>
      <c r="P603" s="158">
        <v>60</v>
      </c>
      <c r="Q603" s="152" t="s">
        <v>76</v>
      </c>
      <c r="R603" s="152" t="s">
        <v>61</v>
      </c>
      <c r="S603" s="148" t="s">
        <v>2393</v>
      </c>
      <c r="T603" s="148" t="s">
        <v>2394</v>
      </c>
      <c r="U603" s="159">
        <v>299</v>
      </c>
      <c r="V603" s="160" t="str">
        <f>VLOOKUP(U603,docentes!$A:$E,2,0)</f>
        <v>JULIANA KELMY MACARIO DE FARIA DAGUANO</v>
      </c>
      <c r="W603" s="161" t="str">
        <f>VLOOKUP(U603,docentes!$A:$E,5,0)</f>
        <v>CECS</v>
      </c>
      <c r="X603" s="176">
        <v>299</v>
      </c>
      <c r="Y603" s="160" t="str">
        <f>VLOOKUP(X603,docentes!$A:$E,2,0)</f>
        <v>JULIANA KELMY MACARIO DE FARIA DAGUANO</v>
      </c>
      <c r="Z603" s="177" t="str">
        <f>VLOOKUP(X603,docentes!$A:$E,5,0)</f>
        <v>CECS</v>
      </c>
    </row>
    <row r="604" spans="1:26" s="44" customFormat="1" ht="66.75" customHeight="1">
      <c r="A604" s="148" t="s">
        <v>692</v>
      </c>
      <c r="B604" s="146" t="s">
        <v>2395</v>
      </c>
      <c r="C604" s="149" t="s">
        <v>2384</v>
      </c>
      <c r="D604" s="150">
        <v>6</v>
      </c>
      <c r="E604" s="150" t="s">
        <v>2385</v>
      </c>
      <c r="F604" s="151" t="s">
        <v>2396</v>
      </c>
      <c r="G604" s="152">
        <v>3</v>
      </c>
      <c r="H604" s="152">
        <v>1</v>
      </c>
      <c r="I604" s="153">
        <v>5</v>
      </c>
      <c r="J604" s="154">
        <v>3</v>
      </c>
      <c r="K604" s="155">
        <v>1</v>
      </c>
      <c r="L604" s="148" t="s">
        <v>998</v>
      </c>
      <c r="M604" s="148" t="s">
        <v>68</v>
      </c>
      <c r="N604" s="156" t="s">
        <v>2387</v>
      </c>
      <c r="O604" s="165" t="s">
        <v>2388</v>
      </c>
      <c r="P604" s="158">
        <v>60</v>
      </c>
      <c r="Q604" s="152" t="s">
        <v>60</v>
      </c>
      <c r="R604" s="152" t="s">
        <v>70</v>
      </c>
      <c r="S604" s="148" t="s">
        <v>2397</v>
      </c>
      <c r="T604" s="148" t="s">
        <v>2398</v>
      </c>
      <c r="U604" s="159">
        <v>345</v>
      </c>
      <c r="V604" s="160" t="str">
        <f>VLOOKUP(U604,docentes!$A:$E,2,0)</f>
        <v>LUIZ FERNANDO GRESPAN SETZ</v>
      </c>
      <c r="W604" s="161" t="str">
        <f>VLOOKUP(U604,docentes!$A:$E,5,0)</f>
        <v>CECS</v>
      </c>
      <c r="X604" s="176">
        <v>345</v>
      </c>
      <c r="Y604" s="160" t="str">
        <f>VLOOKUP(X604,docentes!$A:$E,2,0)</f>
        <v>LUIZ FERNANDO GRESPAN SETZ</v>
      </c>
      <c r="Z604" s="177" t="str">
        <f>VLOOKUP(X604,docentes!$A:$E,5,0)</f>
        <v>CECS</v>
      </c>
    </row>
    <row r="605" spans="1:26" s="44" customFormat="1" ht="66.75" customHeight="1">
      <c r="A605" s="148" t="s">
        <v>692</v>
      </c>
      <c r="B605" s="146" t="s">
        <v>2399</v>
      </c>
      <c r="C605" s="149" t="s">
        <v>2384</v>
      </c>
      <c r="D605" s="150">
        <v>6</v>
      </c>
      <c r="E605" s="150" t="s">
        <v>2385</v>
      </c>
      <c r="F605" s="151" t="s">
        <v>2400</v>
      </c>
      <c r="G605" s="152">
        <v>3</v>
      </c>
      <c r="H605" s="152">
        <v>1</v>
      </c>
      <c r="I605" s="153">
        <v>5</v>
      </c>
      <c r="J605" s="154">
        <v>3</v>
      </c>
      <c r="K605" s="155">
        <v>1</v>
      </c>
      <c r="L605" s="148" t="s">
        <v>998</v>
      </c>
      <c r="M605" s="148" t="s">
        <v>68</v>
      </c>
      <c r="N605" s="156" t="s">
        <v>2387</v>
      </c>
      <c r="O605" s="148" t="s">
        <v>2388</v>
      </c>
      <c r="P605" s="158">
        <v>60</v>
      </c>
      <c r="Q605" s="152" t="s">
        <v>60</v>
      </c>
      <c r="R605" s="152" t="s">
        <v>61</v>
      </c>
      <c r="S605" s="148" t="s">
        <v>2401</v>
      </c>
      <c r="T605" s="148" t="s">
        <v>2402</v>
      </c>
      <c r="U605" s="159">
        <v>248</v>
      </c>
      <c r="V605" s="160" t="str">
        <f>VLOOKUP(U605,docentes!$A:$E,2,0)</f>
        <v>HUMBERTO NAOYUKI YOSHIMURA</v>
      </c>
      <c r="W605" s="161" t="str">
        <f>VLOOKUP(U605,docentes!$A:$E,5,0)</f>
        <v>CECS</v>
      </c>
      <c r="X605" s="176">
        <v>248</v>
      </c>
      <c r="Y605" s="160" t="str">
        <f>VLOOKUP(X605,docentes!$A:$E,2,0)</f>
        <v>HUMBERTO NAOYUKI YOSHIMURA</v>
      </c>
      <c r="Z605" s="177" t="str">
        <f>VLOOKUP(X605,docentes!$A:$E,5,0)</f>
        <v>CECS</v>
      </c>
    </row>
    <row r="606" spans="1:26" s="44" customFormat="1" ht="66.75" customHeight="1">
      <c r="A606" s="148" t="s">
        <v>692</v>
      </c>
      <c r="B606" s="146" t="s">
        <v>2403</v>
      </c>
      <c r="C606" s="149" t="s">
        <v>2384</v>
      </c>
      <c r="D606" s="150">
        <v>6</v>
      </c>
      <c r="E606" s="150" t="s">
        <v>2385</v>
      </c>
      <c r="F606" s="151" t="s">
        <v>2404</v>
      </c>
      <c r="G606" s="152">
        <v>3</v>
      </c>
      <c r="H606" s="152">
        <v>1</v>
      </c>
      <c r="I606" s="153">
        <v>5</v>
      </c>
      <c r="J606" s="154">
        <v>3</v>
      </c>
      <c r="K606" s="155">
        <v>1</v>
      </c>
      <c r="L606" s="148" t="s">
        <v>998</v>
      </c>
      <c r="M606" s="148" t="s">
        <v>68</v>
      </c>
      <c r="N606" s="178" t="s">
        <v>2387</v>
      </c>
      <c r="O606" s="165" t="s">
        <v>2388</v>
      </c>
      <c r="P606" s="158">
        <v>60</v>
      </c>
      <c r="Q606" s="152" t="s">
        <v>60</v>
      </c>
      <c r="R606" s="152" t="s">
        <v>70</v>
      </c>
      <c r="S606" s="148" t="s">
        <v>2405</v>
      </c>
      <c r="T606" s="148" t="s">
        <v>2406</v>
      </c>
      <c r="U606" s="159">
        <v>215</v>
      </c>
      <c r="V606" s="160" t="str">
        <f>VLOOKUP(U606,docentes!$A:$E,2,0)</f>
        <v>GERSON LUIZ MANTOVANI</v>
      </c>
      <c r="W606" s="161" t="str">
        <f>VLOOKUP(U606,docentes!$A:$E,5,0)</f>
        <v>CECS</v>
      </c>
      <c r="X606" s="176">
        <v>215</v>
      </c>
      <c r="Y606" s="160" t="str">
        <f>VLOOKUP(X606,docentes!$A:$E,2,0)</f>
        <v>GERSON LUIZ MANTOVANI</v>
      </c>
      <c r="Z606" s="177" t="str">
        <f>VLOOKUP(X606,docentes!$A:$E,5,0)</f>
        <v>CECS</v>
      </c>
    </row>
    <row r="607" spans="1:26" s="44" customFormat="1" ht="66.75" customHeight="1">
      <c r="A607" s="148" t="s">
        <v>692</v>
      </c>
      <c r="B607" s="146" t="s">
        <v>2407</v>
      </c>
      <c r="C607" s="149" t="s">
        <v>2384</v>
      </c>
      <c r="D607" s="150">
        <v>6</v>
      </c>
      <c r="E607" s="150" t="s">
        <v>2385</v>
      </c>
      <c r="F607" s="151" t="s">
        <v>2408</v>
      </c>
      <c r="G607" s="152">
        <v>3</v>
      </c>
      <c r="H607" s="152">
        <v>1</v>
      </c>
      <c r="I607" s="153">
        <v>5</v>
      </c>
      <c r="J607" s="154">
        <v>3</v>
      </c>
      <c r="K607" s="155">
        <v>1</v>
      </c>
      <c r="L607" s="148" t="s">
        <v>998</v>
      </c>
      <c r="M607" s="148" t="s">
        <v>68</v>
      </c>
      <c r="N607" s="178" t="s">
        <v>2387</v>
      </c>
      <c r="O607" s="165" t="s">
        <v>2388</v>
      </c>
      <c r="P607" s="158">
        <v>60</v>
      </c>
      <c r="Q607" s="152" t="s">
        <v>60</v>
      </c>
      <c r="R607" s="152" t="s">
        <v>61</v>
      </c>
      <c r="S607" s="148" t="s">
        <v>2409</v>
      </c>
      <c r="T607" s="148" t="s">
        <v>2410</v>
      </c>
      <c r="U607" s="159">
        <v>168</v>
      </c>
      <c r="V607" s="160" t="str">
        <f>VLOOKUP(U607,docentes!$A:$E,2,0)</f>
        <v>ERIKA FERNANDA PRADOS</v>
      </c>
      <c r="W607" s="161" t="str">
        <f>VLOOKUP(U607,docentes!$A:$E,5,0)</f>
        <v>CECS</v>
      </c>
      <c r="X607" s="176">
        <v>168</v>
      </c>
      <c r="Y607" s="160" t="str">
        <f>VLOOKUP(X607,docentes!$A:$E,2,0)</f>
        <v>ERIKA FERNANDA PRADOS</v>
      </c>
      <c r="Z607" s="177" t="str">
        <f>VLOOKUP(X607,docentes!$A:$E,5,0)</f>
        <v>CECS</v>
      </c>
    </row>
    <row r="608" spans="1:26" s="44" customFormat="1" ht="66.75" customHeight="1">
      <c r="A608" s="148" t="s">
        <v>993</v>
      </c>
      <c r="B608" s="146" t="s">
        <v>2411</v>
      </c>
      <c r="C608" s="149" t="s">
        <v>2412</v>
      </c>
      <c r="D608" s="150">
        <v>4</v>
      </c>
      <c r="E608" s="150" t="s">
        <v>2413</v>
      </c>
      <c r="F608" s="151" t="s">
        <v>2414</v>
      </c>
      <c r="G608" s="152">
        <v>3</v>
      </c>
      <c r="H608" s="152">
        <v>1</v>
      </c>
      <c r="I608" s="153">
        <v>4</v>
      </c>
      <c r="J608" s="154">
        <v>3</v>
      </c>
      <c r="K608" s="155">
        <v>1</v>
      </c>
      <c r="L608" s="148" t="s">
        <v>2347</v>
      </c>
      <c r="M608" s="148"/>
      <c r="N608" s="156"/>
      <c r="O608" s="165" t="s">
        <v>1716</v>
      </c>
      <c r="P608" s="158">
        <v>32</v>
      </c>
      <c r="Q608" s="152" t="s">
        <v>60</v>
      </c>
      <c r="R608" s="152" t="s">
        <v>61</v>
      </c>
      <c r="S608" s="148" t="s">
        <v>2415</v>
      </c>
      <c r="T608" s="148" t="s">
        <v>2416</v>
      </c>
      <c r="U608" s="159">
        <v>10052</v>
      </c>
      <c r="V608" s="160" t="str">
        <f>VLOOKUP(U608,docentes!$A:$E,2,0)</f>
        <v>MARCIO GUSTAVO DI VERNIERI CUPPARI</v>
      </c>
      <c r="W608" s="161" t="str">
        <f>VLOOKUP(U608,docentes!$A:$E,5,0)</f>
        <v>CECS</v>
      </c>
      <c r="X608" s="176">
        <v>10052</v>
      </c>
      <c r="Y608" s="160" t="str">
        <f>VLOOKUP(X608,docentes!$A:$E,2,0)</f>
        <v>MARCIO GUSTAVO DI VERNIERI CUPPARI</v>
      </c>
      <c r="Z608" s="177" t="str">
        <f>VLOOKUP(X608,docentes!$A:$E,5,0)</f>
        <v>CECS</v>
      </c>
    </row>
    <row r="609" spans="1:35" s="44" customFormat="1" ht="66.75" customHeight="1">
      <c r="A609" s="148" t="s">
        <v>993</v>
      </c>
      <c r="B609" s="146" t="s">
        <v>2417</v>
      </c>
      <c r="C609" s="149" t="s">
        <v>2412</v>
      </c>
      <c r="D609" s="150">
        <v>4</v>
      </c>
      <c r="E609" s="150" t="s">
        <v>2413</v>
      </c>
      <c r="F609" s="151" t="s">
        <v>2418</v>
      </c>
      <c r="G609" s="152">
        <v>3</v>
      </c>
      <c r="H609" s="152">
        <v>1</v>
      </c>
      <c r="I609" s="153">
        <v>4</v>
      </c>
      <c r="J609" s="154">
        <v>3</v>
      </c>
      <c r="K609" s="155">
        <v>1</v>
      </c>
      <c r="L609" s="148" t="s">
        <v>2347</v>
      </c>
      <c r="M609" s="148"/>
      <c r="N609" s="156"/>
      <c r="O609" s="148" t="s">
        <v>1716</v>
      </c>
      <c r="P609" s="158">
        <v>33</v>
      </c>
      <c r="Q609" s="152" t="s">
        <v>60</v>
      </c>
      <c r="R609" s="152" t="s">
        <v>70</v>
      </c>
      <c r="S609" s="148" t="s">
        <v>2419</v>
      </c>
      <c r="T609" s="148" t="s">
        <v>2420</v>
      </c>
      <c r="U609" s="159">
        <v>10052</v>
      </c>
      <c r="V609" s="160" t="str">
        <f>VLOOKUP(U609,docentes!$A:$E,2,0)</f>
        <v>MARCIO GUSTAVO DI VERNIERI CUPPARI</v>
      </c>
      <c r="W609" s="161" t="str">
        <f>VLOOKUP(U609,docentes!$A:$E,5,0)</f>
        <v>CECS</v>
      </c>
      <c r="X609" s="176">
        <v>10052</v>
      </c>
      <c r="Y609" s="160" t="str">
        <f>VLOOKUP(X609,docentes!$A:$E,2,0)</f>
        <v>MARCIO GUSTAVO DI VERNIERI CUPPARI</v>
      </c>
      <c r="Z609" s="177" t="str">
        <f>VLOOKUP(X609,docentes!$A:$E,5,0)</f>
        <v>CECS</v>
      </c>
      <c r="AH609" s="45"/>
      <c r="AI609" s="45"/>
    </row>
    <row r="610" spans="1:35" s="44" customFormat="1" ht="66.75" customHeight="1">
      <c r="A610" s="148" t="s">
        <v>993</v>
      </c>
      <c r="B610" s="146" t="s">
        <v>2421</v>
      </c>
      <c r="C610" s="149" t="s">
        <v>2412</v>
      </c>
      <c r="D610" s="150">
        <v>4</v>
      </c>
      <c r="E610" s="150" t="s">
        <v>2413</v>
      </c>
      <c r="F610" s="151" t="s">
        <v>2422</v>
      </c>
      <c r="G610" s="152">
        <v>3</v>
      </c>
      <c r="H610" s="152">
        <v>1</v>
      </c>
      <c r="I610" s="153">
        <v>4</v>
      </c>
      <c r="J610" s="154">
        <v>3</v>
      </c>
      <c r="K610" s="155">
        <v>1</v>
      </c>
      <c r="L610" s="148" t="s">
        <v>2347</v>
      </c>
      <c r="M610" s="148" t="s">
        <v>977</v>
      </c>
      <c r="N610" s="156">
        <v>0</v>
      </c>
      <c r="O610" s="165" t="s">
        <v>2352</v>
      </c>
      <c r="P610" s="158">
        <v>30</v>
      </c>
      <c r="Q610" s="152" t="s">
        <v>60</v>
      </c>
      <c r="R610" s="152" t="s">
        <v>61</v>
      </c>
      <c r="S610" s="148" t="s">
        <v>2423</v>
      </c>
      <c r="T610" s="148" t="s">
        <v>2424</v>
      </c>
      <c r="U610" s="159">
        <v>10052</v>
      </c>
      <c r="V610" s="160" t="str">
        <f>VLOOKUP(U610,docentes!$A:$E,2,0)</f>
        <v>MARCIO GUSTAVO DI VERNIERI CUPPARI</v>
      </c>
      <c r="W610" s="161" t="str">
        <f>VLOOKUP(U610,docentes!$A:$E,5,0)</f>
        <v>CECS</v>
      </c>
      <c r="X610" s="176">
        <v>10052</v>
      </c>
      <c r="Y610" s="160" t="str">
        <f>VLOOKUP(X610,docentes!$A:$E,2,0)</f>
        <v>MARCIO GUSTAVO DI VERNIERI CUPPARI</v>
      </c>
      <c r="Z610" s="177" t="str">
        <f>VLOOKUP(X610,docentes!$A:$E,5,0)</f>
        <v>CECS</v>
      </c>
    </row>
    <row r="611" spans="1:35" s="44" customFormat="1" ht="66.75" customHeight="1">
      <c r="A611" s="148" t="s">
        <v>993</v>
      </c>
      <c r="B611" s="146" t="s">
        <v>2425</v>
      </c>
      <c r="C611" s="149" t="s">
        <v>2412</v>
      </c>
      <c r="D611" s="150">
        <v>4</v>
      </c>
      <c r="E611" s="150" t="s">
        <v>2413</v>
      </c>
      <c r="F611" s="151" t="s">
        <v>2426</v>
      </c>
      <c r="G611" s="152">
        <v>3</v>
      </c>
      <c r="H611" s="152">
        <v>1</v>
      </c>
      <c r="I611" s="153">
        <v>4</v>
      </c>
      <c r="J611" s="154">
        <v>3</v>
      </c>
      <c r="K611" s="155">
        <v>1</v>
      </c>
      <c r="L611" s="148" t="s">
        <v>2347</v>
      </c>
      <c r="M611" s="148" t="s">
        <v>977</v>
      </c>
      <c r="N611" s="156">
        <v>0</v>
      </c>
      <c r="O611" s="165" t="s">
        <v>2352</v>
      </c>
      <c r="P611" s="158">
        <v>30</v>
      </c>
      <c r="Q611" s="152" t="s">
        <v>60</v>
      </c>
      <c r="R611" s="152" t="s">
        <v>70</v>
      </c>
      <c r="S611" s="148" t="s">
        <v>2427</v>
      </c>
      <c r="T611" s="148" t="s">
        <v>2428</v>
      </c>
      <c r="U611" s="159">
        <v>10052</v>
      </c>
      <c r="V611" s="160" t="str">
        <f>VLOOKUP(U611,docentes!$A:$E,2,0)</f>
        <v>MARCIO GUSTAVO DI VERNIERI CUPPARI</v>
      </c>
      <c r="W611" s="161" t="str">
        <f>VLOOKUP(U611,docentes!$A:$E,5,0)</f>
        <v>CECS</v>
      </c>
      <c r="X611" s="176">
        <v>10052</v>
      </c>
      <c r="Y611" s="160" t="str">
        <f>VLOOKUP(X611,docentes!$A:$E,2,0)</f>
        <v>MARCIO GUSTAVO DI VERNIERI CUPPARI</v>
      </c>
      <c r="Z611" s="177" t="str">
        <f>VLOOKUP(X611,docentes!$A:$E,5,0)</f>
        <v>CECS</v>
      </c>
    </row>
    <row r="612" spans="1:35" s="44" customFormat="1" ht="66.75" customHeight="1">
      <c r="A612" s="148" t="s">
        <v>993</v>
      </c>
      <c r="B612" s="146" t="s">
        <v>2429</v>
      </c>
      <c r="C612" s="149" t="s">
        <v>2430</v>
      </c>
      <c r="D612" s="150">
        <v>4</v>
      </c>
      <c r="E612" s="150" t="s">
        <v>2431</v>
      </c>
      <c r="F612" s="151" t="s">
        <v>2432</v>
      </c>
      <c r="G612" s="152">
        <v>3</v>
      </c>
      <c r="H612" s="152">
        <v>1</v>
      </c>
      <c r="I612" s="153">
        <v>4</v>
      </c>
      <c r="J612" s="154">
        <v>3</v>
      </c>
      <c r="K612" s="155">
        <v>1</v>
      </c>
      <c r="L612" s="148" t="s">
        <v>2347</v>
      </c>
      <c r="M612" s="148"/>
      <c r="N612" s="156"/>
      <c r="O612" s="165" t="s">
        <v>1716</v>
      </c>
      <c r="P612" s="158">
        <v>32</v>
      </c>
      <c r="Q612" s="152" t="s">
        <v>60</v>
      </c>
      <c r="R612" s="152" t="s">
        <v>61</v>
      </c>
      <c r="S612" s="148" t="s">
        <v>2433</v>
      </c>
      <c r="T612" s="148" t="s">
        <v>2434</v>
      </c>
      <c r="U612" s="159">
        <v>511</v>
      </c>
      <c r="V612" s="160" t="str">
        <f>VLOOKUP(U612,docentes!$A:$E,2,0)</f>
        <v>SANDRA ANDREA CRUZ</v>
      </c>
      <c r="W612" s="161" t="str">
        <f>VLOOKUP(U612,docentes!$A:$E,5,0)</f>
        <v>CECS</v>
      </c>
      <c r="X612" s="176">
        <v>511</v>
      </c>
      <c r="Y612" s="160" t="str">
        <f>VLOOKUP(X612,docentes!$A:$E,2,0)</f>
        <v>SANDRA ANDREA CRUZ</v>
      </c>
      <c r="Z612" s="177" t="str">
        <f>VLOOKUP(X612,docentes!$A:$E,5,0)</f>
        <v>CECS</v>
      </c>
    </row>
    <row r="613" spans="1:35" s="44" customFormat="1" ht="66.75" customHeight="1">
      <c r="A613" s="148" t="s">
        <v>993</v>
      </c>
      <c r="B613" s="146" t="s">
        <v>2435</v>
      </c>
      <c r="C613" s="149" t="s">
        <v>2430</v>
      </c>
      <c r="D613" s="150">
        <v>4</v>
      </c>
      <c r="E613" s="150" t="s">
        <v>2431</v>
      </c>
      <c r="F613" s="151" t="s">
        <v>2436</v>
      </c>
      <c r="G613" s="152">
        <v>3</v>
      </c>
      <c r="H613" s="152">
        <v>1</v>
      </c>
      <c r="I613" s="153">
        <v>4</v>
      </c>
      <c r="J613" s="154">
        <v>3</v>
      </c>
      <c r="K613" s="155">
        <v>1</v>
      </c>
      <c r="L613" s="148" t="s">
        <v>2347</v>
      </c>
      <c r="M613" s="148"/>
      <c r="N613" s="156"/>
      <c r="O613" s="148" t="s">
        <v>1716</v>
      </c>
      <c r="P613" s="158">
        <v>33</v>
      </c>
      <c r="Q613" s="152" t="s">
        <v>60</v>
      </c>
      <c r="R613" s="152" t="s">
        <v>70</v>
      </c>
      <c r="S613" s="148" t="s">
        <v>2437</v>
      </c>
      <c r="T613" s="148" t="s">
        <v>2438</v>
      </c>
      <c r="U613" s="159">
        <v>511</v>
      </c>
      <c r="V613" s="160" t="str">
        <f>VLOOKUP(U613,docentes!$A:$E,2,0)</f>
        <v>SANDRA ANDREA CRUZ</v>
      </c>
      <c r="W613" s="161" t="str">
        <f>VLOOKUP(U613,docentes!$A:$E,5,0)</f>
        <v>CECS</v>
      </c>
      <c r="X613" s="176">
        <v>511</v>
      </c>
      <c r="Y613" s="160" t="str">
        <f>VLOOKUP(X613,docentes!$A:$E,2,0)</f>
        <v>SANDRA ANDREA CRUZ</v>
      </c>
      <c r="Z613" s="177" t="str">
        <f>VLOOKUP(X613,docentes!$A:$E,5,0)</f>
        <v>CECS</v>
      </c>
    </row>
    <row r="614" spans="1:35" s="44" customFormat="1" ht="66.75" customHeight="1">
      <c r="A614" s="148" t="s">
        <v>993</v>
      </c>
      <c r="B614" s="146" t="s">
        <v>2439</v>
      </c>
      <c r="C614" s="149" t="s">
        <v>2430</v>
      </c>
      <c r="D614" s="150">
        <v>4</v>
      </c>
      <c r="E614" s="150" t="s">
        <v>2431</v>
      </c>
      <c r="F614" s="151" t="s">
        <v>2440</v>
      </c>
      <c r="G614" s="152">
        <v>3</v>
      </c>
      <c r="H614" s="152">
        <v>1</v>
      </c>
      <c r="I614" s="153">
        <v>4</v>
      </c>
      <c r="J614" s="154">
        <v>3</v>
      </c>
      <c r="K614" s="155">
        <v>1</v>
      </c>
      <c r="L614" s="148" t="s">
        <v>2347</v>
      </c>
      <c r="M614" s="148" t="s">
        <v>977</v>
      </c>
      <c r="N614" s="156">
        <v>0</v>
      </c>
      <c r="O614" s="165" t="s">
        <v>2352</v>
      </c>
      <c r="P614" s="158">
        <v>30</v>
      </c>
      <c r="Q614" s="152" t="s">
        <v>60</v>
      </c>
      <c r="R614" s="152" t="s">
        <v>61</v>
      </c>
      <c r="S614" s="148" t="s">
        <v>2441</v>
      </c>
      <c r="T614" s="148" t="s">
        <v>2442</v>
      </c>
      <c r="U614" s="159">
        <v>511</v>
      </c>
      <c r="V614" s="160" t="str">
        <f>VLOOKUP(U614,docentes!$A:$E,2,0)</f>
        <v>SANDRA ANDREA CRUZ</v>
      </c>
      <c r="W614" s="161" t="str">
        <f>VLOOKUP(U614,docentes!$A:$E,5,0)</f>
        <v>CECS</v>
      </c>
      <c r="X614" s="176">
        <v>511</v>
      </c>
      <c r="Y614" s="160" t="str">
        <f>VLOOKUP(X614,docentes!$A:$E,2,0)</f>
        <v>SANDRA ANDREA CRUZ</v>
      </c>
      <c r="Z614" s="177" t="str">
        <f>VLOOKUP(X614,docentes!$A:$E,5,0)</f>
        <v>CECS</v>
      </c>
    </row>
    <row r="615" spans="1:35" s="44" customFormat="1" ht="66.75" customHeight="1">
      <c r="A615" s="148" t="s">
        <v>993</v>
      </c>
      <c r="B615" s="146" t="s">
        <v>2443</v>
      </c>
      <c r="C615" s="149" t="s">
        <v>2430</v>
      </c>
      <c r="D615" s="150">
        <v>4</v>
      </c>
      <c r="E615" s="150" t="s">
        <v>2431</v>
      </c>
      <c r="F615" s="151" t="s">
        <v>2444</v>
      </c>
      <c r="G615" s="152">
        <v>3</v>
      </c>
      <c r="H615" s="152">
        <v>1</v>
      </c>
      <c r="I615" s="153">
        <v>4</v>
      </c>
      <c r="J615" s="154">
        <v>3</v>
      </c>
      <c r="K615" s="155">
        <v>1</v>
      </c>
      <c r="L615" s="148" t="s">
        <v>2347</v>
      </c>
      <c r="M615" s="148" t="s">
        <v>977</v>
      </c>
      <c r="N615" s="156">
        <v>0</v>
      </c>
      <c r="O615" s="165" t="s">
        <v>2352</v>
      </c>
      <c r="P615" s="158">
        <v>30</v>
      </c>
      <c r="Q615" s="152" t="s">
        <v>60</v>
      </c>
      <c r="R615" s="152" t="s">
        <v>70</v>
      </c>
      <c r="S615" s="148" t="s">
        <v>2445</v>
      </c>
      <c r="T615" s="148" t="s">
        <v>2446</v>
      </c>
      <c r="U615" s="159">
        <v>511</v>
      </c>
      <c r="V615" s="160" t="str">
        <f>VLOOKUP(U615,docentes!$A:$E,2,0)</f>
        <v>SANDRA ANDREA CRUZ</v>
      </c>
      <c r="W615" s="161" t="str">
        <f>VLOOKUP(U615,docentes!$A:$E,5,0)</f>
        <v>CECS</v>
      </c>
      <c r="X615" s="176">
        <v>511</v>
      </c>
      <c r="Y615" s="160" t="str">
        <f>VLOOKUP(X615,docentes!$A:$E,2,0)</f>
        <v>SANDRA ANDREA CRUZ</v>
      </c>
      <c r="Z615" s="177" t="str">
        <f>VLOOKUP(X615,docentes!$A:$E,5,0)</f>
        <v>CECS</v>
      </c>
    </row>
    <row r="616" spans="1:35" s="44" customFormat="1" ht="66.75" hidden="1" customHeight="1">
      <c r="A616" s="148" t="s">
        <v>915</v>
      </c>
      <c r="B616" s="168" t="s">
        <v>2447</v>
      </c>
      <c r="C616" s="149"/>
      <c r="D616" s="150">
        <v>0</v>
      </c>
      <c r="E616" s="150" t="s">
        <v>2448</v>
      </c>
      <c r="F616" s="169" t="s">
        <v>2449</v>
      </c>
      <c r="G616" s="152">
        <v>4</v>
      </c>
      <c r="H616" s="152">
        <v>0</v>
      </c>
      <c r="I616" s="153">
        <v>4</v>
      </c>
      <c r="J616" s="154">
        <v>0</v>
      </c>
      <c r="K616" s="155">
        <v>0</v>
      </c>
      <c r="L616" s="148" t="s">
        <v>644</v>
      </c>
      <c r="M616" s="148" t="s">
        <v>58</v>
      </c>
      <c r="N616" s="156"/>
      <c r="O616" s="165" t="s">
        <v>102</v>
      </c>
      <c r="P616" s="158">
        <v>0</v>
      </c>
      <c r="Q616" s="152" t="s">
        <v>60</v>
      </c>
      <c r="R616" s="152" t="s">
        <v>61</v>
      </c>
      <c r="S616" s="148" t="s">
        <v>2450</v>
      </c>
      <c r="T616" s="148">
        <v>0</v>
      </c>
      <c r="U616" s="170">
        <v>504</v>
      </c>
      <c r="V616" s="163" t="str">
        <f>VLOOKUP(U616,docentes!$A:$E,2,0)</f>
        <v>ROOSEVELT DROPPA JUNIOR</v>
      </c>
      <c r="W616" s="171" t="str">
        <f>VLOOKUP(U616,docentes!$A:$E,5,0)</f>
        <v>CCNH</v>
      </c>
      <c r="X616" s="162"/>
      <c r="Y616" s="163"/>
      <c r="Z616" s="164"/>
    </row>
    <row r="617" spans="1:35" s="44" customFormat="1" ht="66.75" customHeight="1">
      <c r="A617" s="148" t="s">
        <v>915</v>
      </c>
      <c r="B617" s="146" t="s">
        <v>2451</v>
      </c>
      <c r="C617" s="149" t="s">
        <v>2452</v>
      </c>
      <c r="D617" s="150">
        <v>1</v>
      </c>
      <c r="E617" s="150" t="s">
        <v>2448</v>
      </c>
      <c r="F617" s="151" t="s">
        <v>2453</v>
      </c>
      <c r="G617" s="152">
        <v>4</v>
      </c>
      <c r="H617" s="152">
        <v>0</v>
      </c>
      <c r="I617" s="153">
        <v>4</v>
      </c>
      <c r="J617" s="154">
        <v>4</v>
      </c>
      <c r="K617" s="155">
        <v>0</v>
      </c>
      <c r="L617" s="148" t="s">
        <v>57</v>
      </c>
      <c r="M617" s="148" t="s">
        <v>58</v>
      </c>
      <c r="N617" s="156"/>
      <c r="O617" s="157" t="s">
        <v>59</v>
      </c>
      <c r="P617" s="158">
        <v>30</v>
      </c>
      <c r="Q617" s="152" t="s">
        <v>60</v>
      </c>
      <c r="R617" s="152" t="s">
        <v>70</v>
      </c>
      <c r="S617" s="148" t="s">
        <v>2454</v>
      </c>
      <c r="T617" s="148">
        <v>0</v>
      </c>
      <c r="U617" s="159">
        <v>30</v>
      </c>
      <c r="V617" s="160" t="str">
        <f>VLOOKUP(U617,docentes!$A:$E,2,0)</f>
        <v>ALYSSON FABIO FERRARI</v>
      </c>
      <c r="W617" s="161" t="str">
        <f>VLOOKUP(U617,docentes!$A:$E,5,0)</f>
        <v>CCNH</v>
      </c>
      <c r="X617" s="162"/>
      <c r="Y617" s="163"/>
      <c r="Z617" s="164"/>
    </row>
    <row r="618" spans="1:35" s="44" customFormat="1" ht="66.75" customHeight="1">
      <c r="A618" s="148" t="s">
        <v>915</v>
      </c>
      <c r="B618" s="146" t="s">
        <v>2455</v>
      </c>
      <c r="C618" s="149" t="s">
        <v>2456</v>
      </c>
      <c r="D618" s="150">
        <v>2</v>
      </c>
      <c r="E618" s="150" t="s">
        <v>2457</v>
      </c>
      <c r="F618" s="151" t="s">
        <v>2458</v>
      </c>
      <c r="G618" s="152">
        <v>4</v>
      </c>
      <c r="H618" s="152">
        <v>0</v>
      </c>
      <c r="I618" s="153">
        <v>4</v>
      </c>
      <c r="J618" s="154">
        <v>4</v>
      </c>
      <c r="K618" s="155">
        <v>0</v>
      </c>
      <c r="L618" s="148" t="s">
        <v>57</v>
      </c>
      <c r="M618" s="148" t="s">
        <v>58</v>
      </c>
      <c r="N618" s="156"/>
      <c r="O618" s="157" t="s">
        <v>59</v>
      </c>
      <c r="P618" s="158">
        <v>30</v>
      </c>
      <c r="Q618" s="152" t="s">
        <v>60</v>
      </c>
      <c r="R618" s="152" t="s">
        <v>61</v>
      </c>
      <c r="S618" s="148" t="s">
        <v>2459</v>
      </c>
      <c r="T618" s="148">
        <v>0</v>
      </c>
      <c r="U618" s="159">
        <v>455</v>
      </c>
      <c r="V618" s="160" t="str">
        <f>VLOOKUP(U618,docentes!$A:$E,2,0)</f>
        <v>PEDRO GALLI MERCADANTE</v>
      </c>
      <c r="W618" s="161" t="str">
        <f>VLOOKUP(U618,docentes!$A:$E,5,0)</f>
        <v>CCNH</v>
      </c>
      <c r="X618" s="162"/>
      <c r="Y618" s="163"/>
      <c r="Z618" s="164"/>
    </row>
    <row r="619" spans="1:35" s="44" customFormat="1" ht="66.75" customHeight="1">
      <c r="A619" s="148" t="s">
        <v>915</v>
      </c>
      <c r="B619" s="146" t="s">
        <v>2460</v>
      </c>
      <c r="C619" s="149" t="s">
        <v>2456</v>
      </c>
      <c r="D619" s="150">
        <v>2</v>
      </c>
      <c r="E619" s="150" t="s">
        <v>2457</v>
      </c>
      <c r="F619" s="151" t="s">
        <v>2461</v>
      </c>
      <c r="G619" s="152">
        <v>4</v>
      </c>
      <c r="H619" s="152">
        <v>0</v>
      </c>
      <c r="I619" s="153">
        <v>4</v>
      </c>
      <c r="J619" s="154">
        <v>4</v>
      </c>
      <c r="K619" s="155">
        <v>0</v>
      </c>
      <c r="L619" s="148" t="s">
        <v>57</v>
      </c>
      <c r="M619" s="148" t="s">
        <v>58</v>
      </c>
      <c r="N619" s="156"/>
      <c r="O619" s="157" t="s">
        <v>59</v>
      </c>
      <c r="P619" s="158">
        <v>30</v>
      </c>
      <c r="Q619" s="152" t="s">
        <v>60</v>
      </c>
      <c r="R619" s="152" t="s">
        <v>70</v>
      </c>
      <c r="S619" s="148" t="s">
        <v>2462</v>
      </c>
      <c r="T619" s="148">
        <v>0</v>
      </c>
      <c r="U619" s="159">
        <v>379</v>
      </c>
      <c r="V619" s="160" t="str">
        <f>VLOOKUP(U619,docentes!$A:$E,2,0)</f>
        <v>MARCOS ROBERTO DA SILVA TAVARES</v>
      </c>
      <c r="W619" s="161" t="str">
        <f>VLOOKUP(U619,docentes!$A:$E,5,0)</f>
        <v>CCNH</v>
      </c>
      <c r="X619" s="162"/>
      <c r="Y619" s="163"/>
      <c r="Z619" s="164"/>
    </row>
    <row r="620" spans="1:35" ht="66.75" customHeight="1">
      <c r="A620" s="148" t="s">
        <v>52</v>
      </c>
      <c r="B620" s="146" t="s">
        <v>2463</v>
      </c>
      <c r="C620" s="149" t="s">
        <v>2464</v>
      </c>
      <c r="D620" s="150">
        <v>2</v>
      </c>
      <c r="E620" s="150" t="s">
        <v>2465</v>
      </c>
      <c r="F620" s="151" t="s">
        <v>2466</v>
      </c>
      <c r="G620" s="152">
        <v>4</v>
      </c>
      <c r="H620" s="152">
        <v>2</v>
      </c>
      <c r="I620" s="153">
        <v>4</v>
      </c>
      <c r="J620" s="154">
        <v>4</v>
      </c>
      <c r="K620" s="155">
        <v>2</v>
      </c>
      <c r="L620" s="148" t="s">
        <v>750</v>
      </c>
      <c r="M620" s="148" t="s">
        <v>58</v>
      </c>
      <c r="N620" s="156">
        <v>42</v>
      </c>
      <c r="O620" s="165" t="s">
        <v>2467</v>
      </c>
      <c r="P620" s="158">
        <v>42</v>
      </c>
      <c r="Q620" s="152" t="s">
        <v>76</v>
      </c>
      <c r="R620" s="152" t="s">
        <v>61</v>
      </c>
      <c r="S620" s="148" t="s">
        <v>2468</v>
      </c>
      <c r="T620" s="148" t="s">
        <v>2469</v>
      </c>
      <c r="U620" s="159">
        <v>86</v>
      </c>
      <c r="V620" s="160" t="str">
        <f>VLOOKUP(U620,docentes!$A:$E,2,0)</f>
        <v>CARLOS ALBERTO ROCHA PIMENTEL</v>
      </c>
      <c r="W620" s="161" t="str">
        <f>VLOOKUP(U620,docentes!$A:$E,5,0)</f>
        <v>CECS</v>
      </c>
      <c r="X620" s="176">
        <v>86</v>
      </c>
      <c r="Y620" s="160" t="str">
        <f>VLOOKUP(X620,docentes!$A:$E,2,0)</f>
        <v>CARLOS ALBERTO ROCHA PIMENTEL</v>
      </c>
      <c r="Z620" s="177" t="str">
        <f>VLOOKUP(X620,docentes!$A:$E,5,0)</f>
        <v>CECS</v>
      </c>
      <c r="AA620" s="44"/>
      <c r="AB620" s="44"/>
      <c r="AC620" s="44"/>
      <c r="AD620" s="44"/>
      <c r="AE620" s="44"/>
      <c r="AF620" s="44"/>
      <c r="AG620" s="44"/>
      <c r="AH620" s="44"/>
      <c r="AI620" s="44"/>
    </row>
    <row r="621" spans="1:35" s="44" customFormat="1" ht="66.75" customHeight="1">
      <c r="A621" s="148" t="s">
        <v>52</v>
      </c>
      <c r="B621" s="146" t="s">
        <v>2470</v>
      </c>
      <c r="C621" s="149" t="s">
        <v>2464</v>
      </c>
      <c r="D621" s="150">
        <v>2</v>
      </c>
      <c r="E621" s="150" t="s">
        <v>2465</v>
      </c>
      <c r="F621" s="151" t="s">
        <v>2471</v>
      </c>
      <c r="G621" s="152">
        <v>4</v>
      </c>
      <c r="H621" s="152">
        <v>2</v>
      </c>
      <c r="I621" s="153">
        <v>4</v>
      </c>
      <c r="J621" s="154">
        <v>4</v>
      </c>
      <c r="K621" s="155">
        <v>2</v>
      </c>
      <c r="L621" s="148" t="s">
        <v>57</v>
      </c>
      <c r="M621" s="148" t="s">
        <v>58</v>
      </c>
      <c r="N621" s="156">
        <v>0</v>
      </c>
      <c r="O621" s="157" t="s">
        <v>59</v>
      </c>
      <c r="P621" s="158">
        <v>32</v>
      </c>
      <c r="Q621" s="152" t="s">
        <v>76</v>
      </c>
      <c r="R621" s="152" t="s">
        <v>70</v>
      </c>
      <c r="S621" s="148" t="s">
        <v>2472</v>
      </c>
      <c r="T621" s="148" t="s">
        <v>2473</v>
      </c>
      <c r="U621" s="159">
        <v>86</v>
      </c>
      <c r="V621" s="160" t="str">
        <f>VLOOKUP(U621,docentes!$A:$E,2,0)</f>
        <v>CARLOS ALBERTO ROCHA PIMENTEL</v>
      </c>
      <c r="W621" s="161" t="str">
        <f>VLOOKUP(U621,docentes!$A:$E,5,0)</f>
        <v>CECS</v>
      </c>
      <c r="X621" s="176">
        <v>86</v>
      </c>
      <c r="Y621" s="160" t="str">
        <f>VLOOKUP(X621,docentes!$A:$E,2,0)</f>
        <v>CARLOS ALBERTO ROCHA PIMENTEL</v>
      </c>
      <c r="Z621" s="177" t="str">
        <f>VLOOKUP(X621,docentes!$A:$E,5,0)</f>
        <v>CECS</v>
      </c>
    </row>
    <row r="622" spans="1:35" s="44" customFormat="1" ht="66.75" customHeight="1">
      <c r="A622" s="148" t="s">
        <v>692</v>
      </c>
      <c r="B622" s="146" t="s">
        <v>2474</v>
      </c>
      <c r="C622" s="149" t="s">
        <v>2475</v>
      </c>
      <c r="D622" s="150">
        <v>3</v>
      </c>
      <c r="E622" s="150" t="s">
        <v>2476</v>
      </c>
      <c r="F622" s="151" t="s">
        <v>2477</v>
      </c>
      <c r="G622" s="152">
        <v>3</v>
      </c>
      <c r="H622" s="152">
        <v>1</v>
      </c>
      <c r="I622" s="153">
        <v>5</v>
      </c>
      <c r="J622" s="154">
        <v>3</v>
      </c>
      <c r="K622" s="155">
        <v>1</v>
      </c>
      <c r="L622" s="148" t="s">
        <v>97</v>
      </c>
      <c r="M622" s="148" t="s">
        <v>58</v>
      </c>
      <c r="N622" s="182"/>
      <c r="O622" s="157" t="s">
        <v>59</v>
      </c>
      <c r="P622" s="158">
        <v>90</v>
      </c>
      <c r="Q622" s="152" t="s">
        <v>60</v>
      </c>
      <c r="R622" s="152" t="s">
        <v>61</v>
      </c>
      <c r="S622" s="148" t="s">
        <v>2478</v>
      </c>
      <c r="T622" s="148">
        <v>0</v>
      </c>
      <c r="U622" s="159">
        <v>306</v>
      </c>
      <c r="V622" s="160" t="str">
        <f>VLOOKUP(U622,docentes!$A:$E,2,0)</f>
        <v>KARL PETER BURR</v>
      </c>
      <c r="W622" s="161" t="str">
        <f>VLOOKUP(U622,docentes!$A:$E,5,0)</f>
        <v>CECS</v>
      </c>
      <c r="X622" s="176">
        <v>306</v>
      </c>
      <c r="Y622" s="160" t="str">
        <f>VLOOKUP(X622,docentes!$A:$E,2,0)</f>
        <v>KARL PETER BURR</v>
      </c>
      <c r="Z622" s="177" t="str">
        <f>VLOOKUP(X622,docentes!$A:$E,5,0)</f>
        <v>CECS</v>
      </c>
    </row>
    <row r="623" spans="1:35" s="44" customFormat="1" ht="66.75" customHeight="1">
      <c r="A623" s="148" t="s">
        <v>692</v>
      </c>
      <c r="B623" s="146" t="s">
        <v>2479</v>
      </c>
      <c r="C623" s="149" t="s">
        <v>2475</v>
      </c>
      <c r="D623" s="150">
        <v>3</v>
      </c>
      <c r="E623" s="150" t="s">
        <v>2476</v>
      </c>
      <c r="F623" s="151" t="s">
        <v>2480</v>
      </c>
      <c r="G623" s="152">
        <v>3</v>
      </c>
      <c r="H623" s="152">
        <v>1</v>
      </c>
      <c r="I623" s="153">
        <v>5</v>
      </c>
      <c r="J623" s="154">
        <v>3</v>
      </c>
      <c r="K623" s="155">
        <v>1</v>
      </c>
      <c r="L623" s="148" t="s">
        <v>97</v>
      </c>
      <c r="M623" s="148" t="s">
        <v>58</v>
      </c>
      <c r="N623" s="178"/>
      <c r="O623" s="157" t="s">
        <v>59</v>
      </c>
      <c r="P623" s="158">
        <v>90</v>
      </c>
      <c r="Q623" s="152" t="s">
        <v>60</v>
      </c>
      <c r="R623" s="152" t="s">
        <v>70</v>
      </c>
      <c r="S623" s="148" t="s">
        <v>2481</v>
      </c>
      <c r="T623" s="148">
        <v>0</v>
      </c>
      <c r="U623" s="159">
        <v>115</v>
      </c>
      <c r="V623" s="160" t="str">
        <f>VLOOKUP(U623,docentes!$A:$E,2,0)</f>
        <v>CRISTIANO FIORILO DE MELO</v>
      </c>
      <c r="W623" s="161" t="str">
        <f>VLOOKUP(U623,docentes!$A:$E,5,0)</f>
        <v>CECS</v>
      </c>
      <c r="X623" s="176">
        <v>115</v>
      </c>
      <c r="Y623" s="160" t="str">
        <f>VLOOKUP(X623,docentes!$A:$E,2,0)</f>
        <v>CRISTIANO FIORILO DE MELO</v>
      </c>
      <c r="Z623" s="177" t="str">
        <f>VLOOKUP(X623,docentes!$A:$E,5,0)</f>
        <v>CECS</v>
      </c>
    </row>
    <row r="624" spans="1:35" s="44" customFormat="1" ht="66.75" customHeight="1">
      <c r="A624" s="148" t="s">
        <v>692</v>
      </c>
      <c r="B624" s="146" t="s">
        <v>2482</v>
      </c>
      <c r="C624" s="149" t="s">
        <v>2475</v>
      </c>
      <c r="D624" s="150">
        <v>3</v>
      </c>
      <c r="E624" s="150" t="s">
        <v>2476</v>
      </c>
      <c r="F624" s="151" t="s">
        <v>2483</v>
      </c>
      <c r="G624" s="152">
        <v>3</v>
      </c>
      <c r="H624" s="152">
        <v>1</v>
      </c>
      <c r="I624" s="153">
        <v>5</v>
      </c>
      <c r="J624" s="154">
        <v>3</v>
      </c>
      <c r="K624" s="155">
        <v>1</v>
      </c>
      <c r="L624" s="148" t="s">
        <v>97</v>
      </c>
      <c r="M624" s="148" t="s">
        <v>58</v>
      </c>
      <c r="N624" s="178"/>
      <c r="O624" s="157" t="s">
        <v>59</v>
      </c>
      <c r="P624" s="158">
        <v>90</v>
      </c>
      <c r="Q624" s="152" t="s">
        <v>76</v>
      </c>
      <c r="R624" s="152" t="s">
        <v>70</v>
      </c>
      <c r="S624" s="148" t="s">
        <v>2484</v>
      </c>
      <c r="T624" s="148">
        <v>0</v>
      </c>
      <c r="U624" s="159">
        <v>503</v>
      </c>
      <c r="V624" s="160" t="str">
        <f>VLOOKUP(U624,docentes!$A:$E,2,0)</f>
        <v>RONNY CALIXTO CARBONARI</v>
      </c>
      <c r="W624" s="161" t="str">
        <f>VLOOKUP(U624,docentes!$A:$E,5,0)</f>
        <v>CECS</v>
      </c>
      <c r="X624" s="176">
        <v>503</v>
      </c>
      <c r="Y624" s="160" t="str">
        <f>VLOOKUP(X624,docentes!$A:$E,2,0)</f>
        <v>RONNY CALIXTO CARBONARI</v>
      </c>
      <c r="Z624" s="177" t="str">
        <f>VLOOKUP(X624,docentes!$A:$E,5,0)</f>
        <v>CECS</v>
      </c>
    </row>
    <row r="625" spans="1:26" s="44" customFormat="1" ht="66.75" customHeight="1">
      <c r="A625" s="148" t="s">
        <v>692</v>
      </c>
      <c r="B625" s="146" t="s">
        <v>2485</v>
      </c>
      <c r="C625" s="149" t="s">
        <v>2486</v>
      </c>
      <c r="D625" s="150">
        <v>3</v>
      </c>
      <c r="E625" s="150" t="s">
        <v>2487</v>
      </c>
      <c r="F625" s="151" t="s">
        <v>2488</v>
      </c>
      <c r="G625" s="152">
        <v>3</v>
      </c>
      <c r="H625" s="152">
        <v>1</v>
      </c>
      <c r="I625" s="153">
        <v>5</v>
      </c>
      <c r="J625" s="154">
        <v>3</v>
      </c>
      <c r="K625" s="155">
        <v>1</v>
      </c>
      <c r="L625" s="148" t="s">
        <v>97</v>
      </c>
      <c r="M625" s="148" t="s">
        <v>58</v>
      </c>
      <c r="N625" s="178"/>
      <c r="O625" s="157" t="s">
        <v>59</v>
      </c>
      <c r="P625" s="158">
        <v>90</v>
      </c>
      <c r="Q625" s="152" t="s">
        <v>60</v>
      </c>
      <c r="R625" s="152" t="s">
        <v>61</v>
      </c>
      <c r="S625" s="148" t="s">
        <v>2489</v>
      </c>
      <c r="T625" s="148">
        <v>0</v>
      </c>
      <c r="U625" s="159">
        <v>571</v>
      </c>
      <c r="V625" s="160" t="str">
        <f>VLOOKUP(U625,docentes!$A:$E,2,0)</f>
        <v>WESLEY GOIS</v>
      </c>
      <c r="W625" s="161" t="str">
        <f>VLOOKUP(U625,docentes!$A:$E,5,0)</f>
        <v>CECS</v>
      </c>
      <c r="X625" s="176">
        <v>571</v>
      </c>
      <c r="Y625" s="160" t="str">
        <f>VLOOKUP(X625,docentes!$A:$E,2,0)</f>
        <v>WESLEY GOIS</v>
      </c>
      <c r="Z625" s="177" t="str">
        <f>VLOOKUP(X625,docentes!$A:$E,5,0)</f>
        <v>CECS</v>
      </c>
    </row>
    <row r="626" spans="1:26" s="44" customFormat="1" ht="66.75" customHeight="1">
      <c r="A626" s="148" t="s">
        <v>692</v>
      </c>
      <c r="B626" s="146" t="s">
        <v>2490</v>
      </c>
      <c r="C626" s="149" t="s">
        <v>2486</v>
      </c>
      <c r="D626" s="150">
        <v>3</v>
      </c>
      <c r="E626" s="150" t="s">
        <v>2487</v>
      </c>
      <c r="F626" s="151" t="s">
        <v>2491</v>
      </c>
      <c r="G626" s="152">
        <v>3</v>
      </c>
      <c r="H626" s="152">
        <v>1</v>
      </c>
      <c r="I626" s="153">
        <v>5</v>
      </c>
      <c r="J626" s="154">
        <v>3</v>
      </c>
      <c r="K626" s="155">
        <v>1</v>
      </c>
      <c r="L626" s="148" t="s">
        <v>97</v>
      </c>
      <c r="M626" s="148" t="s">
        <v>58</v>
      </c>
      <c r="N626" s="178"/>
      <c r="O626" s="157" t="s">
        <v>59</v>
      </c>
      <c r="P626" s="158">
        <v>86</v>
      </c>
      <c r="Q626" s="152" t="s">
        <v>60</v>
      </c>
      <c r="R626" s="152" t="s">
        <v>70</v>
      </c>
      <c r="S626" s="148" t="s">
        <v>2492</v>
      </c>
      <c r="T626" s="148">
        <v>0</v>
      </c>
      <c r="U626" s="159">
        <v>271</v>
      </c>
      <c r="V626" s="160" t="str">
        <f>VLOOKUP(U626,docentes!$A:$E,2,0)</f>
        <v>JOAO BATISTA DE AGUIAR</v>
      </c>
      <c r="W626" s="161" t="str">
        <f>VLOOKUP(U626,docentes!$A:$E,5,0)</f>
        <v>CECS</v>
      </c>
      <c r="X626" s="176">
        <v>271</v>
      </c>
      <c r="Y626" s="160" t="str">
        <f>VLOOKUP(X626,docentes!$A:$E,2,0)</f>
        <v>JOAO BATISTA DE AGUIAR</v>
      </c>
      <c r="Z626" s="177" t="str">
        <f>VLOOKUP(X626,docentes!$A:$E,5,0)</f>
        <v>CECS</v>
      </c>
    </row>
    <row r="627" spans="1:26" s="44" customFormat="1" ht="66.75" customHeight="1">
      <c r="A627" s="148" t="s">
        <v>692</v>
      </c>
      <c r="B627" s="146" t="s">
        <v>2493</v>
      </c>
      <c r="C627" s="149" t="s">
        <v>2486</v>
      </c>
      <c r="D627" s="150">
        <v>3</v>
      </c>
      <c r="E627" s="150" t="s">
        <v>2487</v>
      </c>
      <c r="F627" s="151" t="s">
        <v>2494</v>
      </c>
      <c r="G627" s="152">
        <v>3</v>
      </c>
      <c r="H627" s="152">
        <v>1</v>
      </c>
      <c r="I627" s="153">
        <v>5</v>
      </c>
      <c r="J627" s="154">
        <v>3</v>
      </c>
      <c r="K627" s="155">
        <v>1</v>
      </c>
      <c r="L627" s="148" t="s">
        <v>97</v>
      </c>
      <c r="M627" s="148" t="s">
        <v>58</v>
      </c>
      <c r="N627" s="178"/>
      <c r="O627" s="157" t="s">
        <v>59</v>
      </c>
      <c r="P627" s="158">
        <v>60</v>
      </c>
      <c r="Q627" s="152" t="s">
        <v>76</v>
      </c>
      <c r="R627" s="152" t="s">
        <v>70</v>
      </c>
      <c r="S627" s="148" t="s">
        <v>2495</v>
      </c>
      <c r="T627" s="148">
        <v>0</v>
      </c>
      <c r="U627" s="159">
        <v>503</v>
      </c>
      <c r="V627" s="160" t="str">
        <f>VLOOKUP(U627,docentes!$A:$E,2,0)</f>
        <v>RONNY CALIXTO CARBONARI</v>
      </c>
      <c r="W627" s="161" t="str">
        <f>VLOOKUP(U627,docentes!$A:$E,5,0)</f>
        <v>CECS</v>
      </c>
      <c r="X627" s="176">
        <v>503</v>
      </c>
      <c r="Y627" s="160" t="str">
        <f>VLOOKUP(X627,docentes!$A:$E,2,0)</f>
        <v>RONNY CALIXTO CARBONARI</v>
      </c>
      <c r="Z627" s="177" t="str">
        <f>VLOOKUP(X627,docentes!$A:$E,5,0)</f>
        <v>CECS</v>
      </c>
    </row>
    <row r="628" spans="1:26" s="44" customFormat="1" ht="66.75" customHeight="1">
      <c r="A628" s="148" t="s">
        <v>84</v>
      </c>
      <c r="B628" s="146" t="s">
        <v>2496</v>
      </c>
      <c r="C628" s="149" t="s">
        <v>2497</v>
      </c>
      <c r="D628" s="150">
        <v>2</v>
      </c>
      <c r="E628" s="150" t="s">
        <v>2498</v>
      </c>
      <c r="F628" s="151" t="s">
        <v>2499</v>
      </c>
      <c r="G628" s="152">
        <v>4</v>
      </c>
      <c r="H628" s="152">
        <v>0</v>
      </c>
      <c r="I628" s="153">
        <v>3</v>
      </c>
      <c r="J628" s="154">
        <v>4</v>
      </c>
      <c r="K628" s="155">
        <v>0</v>
      </c>
      <c r="L628" s="148" t="s">
        <v>57</v>
      </c>
      <c r="M628" s="148" t="s">
        <v>58</v>
      </c>
      <c r="N628" s="156"/>
      <c r="O628" s="157" t="s">
        <v>59</v>
      </c>
      <c r="P628" s="158">
        <v>60</v>
      </c>
      <c r="Q628" s="152" t="s">
        <v>76</v>
      </c>
      <c r="R628" s="152" t="s">
        <v>61</v>
      </c>
      <c r="S628" s="148" t="s">
        <v>2500</v>
      </c>
      <c r="T628" s="148">
        <v>0</v>
      </c>
      <c r="U628" s="159">
        <v>464</v>
      </c>
      <c r="V628" s="160" t="str">
        <f>VLOOKUP(U628,docentes!$A:$E,2,0)</f>
        <v>RAMON VICENTE GARCIA FERNANDEZ</v>
      </c>
      <c r="W628" s="161" t="str">
        <f>VLOOKUP(U628,docentes!$A:$E,5,0)</f>
        <v>CECS</v>
      </c>
      <c r="X628" s="162"/>
      <c r="Y628" s="163"/>
      <c r="Z628" s="164"/>
    </row>
    <row r="629" spans="1:26" s="44" customFormat="1" ht="66.75" customHeight="1">
      <c r="A629" s="148" t="s">
        <v>84</v>
      </c>
      <c r="B629" s="146" t="s">
        <v>2501</v>
      </c>
      <c r="C629" s="149" t="s">
        <v>2497</v>
      </c>
      <c r="D629" s="150">
        <v>2</v>
      </c>
      <c r="E629" s="150" t="s">
        <v>2498</v>
      </c>
      <c r="F629" s="151" t="s">
        <v>2502</v>
      </c>
      <c r="G629" s="152">
        <v>4</v>
      </c>
      <c r="H629" s="152">
        <v>0</v>
      </c>
      <c r="I629" s="153">
        <v>3</v>
      </c>
      <c r="J629" s="154">
        <v>4</v>
      </c>
      <c r="K629" s="155">
        <v>0</v>
      </c>
      <c r="L629" s="148" t="s">
        <v>57</v>
      </c>
      <c r="M629" s="148" t="s">
        <v>58</v>
      </c>
      <c r="N629" s="156"/>
      <c r="O629" s="157" t="s">
        <v>59</v>
      </c>
      <c r="P629" s="158">
        <v>90</v>
      </c>
      <c r="Q629" s="152" t="s">
        <v>76</v>
      </c>
      <c r="R629" s="152" t="s">
        <v>70</v>
      </c>
      <c r="S629" s="148" t="s">
        <v>2503</v>
      </c>
      <c r="T629" s="148">
        <v>0</v>
      </c>
      <c r="U629" s="159">
        <v>464</v>
      </c>
      <c r="V629" s="160" t="str">
        <f>VLOOKUP(U629,docentes!$A:$E,2,0)</f>
        <v>RAMON VICENTE GARCIA FERNANDEZ</v>
      </c>
      <c r="W629" s="161" t="str">
        <f>VLOOKUP(U629,docentes!$A:$E,5,0)</f>
        <v>CECS</v>
      </c>
      <c r="X629" s="162"/>
      <c r="Y629" s="163"/>
      <c r="Z629" s="164"/>
    </row>
    <row r="630" spans="1:26" s="44" customFormat="1" ht="66.75" customHeight="1">
      <c r="A630" s="148" t="s">
        <v>52</v>
      </c>
      <c r="B630" s="146" t="s">
        <v>2504</v>
      </c>
      <c r="C630" s="149" t="s">
        <v>2505</v>
      </c>
      <c r="D630" s="150">
        <v>1</v>
      </c>
      <c r="E630" s="150" t="s">
        <v>2506</v>
      </c>
      <c r="F630" s="151" t="s">
        <v>2507</v>
      </c>
      <c r="G630" s="152">
        <v>3</v>
      </c>
      <c r="H630" s="152">
        <v>1</v>
      </c>
      <c r="I630" s="153">
        <v>4</v>
      </c>
      <c r="J630" s="154">
        <v>3</v>
      </c>
      <c r="K630" s="155">
        <v>1</v>
      </c>
      <c r="L630" s="148" t="s">
        <v>57</v>
      </c>
      <c r="M630" s="148" t="s">
        <v>58</v>
      </c>
      <c r="N630" s="156">
        <v>0</v>
      </c>
      <c r="O630" s="157" t="s">
        <v>59</v>
      </c>
      <c r="P630" s="158">
        <v>32</v>
      </c>
      <c r="Q630" s="152" t="s">
        <v>60</v>
      </c>
      <c r="R630" s="152" t="s">
        <v>61</v>
      </c>
      <c r="S630" s="148" t="s">
        <v>2508</v>
      </c>
      <c r="T630" s="148" t="s">
        <v>2509</v>
      </c>
      <c r="U630" s="159">
        <v>296</v>
      </c>
      <c r="V630" s="160" t="str">
        <f>VLOOKUP(U630,docentes!$A:$E,2,0)</f>
        <v>JUAN PABLO JULCA AVILA</v>
      </c>
      <c r="W630" s="161" t="str">
        <f>VLOOKUP(U630,docentes!$A:$E,5,0)</f>
        <v>CECS</v>
      </c>
      <c r="X630" s="176">
        <v>296</v>
      </c>
      <c r="Y630" s="160" t="str">
        <f>VLOOKUP(X630,docentes!$A:$E,2,0)</f>
        <v>JUAN PABLO JULCA AVILA</v>
      </c>
      <c r="Z630" s="177" t="str">
        <f>VLOOKUP(X630,docentes!$A:$E,5,0)</f>
        <v>CECS</v>
      </c>
    </row>
    <row r="631" spans="1:26" s="44" customFormat="1" ht="66.75" customHeight="1">
      <c r="A631" s="148" t="s">
        <v>915</v>
      </c>
      <c r="B631" s="146" t="s">
        <v>2510</v>
      </c>
      <c r="C631" s="149" t="s">
        <v>2511</v>
      </c>
      <c r="D631" s="150">
        <v>1</v>
      </c>
      <c r="E631" s="150" t="s">
        <v>2512</v>
      </c>
      <c r="F631" s="151" t="s">
        <v>2513</v>
      </c>
      <c r="G631" s="152">
        <v>4</v>
      </c>
      <c r="H631" s="152">
        <v>0</v>
      </c>
      <c r="I631" s="153">
        <v>4</v>
      </c>
      <c r="J631" s="154">
        <v>4</v>
      </c>
      <c r="K631" s="155">
        <v>0</v>
      </c>
      <c r="L631" s="148" t="s">
        <v>57</v>
      </c>
      <c r="M631" s="148" t="s">
        <v>58</v>
      </c>
      <c r="N631" s="156"/>
      <c r="O631" s="157" t="s">
        <v>59</v>
      </c>
      <c r="P631" s="158">
        <v>30</v>
      </c>
      <c r="Q631" s="152" t="s">
        <v>60</v>
      </c>
      <c r="R631" s="152" t="s">
        <v>61</v>
      </c>
      <c r="S631" s="148" t="s">
        <v>2514</v>
      </c>
      <c r="T631" s="148">
        <v>0</v>
      </c>
      <c r="U631" s="159">
        <v>491</v>
      </c>
      <c r="V631" s="160" t="str">
        <f>VLOOKUP(U631,docentes!$A:$E,2,0)</f>
        <v>ROBERTO MENEZES SERRA</v>
      </c>
      <c r="W631" s="161" t="str">
        <f>VLOOKUP(U631,docentes!$A:$E,5,0)</f>
        <v>CCNH</v>
      </c>
      <c r="X631" s="162"/>
      <c r="Y631" s="163"/>
      <c r="Z631" s="164"/>
    </row>
    <row r="632" spans="1:26" s="44" customFormat="1" ht="66.75" customHeight="1">
      <c r="A632" s="148" t="s">
        <v>980</v>
      </c>
      <c r="B632" s="146" t="s">
        <v>2515</v>
      </c>
      <c r="C632" s="149" t="s">
        <v>2516</v>
      </c>
      <c r="D632" s="150">
        <v>2</v>
      </c>
      <c r="E632" s="150" t="s">
        <v>2517</v>
      </c>
      <c r="F632" s="151" t="s">
        <v>2518</v>
      </c>
      <c r="G632" s="152">
        <v>3</v>
      </c>
      <c r="H632" s="152">
        <v>1</v>
      </c>
      <c r="I632" s="153">
        <v>4</v>
      </c>
      <c r="J632" s="154">
        <v>3</v>
      </c>
      <c r="K632" s="155">
        <v>1</v>
      </c>
      <c r="L632" s="148" t="s">
        <v>57</v>
      </c>
      <c r="M632" s="148" t="s">
        <v>58</v>
      </c>
      <c r="N632" s="156"/>
      <c r="O632" s="157" t="s">
        <v>59</v>
      </c>
      <c r="P632" s="158">
        <v>20</v>
      </c>
      <c r="Q632" s="149" t="s">
        <v>76</v>
      </c>
      <c r="R632" s="152" t="s">
        <v>61</v>
      </c>
      <c r="S632" s="148">
        <v>0</v>
      </c>
      <c r="T632" s="148" t="s">
        <v>2519</v>
      </c>
      <c r="U632" s="159">
        <v>198</v>
      </c>
      <c r="V632" s="160" t="str">
        <f>VLOOKUP(U632,docentes!$A:$E,2,0)</f>
        <v>FLAVIA DA FONSECA FEITOSA</v>
      </c>
      <c r="W632" s="161" t="str">
        <f>VLOOKUP(U632,docentes!$A:$E,5,0)</f>
        <v>CECS</v>
      </c>
      <c r="X632" s="176">
        <v>198</v>
      </c>
      <c r="Y632" s="160" t="str">
        <f>VLOOKUP(X632,docentes!$A:$E,2,0)</f>
        <v>FLAVIA DA FONSECA FEITOSA</v>
      </c>
      <c r="Z632" s="177" t="str">
        <f>VLOOKUP(X632,docentes!$A:$E,5,0)</f>
        <v>CECS</v>
      </c>
    </row>
    <row r="633" spans="1:26" s="44" customFormat="1" ht="66.75" customHeight="1">
      <c r="A633" s="148" t="s">
        <v>980</v>
      </c>
      <c r="B633" s="146" t="s">
        <v>2520</v>
      </c>
      <c r="C633" s="149" t="s">
        <v>2516</v>
      </c>
      <c r="D633" s="150">
        <v>2</v>
      </c>
      <c r="E633" s="150" t="s">
        <v>2517</v>
      </c>
      <c r="F633" s="151" t="s">
        <v>2521</v>
      </c>
      <c r="G633" s="152">
        <v>3</v>
      </c>
      <c r="H633" s="152">
        <v>1</v>
      </c>
      <c r="I633" s="153">
        <v>4</v>
      </c>
      <c r="J633" s="154">
        <v>3</v>
      </c>
      <c r="K633" s="155">
        <v>1</v>
      </c>
      <c r="L633" s="148" t="s">
        <v>57</v>
      </c>
      <c r="M633" s="148" t="s">
        <v>58</v>
      </c>
      <c r="N633" s="156"/>
      <c r="O633" s="157" t="s">
        <v>59</v>
      </c>
      <c r="P633" s="158">
        <v>20</v>
      </c>
      <c r="Q633" s="149" t="s">
        <v>76</v>
      </c>
      <c r="R633" s="152" t="s">
        <v>70</v>
      </c>
      <c r="S633" s="148">
        <v>0</v>
      </c>
      <c r="T633" s="148" t="s">
        <v>2522</v>
      </c>
      <c r="U633" s="159">
        <v>198</v>
      </c>
      <c r="V633" s="160" t="str">
        <f>VLOOKUP(U633,docentes!$A:$E,2,0)</f>
        <v>FLAVIA DA FONSECA FEITOSA</v>
      </c>
      <c r="W633" s="161" t="str">
        <f>VLOOKUP(U633,docentes!$A:$E,5,0)</f>
        <v>CECS</v>
      </c>
      <c r="X633" s="176">
        <v>198</v>
      </c>
      <c r="Y633" s="160" t="str">
        <f>VLOOKUP(X633,docentes!$A:$E,2,0)</f>
        <v>FLAVIA DA FONSECA FEITOSA</v>
      </c>
      <c r="Z633" s="177" t="str">
        <f>VLOOKUP(X633,docentes!$A:$E,5,0)</f>
        <v>CECS</v>
      </c>
    </row>
    <row r="634" spans="1:26" s="44" customFormat="1" ht="66.75" customHeight="1">
      <c r="A634" s="148" t="s">
        <v>692</v>
      </c>
      <c r="B634" s="146" t="s">
        <v>2523</v>
      </c>
      <c r="C634" s="149" t="s">
        <v>2524</v>
      </c>
      <c r="D634" s="150">
        <v>8</v>
      </c>
      <c r="E634" s="150" t="s">
        <v>2525</v>
      </c>
      <c r="F634" s="151" t="s">
        <v>2526</v>
      </c>
      <c r="G634" s="152">
        <v>0</v>
      </c>
      <c r="H634" s="152">
        <v>3</v>
      </c>
      <c r="I634" s="153">
        <v>2</v>
      </c>
      <c r="J634" s="154">
        <v>0</v>
      </c>
      <c r="K634" s="155">
        <v>3</v>
      </c>
      <c r="L634" s="148"/>
      <c r="M634" s="148"/>
      <c r="N634" s="178"/>
      <c r="O634" s="165" t="s">
        <v>1933</v>
      </c>
      <c r="P634" s="158">
        <v>30</v>
      </c>
      <c r="Q634" s="152" t="s">
        <v>60</v>
      </c>
      <c r="R634" s="152" t="s">
        <v>61</v>
      </c>
      <c r="S634" s="148"/>
      <c r="T634" s="148" t="s">
        <v>2527</v>
      </c>
      <c r="U634" s="170"/>
      <c r="V634" s="163"/>
      <c r="W634" s="171"/>
      <c r="X634" s="176">
        <v>279</v>
      </c>
      <c r="Y634" s="160" t="str">
        <f>VLOOKUP(X634,docentes!$A:$E,2,0)</f>
        <v>JORGE DIEGO MARCONI</v>
      </c>
      <c r="Z634" s="177" t="str">
        <f>VLOOKUP(X634,docentes!$A:$E,5,0)</f>
        <v>CECS</v>
      </c>
    </row>
    <row r="635" spans="1:26" s="44" customFormat="1" ht="66.75" customHeight="1">
      <c r="A635" s="148" t="s">
        <v>692</v>
      </c>
      <c r="B635" s="146" t="s">
        <v>2528</v>
      </c>
      <c r="C635" s="149" t="s">
        <v>2524</v>
      </c>
      <c r="D635" s="150">
        <v>8</v>
      </c>
      <c r="E635" s="150" t="s">
        <v>2525</v>
      </c>
      <c r="F635" s="151" t="s">
        <v>2529</v>
      </c>
      <c r="G635" s="152">
        <v>0</v>
      </c>
      <c r="H635" s="152">
        <v>3</v>
      </c>
      <c r="I635" s="153">
        <v>2</v>
      </c>
      <c r="J635" s="154">
        <v>0</v>
      </c>
      <c r="K635" s="155">
        <v>3</v>
      </c>
      <c r="L635" s="148" t="s">
        <v>97</v>
      </c>
      <c r="M635" s="148" t="s">
        <v>58</v>
      </c>
      <c r="N635" s="178"/>
      <c r="O635" s="157" t="s">
        <v>59</v>
      </c>
      <c r="P635" s="158">
        <v>30</v>
      </c>
      <c r="Q635" s="152" t="s">
        <v>60</v>
      </c>
      <c r="R635" s="152" t="s">
        <v>61</v>
      </c>
      <c r="S635" s="148">
        <v>0</v>
      </c>
      <c r="T635" s="148" t="s">
        <v>2530</v>
      </c>
      <c r="U635" s="170"/>
      <c r="V635" s="163"/>
      <c r="W635" s="171"/>
      <c r="X635" s="176">
        <v>40</v>
      </c>
      <c r="Y635" s="160" t="str">
        <f>VLOOKUP(X635,docentes!$A:$E,2,0)</f>
        <v>ANA PAULA ROMANI</v>
      </c>
      <c r="Z635" s="177" t="str">
        <f>VLOOKUP(X635,docentes!$A:$E,5,0)</f>
        <v>CECS</v>
      </c>
    </row>
    <row r="636" spans="1:26" s="44" customFormat="1" ht="66.75" customHeight="1">
      <c r="A636" s="148" t="s">
        <v>692</v>
      </c>
      <c r="B636" s="146" t="s">
        <v>2531</v>
      </c>
      <c r="C636" s="149" t="s">
        <v>2524</v>
      </c>
      <c r="D636" s="150">
        <v>8</v>
      </c>
      <c r="E636" s="150" t="s">
        <v>2525</v>
      </c>
      <c r="F636" s="151" t="s">
        <v>2532</v>
      </c>
      <c r="G636" s="152">
        <v>0</v>
      </c>
      <c r="H636" s="152">
        <v>3</v>
      </c>
      <c r="I636" s="153">
        <v>2</v>
      </c>
      <c r="J636" s="154">
        <v>0</v>
      </c>
      <c r="K636" s="155">
        <v>3</v>
      </c>
      <c r="L636" s="148" t="s">
        <v>97</v>
      </c>
      <c r="M636" s="148" t="s">
        <v>58</v>
      </c>
      <c r="N636" s="178"/>
      <c r="O636" s="157" t="s">
        <v>59</v>
      </c>
      <c r="P636" s="158">
        <v>30</v>
      </c>
      <c r="Q636" s="152" t="s">
        <v>60</v>
      </c>
      <c r="R636" s="152" t="s">
        <v>70</v>
      </c>
      <c r="S636" s="148">
        <v>0</v>
      </c>
      <c r="T636" s="148" t="s">
        <v>2533</v>
      </c>
      <c r="U636" s="170"/>
      <c r="V636" s="163"/>
      <c r="W636" s="171"/>
      <c r="X636" s="176">
        <v>349</v>
      </c>
      <c r="Y636" s="160" t="str">
        <f>VLOOKUP(X636,docentes!$A:$E,2,0)</f>
        <v>MAGNO ENRIQUE MENDOZA MEZA</v>
      </c>
      <c r="Z636" s="177" t="str">
        <f>VLOOKUP(X636,docentes!$A:$E,5,0)</f>
        <v>CECS</v>
      </c>
    </row>
    <row r="637" spans="1:26" s="44" customFormat="1" ht="66.75" customHeight="1">
      <c r="A637" s="148" t="s">
        <v>692</v>
      </c>
      <c r="B637" s="146" t="s">
        <v>2534</v>
      </c>
      <c r="C637" s="149" t="s">
        <v>2524</v>
      </c>
      <c r="D637" s="150">
        <v>8</v>
      </c>
      <c r="E637" s="150" t="s">
        <v>2525</v>
      </c>
      <c r="F637" s="151" t="s">
        <v>2535</v>
      </c>
      <c r="G637" s="152">
        <v>0</v>
      </c>
      <c r="H637" s="152">
        <v>3</v>
      </c>
      <c r="I637" s="153">
        <v>2</v>
      </c>
      <c r="J637" s="154">
        <v>0</v>
      </c>
      <c r="K637" s="155">
        <v>3</v>
      </c>
      <c r="L637" s="148" t="s">
        <v>97</v>
      </c>
      <c r="M637" s="148" t="s">
        <v>58</v>
      </c>
      <c r="N637" s="178"/>
      <c r="O637" s="157" t="s">
        <v>59</v>
      </c>
      <c r="P637" s="158">
        <v>30</v>
      </c>
      <c r="Q637" s="152" t="s">
        <v>60</v>
      </c>
      <c r="R637" s="152" t="s">
        <v>61</v>
      </c>
      <c r="S637" s="148">
        <v>0</v>
      </c>
      <c r="T637" s="148" t="s">
        <v>2536</v>
      </c>
      <c r="U637" s="170"/>
      <c r="V637" s="163"/>
      <c r="W637" s="171"/>
      <c r="X637" s="176">
        <v>349</v>
      </c>
      <c r="Y637" s="160" t="str">
        <f>VLOOKUP(X637,docentes!$A:$E,2,0)</f>
        <v>MAGNO ENRIQUE MENDOZA MEZA</v>
      </c>
      <c r="Z637" s="177" t="str">
        <f>VLOOKUP(X637,docentes!$A:$E,5,0)</f>
        <v>CECS</v>
      </c>
    </row>
    <row r="638" spans="1:26" s="44" customFormat="1" ht="66.75" customHeight="1">
      <c r="A638" s="148" t="s">
        <v>692</v>
      </c>
      <c r="B638" s="146" t="s">
        <v>2537</v>
      </c>
      <c r="C638" s="149" t="s">
        <v>2524</v>
      </c>
      <c r="D638" s="150">
        <v>8</v>
      </c>
      <c r="E638" s="150" t="s">
        <v>2525</v>
      </c>
      <c r="F638" s="151" t="s">
        <v>2538</v>
      </c>
      <c r="G638" s="152">
        <v>0</v>
      </c>
      <c r="H638" s="152">
        <v>3</v>
      </c>
      <c r="I638" s="153">
        <v>2</v>
      </c>
      <c r="J638" s="154">
        <v>0</v>
      </c>
      <c r="K638" s="155">
        <v>3</v>
      </c>
      <c r="L638" s="148" t="s">
        <v>97</v>
      </c>
      <c r="M638" s="148" t="s">
        <v>58</v>
      </c>
      <c r="N638" s="178"/>
      <c r="O638" s="157" t="s">
        <v>59</v>
      </c>
      <c r="P638" s="158">
        <v>30</v>
      </c>
      <c r="Q638" s="152" t="s">
        <v>60</v>
      </c>
      <c r="R638" s="152" t="s">
        <v>70</v>
      </c>
      <c r="S638" s="148">
        <v>0</v>
      </c>
      <c r="T638" s="148" t="s">
        <v>2539</v>
      </c>
      <c r="U638" s="170"/>
      <c r="V638" s="163"/>
      <c r="W638" s="171"/>
      <c r="X638" s="176">
        <v>303</v>
      </c>
      <c r="Y638" s="160" t="str">
        <f>VLOOKUP(X638,docentes!$A:$E,2,0)</f>
        <v>JULIO CARLOS TEIXEIRA</v>
      </c>
      <c r="Z638" s="177" t="str">
        <f>VLOOKUP(X638,docentes!$A:$E,5,0)</f>
        <v>CECS</v>
      </c>
    </row>
    <row r="639" spans="1:26" s="44" customFormat="1" ht="66.75" hidden="1" customHeight="1">
      <c r="A639" s="148" t="s">
        <v>692</v>
      </c>
      <c r="B639" s="168" t="s">
        <v>2540</v>
      </c>
      <c r="C639" s="149"/>
      <c r="D639" s="150">
        <v>0</v>
      </c>
      <c r="E639" s="150" t="s">
        <v>2525</v>
      </c>
      <c r="F639" s="169" t="s">
        <v>2541</v>
      </c>
      <c r="G639" s="152">
        <v>0</v>
      </c>
      <c r="H639" s="152">
        <v>3</v>
      </c>
      <c r="I639" s="153">
        <v>2</v>
      </c>
      <c r="J639" s="154">
        <v>0</v>
      </c>
      <c r="K639" s="155">
        <v>0</v>
      </c>
      <c r="L639" s="148" t="s">
        <v>101</v>
      </c>
      <c r="M639" s="148" t="s">
        <v>58</v>
      </c>
      <c r="N639" s="178"/>
      <c r="O639" s="165" t="s">
        <v>102</v>
      </c>
      <c r="P639" s="158">
        <v>0</v>
      </c>
      <c r="Q639" s="152" t="s">
        <v>60</v>
      </c>
      <c r="R639" s="152" t="s">
        <v>61</v>
      </c>
      <c r="S639" s="148">
        <v>0</v>
      </c>
      <c r="T639" s="148" t="s">
        <v>2542</v>
      </c>
      <c r="U639" s="170"/>
      <c r="V639" s="163"/>
      <c r="W639" s="171"/>
      <c r="X639" s="162">
        <v>279</v>
      </c>
      <c r="Y639" s="163" t="str">
        <f>VLOOKUP(X639,docentes!$A:$E,2,0)</f>
        <v>JORGE DIEGO MARCONI</v>
      </c>
      <c r="Z639" s="164" t="str">
        <f>VLOOKUP(X639,docentes!$A:$E,5,0)</f>
        <v>CECS</v>
      </c>
    </row>
    <row r="640" spans="1:26" s="44" customFormat="1" ht="66.75" customHeight="1">
      <c r="A640" s="148" t="s">
        <v>692</v>
      </c>
      <c r="B640" s="146" t="s">
        <v>2543</v>
      </c>
      <c r="C640" s="149" t="s">
        <v>2524</v>
      </c>
      <c r="D640" s="150">
        <v>8</v>
      </c>
      <c r="E640" s="150" t="s">
        <v>2525</v>
      </c>
      <c r="F640" s="151" t="s">
        <v>2544</v>
      </c>
      <c r="G640" s="152">
        <v>0</v>
      </c>
      <c r="H640" s="152">
        <v>3</v>
      </c>
      <c r="I640" s="153">
        <v>2</v>
      </c>
      <c r="J640" s="154">
        <v>0</v>
      </c>
      <c r="K640" s="155">
        <v>3</v>
      </c>
      <c r="L640" s="148" t="s">
        <v>97</v>
      </c>
      <c r="M640" s="148" t="s">
        <v>58</v>
      </c>
      <c r="N640" s="178"/>
      <c r="O640" s="157" t="s">
        <v>59</v>
      </c>
      <c r="P640" s="158">
        <v>30</v>
      </c>
      <c r="Q640" s="152" t="s">
        <v>60</v>
      </c>
      <c r="R640" s="152" t="s">
        <v>61</v>
      </c>
      <c r="S640" s="148">
        <v>0</v>
      </c>
      <c r="T640" s="148" t="s">
        <v>2545</v>
      </c>
      <c r="U640" s="170"/>
      <c r="V640" s="163"/>
      <c r="W640" s="171"/>
      <c r="X640" s="176">
        <v>370</v>
      </c>
      <c r="Y640" s="160" t="str">
        <f>VLOOKUP(X640,docentes!$A:$E,2,0)</f>
        <v>MARCIA TSUYAMA ESCOTE</v>
      </c>
      <c r="Z640" s="177" t="str">
        <f>VLOOKUP(X640,docentes!$A:$E,5,0)</f>
        <v>CECS</v>
      </c>
    </row>
    <row r="641" spans="1:35" s="44" customFormat="1" ht="66.75" customHeight="1">
      <c r="A641" s="148" t="s">
        <v>692</v>
      </c>
      <c r="B641" s="146" t="s">
        <v>2546</v>
      </c>
      <c r="C641" s="149" t="s">
        <v>2524</v>
      </c>
      <c r="D641" s="150">
        <v>8</v>
      </c>
      <c r="E641" s="150" t="s">
        <v>2525</v>
      </c>
      <c r="F641" s="151" t="s">
        <v>2547</v>
      </c>
      <c r="G641" s="152">
        <v>0</v>
      </c>
      <c r="H641" s="152">
        <v>3</v>
      </c>
      <c r="I641" s="153">
        <v>2</v>
      </c>
      <c r="J641" s="154">
        <v>0</v>
      </c>
      <c r="K641" s="155">
        <v>3</v>
      </c>
      <c r="L641" s="148" t="s">
        <v>97</v>
      </c>
      <c r="M641" s="148" t="s">
        <v>58</v>
      </c>
      <c r="N641" s="178"/>
      <c r="O641" s="157" t="s">
        <v>59</v>
      </c>
      <c r="P641" s="158">
        <v>30</v>
      </c>
      <c r="Q641" s="152" t="s">
        <v>60</v>
      </c>
      <c r="R641" s="152" t="s">
        <v>61</v>
      </c>
      <c r="S641" s="148">
        <v>0</v>
      </c>
      <c r="T641" s="148" t="s">
        <v>2548</v>
      </c>
      <c r="U641" s="170"/>
      <c r="V641" s="163"/>
      <c r="W641" s="171"/>
      <c r="X641" s="176">
        <v>325</v>
      </c>
      <c r="Y641" s="160" t="str">
        <f>VLOOKUP(X641,docentes!$A:$E,2,0)</f>
        <v>LUCIA HELENA GOMES COELHO</v>
      </c>
      <c r="Z641" s="177" t="str">
        <f>VLOOKUP(X641,docentes!$A:$E,5,0)</f>
        <v>CECS</v>
      </c>
    </row>
    <row r="642" spans="1:35" s="44" customFormat="1" ht="66.75" customHeight="1">
      <c r="A642" s="148" t="s">
        <v>692</v>
      </c>
      <c r="B642" s="146" t="s">
        <v>2549</v>
      </c>
      <c r="C642" s="149" t="s">
        <v>2524</v>
      </c>
      <c r="D642" s="150">
        <v>8</v>
      </c>
      <c r="E642" s="150" t="s">
        <v>2525</v>
      </c>
      <c r="F642" s="151" t="s">
        <v>2550</v>
      </c>
      <c r="G642" s="152">
        <v>0</v>
      </c>
      <c r="H642" s="152">
        <v>3</v>
      </c>
      <c r="I642" s="153">
        <v>2</v>
      </c>
      <c r="J642" s="154">
        <v>0</v>
      </c>
      <c r="K642" s="155">
        <v>3</v>
      </c>
      <c r="L642" s="148" t="s">
        <v>97</v>
      </c>
      <c r="M642" s="148" t="s">
        <v>58</v>
      </c>
      <c r="N642" s="166"/>
      <c r="O642" s="157" t="s">
        <v>59</v>
      </c>
      <c r="P642" s="158">
        <v>30</v>
      </c>
      <c r="Q642" s="152" t="s">
        <v>60</v>
      </c>
      <c r="R642" s="152" t="s">
        <v>61</v>
      </c>
      <c r="S642" s="148">
        <v>0</v>
      </c>
      <c r="T642" s="148" t="s">
        <v>2551</v>
      </c>
      <c r="U642" s="170"/>
      <c r="V642" s="163"/>
      <c r="W642" s="171"/>
      <c r="X642" s="176">
        <v>370</v>
      </c>
      <c r="Y642" s="160" t="str">
        <f>VLOOKUP(X642,docentes!$A:$E,2,0)</f>
        <v>MARCIA TSUYAMA ESCOTE</v>
      </c>
      <c r="Z642" s="177" t="str">
        <f>VLOOKUP(X642,docentes!$A:$E,5,0)</f>
        <v>CECS</v>
      </c>
    </row>
    <row r="643" spans="1:35" s="44" customFormat="1" ht="66.75" customHeight="1">
      <c r="A643" s="148" t="s">
        <v>675</v>
      </c>
      <c r="B643" s="146" t="s">
        <v>2552</v>
      </c>
      <c r="C643" s="149" t="s">
        <v>2553</v>
      </c>
      <c r="D643" s="150">
        <v>2</v>
      </c>
      <c r="E643" s="150" t="s">
        <v>2554</v>
      </c>
      <c r="F643" s="151" t="s">
        <v>2555</v>
      </c>
      <c r="G643" s="152">
        <v>6</v>
      </c>
      <c r="H643" s="152">
        <v>0</v>
      </c>
      <c r="I643" s="153">
        <v>4</v>
      </c>
      <c r="J643" s="154">
        <v>6</v>
      </c>
      <c r="K643" s="155">
        <v>0</v>
      </c>
      <c r="L643" s="148" t="s">
        <v>57</v>
      </c>
      <c r="M643" s="148" t="s">
        <v>58</v>
      </c>
      <c r="N643" s="156"/>
      <c r="O643" s="157" t="s">
        <v>59</v>
      </c>
      <c r="P643" s="158">
        <v>60</v>
      </c>
      <c r="Q643" s="152" t="s">
        <v>76</v>
      </c>
      <c r="R643" s="152" t="s">
        <v>61</v>
      </c>
      <c r="S643" s="148" t="s">
        <v>2556</v>
      </c>
      <c r="T643" s="148">
        <v>0</v>
      </c>
      <c r="U643" s="159">
        <v>141</v>
      </c>
      <c r="V643" s="160" t="str">
        <f>VLOOKUP(U643,docentes!$A:$E,2,0)</f>
        <v>DIOGO COUTINHO SORIANO</v>
      </c>
      <c r="W643" s="161" t="str">
        <f>VLOOKUP(U643,docentes!$A:$E,5,0)</f>
        <v>CECS</v>
      </c>
      <c r="X643" s="162"/>
      <c r="Y643" s="163"/>
      <c r="Z643" s="164"/>
    </row>
    <row r="644" spans="1:35" s="44" customFormat="1" ht="66.75" customHeight="1">
      <c r="A644" s="148" t="s">
        <v>675</v>
      </c>
      <c r="B644" s="146" t="s">
        <v>2557</v>
      </c>
      <c r="C644" s="149" t="s">
        <v>2553</v>
      </c>
      <c r="D644" s="150">
        <v>2</v>
      </c>
      <c r="E644" s="150" t="s">
        <v>2554</v>
      </c>
      <c r="F644" s="151" t="s">
        <v>2558</v>
      </c>
      <c r="G644" s="152">
        <v>6</v>
      </c>
      <c r="H644" s="152">
        <v>0</v>
      </c>
      <c r="I644" s="153">
        <v>4</v>
      </c>
      <c r="J644" s="154">
        <v>6</v>
      </c>
      <c r="K644" s="155">
        <v>0</v>
      </c>
      <c r="L644" s="148" t="s">
        <v>57</v>
      </c>
      <c r="M644" s="148" t="s">
        <v>58</v>
      </c>
      <c r="N644" s="156"/>
      <c r="O644" s="157" t="s">
        <v>59</v>
      </c>
      <c r="P644" s="158">
        <v>60</v>
      </c>
      <c r="Q644" s="152" t="s">
        <v>76</v>
      </c>
      <c r="R644" s="152" t="s">
        <v>70</v>
      </c>
      <c r="S644" s="148" t="s">
        <v>2559</v>
      </c>
      <c r="T644" s="148">
        <v>0</v>
      </c>
      <c r="U644" s="159">
        <v>141</v>
      </c>
      <c r="V644" s="160" t="str">
        <f>VLOOKUP(U644,docentes!$A:$E,2,0)</f>
        <v>DIOGO COUTINHO SORIANO</v>
      </c>
      <c r="W644" s="161" t="str">
        <f>VLOOKUP(U644,docentes!$A:$E,5,0)</f>
        <v>CECS</v>
      </c>
      <c r="X644" s="162"/>
      <c r="Y644" s="163"/>
      <c r="Z644" s="164"/>
    </row>
    <row r="645" spans="1:35" s="44" customFormat="1" ht="66.75" customHeight="1">
      <c r="A645" s="148" t="s">
        <v>84</v>
      </c>
      <c r="B645" s="146" t="s">
        <v>2560</v>
      </c>
      <c r="C645" s="149" t="s">
        <v>2561</v>
      </c>
      <c r="D645" s="150">
        <v>2</v>
      </c>
      <c r="E645" s="150" t="s">
        <v>2562</v>
      </c>
      <c r="F645" s="151" t="s">
        <v>2563</v>
      </c>
      <c r="G645" s="152">
        <v>4</v>
      </c>
      <c r="H645" s="152">
        <v>0</v>
      </c>
      <c r="I645" s="153">
        <v>3</v>
      </c>
      <c r="J645" s="154">
        <v>4</v>
      </c>
      <c r="K645" s="155">
        <v>0</v>
      </c>
      <c r="L645" s="148" t="s">
        <v>57</v>
      </c>
      <c r="M645" s="148" t="s">
        <v>58</v>
      </c>
      <c r="N645" s="156"/>
      <c r="O645" s="157" t="s">
        <v>59</v>
      </c>
      <c r="P645" s="158">
        <v>60</v>
      </c>
      <c r="Q645" s="152" t="s">
        <v>76</v>
      </c>
      <c r="R645" s="152" t="s">
        <v>61</v>
      </c>
      <c r="S645" s="148" t="s">
        <v>2564</v>
      </c>
      <c r="T645" s="148">
        <v>0</v>
      </c>
      <c r="U645" s="159">
        <v>35</v>
      </c>
      <c r="V645" s="160" t="str">
        <f>VLOOKUP(U645,docentes!$A:$E,2,0)</f>
        <v>ANA CLAUDIA POLATO E FAVA</v>
      </c>
      <c r="W645" s="161" t="str">
        <f>VLOOKUP(U645,docentes!$A:$E,5,0)</f>
        <v>CECS</v>
      </c>
      <c r="X645" s="162"/>
      <c r="Y645" s="163"/>
      <c r="Z645" s="164"/>
    </row>
    <row r="646" spans="1:35" s="44" customFormat="1" ht="66.75" customHeight="1">
      <c r="A646" s="148" t="s">
        <v>84</v>
      </c>
      <c r="B646" s="146" t="s">
        <v>2565</v>
      </c>
      <c r="C646" s="149" t="s">
        <v>2561</v>
      </c>
      <c r="D646" s="150">
        <v>2</v>
      </c>
      <c r="E646" s="150" t="s">
        <v>2562</v>
      </c>
      <c r="F646" s="151" t="s">
        <v>2566</v>
      </c>
      <c r="G646" s="152">
        <v>4</v>
      </c>
      <c r="H646" s="152">
        <v>0</v>
      </c>
      <c r="I646" s="153">
        <v>3</v>
      </c>
      <c r="J646" s="154">
        <v>4</v>
      </c>
      <c r="K646" s="155">
        <v>0</v>
      </c>
      <c r="L646" s="148" t="s">
        <v>57</v>
      </c>
      <c r="M646" s="148" t="s">
        <v>58</v>
      </c>
      <c r="N646" s="156"/>
      <c r="O646" s="157" t="s">
        <v>59</v>
      </c>
      <c r="P646" s="158">
        <v>90</v>
      </c>
      <c r="Q646" s="152" t="s">
        <v>76</v>
      </c>
      <c r="R646" s="152" t="s">
        <v>70</v>
      </c>
      <c r="S646" s="148" t="s">
        <v>2567</v>
      </c>
      <c r="T646" s="148">
        <v>0</v>
      </c>
      <c r="U646" s="159">
        <v>35</v>
      </c>
      <c r="V646" s="160" t="str">
        <f>VLOOKUP(U646,docentes!$A:$E,2,0)</f>
        <v>ANA CLAUDIA POLATO E FAVA</v>
      </c>
      <c r="W646" s="161" t="str">
        <f>VLOOKUP(U646,docentes!$A:$E,5,0)</f>
        <v>CECS</v>
      </c>
      <c r="X646" s="162"/>
      <c r="Y646" s="163"/>
      <c r="Z646" s="164"/>
      <c r="AH646" s="45"/>
      <c r="AI646" s="45"/>
    </row>
    <row r="647" spans="1:35" s="44" customFormat="1" ht="66.75" customHeight="1">
      <c r="A647" s="148" t="s">
        <v>915</v>
      </c>
      <c r="B647" s="146" t="s">
        <v>2568</v>
      </c>
      <c r="C647" s="149" t="s">
        <v>2569</v>
      </c>
      <c r="D647" s="150">
        <v>1</v>
      </c>
      <c r="E647" s="150" t="s">
        <v>2570</v>
      </c>
      <c r="F647" s="151" t="s">
        <v>2571</v>
      </c>
      <c r="G647" s="152">
        <v>2</v>
      </c>
      <c r="H647" s="152">
        <v>2</v>
      </c>
      <c r="I647" s="153">
        <v>4</v>
      </c>
      <c r="J647" s="154">
        <v>2</v>
      </c>
      <c r="K647" s="155">
        <v>2</v>
      </c>
      <c r="L647" s="148" t="s">
        <v>57</v>
      </c>
      <c r="M647" s="148" t="s">
        <v>58</v>
      </c>
      <c r="N647" s="156"/>
      <c r="O647" s="157" t="s">
        <v>59</v>
      </c>
      <c r="P647" s="158">
        <v>30</v>
      </c>
      <c r="Q647" s="152" t="s">
        <v>60</v>
      </c>
      <c r="R647" s="152" t="s">
        <v>70</v>
      </c>
      <c r="S647" s="148" t="s">
        <v>2572</v>
      </c>
      <c r="T647" s="148" t="s">
        <v>2573</v>
      </c>
      <c r="U647" s="159">
        <v>289</v>
      </c>
      <c r="V647" s="160" t="str">
        <f>VLOOKUP(U647,docentes!$A:$E,2,0)</f>
        <v>JOSE JAVIER SAEZ ACUNA</v>
      </c>
      <c r="W647" s="161" t="str">
        <f>VLOOKUP(U647,docentes!$A:$E,5,0)</f>
        <v>CCNH</v>
      </c>
      <c r="X647" s="176">
        <v>289</v>
      </c>
      <c r="Y647" s="160" t="str">
        <f>VLOOKUP(X647,docentes!$A:$E,2,0)</f>
        <v>JOSE JAVIER SAEZ ACUNA</v>
      </c>
      <c r="Z647" s="177" t="str">
        <f>VLOOKUP(X647,docentes!$A:$E,5,0)</f>
        <v>CCNH</v>
      </c>
    </row>
    <row r="648" spans="1:35" s="44" customFormat="1" ht="66.75" customHeight="1">
      <c r="A648" s="148" t="s">
        <v>675</v>
      </c>
      <c r="B648" s="146" t="s">
        <v>2574</v>
      </c>
      <c r="C648" s="149" t="s">
        <v>2575</v>
      </c>
      <c r="D648" s="150">
        <v>2</v>
      </c>
      <c r="E648" s="150" t="s">
        <v>2576</v>
      </c>
      <c r="F648" s="151" t="s">
        <v>2577</v>
      </c>
      <c r="G648" s="152">
        <v>2</v>
      </c>
      <c r="H648" s="152">
        <v>2</v>
      </c>
      <c r="I648" s="153">
        <v>4</v>
      </c>
      <c r="J648" s="154">
        <v>2</v>
      </c>
      <c r="K648" s="155">
        <v>2</v>
      </c>
      <c r="L648" s="148" t="s">
        <v>57</v>
      </c>
      <c r="M648" s="148" t="s">
        <v>58</v>
      </c>
      <c r="N648" s="156"/>
      <c r="O648" s="157" t="s">
        <v>59</v>
      </c>
      <c r="P648" s="158">
        <v>30</v>
      </c>
      <c r="Q648" s="149" t="s">
        <v>76</v>
      </c>
      <c r="R648" s="152" t="s">
        <v>61</v>
      </c>
      <c r="S648" s="148">
        <v>0</v>
      </c>
      <c r="T648" s="148" t="s">
        <v>2578</v>
      </c>
      <c r="U648" s="159">
        <v>166</v>
      </c>
      <c r="V648" s="160" t="str">
        <f>VLOOKUP(U648,docentes!$A:$E,2,0)</f>
        <v>ERICK DARIO LEON BUENO DE CAMARGO</v>
      </c>
      <c r="W648" s="161" t="str">
        <f>VLOOKUP(U648,docentes!$A:$E,5,0)</f>
        <v>CECS</v>
      </c>
      <c r="X648" s="176">
        <v>166</v>
      </c>
      <c r="Y648" s="160" t="str">
        <f>VLOOKUP(X648,docentes!$A:$E,2,0)</f>
        <v>ERICK DARIO LEON BUENO DE CAMARGO</v>
      </c>
      <c r="Z648" s="177" t="str">
        <f>VLOOKUP(X648,docentes!$A:$E,5,0)</f>
        <v>CECS</v>
      </c>
    </row>
    <row r="649" spans="1:35" s="44" customFormat="1" ht="66.75" customHeight="1">
      <c r="A649" s="148" t="s">
        <v>675</v>
      </c>
      <c r="B649" s="146" t="s">
        <v>2579</v>
      </c>
      <c r="C649" s="149" t="s">
        <v>2575</v>
      </c>
      <c r="D649" s="150">
        <v>2</v>
      </c>
      <c r="E649" s="150" t="s">
        <v>2576</v>
      </c>
      <c r="F649" s="151" t="s">
        <v>2580</v>
      </c>
      <c r="G649" s="152">
        <v>2</v>
      </c>
      <c r="H649" s="152">
        <v>2</v>
      </c>
      <c r="I649" s="153">
        <v>4</v>
      </c>
      <c r="J649" s="154">
        <v>2</v>
      </c>
      <c r="K649" s="155">
        <v>2</v>
      </c>
      <c r="L649" s="148" t="s">
        <v>57</v>
      </c>
      <c r="M649" s="148" t="s">
        <v>58</v>
      </c>
      <c r="N649" s="156"/>
      <c r="O649" s="157" t="s">
        <v>59</v>
      </c>
      <c r="P649" s="158">
        <v>30</v>
      </c>
      <c r="Q649" s="149" t="s">
        <v>76</v>
      </c>
      <c r="R649" s="152" t="s">
        <v>70</v>
      </c>
      <c r="S649" s="148">
        <v>0</v>
      </c>
      <c r="T649" s="148" t="s">
        <v>2581</v>
      </c>
      <c r="U649" s="159">
        <v>566</v>
      </c>
      <c r="V649" s="160" t="str">
        <f>VLOOKUP(U649,docentes!$A:$E,2,0)</f>
        <v>WAGNER SHIN NISHITANI</v>
      </c>
      <c r="W649" s="161" t="str">
        <f>VLOOKUP(U649,docentes!$A:$E,5,0)</f>
        <v>CECS</v>
      </c>
      <c r="X649" s="176">
        <v>566</v>
      </c>
      <c r="Y649" s="160" t="str">
        <f>VLOOKUP(X649,docentes!$A:$E,2,0)</f>
        <v>WAGNER SHIN NISHITANI</v>
      </c>
      <c r="Z649" s="177" t="str">
        <f>VLOOKUP(X649,docentes!$A:$E,5,0)</f>
        <v>CECS</v>
      </c>
    </row>
    <row r="650" spans="1:35" s="44" customFormat="1" ht="66.75" customHeight="1">
      <c r="A650" s="148" t="s">
        <v>128</v>
      </c>
      <c r="B650" s="146" t="s">
        <v>2582</v>
      </c>
      <c r="C650" s="149" t="s">
        <v>2583</v>
      </c>
      <c r="D650" s="150">
        <v>2</v>
      </c>
      <c r="E650" s="150" t="s">
        <v>2584</v>
      </c>
      <c r="F650" s="151" t="s">
        <v>2585</v>
      </c>
      <c r="G650" s="152">
        <v>3</v>
      </c>
      <c r="H650" s="152">
        <v>0</v>
      </c>
      <c r="I650" s="153">
        <v>3</v>
      </c>
      <c r="J650" s="154">
        <v>3</v>
      </c>
      <c r="K650" s="155">
        <v>0</v>
      </c>
      <c r="L650" s="148" t="s">
        <v>57</v>
      </c>
      <c r="M650" s="148" t="s">
        <v>58</v>
      </c>
      <c r="N650" s="166"/>
      <c r="O650" s="157" t="s">
        <v>59</v>
      </c>
      <c r="P650" s="158">
        <v>62</v>
      </c>
      <c r="Q650" s="152" t="s">
        <v>76</v>
      </c>
      <c r="R650" s="152" t="s">
        <v>61</v>
      </c>
      <c r="S650" s="148" t="s">
        <v>2586</v>
      </c>
      <c r="T650" s="148">
        <v>0</v>
      </c>
      <c r="U650" s="159">
        <v>419</v>
      </c>
      <c r="V650" s="160" t="str">
        <f>VLOOKUP(U650,docentes!$A:$E,2,0)</f>
        <v>MICHELLE SATO FRIGO</v>
      </c>
      <c r="W650" s="161" t="str">
        <f>VLOOKUP(U650,docentes!$A:$E,5,0)</f>
        <v>CECS</v>
      </c>
      <c r="X650" s="162"/>
      <c r="Y650" s="163"/>
      <c r="Z650" s="164"/>
    </row>
    <row r="651" spans="1:35" s="44" customFormat="1" ht="66.75" customHeight="1">
      <c r="A651" s="148" t="s">
        <v>128</v>
      </c>
      <c r="B651" s="146" t="s">
        <v>2587</v>
      </c>
      <c r="C651" s="149" t="s">
        <v>2583</v>
      </c>
      <c r="D651" s="150">
        <v>2</v>
      </c>
      <c r="E651" s="150" t="s">
        <v>2584</v>
      </c>
      <c r="F651" s="151" t="s">
        <v>2588</v>
      </c>
      <c r="G651" s="152">
        <v>3</v>
      </c>
      <c r="H651" s="152">
        <v>0</v>
      </c>
      <c r="I651" s="153">
        <v>3</v>
      </c>
      <c r="J651" s="154">
        <v>3</v>
      </c>
      <c r="K651" s="155">
        <v>0</v>
      </c>
      <c r="L651" s="148" t="s">
        <v>57</v>
      </c>
      <c r="M651" s="148" t="s">
        <v>58</v>
      </c>
      <c r="N651" s="166"/>
      <c r="O651" s="157" t="s">
        <v>59</v>
      </c>
      <c r="P651" s="158">
        <v>63</v>
      </c>
      <c r="Q651" s="152" t="s">
        <v>76</v>
      </c>
      <c r="R651" s="152" t="s">
        <v>70</v>
      </c>
      <c r="S651" s="148" t="s">
        <v>2589</v>
      </c>
      <c r="T651" s="148">
        <v>0</v>
      </c>
      <c r="U651" s="159">
        <v>419</v>
      </c>
      <c r="V651" s="160" t="str">
        <f>VLOOKUP(U651,docentes!$A:$E,2,0)</f>
        <v>MICHELLE SATO FRIGO</v>
      </c>
      <c r="W651" s="161" t="str">
        <f>VLOOKUP(U651,docentes!$A:$E,5,0)</f>
        <v>CECS</v>
      </c>
      <c r="X651" s="162"/>
      <c r="Y651" s="163"/>
      <c r="Z651" s="164"/>
    </row>
    <row r="652" spans="1:35" s="44" customFormat="1" ht="66.75" customHeight="1">
      <c r="A652" s="148" t="s">
        <v>84</v>
      </c>
      <c r="B652" s="146" t="s">
        <v>2590</v>
      </c>
      <c r="C652" s="149" t="s">
        <v>2591</v>
      </c>
      <c r="D652" s="150">
        <v>2</v>
      </c>
      <c r="E652" s="150" t="s">
        <v>2592</v>
      </c>
      <c r="F652" s="151" t="s">
        <v>2593</v>
      </c>
      <c r="G652" s="152">
        <v>4</v>
      </c>
      <c r="H652" s="152">
        <v>0</v>
      </c>
      <c r="I652" s="153">
        <v>4</v>
      </c>
      <c r="J652" s="154">
        <v>4</v>
      </c>
      <c r="K652" s="155">
        <v>0</v>
      </c>
      <c r="L652" s="148" t="s">
        <v>57</v>
      </c>
      <c r="M652" s="148" t="s">
        <v>58</v>
      </c>
      <c r="N652" s="156"/>
      <c r="O652" s="157" t="s">
        <v>59</v>
      </c>
      <c r="P652" s="158">
        <v>60</v>
      </c>
      <c r="Q652" s="152" t="s">
        <v>76</v>
      </c>
      <c r="R652" s="152" t="s">
        <v>61</v>
      </c>
      <c r="S652" s="148" t="s">
        <v>2594</v>
      </c>
      <c r="T652" s="148">
        <v>0</v>
      </c>
      <c r="U652" s="159">
        <v>540</v>
      </c>
      <c r="V652" s="160" t="str">
        <f>VLOOKUP(U652,docentes!$A:$E,2,0)</f>
        <v>THIAGO FONSECA MORELLO RAMALHO DA SILVA</v>
      </c>
      <c r="W652" s="161" t="str">
        <f>VLOOKUP(U652,docentes!$A:$E,5,0)</f>
        <v>CECS</v>
      </c>
      <c r="X652" s="162"/>
      <c r="Y652" s="163"/>
      <c r="Z652" s="164"/>
    </row>
    <row r="653" spans="1:35" s="44" customFormat="1" ht="66.75" customHeight="1">
      <c r="A653" s="148" t="s">
        <v>84</v>
      </c>
      <c r="B653" s="146" t="s">
        <v>2595</v>
      </c>
      <c r="C653" s="149" t="s">
        <v>2591</v>
      </c>
      <c r="D653" s="150">
        <v>2</v>
      </c>
      <c r="E653" s="150" t="s">
        <v>2592</v>
      </c>
      <c r="F653" s="151" t="s">
        <v>2596</v>
      </c>
      <c r="G653" s="152">
        <v>4</v>
      </c>
      <c r="H653" s="152">
        <v>0</v>
      </c>
      <c r="I653" s="153">
        <v>4</v>
      </c>
      <c r="J653" s="154">
        <v>4</v>
      </c>
      <c r="K653" s="155">
        <v>0</v>
      </c>
      <c r="L653" s="148" t="s">
        <v>57</v>
      </c>
      <c r="M653" s="148" t="s">
        <v>58</v>
      </c>
      <c r="N653" s="156"/>
      <c r="O653" s="157" t="s">
        <v>59</v>
      </c>
      <c r="P653" s="158">
        <v>60</v>
      </c>
      <c r="Q653" s="152" t="s">
        <v>76</v>
      </c>
      <c r="R653" s="152" t="s">
        <v>70</v>
      </c>
      <c r="S653" s="148" t="s">
        <v>2597</v>
      </c>
      <c r="T653" s="148">
        <v>0</v>
      </c>
      <c r="U653" s="159">
        <v>540</v>
      </c>
      <c r="V653" s="160" t="str">
        <f>VLOOKUP(U653,docentes!$A:$E,2,0)</f>
        <v>THIAGO FONSECA MORELLO RAMALHO DA SILVA</v>
      </c>
      <c r="W653" s="161" t="str">
        <f>VLOOKUP(U653,docentes!$A:$E,5,0)</f>
        <v>CECS</v>
      </c>
      <c r="X653" s="162"/>
      <c r="Y653" s="163"/>
      <c r="Z653" s="164"/>
    </row>
    <row r="654" spans="1:35" s="44" customFormat="1" ht="66.75" customHeight="1">
      <c r="A654" s="148" t="s">
        <v>128</v>
      </c>
      <c r="B654" s="146" t="s">
        <v>2598</v>
      </c>
      <c r="C654" s="149" t="s">
        <v>2599</v>
      </c>
      <c r="D654" s="150">
        <v>1</v>
      </c>
      <c r="E654" s="150" t="s">
        <v>2600</v>
      </c>
      <c r="F654" s="151" t="s">
        <v>2601</v>
      </c>
      <c r="G654" s="152">
        <v>4</v>
      </c>
      <c r="H654" s="152">
        <v>0</v>
      </c>
      <c r="I654" s="153">
        <v>2</v>
      </c>
      <c r="J654" s="154">
        <v>4</v>
      </c>
      <c r="K654" s="155">
        <v>0</v>
      </c>
      <c r="L654" s="148" t="s">
        <v>57</v>
      </c>
      <c r="M654" s="148" t="s">
        <v>58</v>
      </c>
      <c r="N654" s="156"/>
      <c r="O654" s="157" t="s">
        <v>59</v>
      </c>
      <c r="P654" s="158">
        <v>62</v>
      </c>
      <c r="Q654" s="152" t="s">
        <v>76</v>
      </c>
      <c r="R654" s="152" t="s">
        <v>61</v>
      </c>
      <c r="S654" s="148" t="s">
        <v>2602</v>
      </c>
      <c r="T654" s="148">
        <v>0</v>
      </c>
      <c r="U654" s="159">
        <v>353</v>
      </c>
      <c r="V654" s="160" t="str">
        <f>VLOOKUP(U654,docentes!$A:$E,2,0)</f>
        <v>MARA MARLY GOMES BARRETO</v>
      </c>
      <c r="W654" s="161" t="str">
        <f>VLOOKUP(U654,docentes!$A:$E,5,0)</f>
        <v>CECS</v>
      </c>
      <c r="X654" s="162"/>
      <c r="Y654" s="163"/>
      <c r="Z654" s="164"/>
    </row>
    <row r="655" spans="1:35" s="44" customFormat="1" ht="66.75" customHeight="1">
      <c r="A655" s="148" t="s">
        <v>915</v>
      </c>
      <c r="B655" s="146" t="s">
        <v>2603</v>
      </c>
      <c r="C655" s="149" t="s">
        <v>2604</v>
      </c>
      <c r="D655" s="150">
        <v>2</v>
      </c>
      <c r="E655" s="150" t="s">
        <v>2605</v>
      </c>
      <c r="F655" s="151" t="s">
        <v>2606</v>
      </c>
      <c r="G655" s="152">
        <v>4</v>
      </c>
      <c r="H655" s="152">
        <v>0</v>
      </c>
      <c r="I655" s="153">
        <v>4</v>
      </c>
      <c r="J655" s="154">
        <v>4</v>
      </c>
      <c r="K655" s="155">
        <v>0</v>
      </c>
      <c r="L655" s="148" t="s">
        <v>902</v>
      </c>
      <c r="M655" s="148" t="s">
        <v>58</v>
      </c>
      <c r="N655" s="156"/>
      <c r="O655" s="165" t="s">
        <v>1435</v>
      </c>
      <c r="P655" s="158">
        <v>45</v>
      </c>
      <c r="Q655" s="152" t="s">
        <v>60</v>
      </c>
      <c r="R655" s="152" t="s">
        <v>61</v>
      </c>
      <c r="S655" s="148" t="s">
        <v>2607</v>
      </c>
      <c r="T655" s="148">
        <v>0</v>
      </c>
      <c r="U655" s="159">
        <v>314</v>
      </c>
      <c r="V655" s="160" t="str">
        <f>VLOOKUP(U655,docentes!$A:$E,2,0)</f>
        <v>LAURA PAULUCCI MARINHO</v>
      </c>
      <c r="W655" s="161" t="str">
        <f>VLOOKUP(U655,docentes!$A:$E,5,0)</f>
        <v>CCNH</v>
      </c>
      <c r="X655" s="162"/>
      <c r="Y655" s="163"/>
      <c r="Z655" s="164"/>
    </row>
    <row r="656" spans="1:35" s="44" customFormat="1" ht="66.75" customHeight="1">
      <c r="A656" s="148" t="s">
        <v>915</v>
      </c>
      <c r="B656" s="146" t="s">
        <v>2608</v>
      </c>
      <c r="C656" s="149" t="s">
        <v>2604</v>
      </c>
      <c r="D656" s="150">
        <v>2</v>
      </c>
      <c r="E656" s="150" t="s">
        <v>2605</v>
      </c>
      <c r="F656" s="151" t="s">
        <v>2609</v>
      </c>
      <c r="G656" s="152">
        <v>4</v>
      </c>
      <c r="H656" s="152">
        <v>0</v>
      </c>
      <c r="I656" s="153">
        <v>4</v>
      </c>
      <c r="J656" s="154">
        <v>4</v>
      </c>
      <c r="K656" s="155">
        <v>0</v>
      </c>
      <c r="L656" s="148" t="s">
        <v>902</v>
      </c>
      <c r="M656" s="148" t="s">
        <v>58</v>
      </c>
      <c r="N656" s="156"/>
      <c r="O656" s="165" t="s">
        <v>1435</v>
      </c>
      <c r="P656" s="158">
        <v>45</v>
      </c>
      <c r="Q656" s="152" t="s">
        <v>60</v>
      </c>
      <c r="R656" s="152" t="s">
        <v>70</v>
      </c>
      <c r="S656" s="148" t="s">
        <v>2610</v>
      </c>
      <c r="T656" s="148">
        <v>0</v>
      </c>
      <c r="U656" s="159">
        <v>460</v>
      </c>
      <c r="V656" s="160" t="str">
        <f>VLOOKUP(U656,docentes!$A:$E,2,0)</f>
        <v>PIETER WILLEM WESTERA</v>
      </c>
      <c r="W656" s="161" t="str">
        <f>VLOOKUP(U656,docentes!$A:$E,5,0)</f>
        <v>CCNH</v>
      </c>
      <c r="X656" s="162"/>
      <c r="Y656" s="163"/>
      <c r="Z656" s="164"/>
    </row>
    <row r="657" spans="1:35" s="44" customFormat="1" ht="66.75" customHeight="1">
      <c r="A657" s="148" t="s">
        <v>980</v>
      </c>
      <c r="B657" s="146" t="s">
        <v>2611</v>
      </c>
      <c r="C657" s="149" t="s">
        <v>2612</v>
      </c>
      <c r="D657" s="150">
        <v>2</v>
      </c>
      <c r="E657" s="150" t="s">
        <v>2613</v>
      </c>
      <c r="F657" s="151" t="s">
        <v>2614</v>
      </c>
      <c r="G657" s="152">
        <v>0</v>
      </c>
      <c r="H657" s="152">
        <v>4</v>
      </c>
      <c r="I657" s="153">
        <v>4</v>
      </c>
      <c r="J657" s="154">
        <v>0</v>
      </c>
      <c r="K657" s="155">
        <v>4</v>
      </c>
      <c r="L657" s="148" t="s">
        <v>57</v>
      </c>
      <c r="M657" s="148" t="s">
        <v>58</v>
      </c>
      <c r="N657" s="156"/>
      <c r="O657" s="157" t="s">
        <v>59</v>
      </c>
      <c r="P657" s="158">
        <v>20</v>
      </c>
      <c r="Q657" s="152" t="s">
        <v>76</v>
      </c>
      <c r="R657" s="152" t="s">
        <v>61</v>
      </c>
      <c r="S657" s="148" t="s">
        <v>2615</v>
      </c>
      <c r="T657" s="148">
        <v>0</v>
      </c>
      <c r="U657" s="170">
        <v>506</v>
      </c>
      <c r="V657" s="163" t="str">
        <f>VLOOKUP(U657,docentes!$A:$E,2,0)</f>
        <v>ROSANA DENALDI</v>
      </c>
      <c r="W657" s="171" t="str">
        <f>VLOOKUP(U657,docentes!$A:$E,5,0)</f>
        <v>CECS</v>
      </c>
      <c r="X657" s="176">
        <v>308</v>
      </c>
      <c r="Y657" s="160" t="str">
        <f>VLOOKUP(X657,docentes!$A:$E,2,0)</f>
        <v>KATIA CANIL</v>
      </c>
      <c r="Z657" s="177" t="str">
        <f>VLOOKUP(X657,docentes!$A:$E,5,0)</f>
        <v>CECS</v>
      </c>
      <c r="AH657" s="45"/>
      <c r="AI657" s="45"/>
    </row>
    <row r="658" spans="1:35" s="44" customFormat="1" ht="66.75" customHeight="1">
      <c r="A658" s="148" t="s">
        <v>980</v>
      </c>
      <c r="B658" s="146" t="s">
        <v>2616</v>
      </c>
      <c r="C658" s="149" t="s">
        <v>2612</v>
      </c>
      <c r="D658" s="150">
        <v>2</v>
      </c>
      <c r="E658" s="150" t="s">
        <v>2613</v>
      </c>
      <c r="F658" s="151" t="s">
        <v>2617</v>
      </c>
      <c r="G658" s="152">
        <v>0</v>
      </c>
      <c r="H658" s="152">
        <v>4</v>
      </c>
      <c r="I658" s="153">
        <v>4</v>
      </c>
      <c r="J658" s="154">
        <v>0</v>
      </c>
      <c r="K658" s="155">
        <v>4</v>
      </c>
      <c r="L658" s="148" t="s">
        <v>57</v>
      </c>
      <c r="M658" s="148" t="s">
        <v>58</v>
      </c>
      <c r="N658" s="156"/>
      <c r="O658" s="157" t="s">
        <v>59</v>
      </c>
      <c r="P658" s="158">
        <v>20</v>
      </c>
      <c r="Q658" s="152" t="s">
        <v>76</v>
      </c>
      <c r="R658" s="152" t="s">
        <v>70</v>
      </c>
      <c r="S658" s="148" t="s">
        <v>2618</v>
      </c>
      <c r="T658" s="148">
        <v>0</v>
      </c>
      <c r="U658" s="170">
        <v>308</v>
      </c>
      <c r="V658" s="163" t="str">
        <f>VLOOKUP(U658,docentes!$A:$E,2,0)</f>
        <v>KATIA CANIL</v>
      </c>
      <c r="W658" s="171" t="str">
        <f>VLOOKUP(U658,docentes!$A:$E,5,0)</f>
        <v>CECS</v>
      </c>
      <c r="X658" s="176">
        <v>506</v>
      </c>
      <c r="Y658" s="160" t="str">
        <f>VLOOKUP(X658,docentes!$A:$E,2,0)</f>
        <v>ROSANA DENALDI</v>
      </c>
      <c r="Z658" s="177" t="str">
        <f>VLOOKUP(X658,docentes!$A:$E,5,0)</f>
        <v>CECS</v>
      </c>
    </row>
    <row r="659" spans="1:35" s="44" customFormat="1" ht="66.75" customHeight="1">
      <c r="A659" s="148" t="s">
        <v>805</v>
      </c>
      <c r="B659" s="146" t="s">
        <v>2619</v>
      </c>
      <c r="C659" s="149" t="s">
        <v>2620</v>
      </c>
      <c r="D659" s="150">
        <v>1</v>
      </c>
      <c r="E659" s="150" t="s">
        <v>2621</v>
      </c>
      <c r="F659" s="151" t="s">
        <v>2622</v>
      </c>
      <c r="G659" s="152">
        <v>3</v>
      </c>
      <c r="H659" s="152">
        <v>1</v>
      </c>
      <c r="I659" s="153">
        <v>4</v>
      </c>
      <c r="J659" s="154">
        <v>3</v>
      </c>
      <c r="K659" s="155">
        <v>1</v>
      </c>
      <c r="L659" s="148" t="s">
        <v>750</v>
      </c>
      <c r="M659" s="148" t="s">
        <v>58</v>
      </c>
      <c r="N659" s="156">
        <v>0</v>
      </c>
      <c r="O659" s="165" t="s">
        <v>913</v>
      </c>
      <c r="P659" s="158">
        <v>49</v>
      </c>
      <c r="Q659" s="152" t="s">
        <v>60</v>
      </c>
      <c r="R659" s="152" t="s">
        <v>70</v>
      </c>
      <c r="S659" s="148" t="s">
        <v>2623</v>
      </c>
      <c r="T659" s="148">
        <v>0</v>
      </c>
      <c r="U659" s="159">
        <v>241</v>
      </c>
      <c r="V659" s="160" t="str">
        <f>VLOOKUP(U659,docentes!$A:$E,2,0)</f>
        <v>HAROLDO DE FARIA JUNIOR</v>
      </c>
      <c r="W659" s="161" t="str">
        <f>VLOOKUP(U659,docentes!$A:$E,5,0)</f>
        <v>CECS</v>
      </c>
      <c r="X659" s="176">
        <v>241</v>
      </c>
      <c r="Y659" s="160" t="str">
        <f>VLOOKUP(X659,docentes!$A:$E,2,0)</f>
        <v>HAROLDO DE FARIA JUNIOR</v>
      </c>
      <c r="Z659" s="177" t="str">
        <f>VLOOKUP(X659,docentes!$A:$E,5,0)</f>
        <v>CECS</v>
      </c>
    </row>
    <row r="660" spans="1:35" s="44" customFormat="1" ht="66.75" customHeight="1">
      <c r="A660" s="148" t="s">
        <v>805</v>
      </c>
      <c r="B660" s="146" t="s">
        <v>2624</v>
      </c>
      <c r="C660" s="149" t="s">
        <v>2625</v>
      </c>
      <c r="D660" s="150">
        <v>1</v>
      </c>
      <c r="E660" s="150" t="s">
        <v>2626</v>
      </c>
      <c r="F660" s="151" t="s">
        <v>2627</v>
      </c>
      <c r="G660" s="152">
        <v>3</v>
      </c>
      <c r="H660" s="152">
        <v>1</v>
      </c>
      <c r="I660" s="153">
        <v>4</v>
      </c>
      <c r="J660" s="154">
        <v>3</v>
      </c>
      <c r="K660" s="155">
        <v>1</v>
      </c>
      <c r="L660" s="148" t="s">
        <v>57</v>
      </c>
      <c r="M660" s="148" t="s">
        <v>58</v>
      </c>
      <c r="N660" s="156">
        <v>0</v>
      </c>
      <c r="O660" s="165" t="s">
        <v>810</v>
      </c>
      <c r="P660" s="158">
        <v>30</v>
      </c>
      <c r="Q660" s="152" t="s">
        <v>60</v>
      </c>
      <c r="R660" s="152" t="s">
        <v>70</v>
      </c>
      <c r="S660" s="148" t="s">
        <v>2628</v>
      </c>
      <c r="T660" s="148">
        <v>0</v>
      </c>
      <c r="U660" s="159">
        <v>228</v>
      </c>
      <c r="V660" s="160" t="str">
        <f>VLOOKUP(U660,docentes!$A:$E,2,0)</f>
        <v>GRAZIELLA COLATO ANTONIO</v>
      </c>
      <c r="W660" s="161" t="str">
        <f>VLOOKUP(U660,docentes!$A:$E,5,0)</f>
        <v>CECS</v>
      </c>
      <c r="X660" s="176">
        <v>228</v>
      </c>
      <c r="Y660" s="160" t="str">
        <f>VLOOKUP(X660,docentes!$A:$E,2,0)</f>
        <v>GRAZIELLA COLATO ANTONIO</v>
      </c>
      <c r="Z660" s="177" t="str">
        <f>VLOOKUP(X660,docentes!$A:$E,5,0)</f>
        <v>CECS</v>
      </c>
    </row>
    <row r="661" spans="1:35" s="44" customFormat="1" ht="66.75" customHeight="1">
      <c r="A661" s="148" t="s">
        <v>805</v>
      </c>
      <c r="B661" s="146" t="s">
        <v>2629</v>
      </c>
      <c r="C661" s="149" t="s">
        <v>2630</v>
      </c>
      <c r="D661" s="150">
        <v>1</v>
      </c>
      <c r="E661" s="150" t="s">
        <v>2631</v>
      </c>
      <c r="F661" s="151" t="s">
        <v>2632</v>
      </c>
      <c r="G661" s="152">
        <v>3</v>
      </c>
      <c r="H661" s="152">
        <v>1</v>
      </c>
      <c r="I661" s="153">
        <v>4</v>
      </c>
      <c r="J661" s="154">
        <v>3</v>
      </c>
      <c r="K661" s="155">
        <v>1</v>
      </c>
      <c r="L661" s="148" t="s">
        <v>57</v>
      </c>
      <c r="M661" s="148" t="s">
        <v>58</v>
      </c>
      <c r="N661" s="156">
        <v>0</v>
      </c>
      <c r="O661" s="165" t="s">
        <v>810</v>
      </c>
      <c r="P661" s="158">
        <v>30</v>
      </c>
      <c r="Q661" s="152" t="s">
        <v>60</v>
      </c>
      <c r="R661" s="152" t="s">
        <v>70</v>
      </c>
      <c r="S661" s="148" t="s">
        <v>2633</v>
      </c>
      <c r="T661" s="148">
        <v>0</v>
      </c>
      <c r="U661" s="159">
        <v>228</v>
      </c>
      <c r="V661" s="160" t="str">
        <f>VLOOKUP(U661,docentes!$A:$E,2,0)</f>
        <v>GRAZIELLA COLATO ANTONIO</v>
      </c>
      <c r="W661" s="161" t="str">
        <f>VLOOKUP(U661,docentes!$A:$E,5,0)</f>
        <v>CECS</v>
      </c>
      <c r="X661" s="176">
        <v>228</v>
      </c>
      <c r="Y661" s="160" t="str">
        <f>VLOOKUP(X661,docentes!$A:$E,2,0)</f>
        <v>GRAZIELLA COLATO ANTONIO</v>
      </c>
      <c r="Z661" s="177" t="str">
        <f>VLOOKUP(X661,docentes!$A:$E,5,0)</f>
        <v>CECS</v>
      </c>
    </row>
    <row r="662" spans="1:35" s="44" customFormat="1" ht="66.75" hidden="1" customHeight="1">
      <c r="A662" s="148" t="s">
        <v>1126</v>
      </c>
      <c r="B662" s="168" t="s">
        <v>2634</v>
      </c>
      <c r="C662" s="149"/>
      <c r="D662" s="150">
        <v>0</v>
      </c>
      <c r="E662" s="150" t="s">
        <v>2635</v>
      </c>
      <c r="F662" s="169" t="s">
        <v>2636</v>
      </c>
      <c r="G662" s="152">
        <v>4</v>
      </c>
      <c r="H662" s="152">
        <v>0</v>
      </c>
      <c r="I662" s="153">
        <v>4</v>
      </c>
      <c r="J662" s="154">
        <v>0</v>
      </c>
      <c r="K662" s="155">
        <v>0</v>
      </c>
      <c r="L662" s="148" t="s">
        <v>644</v>
      </c>
      <c r="M662" s="148" t="s">
        <v>58</v>
      </c>
      <c r="N662" s="156"/>
      <c r="O662" s="148" t="s">
        <v>2637</v>
      </c>
      <c r="P662" s="158">
        <v>0</v>
      </c>
      <c r="Q662" s="152" t="s">
        <v>60</v>
      </c>
      <c r="R662" s="152" t="s">
        <v>61</v>
      </c>
      <c r="S662" s="148" t="s">
        <v>2638</v>
      </c>
      <c r="T662" s="148">
        <v>0</v>
      </c>
      <c r="U662" s="170">
        <v>286</v>
      </c>
      <c r="V662" s="163" t="str">
        <f>VLOOKUP(U662,docentes!$A:$E,2,0)</f>
        <v>JOSE CARLOS RODRIGUES SILVA</v>
      </c>
      <c r="W662" s="171" t="str">
        <f>VLOOKUP(U662,docentes!$A:$E,5,0)</f>
        <v>CCNH</v>
      </c>
      <c r="X662" s="162"/>
      <c r="Y662" s="163"/>
      <c r="Z662" s="164"/>
    </row>
    <row r="663" spans="1:35" s="44" customFormat="1" ht="66.75" customHeight="1">
      <c r="A663" s="148" t="s">
        <v>1126</v>
      </c>
      <c r="B663" s="146" t="s">
        <v>2639</v>
      </c>
      <c r="C663" s="149" t="s">
        <v>2640</v>
      </c>
      <c r="D663" s="150">
        <v>1</v>
      </c>
      <c r="E663" s="150" t="s">
        <v>2635</v>
      </c>
      <c r="F663" s="151" t="s">
        <v>2641</v>
      </c>
      <c r="G663" s="152">
        <v>4</v>
      </c>
      <c r="H663" s="152">
        <v>0</v>
      </c>
      <c r="I663" s="153">
        <v>4</v>
      </c>
      <c r="J663" s="154">
        <v>4</v>
      </c>
      <c r="K663" s="155">
        <v>0</v>
      </c>
      <c r="L663" s="148" t="s">
        <v>57</v>
      </c>
      <c r="M663" s="148" t="s">
        <v>58</v>
      </c>
      <c r="N663" s="156"/>
      <c r="O663" s="148" t="s">
        <v>810</v>
      </c>
      <c r="P663" s="158">
        <v>50</v>
      </c>
      <c r="Q663" s="152" t="s">
        <v>60</v>
      </c>
      <c r="R663" s="152" t="s">
        <v>70</v>
      </c>
      <c r="S663" s="148" t="s">
        <v>2642</v>
      </c>
      <c r="T663" s="148">
        <v>0</v>
      </c>
      <c r="U663" s="159">
        <v>286</v>
      </c>
      <c r="V663" s="160" t="str">
        <f>VLOOKUP(U663,docentes!$A:$E,2,0)</f>
        <v>JOSE CARLOS RODRIGUES SILVA</v>
      </c>
      <c r="W663" s="161" t="str">
        <f>VLOOKUP(U663,docentes!$A:$E,5,0)</f>
        <v>CCNH</v>
      </c>
      <c r="X663" s="162"/>
      <c r="Y663" s="163"/>
      <c r="Z663" s="164"/>
    </row>
    <row r="664" spans="1:35" s="44" customFormat="1" ht="66.75" customHeight="1">
      <c r="A664" s="148" t="s">
        <v>134</v>
      </c>
      <c r="B664" s="146" t="s">
        <v>2643</v>
      </c>
      <c r="C664" s="149" t="s">
        <v>2644</v>
      </c>
      <c r="D664" s="150">
        <v>2</v>
      </c>
      <c r="E664" s="150" t="s">
        <v>2645</v>
      </c>
      <c r="F664" s="151" t="s">
        <v>2646</v>
      </c>
      <c r="G664" s="152">
        <v>3</v>
      </c>
      <c r="H664" s="152">
        <v>1</v>
      </c>
      <c r="I664" s="153">
        <v>4</v>
      </c>
      <c r="J664" s="154">
        <v>3</v>
      </c>
      <c r="K664" s="155">
        <v>1</v>
      </c>
      <c r="L664" s="148" t="s">
        <v>821</v>
      </c>
      <c r="M664" s="148" t="s">
        <v>68</v>
      </c>
      <c r="N664" s="156">
        <v>32</v>
      </c>
      <c r="O664" s="148" t="s">
        <v>822</v>
      </c>
      <c r="P664" s="158">
        <v>32</v>
      </c>
      <c r="Q664" s="152" t="s">
        <v>60</v>
      </c>
      <c r="R664" s="152" t="s">
        <v>61</v>
      </c>
      <c r="S664" s="148" t="s">
        <v>2647</v>
      </c>
      <c r="T664" s="148" t="s">
        <v>2648</v>
      </c>
      <c r="U664" s="159">
        <v>209</v>
      </c>
      <c r="V664" s="160" t="str">
        <f>VLOOKUP(U664,docentes!$A:$E,2,0)</f>
        <v>FULVIO ANDRES CALLEGARI</v>
      </c>
      <c r="W664" s="161" t="str">
        <f>VLOOKUP(U664,docentes!$A:$E,5,0)</f>
        <v>CECS</v>
      </c>
      <c r="X664" s="176">
        <v>209</v>
      </c>
      <c r="Y664" s="160" t="str">
        <f>VLOOKUP(X664,docentes!$A:$E,2,0)</f>
        <v>FULVIO ANDRES CALLEGARI</v>
      </c>
      <c r="Z664" s="177" t="str">
        <f>VLOOKUP(X664,docentes!$A:$E,5,0)</f>
        <v>CECS</v>
      </c>
    </row>
    <row r="665" spans="1:35" s="44" customFormat="1" ht="66.75" customHeight="1">
      <c r="A665" s="148" t="s">
        <v>134</v>
      </c>
      <c r="B665" s="146" t="s">
        <v>2649</v>
      </c>
      <c r="C665" s="149" t="s">
        <v>2644</v>
      </c>
      <c r="D665" s="150">
        <v>2</v>
      </c>
      <c r="E665" s="150" t="s">
        <v>2645</v>
      </c>
      <c r="F665" s="151" t="s">
        <v>2650</v>
      </c>
      <c r="G665" s="152">
        <v>3</v>
      </c>
      <c r="H665" s="152">
        <v>1</v>
      </c>
      <c r="I665" s="153">
        <v>4</v>
      </c>
      <c r="J665" s="154">
        <v>3</v>
      </c>
      <c r="K665" s="155">
        <v>1</v>
      </c>
      <c r="L665" s="148" t="s">
        <v>821</v>
      </c>
      <c r="M665" s="148" t="s">
        <v>68</v>
      </c>
      <c r="N665" s="156">
        <v>32</v>
      </c>
      <c r="O665" s="148" t="s">
        <v>822</v>
      </c>
      <c r="P665" s="158">
        <v>32</v>
      </c>
      <c r="Q665" s="152" t="s">
        <v>60</v>
      </c>
      <c r="R665" s="152" t="s">
        <v>70</v>
      </c>
      <c r="S665" s="148" t="s">
        <v>2651</v>
      </c>
      <c r="T665" s="148" t="s">
        <v>2652</v>
      </c>
      <c r="U665" s="159">
        <v>7</v>
      </c>
      <c r="V665" s="160" t="str">
        <f>VLOOKUP(U665,docentes!$A:$E,2,0)</f>
        <v>AGNALDO APARECIDO FRESCHI</v>
      </c>
      <c r="W665" s="161" t="str">
        <f>VLOOKUP(U665,docentes!$A:$E,5,0)</f>
        <v>CECS</v>
      </c>
      <c r="X665" s="176">
        <v>7</v>
      </c>
      <c r="Y665" s="160" t="str">
        <f>VLOOKUP(X665,docentes!$A:$E,2,0)</f>
        <v>AGNALDO APARECIDO FRESCHI</v>
      </c>
      <c r="Z665" s="177" t="str">
        <f>VLOOKUP(X665,docentes!$A:$E,5,0)</f>
        <v>CECS</v>
      </c>
    </row>
    <row r="666" spans="1:35" s="44" customFormat="1" ht="66.75" customHeight="1">
      <c r="A666" s="172" t="s">
        <v>222</v>
      </c>
      <c r="B666" s="146" t="s">
        <v>2653</v>
      </c>
      <c r="C666" s="149" t="s">
        <v>2654</v>
      </c>
      <c r="D666" s="150">
        <v>18</v>
      </c>
      <c r="E666" s="150" t="s">
        <v>2655</v>
      </c>
      <c r="F666" s="151" t="s">
        <v>2656</v>
      </c>
      <c r="G666" s="149">
        <v>3</v>
      </c>
      <c r="H666" s="173">
        <v>0</v>
      </c>
      <c r="I666" s="174">
        <v>4</v>
      </c>
      <c r="J666" s="155">
        <v>3</v>
      </c>
      <c r="K666" s="155">
        <v>0</v>
      </c>
      <c r="L666" s="172" t="s">
        <v>57</v>
      </c>
      <c r="M666" s="172" t="s">
        <v>58</v>
      </c>
      <c r="N666" s="151"/>
      <c r="O666" s="157" t="s">
        <v>59</v>
      </c>
      <c r="P666" s="175">
        <v>127</v>
      </c>
      <c r="Q666" s="152" t="s">
        <v>60</v>
      </c>
      <c r="R666" s="152" t="s">
        <v>61</v>
      </c>
      <c r="S666" s="148" t="s">
        <v>2657</v>
      </c>
      <c r="T666" s="148">
        <v>0</v>
      </c>
      <c r="U666" s="159">
        <v>134</v>
      </c>
      <c r="V666" s="160" t="str">
        <f>VLOOKUP(U666,docentes!$A:$E,2,0)</f>
        <v>DEMETRIO GASPARI CIRNE DE TOLEDO</v>
      </c>
      <c r="W666" s="161" t="str">
        <f>VLOOKUP(U666,docentes!$A:$E,5,0)</f>
        <v>CECS</v>
      </c>
      <c r="X666" s="162"/>
      <c r="Y666" s="163"/>
      <c r="Z666" s="164"/>
      <c r="AA666" s="45"/>
      <c r="AB666" s="45"/>
      <c r="AC666" s="45"/>
      <c r="AD666" s="45"/>
      <c r="AE666" s="45"/>
      <c r="AF666" s="45"/>
      <c r="AG666" s="45"/>
    </row>
    <row r="667" spans="1:35" s="44" customFormat="1" ht="66.75" customHeight="1">
      <c r="A667" s="172" t="s">
        <v>222</v>
      </c>
      <c r="B667" s="146" t="s">
        <v>2658</v>
      </c>
      <c r="C667" s="149" t="s">
        <v>2654</v>
      </c>
      <c r="D667" s="150">
        <v>18</v>
      </c>
      <c r="E667" s="150" t="s">
        <v>2655</v>
      </c>
      <c r="F667" s="151" t="s">
        <v>2659</v>
      </c>
      <c r="G667" s="149">
        <v>3</v>
      </c>
      <c r="H667" s="173">
        <v>0</v>
      </c>
      <c r="I667" s="174">
        <v>4</v>
      </c>
      <c r="J667" s="155">
        <v>3</v>
      </c>
      <c r="K667" s="155">
        <v>0</v>
      </c>
      <c r="L667" s="172" t="s">
        <v>57</v>
      </c>
      <c r="M667" s="172" t="s">
        <v>58</v>
      </c>
      <c r="N667" s="151"/>
      <c r="O667" s="157" t="s">
        <v>59</v>
      </c>
      <c r="P667" s="175">
        <v>90</v>
      </c>
      <c r="Q667" s="152" t="s">
        <v>76</v>
      </c>
      <c r="R667" s="152" t="s">
        <v>61</v>
      </c>
      <c r="S667" s="148" t="s">
        <v>2660</v>
      </c>
      <c r="T667" s="148">
        <v>0</v>
      </c>
      <c r="U667" s="159">
        <v>134</v>
      </c>
      <c r="V667" s="160" t="str">
        <f>VLOOKUP(U667,docentes!$A:$E,2,0)</f>
        <v>DEMETRIO GASPARI CIRNE DE TOLEDO</v>
      </c>
      <c r="W667" s="161" t="str">
        <f>VLOOKUP(U667,docentes!$A:$E,5,0)</f>
        <v>CECS</v>
      </c>
      <c r="X667" s="162"/>
      <c r="Y667" s="163"/>
      <c r="Z667" s="164"/>
      <c r="AA667" s="45"/>
      <c r="AB667" s="45"/>
      <c r="AC667" s="45"/>
      <c r="AD667" s="45"/>
      <c r="AE667" s="45"/>
      <c r="AF667" s="45"/>
      <c r="AG667" s="45"/>
    </row>
    <row r="668" spans="1:35" s="44" customFormat="1" ht="66.75" customHeight="1">
      <c r="A668" s="148" t="s">
        <v>222</v>
      </c>
      <c r="B668" s="146" t="s">
        <v>2661</v>
      </c>
      <c r="C668" s="149" t="s">
        <v>2654</v>
      </c>
      <c r="D668" s="150">
        <v>18</v>
      </c>
      <c r="E668" s="150" t="s">
        <v>2655</v>
      </c>
      <c r="F668" s="151" t="s">
        <v>2662</v>
      </c>
      <c r="G668" s="152">
        <v>3</v>
      </c>
      <c r="H668" s="152">
        <v>0</v>
      </c>
      <c r="I668" s="153">
        <v>4</v>
      </c>
      <c r="J668" s="154">
        <v>3</v>
      </c>
      <c r="K668" s="155">
        <v>0</v>
      </c>
      <c r="L668" s="148" t="s">
        <v>57</v>
      </c>
      <c r="M668" s="148" t="s">
        <v>58</v>
      </c>
      <c r="N668" s="156"/>
      <c r="O668" s="165" t="s">
        <v>2663</v>
      </c>
      <c r="P668" s="158">
        <v>127</v>
      </c>
      <c r="Q668" s="152" t="s">
        <v>60</v>
      </c>
      <c r="R668" s="152" t="s">
        <v>70</v>
      </c>
      <c r="S668" s="148" t="s">
        <v>2664</v>
      </c>
      <c r="T668" s="148">
        <v>0</v>
      </c>
      <c r="U668" s="159">
        <v>69</v>
      </c>
      <c r="V668" s="160" t="str">
        <f>VLOOKUP(U668,docentes!$A:$E,2,0)</f>
        <v>ANTONIO SERGIO KIMUS BRAZ</v>
      </c>
      <c r="W668" s="161" t="str">
        <f>VLOOKUP(U668,docentes!$A:$E,5,0)</f>
        <v>CCNH</v>
      </c>
      <c r="X668" s="162"/>
      <c r="Y668" s="163"/>
      <c r="Z668" s="164"/>
    </row>
    <row r="669" spans="1:35" s="44" customFormat="1" ht="66.75" customHeight="1">
      <c r="A669" s="148" t="s">
        <v>222</v>
      </c>
      <c r="B669" s="146" t="s">
        <v>2665</v>
      </c>
      <c r="C669" s="149" t="s">
        <v>2654</v>
      </c>
      <c r="D669" s="150">
        <v>18</v>
      </c>
      <c r="E669" s="150" t="s">
        <v>2655</v>
      </c>
      <c r="F669" s="151" t="s">
        <v>2666</v>
      </c>
      <c r="G669" s="152">
        <v>3</v>
      </c>
      <c r="H669" s="152">
        <v>0</v>
      </c>
      <c r="I669" s="153">
        <v>4</v>
      </c>
      <c r="J669" s="154">
        <v>3</v>
      </c>
      <c r="K669" s="155">
        <v>0</v>
      </c>
      <c r="L669" s="148" t="s">
        <v>57</v>
      </c>
      <c r="M669" s="148" t="s">
        <v>58</v>
      </c>
      <c r="N669" s="156"/>
      <c r="O669" s="157" t="s">
        <v>59</v>
      </c>
      <c r="P669" s="158">
        <v>90</v>
      </c>
      <c r="Q669" s="152" t="s">
        <v>76</v>
      </c>
      <c r="R669" s="152" t="s">
        <v>70</v>
      </c>
      <c r="S669" s="148" t="s">
        <v>2667</v>
      </c>
      <c r="T669" s="148">
        <v>0</v>
      </c>
      <c r="U669" s="159">
        <v>73</v>
      </c>
      <c r="V669" s="160" t="str">
        <f>VLOOKUP(U669,docentes!$A:$E,2,0)</f>
        <v>ARNALDO RODRIGUES DOS SANTOS JUNIOR</v>
      </c>
      <c r="W669" s="161" t="str">
        <f>VLOOKUP(U669,docentes!$A:$E,5,0)</f>
        <v>CCNH</v>
      </c>
      <c r="X669" s="162"/>
      <c r="Y669" s="163"/>
      <c r="Z669" s="164"/>
      <c r="AH669" s="45"/>
      <c r="AI669" s="45"/>
    </row>
    <row r="670" spans="1:35" s="44" customFormat="1" ht="66.75" customHeight="1">
      <c r="A670" s="172" t="s">
        <v>222</v>
      </c>
      <c r="B670" s="146" t="s">
        <v>2668</v>
      </c>
      <c r="C670" s="149" t="s">
        <v>2654</v>
      </c>
      <c r="D670" s="150">
        <v>18</v>
      </c>
      <c r="E670" s="150" t="s">
        <v>2655</v>
      </c>
      <c r="F670" s="151" t="s">
        <v>2669</v>
      </c>
      <c r="G670" s="149">
        <v>3</v>
      </c>
      <c r="H670" s="173">
        <v>0</v>
      </c>
      <c r="I670" s="174">
        <v>4</v>
      </c>
      <c r="J670" s="155">
        <v>3</v>
      </c>
      <c r="K670" s="155">
        <v>0</v>
      </c>
      <c r="L670" s="172" t="s">
        <v>57</v>
      </c>
      <c r="M670" s="172" t="s">
        <v>58</v>
      </c>
      <c r="N670" s="151"/>
      <c r="O670" s="157" t="s">
        <v>59</v>
      </c>
      <c r="P670" s="175">
        <v>109</v>
      </c>
      <c r="Q670" s="152" t="s">
        <v>60</v>
      </c>
      <c r="R670" s="152" t="s">
        <v>61</v>
      </c>
      <c r="S670" s="148" t="s">
        <v>2670</v>
      </c>
      <c r="T670" s="148">
        <v>0</v>
      </c>
      <c r="U670" s="159">
        <v>438</v>
      </c>
      <c r="V670" s="160" t="str">
        <f>VLOOKUP(U670,docentes!$A:$E,2,0)</f>
        <v>OTTO MULLER PATRAO DE OLIVEIRA</v>
      </c>
      <c r="W670" s="161" t="str">
        <f>VLOOKUP(U670,docentes!$A:$E,5,0)</f>
        <v>CCNH</v>
      </c>
      <c r="X670" s="162"/>
      <c r="Y670" s="163"/>
      <c r="Z670" s="164"/>
      <c r="AA670" s="45"/>
      <c r="AB670" s="45"/>
      <c r="AC670" s="45"/>
      <c r="AD670" s="45"/>
      <c r="AE670" s="45"/>
      <c r="AF670" s="45"/>
      <c r="AG670" s="45"/>
    </row>
    <row r="671" spans="1:35" s="44" customFormat="1" ht="66.75" customHeight="1">
      <c r="A671" s="172" t="s">
        <v>222</v>
      </c>
      <c r="B671" s="146" t="s">
        <v>2671</v>
      </c>
      <c r="C671" s="149" t="s">
        <v>2654</v>
      </c>
      <c r="D671" s="150">
        <v>18</v>
      </c>
      <c r="E671" s="150" t="s">
        <v>2655</v>
      </c>
      <c r="F671" s="151" t="s">
        <v>2672</v>
      </c>
      <c r="G671" s="149">
        <v>3</v>
      </c>
      <c r="H671" s="173">
        <v>0</v>
      </c>
      <c r="I671" s="174">
        <v>4</v>
      </c>
      <c r="J671" s="155">
        <v>3</v>
      </c>
      <c r="K671" s="155">
        <v>0</v>
      </c>
      <c r="L671" s="172" t="s">
        <v>57</v>
      </c>
      <c r="M671" s="172" t="s">
        <v>58</v>
      </c>
      <c r="N671" s="151"/>
      <c r="O671" s="157" t="s">
        <v>59</v>
      </c>
      <c r="P671" s="175">
        <v>90</v>
      </c>
      <c r="Q671" s="152" t="s">
        <v>76</v>
      </c>
      <c r="R671" s="152" t="s">
        <v>61</v>
      </c>
      <c r="S671" s="148" t="s">
        <v>2673</v>
      </c>
      <c r="T671" s="148">
        <v>0</v>
      </c>
      <c r="U671" s="159">
        <v>45</v>
      </c>
      <c r="V671" s="160" t="str">
        <f>VLOOKUP(U671,docentes!$A:$E,2,0)</f>
        <v>ANDRE ETEROVIC</v>
      </c>
      <c r="W671" s="161" t="str">
        <f>VLOOKUP(U671,docentes!$A:$E,5,0)</f>
        <v>CCNH</v>
      </c>
      <c r="X671" s="162"/>
      <c r="Y671" s="163"/>
      <c r="Z671" s="164"/>
      <c r="AA671" s="45"/>
      <c r="AB671" s="45"/>
      <c r="AC671" s="45"/>
      <c r="AD671" s="45"/>
      <c r="AE671" s="45"/>
      <c r="AF671" s="45"/>
      <c r="AG671" s="45"/>
    </row>
    <row r="672" spans="1:35" s="44" customFormat="1" ht="66.75" customHeight="1">
      <c r="A672" s="148" t="s">
        <v>222</v>
      </c>
      <c r="B672" s="146" t="s">
        <v>2674</v>
      </c>
      <c r="C672" s="149" t="s">
        <v>2654</v>
      </c>
      <c r="D672" s="150">
        <v>18</v>
      </c>
      <c r="E672" s="150" t="s">
        <v>2655</v>
      </c>
      <c r="F672" s="151" t="s">
        <v>2675</v>
      </c>
      <c r="G672" s="152">
        <v>3</v>
      </c>
      <c r="H672" s="152">
        <v>0</v>
      </c>
      <c r="I672" s="153">
        <v>4</v>
      </c>
      <c r="J672" s="154">
        <v>3</v>
      </c>
      <c r="K672" s="155">
        <v>0</v>
      </c>
      <c r="L672" s="148" t="s">
        <v>57</v>
      </c>
      <c r="M672" s="148" t="s">
        <v>58</v>
      </c>
      <c r="N672" s="156"/>
      <c r="O672" s="165" t="s">
        <v>2663</v>
      </c>
      <c r="P672" s="158">
        <v>109</v>
      </c>
      <c r="Q672" s="152" t="s">
        <v>60</v>
      </c>
      <c r="R672" s="152" t="s">
        <v>70</v>
      </c>
      <c r="S672" s="148" t="s">
        <v>2676</v>
      </c>
      <c r="T672" s="148">
        <v>0</v>
      </c>
      <c r="U672" s="159">
        <v>154</v>
      </c>
      <c r="V672" s="160" t="str">
        <f>VLOOKUP(U672,docentes!$A:$E,2,0)</f>
        <v>EDUARDO LEITE BORBA</v>
      </c>
      <c r="W672" s="161" t="str">
        <f>VLOOKUP(U672,docentes!$A:$E,5,0)</f>
        <v>CCNH</v>
      </c>
      <c r="X672" s="162"/>
      <c r="Y672" s="163"/>
      <c r="Z672" s="164"/>
      <c r="AH672" s="45"/>
      <c r="AI672" s="45"/>
    </row>
    <row r="673" spans="1:35" s="44" customFormat="1" ht="66.75" customHeight="1">
      <c r="A673" s="148" t="s">
        <v>222</v>
      </c>
      <c r="B673" s="146" t="s">
        <v>2677</v>
      </c>
      <c r="C673" s="149" t="s">
        <v>2654</v>
      </c>
      <c r="D673" s="150">
        <v>18</v>
      </c>
      <c r="E673" s="150" t="s">
        <v>2655</v>
      </c>
      <c r="F673" s="151" t="s">
        <v>2678</v>
      </c>
      <c r="G673" s="152">
        <v>3</v>
      </c>
      <c r="H673" s="152">
        <v>0</v>
      </c>
      <c r="I673" s="153">
        <v>4</v>
      </c>
      <c r="J673" s="154">
        <v>3</v>
      </c>
      <c r="K673" s="155">
        <v>0</v>
      </c>
      <c r="L673" s="148" t="s">
        <v>57</v>
      </c>
      <c r="M673" s="148" t="s">
        <v>58</v>
      </c>
      <c r="N673" s="156"/>
      <c r="O673" s="157" t="s">
        <v>59</v>
      </c>
      <c r="P673" s="158">
        <v>90</v>
      </c>
      <c r="Q673" s="152" t="s">
        <v>76</v>
      </c>
      <c r="R673" s="152" t="s">
        <v>70</v>
      </c>
      <c r="S673" s="148" t="s">
        <v>2679</v>
      </c>
      <c r="T673" s="148">
        <v>0</v>
      </c>
      <c r="U673" s="159">
        <v>481</v>
      </c>
      <c r="V673" s="160" t="str">
        <f>VLOOKUP(U673,docentes!$A:$E,2,0)</f>
        <v>RICARDO AUGUSTO LOMBELLO</v>
      </c>
      <c r="W673" s="161" t="str">
        <f>VLOOKUP(U673,docentes!$A:$E,5,0)</f>
        <v>CCNH</v>
      </c>
      <c r="X673" s="162"/>
      <c r="Y673" s="163"/>
      <c r="Z673" s="164"/>
    </row>
    <row r="674" spans="1:35" s="44" customFormat="1" ht="66.75" customHeight="1">
      <c r="A674" s="148" t="s">
        <v>222</v>
      </c>
      <c r="B674" s="146" t="s">
        <v>2680</v>
      </c>
      <c r="C674" s="149" t="s">
        <v>2654</v>
      </c>
      <c r="D674" s="150">
        <v>18</v>
      </c>
      <c r="E674" s="150" t="s">
        <v>2655</v>
      </c>
      <c r="F674" s="151" t="s">
        <v>2681</v>
      </c>
      <c r="G674" s="152">
        <v>3</v>
      </c>
      <c r="H674" s="152">
        <v>0</v>
      </c>
      <c r="I674" s="153">
        <v>4</v>
      </c>
      <c r="J674" s="154">
        <v>3</v>
      </c>
      <c r="K674" s="155">
        <v>0</v>
      </c>
      <c r="L674" s="148" t="s">
        <v>57</v>
      </c>
      <c r="M674" s="148" t="s">
        <v>58</v>
      </c>
      <c r="N674" s="156"/>
      <c r="O674" s="157" t="s">
        <v>59</v>
      </c>
      <c r="P674" s="158">
        <v>93</v>
      </c>
      <c r="Q674" s="152" t="s">
        <v>60</v>
      </c>
      <c r="R674" s="152" t="s">
        <v>61</v>
      </c>
      <c r="S674" s="148" t="s">
        <v>2682</v>
      </c>
      <c r="T674" s="148">
        <v>0</v>
      </c>
      <c r="U674" s="159">
        <v>550</v>
      </c>
      <c r="V674" s="160" t="str">
        <f>VLOOKUP(U674,docentes!$A:$E,2,0)</f>
        <v>VANESSA KRUTH VERDADE</v>
      </c>
      <c r="W674" s="161" t="str">
        <f>VLOOKUP(U674,docentes!$A:$E,5,0)</f>
        <v>CCNH</v>
      </c>
      <c r="X674" s="162"/>
      <c r="Y674" s="163"/>
      <c r="Z674" s="164"/>
    </row>
    <row r="675" spans="1:35" s="44" customFormat="1" ht="66.75" customHeight="1">
      <c r="A675" s="148" t="s">
        <v>222</v>
      </c>
      <c r="B675" s="146" t="s">
        <v>2683</v>
      </c>
      <c r="C675" s="149" t="s">
        <v>2654</v>
      </c>
      <c r="D675" s="150">
        <v>18</v>
      </c>
      <c r="E675" s="150" t="s">
        <v>2655</v>
      </c>
      <c r="F675" s="151" t="s">
        <v>2684</v>
      </c>
      <c r="G675" s="152">
        <v>3</v>
      </c>
      <c r="H675" s="152">
        <v>0</v>
      </c>
      <c r="I675" s="153">
        <v>4</v>
      </c>
      <c r="J675" s="154">
        <v>3</v>
      </c>
      <c r="K675" s="155">
        <v>0</v>
      </c>
      <c r="L675" s="148" t="s">
        <v>57</v>
      </c>
      <c r="M675" s="148" t="s">
        <v>58</v>
      </c>
      <c r="N675" s="156"/>
      <c r="O675" s="165" t="s">
        <v>2685</v>
      </c>
      <c r="P675" s="158">
        <v>93</v>
      </c>
      <c r="Q675" s="152" t="s">
        <v>60</v>
      </c>
      <c r="R675" s="152" t="s">
        <v>70</v>
      </c>
      <c r="S675" s="148" t="s">
        <v>2686</v>
      </c>
      <c r="T675" s="148">
        <v>0</v>
      </c>
      <c r="U675" s="159">
        <v>270</v>
      </c>
      <c r="V675" s="160" t="str">
        <f>VLOOKUP(U675,docentes!$A:$E,2,0)</f>
        <v>JIRI BORECKY</v>
      </c>
      <c r="W675" s="161" t="str">
        <f>VLOOKUP(U675,docentes!$A:$E,5,0)</f>
        <v>CCNH</v>
      </c>
      <c r="X675" s="162"/>
      <c r="Y675" s="163"/>
      <c r="Z675" s="164"/>
      <c r="AH675" s="45"/>
      <c r="AI675" s="45"/>
    </row>
    <row r="676" spans="1:35" s="44" customFormat="1" ht="66.75" customHeight="1">
      <c r="A676" s="148" t="s">
        <v>222</v>
      </c>
      <c r="B676" s="146" t="s">
        <v>2687</v>
      </c>
      <c r="C676" s="149" t="s">
        <v>2654</v>
      </c>
      <c r="D676" s="150">
        <v>18</v>
      </c>
      <c r="E676" s="150" t="s">
        <v>2655</v>
      </c>
      <c r="F676" s="151" t="s">
        <v>2688</v>
      </c>
      <c r="G676" s="152">
        <v>3</v>
      </c>
      <c r="H676" s="152">
        <v>0</v>
      </c>
      <c r="I676" s="153">
        <v>4</v>
      </c>
      <c r="J676" s="154">
        <v>3</v>
      </c>
      <c r="K676" s="155">
        <v>0</v>
      </c>
      <c r="L676" s="148" t="s">
        <v>57</v>
      </c>
      <c r="M676" s="148" t="s">
        <v>58</v>
      </c>
      <c r="N676" s="156"/>
      <c r="O676" s="157" t="s">
        <v>59</v>
      </c>
      <c r="P676" s="158">
        <v>111</v>
      </c>
      <c r="Q676" s="152" t="s">
        <v>60</v>
      </c>
      <c r="R676" s="152" t="s">
        <v>61</v>
      </c>
      <c r="S676" s="148" t="s">
        <v>2689</v>
      </c>
      <c r="T676" s="148">
        <v>0</v>
      </c>
      <c r="U676" s="159">
        <v>99</v>
      </c>
      <c r="V676" s="160" t="str">
        <f>VLOOKUP(U676,docentes!$A:$E,2,0)</f>
        <v>CHARLES MORPHY DIAS DOS SANTOS</v>
      </c>
      <c r="W676" s="161" t="str">
        <f>VLOOKUP(U676,docentes!$A:$E,5,0)</f>
        <v>CCNH</v>
      </c>
      <c r="X676" s="162"/>
      <c r="Y676" s="163"/>
      <c r="Z676" s="164"/>
    </row>
    <row r="677" spans="1:35" s="44" customFormat="1" ht="66.75" customHeight="1">
      <c r="A677" s="148" t="s">
        <v>222</v>
      </c>
      <c r="B677" s="146" t="s">
        <v>2690</v>
      </c>
      <c r="C677" s="149" t="s">
        <v>2654</v>
      </c>
      <c r="D677" s="150">
        <v>18</v>
      </c>
      <c r="E677" s="150" t="s">
        <v>2655</v>
      </c>
      <c r="F677" s="151" t="s">
        <v>2691</v>
      </c>
      <c r="G677" s="152">
        <v>3</v>
      </c>
      <c r="H677" s="152">
        <v>0</v>
      </c>
      <c r="I677" s="153">
        <v>4</v>
      </c>
      <c r="J677" s="154">
        <v>3</v>
      </c>
      <c r="K677" s="155">
        <v>0</v>
      </c>
      <c r="L677" s="148" t="s">
        <v>57</v>
      </c>
      <c r="M677" s="148" t="s">
        <v>58</v>
      </c>
      <c r="N677" s="156"/>
      <c r="O677" s="157" t="s">
        <v>59</v>
      </c>
      <c r="P677" s="158">
        <v>111</v>
      </c>
      <c r="Q677" s="152" t="s">
        <v>60</v>
      </c>
      <c r="R677" s="152" t="s">
        <v>70</v>
      </c>
      <c r="S677" s="148" t="s">
        <v>2692</v>
      </c>
      <c r="T677" s="148">
        <v>0</v>
      </c>
      <c r="U677" s="159">
        <v>69</v>
      </c>
      <c r="V677" s="160" t="str">
        <f>VLOOKUP(U677,docentes!$A:$E,2,0)</f>
        <v>ANTONIO SERGIO KIMUS BRAZ</v>
      </c>
      <c r="W677" s="161" t="str">
        <f>VLOOKUP(U677,docentes!$A:$E,5,0)</f>
        <v>CCNH</v>
      </c>
      <c r="X677" s="162"/>
      <c r="Y677" s="163"/>
      <c r="Z677" s="164"/>
    </row>
    <row r="678" spans="1:35" s="44" customFormat="1" ht="66.75" customHeight="1">
      <c r="A678" s="148" t="s">
        <v>222</v>
      </c>
      <c r="B678" s="146" t="s">
        <v>2693</v>
      </c>
      <c r="C678" s="149" t="s">
        <v>2654</v>
      </c>
      <c r="D678" s="150">
        <v>18</v>
      </c>
      <c r="E678" s="150" t="s">
        <v>2655</v>
      </c>
      <c r="F678" s="151" t="s">
        <v>2694</v>
      </c>
      <c r="G678" s="152">
        <v>3</v>
      </c>
      <c r="H678" s="152">
        <v>0</v>
      </c>
      <c r="I678" s="153">
        <v>4</v>
      </c>
      <c r="J678" s="154">
        <v>3</v>
      </c>
      <c r="K678" s="155">
        <v>0</v>
      </c>
      <c r="L678" s="148" t="s">
        <v>57</v>
      </c>
      <c r="M678" s="148" t="s">
        <v>58</v>
      </c>
      <c r="N678" s="156"/>
      <c r="O678" s="157" t="s">
        <v>59</v>
      </c>
      <c r="P678" s="158">
        <v>86</v>
      </c>
      <c r="Q678" s="152" t="s">
        <v>60</v>
      </c>
      <c r="R678" s="152" t="s">
        <v>61</v>
      </c>
      <c r="S678" s="148" t="s">
        <v>2695</v>
      </c>
      <c r="T678" s="148">
        <v>0</v>
      </c>
      <c r="U678" s="159">
        <v>371</v>
      </c>
      <c r="V678" s="160" t="str">
        <f>VLOOKUP(U678,docentes!$A:$E,2,0)</f>
        <v>MARCIO DE SOUZA WERNECK</v>
      </c>
      <c r="W678" s="161" t="str">
        <f>VLOOKUP(U678,docentes!$A:$E,5,0)</f>
        <v>CCNH</v>
      </c>
      <c r="X678" s="162"/>
      <c r="Y678" s="163"/>
      <c r="Z678" s="164"/>
    </row>
    <row r="679" spans="1:35" s="44" customFormat="1" ht="66.75" customHeight="1">
      <c r="A679" s="148" t="s">
        <v>222</v>
      </c>
      <c r="B679" s="146" t="s">
        <v>2696</v>
      </c>
      <c r="C679" s="149" t="s">
        <v>2654</v>
      </c>
      <c r="D679" s="150">
        <v>18</v>
      </c>
      <c r="E679" s="150" t="s">
        <v>2655</v>
      </c>
      <c r="F679" s="147" t="s">
        <v>2697</v>
      </c>
      <c r="G679" s="152">
        <v>3</v>
      </c>
      <c r="H679" s="152">
        <v>0</v>
      </c>
      <c r="I679" s="153">
        <v>4</v>
      </c>
      <c r="J679" s="154">
        <v>3</v>
      </c>
      <c r="K679" s="155">
        <v>0</v>
      </c>
      <c r="L679" s="148" t="s">
        <v>57</v>
      </c>
      <c r="M679" s="148" t="s">
        <v>58</v>
      </c>
      <c r="N679" s="182"/>
      <c r="O679" s="157" t="s">
        <v>59</v>
      </c>
      <c r="P679" s="158">
        <v>86</v>
      </c>
      <c r="Q679" s="152" t="s">
        <v>60</v>
      </c>
      <c r="R679" s="152" t="s">
        <v>70</v>
      </c>
      <c r="S679" s="148" t="s">
        <v>2698</v>
      </c>
      <c r="T679" s="148">
        <v>0</v>
      </c>
      <c r="U679" s="159">
        <v>327</v>
      </c>
      <c r="V679" s="160" t="str">
        <f>VLOOKUP(U679,docentes!$A:$E,2,0)</f>
        <v>LUCIANA CAMPOS PAULINO</v>
      </c>
      <c r="W679" s="161" t="str">
        <f>VLOOKUP(U679,docentes!$A:$E,5,0)</f>
        <v>CCNH</v>
      </c>
      <c r="X679" s="162"/>
      <c r="Y679" s="163"/>
      <c r="Z679" s="164"/>
    </row>
    <row r="680" spans="1:35" s="44" customFormat="1" ht="66.75" customHeight="1">
      <c r="A680" s="148" t="s">
        <v>222</v>
      </c>
      <c r="B680" s="146" t="s">
        <v>2699</v>
      </c>
      <c r="C680" s="149" t="s">
        <v>2654</v>
      </c>
      <c r="D680" s="150">
        <v>18</v>
      </c>
      <c r="E680" s="150" t="s">
        <v>2655</v>
      </c>
      <c r="F680" s="151" t="s">
        <v>2700</v>
      </c>
      <c r="G680" s="152">
        <v>3</v>
      </c>
      <c r="H680" s="152">
        <v>0</v>
      </c>
      <c r="I680" s="153">
        <v>4</v>
      </c>
      <c r="J680" s="154">
        <v>3</v>
      </c>
      <c r="K680" s="155">
        <v>0</v>
      </c>
      <c r="L680" s="148" t="s">
        <v>57</v>
      </c>
      <c r="M680" s="148" t="s">
        <v>58</v>
      </c>
      <c r="N680" s="156"/>
      <c r="O680" s="157" t="s">
        <v>59</v>
      </c>
      <c r="P680" s="158">
        <v>86</v>
      </c>
      <c r="Q680" s="152" t="s">
        <v>60</v>
      </c>
      <c r="R680" s="152" t="s">
        <v>61</v>
      </c>
      <c r="S680" s="148" t="s">
        <v>2701</v>
      </c>
      <c r="T680" s="148">
        <v>0</v>
      </c>
      <c r="U680" s="159">
        <v>550</v>
      </c>
      <c r="V680" s="160" t="str">
        <f>VLOOKUP(U680,docentes!$A:$E,2,0)</f>
        <v>VANESSA KRUTH VERDADE</v>
      </c>
      <c r="W680" s="161" t="str">
        <f>VLOOKUP(U680,docentes!$A:$E,5,0)</f>
        <v>CCNH</v>
      </c>
      <c r="X680" s="162"/>
      <c r="Y680" s="163"/>
      <c r="Z680" s="164"/>
    </row>
    <row r="681" spans="1:35" s="44" customFormat="1" ht="66.75" customHeight="1">
      <c r="A681" s="148" t="s">
        <v>222</v>
      </c>
      <c r="B681" s="146" t="s">
        <v>2702</v>
      </c>
      <c r="C681" s="149" t="s">
        <v>2654</v>
      </c>
      <c r="D681" s="150">
        <v>18</v>
      </c>
      <c r="E681" s="150" t="s">
        <v>2655</v>
      </c>
      <c r="F681" s="151" t="s">
        <v>2703</v>
      </c>
      <c r="G681" s="152">
        <v>3</v>
      </c>
      <c r="H681" s="152">
        <v>0</v>
      </c>
      <c r="I681" s="153">
        <v>4</v>
      </c>
      <c r="J681" s="154">
        <v>3</v>
      </c>
      <c r="K681" s="155">
        <v>0</v>
      </c>
      <c r="L681" s="148" t="s">
        <v>57</v>
      </c>
      <c r="M681" s="148" t="s">
        <v>58</v>
      </c>
      <c r="N681" s="156"/>
      <c r="O681" s="157" t="s">
        <v>59</v>
      </c>
      <c r="P681" s="158">
        <v>86</v>
      </c>
      <c r="Q681" s="152" t="s">
        <v>60</v>
      </c>
      <c r="R681" s="152" t="s">
        <v>70</v>
      </c>
      <c r="S681" s="148" t="s">
        <v>2704</v>
      </c>
      <c r="T681" s="148">
        <v>0</v>
      </c>
      <c r="U681" s="159">
        <v>270</v>
      </c>
      <c r="V681" s="160" t="str">
        <f>VLOOKUP(U681,docentes!$A:$E,2,0)</f>
        <v>JIRI BORECKY</v>
      </c>
      <c r="W681" s="161" t="str">
        <f>VLOOKUP(U681,docentes!$A:$E,5,0)</f>
        <v>CCNH</v>
      </c>
      <c r="X681" s="162"/>
      <c r="Y681" s="163"/>
      <c r="Z681" s="164"/>
    </row>
    <row r="682" spans="1:35" s="44" customFormat="1" ht="66.75" customHeight="1">
      <c r="A682" s="148" t="s">
        <v>222</v>
      </c>
      <c r="B682" s="146" t="s">
        <v>2705</v>
      </c>
      <c r="C682" s="149" t="s">
        <v>2654</v>
      </c>
      <c r="D682" s="150">
        <v>18</v>
      </c>
      <c r="E682" s="150" t="s">
        <v>2655</v>
      </c>
      <c r="F682" s="151" t="s">
        <v>2706</v>
      </c>
      <c r="G682" s="152">
        <v>3</v>
      </c>
      <c r="H682" s="152">
        <v>0</v>
      </c>
      <c r="I682" s="153">
        <v>4</v>
      </c>
      <c r="J682" s="154">
        <v>3</v>
      </c>
      <c r="K682" s="155">
        <v>0</v>
      </c>
      <c r="L682" s="148" t="s">
        <v>57</v>
      </c>
      <c r="M682" s="148" t="s">
        <v>58</v>
      </c>
      <c r="N682" s="156"/>
      <c r="O682" s="157" t="s">
        <v>59</v>
      </c>
      <c r="P682" s="158">
        <v>90</v>
      </c>
      <c r="Q682" s="152" t="s">
        <v>76</v>
      </c>
      <c r="R682" s="152" t="s">
        <v>61</v>
      </c>
      <c r="S682" s="148" t="s">
        <v>2707</v>
      </c>
      <c r="T682" s="148">
        <v>0</v>
      </c>
      <c r="U682" s="159">
        <v>195</v>
      </c>
      <c r="V682" s="160" t="str">
        <f>VLOOKUP(U682,docentes!$A:$E,2,0)</f>
        <v>FERNANDO ZANIOLO GIBRAN</v>
      </c>
      <c r="W682" s="161" t="str">
        <f>VLOOKUP(U682,docentes!$A:$E,5,0)</f>
        <v>CCNH</v>
      </c>
      <c r="X682" s="162"/>
      <c r="Y682" s="163"/>
      <c r="Z682" s="164"/>
    </row>
    <row r="683" spans="1:35" s="44" customFormat="1" ht="66.75" customHeight="1">
      <c r="A683" s="148" t="s">
        <v>222</v>
      </c>
      <c r="B683" s="146" t="s">
        <v>2708</v>
      </c>
      <c r="C683" s="149" t="s">
        <v>2654</v>
      </c>
      <c r="D683" s="150">
        <v>18</v>
      </c>
      <c r="E683" s="150" t="s">
        <v>2655</v>
      </c>
      <c r="F683" s="151" t="s">
        <v>2709</v>
      </c>
      <c r="G683" s="152">
        <v>3</v>
      </c>
      <c r="H683" s="152">
        <v>0</v>
      </c>
      <c r="I683" s="153">
        <v>4</v>
      </c>
      <c r="J683" s="154">
        <v>3</v>
      </c>
      <c r="K683" s="155">
        <v>0</v>
      </c>
      <c r="L683" s="148" t="s">
        <v>57</v>
      </c>
      <c r="M683" s="148" t="s">
        <v>58</v>
      </c>
      <c r="N683" s="156"/>
      <c r="O683" s="157" t="s">
        <v>59</v>
      </c>
      <c r="P683" s="158">
        <v>90</v>
      </c>
      <c r="Q683" s="152" t="s">
        <v>76</v>
      </c>
      <c r="R683" s="152" t="s">
        <v>70</v>
      </c>
      <c r="S683" s="148" t="s">
        <v>2710</v>
      </c>
      <c r="T683" s="148">
        <v>0</v>
      </c>
      <c r="U683" s="159">
        <v>73</v>
      </c>
      <c r="V683" s="160" t="str">
        <f>VLOOKUP(U683,docentes!$A:$E,2,0)</f>
        <v>ARNALDO RODRIGUES DOS SANTOS JUNIOR</v>
      </c>
      <c r="W683" s="161" t="str">
        <f>VLOOKUP(U683,docentes!$A:$E,5,0)</f>
        <v>CCNH</v>
      </c>
      <c r="X683" s="162"/>
      <c r="Y683" s="163"/>
      <c r="Z683" s="164"/>
    </row>
    <row r="684" spans="1:35" s="44" customFormat="1" ht="66.75" customHeight="1">
      <c r="A684" s="148" t="s">
        <v>636</v>
      </c>
      <c r="B684" s="146" t="s">
        <v>2711</v>
      </c>
      <c r="C684" s="149" t="s">
        <v>2712</v>
      </c>
      <c r="D684" s="150">
        <v>2</v>
      </c>
      <c r="E684" s="150" t="s">
        <v>2713</v>
      </c>
      <c r="F684" s="151" t="s">
        <v>2714</v>
      </c>
      <c r="G684" s="152">
        <v>4</v>
      </c>
      <c r="H684" s="152">
        <v>0</v>
      </c>
      <c r="I684" s="153">
        <v>4</v>
      </c>
      <c r="J684" s="154">
        <v>4</v>
      </c>
      <c r="K684" s="155">
        <v>0</v>
      </c>
      <c r="L684" s="148" t="s">
        <v>57</v>
      </c>
      <c r="M684" s="148" t="s">
        <v>58</v>
      </c>
      <c r="N684" s="156"/>
      <c r="O684" s="157" t="s">
        <v>59</v>
      </c>
      <c r="P684" s="158">
        <v>40</v>
      </c>
      <c r="Q684" s="152" t="s">
        <v>76</v>
      </c>
      <c r="R684" s="152" t="s">
        <v>61</v>
      </c>
      <c r="S684" s="148" t="s">
        <v>2715</v>
      </c>
      <c r="T684" s="148">
        <v>0</v>
      </c>
      <c r="U684" s="159">
        <v>107</v>
      </c>
      <c r="V684" s="160" t="str">
        <f>VLOOKUP(U684,docentes!$A:$E,2,0)</f>
        <v>CLAUDINEI EDUARDO BIAZOLI JUNIOR</v>
      </c>
      <c r="W684" s="161" t="str">
        <f>VLOOKUP(U684,docentes!$A:$E,5,0)</f>
        <v>CMCC</v>
      </c>
      <c r="X684" s="162">
        <v>355</v>
      </c>
      <c r="Y684" s="163" t="str">
        <f>VLOOKUP(X684,docentes!$A:$E,2,0)</f>
        <v>MARCELA BERMUDEZ ECHEVERRY</v>
      </c>
      <c r="Z684" s="164" t="str">
        <f>VLOOKUP(X684,docentes!$A:$E,5,0)</f>
        <v>CMCC</v>
      </c>
      <c r="AB684" s="45"/>
    </row>
    <row r="685" spans="1:35" s="44" customFormat="1" ht="66.75" customHeight="1">
      <c r="A685" s="148" t="s">
        <v>636</v>
      </c>
      <c r="B685" s="146" t="s">
        <v>2716</v>
      </c>
      <c r="C685" s="149" t="s">
        <v>2712</v>
      </c>
      <c r="D685" s="150">
        <v>2</v>
      </c>
      <c r="E685" s="150" t="s">
        <v>2713</v>
      </c>
      <c r="F685" s="151" t="s">
        <v>2717</v>
      </c>
      <c r="G685" s="152">
        <v>4</v>
      </c>
      <c r="H685" s="152">
        <v>0</v>
      </c>
      <c r="I685" s="153">
        <v>4</v>
      </c>
      <c r="J685" s="154">
        <v>4</v>
      </c>
      <c r="K685" s="155">
        <v>0</v>
      </c>
      <c r="L685" s="148" t="s">
        <v>57</v>
      </c>
      <c r="M685" s="148" t="s">
        <v>58</v>
      </c>
      <c r="N685" s="156"/>
      <c r="O685" s="157" t="s">
        <v>59</v>
      </c>
      <c r="P685" s="158">
        <v>40</v>
      </c>
      <c r="Q685" s="152" t="s">
        <v>76</v>
      </c>
      <c r="R685" s="152" t="s">
        <v>70</v>
      </c>
      <c r="S685" s="148" t="s">
        <v>2718</v>
      </c>
      <c r="T685" s="148">
        <v>0</v>
      </c>
      <c r="U685" s="159">
        <v>355</v>
      </c>
      <c r="V685" s="160" t="str">
        <f>VLOOKUP(U685,docentes!$A:$E,2,0)</f>
        <v>MARCELA BERMUDEZ ECHEVERRY</v>
      </c>
      <c r="W685" s="161" t="str">
        <f>VLOOKUP(U685,docentes!$A:$E,5,0)</f>
        <v>CMCC</v>
      </c>
      <c r="X685" s="162">
        <v>107</v>
      </c>
      <c r="Y685" s="163" t="str">
        <f>VLOOKUP(X685,docentes!$A:$E,2,0)</f>
        <v>CLAUDINEI EDUARDO BIAZOLI JUNIOR</v>
      </c>
      <c r="Z685" s="164" t="str">
        <f>VLOOKUP(X685,docentes!$A:$E,5,0)</f>
        <v>CMCC</v>
      </c>
      <c r="AB685" s="45"/>
    </row>
    <row r="686" spans="1:35" s="44" customFormat="1" ht="66.75" customHeight="1">
      <c r="A686" s="148" t="s">
        <v>980</v>
      </c>
      <c r="B686" s="146" t="s">
        <v>2719</v>
      </c>
      <c r="C686" s="149" t="s">
        <v>2720</v>
      </c>
      <c r="D686" s="150">
        <v>2</v>
      </c>
      <c r="E686" s="150" t="s">
        <v>2721</v>
      </c>
      <c r="F686" s="151" t="s">
        <v>2722</v>
      </c>
      <c r="G686" s="152">
        <v>4</v>
      </c>
      <c r="H686" s="152">
        <v>0</v>
      </c>
      <c r="I686" s="153">
        <v>4</v>
      </c>
      <c r="J686" s="154">
        <v>4</v>
      </c>
      <c r="K686" s="155">
        <v>0</v>
      </c>
      <c r="L686" s="148" t="s">
        <v>57</v>
      </c>
      <c r="M686" s="148" t="s">
        <v>58</v>
      </c>
      <c r="N686" s="156"/>
      <c r="O686" s="157" t="s">
        <v>59</v>
      </c>
      <c r="P686" s="158">
        <v>38</v>
      </c>
      <c r="Q686" s="152" t="s">
        <v>76</v>
      </c>
      <c r="R686" s="152" t="s">
        <v>61</v>
      </c>
      <c r="S686" s="148" t="s">
        <v>2723</v>
      </c>
      <c r="T686" s="148">
        <v>0</v>
      </c>
      <c r="U686" s="159">
        <v>525</v>
      </c>
      <c r="V686" s="160" t="str">
        <f>VLOOKUP(U686,docentes!$A:$E,2,0)</f>
        <v>SILVIA HELENA FACCIOLLA PASSARELLI</v>
      </c>
      <c r="W686" s="161" t="str">
        <f>VLOOKUP(U686,docentes!$A:$E,5,0)</f>
        <v>CECS</v>
      </c>
      <c r="X686" s="162">
        <v>525</v>
      </c>
      <c r="Y686" s="163" t="str">
        <f>VLOOKUP(X686,docentes!$A:$E,2,0)</f>
        <v>SILVIA HELENA FACCIOLLA PASSARELLI</v>
      </c>
      <c r="Z686" s="164" t="str">
        <f>VLOOKUP(X686,docentes!$A:$E,5,0)</f>
        <v>CECS</v>
      </c>
      <c r="AB686" s="45"/>
    </row>
    <row r="687" spans="1:35" s="44" customFormat="1" ht="66.75" customHeight="1">
      <c r="A687" s="148" t="s">
        <v>980</v>
      </c>
      <c r="B687" s="146" t="s">
        <v>2724</v>
      </c>
      <c r="C687" s="149" t="s">
        <v>2720</v>
      </c>
      <c r="D687" s="150">
        <v>2</v>
      </c>
      <c r="E687" s="150" t="s">
        <v>2721</v>
      </c>
      <c r="F687" s="151" t="s">
        <v>2725</v>
      </c>
      <c r="G687" s="152">
        <v>4</v>
      </c>
      <c r="H687" s="152">
        <v>0</v>
      </c>
      <c r="I687" s="153">
        <v>4</v>
      </c>
      <c r="J687" s="154">
        <v>4</v>
      </c>
      <c r="K687" s="155">
        <v>0</v>
      </c>
      <c r="L687" s="148" t="s">
        <v>57</v>
      </c>
      <c r="M687" s="148" t="s">
        <v>58</v>
      </c>
      <c r="N687" s="182"/>
      <c r="O687" s="157" t="s">
        <v>59</v>
      </c>
      <c r="P687" s="158">
        <v>38</v>
      </c>
      <c r="Q687" s="152" t="s">
        <v>76</v>
      </c>
      <c r="R687" s="152" t="s">
        <v>70</v>
      </c>
      <c r="S687" s="148" t="s">
        <v>2726</v>
      </c>
      <c r="T687" s="148">
        <v>0</v>
      </c>
      <c r="U687" s="159">
        <v>338</v>
      </c>
      <c r="V687" s="160" t="str">
        <f>VLOOKUP(U687,docentes!$A:$E,2,0)</f>
        <v>LUIS ROBERTO DE PAULA</v>
      </c>
      <c r="W687" s="161" t="str">
        <f>VLOOKUP(U687,docentes!$A:$E,5,0)</f>
        <v>CECS</v>
      </c>
      <c r="X687" s="162">
        <v>338</v>
      </c>
      <c r="Y687" s="163" t="str">
        <f>VLOOKUP(X687,docentes!$A:$E,2,0)</f>
        <v>LUIS ROBERTO DE PAULA</v>
      </c>
      <c r="Z687" s="164" t="str">
        <f>VLOOKUP(X687,docentes!$A:$E,5,0)</f>
        <v>CECS</v>
      </c>
      <c r="AB687" s="45"/>
    </row>
    <row r="688" spans="1:35" s="44" customFormat="1" ht="66.75" customHeight="1">
      <c r="A688" s="148" t="s">
        <v>713</v>
      </c>
      <c r="B688" s="146" t="s">
        <v>2727</v>
      </c>
      <c r="C688" s="149" t="s">
        <v>2728</v>
      </c>
      <c r="D688" s="150">
        <v>4</v>
      </c>
      <c r="E688" s="150" t="s">
        <v>2729</v>
      </c>
      <c r="F688" s="151" t="s">
        <v>2730</v>
      </c>
      <c r="G688" s="152">
        <v>4</v>
      </c>
      <c r="H688" s="152">
        <v>0</v>
      </c>
      <c r="I688" s="153">
        <v>4</v>
      </c>
      <c r="J688" s="154">
        <v>4</v>
      </c>
      <c r="K688" s="155">
        <v>0</v>
      </c>
      <c r="L688" s="148" t="s">
        <v>821</v>
      </c>
      <c r="M688" s="148">
        <v>100</v>
      </c>
      <c r="N688" s="156"/>
      <c r="O688" s="165" t="s">
        <v>751</v>
      </c>
      <c r="P688" s="158"/>
      <c r="Q688" s="152" t="s">
        <v>76</v>
      </c>
      <c r="R688" s="152" t="s">
        <v>61</v>
      </c>
      <c r="S688" s="148" t="s">
        <v>2731</v>
      </c>
      <c r="T688" s="148">
        <v>0</v>
      </c>
      <c r="U688" s="159">
        <v>128</v>
      </c>
      <c r="V688" s="160" t="str">
        <f>VLOOKUP(U688,docentes!$A:$E,2,0)</f>
        <v>DANILO FREITAS RAMALHO DA SILVA</v>
      </c>
      <c r="W688" s="161" t="str">
        <f>VLOOKUP(U688,docentes!$A:$E,5,0)</f>
        <v>CECS</v>
      </c>
      <c r="X688" s="162"/>
      <c r="Y688" s="163"/>
      <c r="Z688" s="164"/>
    </row>
    <row r="689" spans="1:35" s="44" customFormat="1" ht="66.75" customHeight="1">
      <c r="A689" s="148" t="s">
        <v>713</v>
      </c>
      <c r="B689" s="146" t="s">
        <v>2732</v>
      </c>
      <c r="C689" s="149" t="s">
        <v>2728</v>
      </c>
      <c r="D689" s="150">
        <v>4</v>
      </c>
      <c r="E689" s="150" t="s">
        <v>2729</v>
      </c>
      <c r="F689" s="151" t="s">
        <v>2733</v>
      </c>
      <c r="G689" s="152">
        <v>4</v>
      </c>
      <c r="H689" s="152">
        <v>0</v>
      </c>
      <c r="I689" s="153">
        <v>4</v>
      </c>
      <c r="J689" s="154">
        <v>4</v>
      </c>
      <c r="K689" s="155">
        <v>0</v>
      </c>
      <c r="L689" s="148" t="s">
        <v>821</v>
      </c>
      <c r="M689" s="148">
        <v>100</v>
      </c>
      <c r="N689" s="156"/>
      <c r="O689" s="165" t="s">
        <v>751</v>
      </c>
      <c r="P689" s="158"/>
      <c r="Q689" s="152" t="s">
        <v>76</v>
      </c>
      <c r="R689" s="152" t="s">
        <v>70</v>
      </c>
      <c r="S689" s="148" t="s">
        <v>2734</v>
      </c>
      <c r="T689" s="148">
        <v>0</v>
      </c>
      <c r="U689" s="159">
        <v>1006</v>
      </c>
      <c r="V689" s="160" t="str">
        <f>VLOOKUP(U689,docentes!$A:$E,2,0)</f>
        <v>PROFESSOR ECONOMIA (EM CONTRATAÇÃO)</v>
      </c>
      <c r="W689" s="177" t="str">
        <f>VLOOKUP(U689,docentes!$A:$E,5,0)</f>
        <v>em contratação</v>
      </c>
      <c r="X689" s="162"/>
      <c r="Y689" s="163"/>
      <c r="Z689" s="164"/>
    </row>
    <row r="690" spans="1:35" s="44" customFormat="1" ht="66.75" customHeight="1">
      <c r="A690" s="148" t="s">
        <v>713</v>
      </c>
      <c r="B690" s="146" t="s">
        <v>2735</v>
      </c>
      <c r="C690" s="149" t="s">
        <v>2728</v>
      </c>
      <c r="D690" s="150">
        <v>4</v>
      </c>
      <c r="E690" s="150" t="s">
        <v>2729</v>
      </c>
      <c r="F690" s="151" t="s">
        <v>2736</v>
      </c>
      <c r="G690" s="152">
        <v>4</v>
      </c>
      <c r="H690" s="152">
        <v>0</v>
      </c>
      <c r="I690" s="153">
        <v>4</v>
      </c>
      <c r="J690" s="154">
        <v>4</v>
      </c>
      <c r="K690" s="155">
        <v>0</v>
      </c>
      <c r="L690" s="148" t="s">
        <v>57</v>
      </c>
      <c r="M690" s="148" t="s">
        <v>58</v>
      </c>
      <c r="N690" s="156"/>
      <c r="O690" s="157" t="s">
        <v>59</v>
      </c>
      <c r="P690" s="158">
        <v>90</v>
      </c>
      <c r="Q690" s="152" t="s">
        <v>76</v>
      </c>
      <c r="R690" s="152" t="s">
        <v>61</v>
      </c>
      <c r="S690" s="148" t="s">
        <v>2737</v>
      </c>
      <c r="T690" s="148">
        <v>0</v>
      </c>
      <c r="U690" s="159">
        <v>128</v>
      </c>
      <c r="V690" s="160" t="str">
        <f>VLOOKUP(U690,docentes!$A:$E,2,0)</f>
        <v>DANILO FREITAS RAMALHO DA SILVA</v>
      </c>
      <c r="W690" s="161" t="str">
        <f>VLOOKUP(U690,docentes!$A:$E,5,0)</f>
        <v>CECS</v>
      </c>
      <c r="X690" s="162"/>
      <c r="Y690" s="163"/>
      <c r="Z690" s="164"/>
    </row>
    <row r="691" spans="1:35" s="44" customFormat="1" ht="66.75" customHeight="1">
      <c r="A691" s="148" t="s">
        <v>713</v>
      </c>
      <c r="B691" s="146" t="s">
        <v>2738</v>
      </c>
      <c r="C691" s="149" t="s">
        <v>2728</v>
      </c>
      <c r="D691" s="150">
        <v>4</v>
      </c>
      <c r="E691" s="150" t="s">
        <v>2729</v>
      </c>
      <c r="F691" s="151" t="s">
        <v>2739</v>
      </c>
      <c r="G691" s="152">
        <v>4</v>
      </c>
      <c r="H691" s="152">
        <v>0</v>
      </c>
      <c r="I691" s="153">
        <v>4</v>
      </c>
      <c r="J691" s="154">
        <v>4</v>
      </c>
      <c r="K691" s="155">
        <v>0</v>
      </c>
      <c r="L691" s="148" t="s">
        <v>750</v>
      </c>
      <c r="M691" s="148" t="s">
        <v>58</v>
      </c>
      <c r="N691" s="156"/>
      <c r="O691" s="165" t="s">
        <v>751</v>
      </c>
      <c r="P691" s="158"/>
      <c r="Q691" s="152" t="s">
        <v>76</v>
      </c>
      <c r="R691" s="152" t="s">
        <v>70</v>
      </c>
      <c r="S691" s="148" t="s">
        <v>2740</v>
      </c>
      <c r="T691" s="148">
        <v>0</v>
      </c>
      <c r="U691" s="159">
        <v>1006</v>
      </c>
      <c r="V691" s="160" t="str">
        <f>VLOOKUP(U691,docentes!$A:$E,2,0)</f>
        <v>PROFESSOR ECONOMIA (EM CONTRATAÇÃO)</v>
      </c>
      <c r="W691" s="177" t="str">
        <f>VLOOKUP(U691,docentes!$A:$E,5,0)</f>
        <v>em contratação</v>
      </c>
      <c r="X691" s="162"/>
      <c r="Y691" s="163"/>
      <c r="Z691" s="164"/>
    </row>
    <row r="692" spans="1:35" s="44" customFormat="1" ht="66.75" customHeight="1">
      <c r="A692" s="148" t="s">
        <v>193</v>
      </c>
      <c r="B692" s="146" t="s">
        <v>2741</v>
      </c>
      <c r="C692" s="149" t="s">
        <v>2742</v>
      </c>
      <c r="D692" s="150">
        <v>1</v>
      </c>
      <c r="E692" s="150" t="s">
        <v>2743</v>
      </c>
      <c r="F692" s="151" t="s">
        <v>2744</v>
      </c>
      <c r="G692" s="152">
        <v>4</v>
      </c>
      <c r="H692" s="152">
        <v>0</v>
      </c>
      <c r="I692" s="153">
        <v>4</v>
      </c>
      <c r="J692" s="154">
        <v>4</v>
      </c>
      <c r="K692" s="155">
        <v>0</v>
      </c>
      <c r="L692" s="148" t="s">
        <v>97</v>
      </c>
      <c r="M692" s="148" t="s">
        <v>58</v>
      </c>
      <c r="N692" s="156"/>
      <c r="O692" s="157" t="s">
        <v>59</v>
      </c>
      <c r="P692" s="158">
        <v>42</v>
      </c>
      <c r="Q692" s="152" t="s">
        <v>76</v>
      </c>
      <c r="R692" s="152" t="s">
        <v>61</v>
      </c>
      <c r="S692" s="148" t="s">
        <v>2745</v>
      </c>
      <c r="T692" s="148">
        <v>0</v>
      </c>
      <c r="U692" s="159">
        <v>1</v>
      </c>
      <c r="V692" s="160" t="str">
        <f>VLOOKUP(U692,docentes!$A:$E,2,0)</f>
        <v>ADALBERTO MANTOVANI MARTINIANO DE AZEVEDO</v>
      </c>
      <c r="W692" s="161" t="str">
        <f>VLOOKUP(U692,docentes!$A:$E,5,0)</f>
        <v>CECS</v>
      </c>
      <c r="X692" s="162"/>
      <c r="Y692" s="163"/>
      <c r="Z692" s="164"/>
    </row>
    <row r="693" spans="1:35" s="44" customFormat="1" ht="66.75" customHeight="1">
      <c r="A693" s="148" t="s">
        <v>636</v>
      </c>
      <c r="B693" s="146" t="s">
        <v>2746</v>
      </c>
      <c r="C693" s="149" t="s">
        <v>2747</v>
      </c>
      <c r="D693" s="150">
        <v>2</v>
      </c>
      <c r="E693" s="150" t="s">
        <v>2748</v>
      </c>
      <c r="F693" s="151" t="s">
        <v>2749</v>
      </c>
      <c r="G693" s="152">
        <v>2</v>
      </c>
      <c r="H693" s="152">
        <v>0</v>
      </c>
      <c r="I693" s="153">
        <v>2</v>
      </c>
      <c r="J693" s="154">
        <v>2</v>
      </c>
      <c r="K693" s="155">
        <v>0</v>
      </c>
      <c r="L693" s="148" t="s">
        <v>67</v>
      </c>
      <c r="M693" s="148">
        <v>47</v>
      </c>
      <c r="N693" s="166"/>
      <c r="O693" s="165" t="s">
        <v>2750</v>
      </c>
      <c r="P693" s="158">
        <v>47</v>
      </c>
      <c r="Q693" s="152" t="s">
        <v>76</v>
      </c>
      <c r="R693" s="152" t="s">
        <v>61</v>
      </c>
      <c r="S693" s="148" t="s">
        <v>2751</v>
      </c>
      <c r="T693" s="148">
        <v>0</v>
      </c>
      <c r="U693" s="159">
        <v>449</v>
      </c>
      <c r="V693" s="160" t="str">
        <f>VLOOKUP(U693,docentes!$A:$E,2,0)</f>
        <v>PAULA AYAKO TIBA</v>
      </c>
      <c r="W693" s="161" t="str">
        <f>VLOOKUP(U693,docentes!$A:$E,5,0)</f>
        <v>CMCC</v>
      </c>
      <c r="X693" s="162"/>
      <c r="Y693" s="163"/>
      <c r="Z693" s="164"/>
    </row>
    <row r="694" spans="1:35" s="44" customFormat="1" ht="66.75" customHeight="1">
      <c r="A694" s="148" t="s">
        <v>636</v>
      </c>
      <c r="B694" s="146" t="s">
        <v>2752</v>
      </c>
      <c r="C694" s="149" t="s">
        <v>2747</v>
      </c>
      <c r="D694" s="150">
        <v>2</v>
      </c>
      <c r="E694" s="150" t="s">
        <v>2748</v>
      </c>
      <c r="F694" s="151" t="s">
        <v>2753</v>
      </c>
      <c r="G694" s="152">
        <v>2</v>
      </c>
      <c r="H694" s="152">
        <v>0</v>
      </c>
      <c r="I694" s="153">
        <v>2</v>
      </c>
      <c r="J694" s="154">
        <v>2</v>
      </c>
      <c r="K694" s="155">
        <v>0</v>
      </c>
      <c r="L694" s="148" t="s">
        <v>67</v>
      </c>
      <c r="M694" s="148">
        <v>80</v>
      </c>
      <c r="N694" s="166"/>
      <c r="O694" s="165" t="s">
        <v>2754</v>
      </c>
      <c r="P694" s="158">
        <v>80</v>
      </c>
      <c r="Q694" s="152" t="s">
        <v>76</v>
      </c>
      <c r="R694" s="152" t="s">
        <v>70</v>
      </c>
      <c r="S694" s="148" t="s">
        <v>2755</v>
      </c>
      <c r="T694" s="148">
        <v>0</v>
      </c>
      <c r="U694" s="159">
        <v>449</v>
      </c>
      <c r="V694" s="160" t="str">
        <f>VLOOKUP(U694,docentes!$A:$E,2,0)</f>
        <v>PAULA AYAKO TIBA</v>
      </c>
      <c r="W694" s="161" t="str">
        <f>VLOOKUP(U694,docentes!$A:$E,5,0)</f>
        <v>CMCC</v>
      </c>
      <c r="X694" s="162"/>
      <c r="Y694" s="163"/>
      <c r="Z694" s="164"/>
    </row>
    <row r="695" spans="1:35" s="44" customFormat="1" ht="66.75" customHeight="1">
      <c r="A695" s="148" t="s">
        <v>128</v>
      </c>
      <c r="B695" s="146" t="s">
        <v>2756</v>
      </c>
      <c r="C695" s="149" t="s">
        <v>2757</v>
      </c>
      <c r="D695" s="150">
        <v>1</v>
      </c>
      <c r="E695" s="150" t="s">
        <v>2758</v>
      </c>
      <c r="F695" s="151" t="s">
        <v>2759</v>
      </c>
      <c r="G695" s="152">
        <v>4</v>
      </c>
      <c r="H695" s="152">
        <v>2</v>
      </c>
      <c r="I695" s="153">
        <v>9</v>
      </c>
      <c r="J695" s="154">
        <v>4</v>
      </c>
      <c r="K695" s="155">
        <v>2</v>
      </c>
      <c r="L695" s="148" t="s">
        <v>57</v>
      </c>
      <c r="M695" s="148" t="s">
        <v>58</v>
      </c>
      <c r="N695" s="156"/>
      <c r="O695" s="157" t="s">
        <v>59</v>
      </c>
      <c r="P695" s="158">
        <v>62</v>
      </c>
      <c r="Q695" s="152" t="s">
        <v>76</v>
      </c>
      <c r="R695" s="152" t="s">
        <v>61</v>
      </c>
      <c r="S695" s="148" t="s">
        <v>2760</v>
      </c>
      <c r="T695" s="84">
        <v>0</v>
      </c>
      <c r="U695" s="159">
        <v>146</v>
      </c>
      <c r="V695" s="160" t="str">
        <f>VLOOKUP(U695,docentes!$A:$E,2,0)</f>
        <v>EDER DE OLIVEIRA ABENSUR</v>
      </c>
      <c r="W695" s="161" t="str">
        <f>VLOOKUP(U695,docentes!$A:$E,5,0)</f>
        <v>CECS</v>
      </c>
      <c r="X695" s="176">
        <v>146</v>
      </c>
      <c r="Y695" s="160" t="str">
        <f>VLOOKUP(X695,docentes!$A:$E,2,0)</f>
        <v>EDER DE OLIVEIRA ABENSUR</v>
      </c>
      <c r="Z695" s="177" t="str">
        <f>VLOOKUP(X695,docentes!$A:$E,5,0)</f>
        <v>CECS</v>
      </c>
    </row>
    <row r="696" spans="1:35" s="44" customFormat="1" ht="66.75" customHeight="1">
      <c r="A696" s="148" t="s">
        <v>980</v>
      </c>
      <c r="B696" s="146" t="s">
        <v>2761</v>
      </c>
      <c r="C696" s="149" t="s">
        <v>2762</v>
      </c>
      <c r="D696" s="150">
        <v>2</v>
      </c>
      <c r="E696" s="150" t="s">
        <v>2763</v>
      </c>
      <c r="F696" s="151" t="s">
        <v>2764</v>
      </c>
      <c r="G696" s="152">
        <v>4</v>
      </c>
      <c r="H696" s="152">
        <v>0</v>
      </c>
      <c r="I696" s="153">
        <v>4</v>
      </c>
      <c r="J696" s="154">
        <v>4</v>
      </c>
      <c r="K696" s="155">
        <v>0</v>
      </c>
      <c r="L696" s="148" t="s">
        <v>57</v>
      </c>
      <c r="M696" s="148" t="s">
        <v>58</v>
      </c>
      <c r="N696" s="156"/>
      <c r="O696" s="157" t="s">
        <v>59</v>
      </c>
      <c r="P696" s="158">
        <v>38</v>
      </c>
      <c r="Q696" s="152" t="s">
        <v>76</v>
      </c>
      <c r="R696" s="152" t="s">
        <v>61</v>
      </c>
      <c r="S696" s="148" t="s">
        <v>2765</v>
      </c>
      <c r="T696" s="148">
        <v>0</v>
      </c>
      <c r="U696" s="159">
        <v>512</v>
      </c>
      <c r="V696" s="160" t="str">
        <f>VLOOKUP(U696,docentes!$A:$E,2,0)</f>
        <v>SANDRA IRENE MOMM</v>
      </c>
      <c r="W696" s="161" t="str">
        <f>VLOOKUP(U696,docentes!$A:$E,5,0)</f>
        <v>CECS</v>
      </c>
      <c r="X696" s="162">
        <v>338</v>
      </c>
      <c r="Y696" s="163" t="str">
        <f>VLOOKUP(X696,docentes!$A:$E,2,0)</f>
        <v>LUIS ROBERTO DE PAULA</v>
      </c>
      <c r="Z696" s="164" t="str">
        <f>VLOOKUP(X696,docentes!$A:$E,5,0)</f>
        <v>CECS</v>
      </c>
      <c r="AB696" s="45"/>
      <c r="AH696" s="45"/>
      <c r="AI696" s="45"/>
    </row>
    <row r="697" spans="1:35" s="44" customFormat="1" ht="66.75" customHeight="1">
      <c r="A697" s="148" t="s">
        <v>980</v>
      </c>
      <c r="B697" s="146" t="s">
        <v>2766</v>
      </c>
      <c r="C697" s="149" t="s">
        <v>2762</v>
      </c>
      <c r="D697" s="150">
        <v>2</v>
      </c>
      <c r="E697" s="150" t="s">
        <v>2763</v>
      </c>
      <c r="F697" s="151" t="s">
        <v>2767</v>
      </c>
      <c r="G697" s="152">
        <v>4</v>
      </c>
      <c r="H697" s="152">
        <v>0</v>
      </c>
      <c r="I697" s="153">
        <v>4</v>
      </c>
      <c r="J697" s="154">
        <v>4</v>
      </c>
      <c r="K697" s="155">
        <v>0</v>
      </c>
      <c r="L697" s="148" t="s">
        <v>57</v>
      </c>
      <c r="M697" s="148" t="s">
        <v>58</v>
      </c>
      <c r="N697" s="156"/>
      <c r="O697" s="157" t="s">
        <v>59</v>
      </c>
      <c r="P697" s="158">
        <v>38</v>
      </c>
      <c r="Q697" s="152" t="s">
        <v>76</v>
      </c>
      <c r="R697" s="152" t="s">
        <v>70</v>
      </c>
      <c r="S697" s="148" t="s">
        <v>2768</v>
      </c>
      <c r="T697" s="148">
        <v>0</v>
      </c>
      <c r="U697" s="159">
        <v>512</v>
      </c>
      <c r="V697" s="160" t="str">
        <f>VLOOKUP(U697,docentes!$A:$E,2,0)</f>
        <v>SANDRA IRENE MOMM</v>
      </c>
      <c r="W697" s="161" t="str">
        <f>VLOOKUP(U697,docentes!$A:$E,5,0)</f>
        <v>CECS</v>
      </c>
      <c r="X697" s="162">
        <v>308</v>
      </c>
      <c r="Y697" s="163" t="str">
        <f>VLOOKUP(X697,docentes!$A:$E,2,0)</f>
        <v>KATIA CANIL</v>
      </c>
      <c r="Z697" s="164" t="str">
        <f>VLOOKUP(X697,docentes!$A:$E,5,0)</f>
        <v>CECS</v>
      </c>
      <c r="AB697" s="45"/>
    </row>
    <row r="698" spans="1:35" s="44" customFormat="1" ht="66.75" customHeight="1">
      <c r="A698" s="148" t="s">
        <v>980</v>
      </c>
      <c r="B698" s="146" t="s">
        <v>2769</v>
      </c>
      <c r="C698" s="149" t="s">
        <v>2770</v>
      </c>
      <c r="D698" s="150">
        <v>2</v>
      </c>
      <c r="E698" s="150" t="s">
        <v>2771</v>
      </c>
      <c r="F698" s="151" t="s">
        <v>2772</v>
      </c>
      <c r="G698" s="152">
        <v>4</v>
      </c>
      <c r="H698" s="152">
        <v>0</v>
      </c>
      <c r="I698" s="153">
        <v>4</v>
      </c>
      <c r="J698" s="154">
        <v>4</v>
      </c>
      <c r="K698" s="155">
        <v>0</v>
      </c>
      <c r="L698" s="148" t="s">
        <v>57</v>
      </c>
      <c r="M698" s="148" t="s">
        <v>58</v>
      </c>
      <c r="N698" s="156"/>
      <c r="O698" s="157" t="s">
        <v>59</v>
      </c>
      <c r="P698" s="158">
        <v>38</v>
      </c>
      <c r="Q698" s="152" t="s">
        <v>76</v>
      </c>
      <c r="R698" s="152" t="s">
        <v>61</v>
      </c>
      <c r="S698" s="148" t="s">
        <v>2773</v>
      </c>
      <c r="T698" s="148">
        <v>0</v>
      </c>
      <c r="U698" s="159">
        <v>329</v>
      </c>
      <c r="V698" s="160" t="str">
        <f>VLOOKUP(U698,docentes!$A:$E,2,0)</f>
        <v>LUCIANA RODRIGUES FAGNONI COSTA TRAVASSOS</v>
      </c>
      <c r="W698" s="161" t="str">
        <f>VLOOKUP(U698,docentes!$A:$E,5,0)</f>
        <v>CECS</v>
      </c>
      <c r="X698" s="162">
        <v>329</v>
      </c>
      <c r="Y698" s="163" t="str">
        <f>VLOOKUP(X698,docentes!$A:$E,2,0)</f>
        <v>LUCIANA RODRIGUES FAGNONI COSTA TRAVASSOS</v>
      </c>
      <c r="Z698" s="164" t="str">
        <f>VLOOKUP(X698,docentes!$A:$E,5,0)</f>
        <v>CECS</v>
      </c>
      <c r="AB698" s="45"/>
    </row>
    <row r="699" spans="1:35" s="44" customFormat="1" ht="66.75" customHeight="1">
      <c r="A699" s="148" t="s">
        <v>980</v>
      </c>
      <c r="B699" s="146" t="s">
        <v>2774</v>
      </c>
      <c r="C699" s="149" t="s">
        <v>2770</v>
      </c>
      <c r="D699" s="150">
        <v>2</v>
      </c>
      <c r="E699" s="150" t="s">
        <v>2771</v>
      </c>
      <c r="F699" s="151" t="s">
        <v>2775</v>
      </c>
      <c r="G699" s="152">
        <v>4</v>
      </c>
      <c r="H699" s="152">
        <v>0</v>
      </c>
      <c r="I699" s="153">
        <v>4</v>
      </c>
      <c r="J699" s="154">
        <v>4</v>
      </c>
      <c r="K699" s="155">
        <v>0</v>
      </c>
      <c r="L699" s="148" t="s">
        <v>57</v>
      </c>
      <c r="M699" s="148" t="s">
        <v>58</v>
      </c>
      <c r="N699" s="156"/>
      <c r="O699" s="157" t="s">
        <v>59</v>
      </c>
      <c r="P699" s="158">
        <v>38</v>
      </c>
      <c r="Q699" s="152" t="s">
        <v>76</v>
      </c>
      <c r="R699" s="152" t="s">
        <v>70</v>
      </c>
      <c r="S699" s="148" t="s">
        <v>2776</v>
      </c>
      <c r="T699" s="148">
        <v>0</v>
      </c>
      <c r="U699" s="159">
        <v>329</v>
      </c>
      <c r="V699" s="160" t="str">
        <f>VLOOKUP(U699,docentes!$A:$E,2,0)</f>
        <v>LUCIANA RODRIGUES FAGNONI COSTA TRAVASSOS</v>
      </c>
      <c r="W699" s="161" t="str">
        <f>VLOOKUP(U699,docentes!$A:$E,5,0)</f>
        <v>CECS</v>
      </c>
      <c r="X699" s="162">
        <v>329</v>
      </c>
      <c r="Y699" s="163" t="str">
        <f>VLOOKUP(X699,docentes!$A:$E,2,0)</f>
        <v>LUCIANA RODRIGUES FAGNONI COSTA TRAVASSOS</v>
      </c>
      <c r="Z699" s="164" t="str">
        <f>VLOOKUP(X699,docentes!$A:$E,5,0)</f>
        <v>CECS</v>
      </c>
      <c r="AB699" s="45"/>
    </row>
    <row r="700" spans="1:35" s="44" customFormat="1" ht="66.75" customHeight="1">
      <c r="A700" s="148" t="s">
        <v>980</v>
      </c>
      <c r="B700" s="146" t="s">
        <v>2777</v>
      </c>
      <c r="C700" s="149" t="s">
        <v>2778</v>
      </c>
      <c r="D700" s="150">
        <v>2</v>
      </c>
      <c r="E700" s="150" t="s">
        <v>2779</v>
      </c>
      <c r="F700" s="151" t="s">
        <v>2780</v>
      </c>
      <c r="G700" s="152">
        <v>4</v>
      </c>
      <c r="H700" s="152">
        <v>0</v>
      </c>
      <c r="I700" s="153">
        <v>4</v>
      </c>
      <c r="J700" s="154">
        <v>4</v>
      </c>
      <c r="K700" s="155">
        <v>0</v>
      </c>
      <c r="L700" s="148" t="s">
        <v>57</v>
      </c>
      <c r="M700" s="148" t="s">
        <v>58</v>
      </c>
      <c r="N700" s="156"/>
      <c r="O700" s="157" t="s">
        <v>59</v>
      </c>
      <c r="P700" s="158">
        <v>20</v>
      </c>
      <c r="Q700" s="152" t="s">
        <v>76</v>
      </c>
      <c r="R700" s="152" t="s">
        <v>61</v>
      </c>
      <c r="S700" s="148" t="s">
        <v>2781</v>
      </c>
      <c r="T700" s="148">
        <v>0</v>
      </c>
      <c r="U700" s="159">
        <v>264</v>
      </c>
      <c r="V700" s="160" t="str">
        <f>VLOOKUP(U700,docentes!$A:$E,2,0)</f>
        <v>JEROEN JOHANNES KLINK</v>
      </c>
      <c r="W700" s="161" t="str">
        <f>VLOOKUP(U700,docentes!$A:$E,5,0)</f>
        <v>CECS</v>
      </c>
      <c r="X700" s="162">
        <v>400</v>
      </c>
      <c r="Y700" s="163" t="str">
        <f>VLOOKUP(X700,docentes!$A:$E,2,0)</f>
        <v>MARIANA MENCIO</v>
      </c>
      <c r="Z700" s="164" t="str">
        <f>VLOOKUP(X700,docentes!$A:$E,5,0)</f>
        <v>CECS</v>
      </c>
      <c r="AB700" s="45"/>
    </row>
    <row r="701" spans="1:35" s="44" customFormat="1" ht="66.75" customHeight="1">
      <c r="A701" s="148" t="s">
        <v>980</v>
      </c>
      <c r="B701" s="146" t="s">
        <v>2782</v>
      </c>
      <c r="C701" s="149" t="s">
        <v>2778</v>
      </c>
      <c r="D701" s="150">
        <v>2</v>
      </c>
      <c r="E701" s="150" t="s">
        <v>2779</v>
      </c>
      <c r="F701" s="151" t="s">
        <v>2783</v>
      </c>
      <c r="G701" s="152">
        <v>4</v>
      </c>
      <c r="H701" s="152">
        <v>0</v>
      </c>
      <c r="I701" s="153">
        <v>4</v>
      </c>
      <c r="J701" s="154">
        <v>4</v>
      </c>
      <c r="K701" s="155">
        <v>0</v>
      </c>
      <c r="L701" s="148" t="s">
        <v>821</v>
      </c>
      <c r="M701" s="148">
        <v>30</v>
      </c>
      <c r="N701" s="156"/>
      <c r="O701" s="165" t="s">
        <v>2784</v>
      </c>
      <c r="P701" s="158">
        <v>30</v>
      </c>
      <c r="Q701" s="152" t="s">
        <v>76</v>
      </c>
      <c r="R701" s="152" t="s">
        <v>70</v>
      </c>
      <c r="S701" s="148" t="s">
        <v>2785</v>
      </c>
      <c r="T701" s="148">
        <v>0</v>
      </c>
      <c r="U701" s="159">
        <v>523</v>
      </c>
      <c r="V701" s="160" t="str">
        <f>VLOOKUP(U701,docentes!$A:$E,2,0)</f>
        <v>SILVANA MARIA ZIONI</v>
      </c>
      <c r="W701" s="161" t="str">
        <f>VLOOKUP(U701,docentes!$A:$E,5,0)</f>
        <v>CECS</v>
      </c>
      <c r="X701" s="162">
        <v>400</v>
      </c>
      <c r="Y701" s="163" t="str">
        <f>VLOOKUP(X701,docentes!$A:$E,2,0)</f>
        <v>MARIANA MENCIO</v>
      </c>
      <c r="Z701" s="164" t="str">
        <f>VLOOKUP(X701,docentes!$A:$E,5,0)</f>
        <v>CECS</v>
      </c>
      <c r="AB701" s="45"/>
    </row>
    <row r="702" spans="1:35" s="44" customFormat="1" ht="66.75" customHeight="1">
      <c r="A702" s="148" t="s">
        <v>193</v>
      </c>
      <c r="B702" s="146" t="s">
        <v>2786</v>
      </c>
      <c r="C702" s="149" t="s">
        <v>2787</v>
      </c>
      <c r="D702" s="150">
        <v>2</v>
      </c>
      <c r="E702" s="150" t="s">
        <v>2788</v>
      </c>
      <c r="F702" s="151" t="s">
        <v>2789</v>
      </c>
      <c r="G702" s="152">
        <v>4</v>
      </c>
      <c r="H702" s="152">
        <v>0</v>
      </c>
      <c r="I702" s="153">
        <v>4</v>
      </c>
      <c r="J702" s="154">
        <v>4</v>
      </c>
      <c r="K702" s="155">
        <v>0</v>
      </c>
      <c r="L702" s="148" t="s">
        <v>97</v>
      </c>
      <c r="M702" s="148" t="s">
        <v>58</v>
      </c>
      <c r="N702" s="156"/>
      <c r="O702" s="157" t="s">
        <v>59</v>
      </c>
      <c r="P702" s="158">
        <v>42</v>
      </c>
      <c r="Q702" s="152" t="s">
        <v>76</v>
      </c>
      <c r="R702" s="152" t="s">
        <v>61</v>
      </c>
      <c r="S702" s="148" t="s">
        <v>2790</v>
      </c>
      <c r="T702" s="148">
        <v>0</v>
      </c>
      <c r="U702" s="159">
        <v>249</v>
      </c>
      <c r="V702" s="160" t="str">
        <f>VLOOKUP(U702,docentes!$A:$E,2,0)</f>
        <v>IGOR FUSER</v>
      </c>
      <c r="W702" s="161" t="str">
        <f>VLOOKUP(U702,docentes!$A:$E,5,0)</f>
        <v>CECS</v>
      </c>
      <c r="X702" s="162"/>
      <c r="Y702" s="163"/>
      <c r="Z702" s="164"/>
    </row>
    <row r="703" spans="1:35" s="44" customFormat="1" ht="66.75" customHeight="1">
      <c r="A703" s="148" t="s">
        <v>193</v>
      </c>
      <c r="B703" s="146" t="s">
        <v>2791</v>
      </c>
      <c r="C703" s="149" t="s">
        <v>2787</v>
      </c>
      <c r="D703" s="150">
        <v>2</v>
      </c>
      <c r="E703" s="150" t="s">
        <v>2788</v>
      </c>
      <c r="F703" s="151" t="s">
        <v>2792</v>
      </c>
      <c r="G703" s="152">
        <v>4</v>
      </c>
      <c r="H703" s="152">
        <v>0</v>
      </c>
      <c r="I703" s="153">
        <v>4</v>
      </c>
      <c r="J703" s="154">
        <v>4</v>
      </c>
      <c r="K703" s="155">
        <v>0</v>
      </c>
      <c r="L703" s="148" t="s">
        <v>97</v>
      </c>
      <c r="M703" s="148" t="s">
        <v>58</v>
      </c>
      <c r="N703" s="156"/>
      <c r="O703" s="157" t="s">
        <v>59</v>
      </c>
      <c r="P703" s="158">
        <v>42</v>
      </c>
      <c r="Q703" s="152" t="s">
        <v>76</v>
      </c>
      <c r="R703" s="152" t="s">
        <v>70</v>
      </c>
      <c r="S703" s="148" t="s">
        <v>2793</v>
      </c>
      <c r="T703" s="148">
        <v>0</v>
      </c>
      <c r="U703" s="159">
        <v>293</v>
      </c>
      <c r="V703" s="160" t="str">
        <f>VLOOKUP(U703,docentes!$A:$E,2,0)</f>
        <v>JOSE PAULO GUEDES PINTO</v>
      </c>
      <c r="W703" s="161" t="str">
        <f>VLOOKUP(U703,docentes!$A:$E,5,0)</f>
        <v>CECS</v>
      </c>
      <c r="X703" s="162"/>
      <c r="Y703" s="163"/>
      <c r="Z703" s="164"/>
    </row>
    <row r="704" spans="1:35" s="44" customFormat="1" ht="66.75" customHeight="1">
      <c r="A704" s="172" t="s">
        <v>114</v>
      </c>
      <c r="B704" s="146" t="s">
        <v>2794</v>
      </c>
      <c r="C704" s="149" t="s">
        <v>2795</v>
      </c>
      <c r="D704" s="150">
        <v>2</v>
      </c>
      <c r="E704" s="150" t="s">
        <v>2796</v>
      </c>
      <c r="F704" s="151" t="s">
        <v>2797</v>
      </c>
      <c r="G704" s="149">
        <v>0</v>
      </c>
      <c r="H704" s="173">
        <v>4</v>
      </c>
      <c r="I704" s="174">
        <v>4</v>
      </c>
      <c r="J704" s="155">
        <v>0</v>
      </c>
      <c r="K704" s="155">
        <v>4</v>
      </c>
      <c r="L704" s="172" t="s">
        <v>2798</v>
      </c>
      <c r="M704" s="172" t="e">
        <v>#N/A</v>
      </c>
      <c r="N704" s="151"/>
      <c r="O704" s="172" t="s">
        <v>2799</v>
      </c>
      <c r="P704" s="175">
        <v>48</v>
      </c>
      <c r="Q704" s="152" t="s">
        <v>60</v>
      </c>
      <c r="R704" s="152" t="s">
        <v>61</v>
      </c>
      <c r="S704" s="148">
        <v>0</v>
      </c>
      <c r="T704" s="148" t="s">
        <v>2800</v>
      </c>
      <c r="U704" s="170">
        <v>47</v>
      </c>
      <c r="V704" s="163" t="str">
        <f>VLOOKUP(U704,docentes!$A:$E,2,0)</f>
        <v>ANDRE GUILHERME RIBEIRO BALAN</v>
      </c>
      <c r="W704" s="171" t="str">
        <f>VLOOKUP(U704,docentes!$A:$E,5,0)</f>
        <v>CMCC</v>
      </c>
      <c r="X704" s="176">
        <v>47</v>
      </c>
      <c r="Y704" s="160" t="str">
        <f>VLOOKUP(X704,docentes!$A:$E,2,0)</f>
        <v>ANDRE GUILHERME RIBEIRO BALAN</v>
      </c>
      <c r="Z704" s="177" t="str">
        <f>VLOOKUP(X704,docentes!$A:$E,5,0)</f>
        <v>CMCC</v>
      </c>
      <c r="AA704" s="45"/>
      <c r="AB704" s="45"/>
      <c r="AC704" s="45"/>
      <c r="AD704" s="45"/>
      <c r="AE704" s="45"/>
      <c r="AF704" s="45"/>
      <c r="AG704" s="45"/>
    </row>
    <row r="705" spans="1:33" s="44" customFormat="1" ht="66.75" customHeight="1">
      <c r="A705" s="172" t="s">
        <v>114</v>
      </c>
      <c r="B705" s="146" t="s">
        <v>2801</v>
      </c>
      <c r="C705" s="149" t="s">
        <v>2795</v>
      </c>
      <c r="D705" s="150">
        <v>2</v>
      </c>
      <c r="E705" s="150" t="s">
        <v>2796</v>
      </c>
      <c r="F705" s="151" t="s">
        <v>2802</v>
      </c>
      <c r="G705" s="149">
        <v>0</v>
      </c>
      <c r="H705" s="173">
        <v>4</v>
      </c>
      <c r="I705" s="174">
        <v>4</v>
      </c>
      <c r="J705" s="155">
        <v>0</v>
      </c>
      <c r="K705" s="155">
        <v>4</v>
      </c>
      <c r="L705" s="172" t="s">
        <v>2798</v>
      </c>
      <c r="M705" s="172" t="e">
        <v>#N/A</v>
      </c>
      <c r="N705" s="151"/>
      <c r="O705" s="172" t="s">
        <v>2803</v>
      </c>
      <c r="P705" s="175">
        <v>48</v>
      </c>
      <c r="Q705" s="152" t="s">
        <v>60</v>
      </c>
      <c r="R705" s="152" t="s">
        <v>70</v>
      </c>
      <c r="S705" s="148">
        <v>0</v>
      </c>
      <c r="T705" s="148" t="s">
        <v>2804</v>
      </c>
      <c r="U705" s="170">
        <v>110</v>
      </c>
      <c r="V705" s="163" t="str">
        <f>VLOOKUP(U705,docentes!$A:$E,2,0)</f>
        <v>CLAUDIO NOGUEIRA DE MENESES</v>
      </c>
      <c r="W705" s="171" t="str">
        <f>VLOOKUP(U705,docentes!$A:$E,5,0)</f>
        <v>CMCC</v>
      </c>
      <c r="X705" s="176">
        <v>110</v>
      </c>
      <c r="Y705" s="160" t="str">
        <f>VLOOKUP(X705,docentes!$A:$E,2,0)</f>
        <v>CLAUDIO NOGUEIRA DE MENESES</v>
      </c>
      <c r="Z705" s="177" t="str">
        <f>VLOOKUP(X705,docentes!$A:$E,5,0)</f>
        <v>CMCC</v>
      </c>
      <c r="AA705" s="45"/>
      <c r="AB705" s="45"/>
      <c r="AC705" s="45"/>
      <c r="AD705" s="45"/>
      <c r="AE705" s="45"/>
      <c r="AF705" s="45"/>
      <c r="AG705" s="45"/>
    </row>
    <row r="706" spans="1:33" s="44" customFormat="1" ht="66.75" customHeight="1">
      <c r="A706" s="148" t="s">
        <v>157</v>
      </c>
      <c r="B706" s="146" t="s">
        <v>2805</v>
      </c>
      <c r="C706" s="149" t="s">
        <v>2806</v>
      </c>
      <c r="D706" s="150">
        <v>2</v>
      </c>
      <c r="E706" s="150" t="s">
        <v>2807</v>
      </c>
      <c r="F706" s="151" t="s">
        <v>2808</v>
      </c>
      <c r="G706" s="152">
        <v>3</v>
      </c>
      <c r="H706" s="152">
        <v>0</v>
      </c>
      <c r="I706" s="153">
        <v>4</v>
      </c>
      <c r="J706" s="154">
        <v>3</v>
      </c>
      <c r="K706" s="155">
        <v>0</v>
      </c>
      <c r="L706" s="148" t="s">
        <v>57</v>
      </c>
      <c r="M706" s="148" t="s">
        <v>58</v>
      </c>
      <c r="N706" s="178"/>
      <c r="O706" s="157" t="s">
        <v>59</v>
      </c>
      <c r="P706" s="158">
        <v>40</v>
      </c>
      <c r="Q706" s="152" t="s">
        <v>76</v>
      </c>
      <c r="R706" s="152" t="s">
        <v>61</v>
      </c>
      <c r="S706" s="148" t="s">
        <v>2809</v>
      </c>
      <c r="T706" s="148">
        <v>0</v>
      </c>
      <c r="U706" s="159">
        <v>403</v>
      </c>
      <c r="V706" s="160" t="str">
        <f>VLOOKUP(U706,docentes!$A:$E,2,0)</f>
        <v>MARILIA MELLO PISANI</v>
      </c>
      <c r="W706" s="161" t="str">
        <f>VLOOKUP(U706,docentes!$A:$E,5,0)</f>
        <v>CCNH</v>
      </c>
      <c r="X706" s="162"/>
      <c r="Y706" s="163"/>
      <c r="Z706" s="164"/>
    </row>
    <row r="707" spans="1:33" s="44" customFormat="1" ht="66.75" customHeight="1">
      <c r="A707" s="148" t="s">
        <v>157</v>
      </c>
      <c r="B707" s="146" t="s">
        <v>2810</v>
      </c>
      <c r="C707" s="149" t="s">
        <v>2806</v>
      </c>
      <c r="D707" s="150">
        <v>2</v>
      </c>
      <c r="E707" s="150" t="s">
        <v>2807</v>
      </c>
      <c r="F707" s="151" t="s">
        <v>2811</v>
      </c>
      <c r="G707" s="152">
        <v>3</v>
      </c>
      <c r="H707" s="152">
        <v>0</v>
      </c>
      <c r="I707" s="153">
        <v>4</v>
      </c>
      <c r="J707" s="154">
        <v>3</v>
      </c>
      <c r="K707" s="155">
        <v>0</v>
      </c>
      <c r="L707" s="148" t="s">
        <v>57</v>
      </c>
      <c r="M707" s="148" t="s">
        <v>58</v>
      </c>
      <c r="N707" s="178"/>
      <c r="O707" s="157" t="s">
        <v>59</v>
      </c>
      <c r="P707" s="158">
        <v>40</v>
      </c>
      <c r="Q707" s="152" t="s">
        <v>76</v>
      </c>
      <c r="R707" s="152" t="s">
        <v>70</v>
      </c>
      <c r="S707" s="148" t="s">
        <v>2812</v>
      </c>
      <c r="T707" s="148">
        <v>0</v>
      </c>
      <c r="U707" s="159">
        <v>403</v>
      </c>
      <c r="V707" s="160" t="str">
        <f>VLOOKUP(U707,docentes!$A:$E,2,0)</f>
        <v>MARILIA MELLO PISANI</v>
      </c>
      <c r="W707" s="161" t="str">
        <f>VLOOKUP(U707,docentes!$A:$E,5,0)</f>
        <v>CCNH</v>
      </c>
      <c r="X707" s="162"/>
      <c r="Y707" s="163"/>
      <c r="Z707" s="164"/>
    </row>
    <row r="708" spans="1:33" s="44" customFormat="1" ht="66.75" customHeight="1">
      <c r="A708" s="148" t="s">
        <v>646</v>
      </c>
      <c r="B708" s="146" t="s">
        <v>2813</v>
      </c>
      <c r="C708" s="149" t="s">
        <v>2814</v>
      </c>
      <c r="D708" s="150">
        <v>2</v>
      </c>
      <c r="E708" s="150" t="s">
        <v>2815</v>
      </c>
      <c r="F708" s="151" t="s">
        <v>2816</v>
      </c>
      <c r="G708" s="152">
        <v>0</v>
      </c>
      <c r="H708" s="152">
        <v>4</v>
      </c>
      <c r="I708" s="153">
        <v>4</v>
      </c>
      <c r="J708" s="154">
        <v>0</v>
      </c>
      <c r="K708" s="155">
        <v>4</v>
      </c>
      <c r="L708" s="148" t="s">
        <v>57</v>
      </c>
      <c r="M708" s="148" t="s">
        <v>58</v>
      </c>
      <c r="N708" s="156"/>
      <c r="O708" s="157" t="s">
        <v>59</v>
      </c>
      <c r="P708" s="158">
        <v>30</v>
      </c>
      <c r="Q708" s="152" t="s">
        <v>60</v>
      </c>
      <c r="R708" s="152" t="s">
        <v>61</v>
      </c>
      <c r="S708" s="148">
        <v>0</v>
      </c>
      <c r="T708" s="148" t="s">
        <v>2817</v>
      </c>
      <c r="U708" s="170">
        <v>371</v>
      </c>
      <c r="V708" s="163" t="str">
        <f>VLOOKUP(U708,docentes!$A:$E,2,0)</f>
        <v>MARCIO DE SOUZA WERNECK</v>
      </c>
      <c r="W708" s="171" t="str">
        <f>VLOOKUP(U708,docentes!$A:$E,5,0)</f>
        <v>CCNH</v>
      </c>
      <c r="X708" s="176">
        <v>371</v>
      </c>
      <c r="Y708" s="160" t="str">
        <f>VLOOKUP(X708,docentes!$A:$E,2,0)</f>
        <v>MARCIO DE SOUZA WERNECK</v>
      </c>
      <c r="Z708" s="177" t="str">
        <f>VLOOKUP(X708,docentes!$A:$E,5,0)</f>
        <v>CCNH</v>
      </c>
    </row>
    <row r="709" spans="1:33" s="44" customFormat="1" ht="66.75" customHeight="1">
      <c r="A709" s="148" t="s">
        <v>646</v>
      </c>
      <c r="B709" s="146" t="s">
        <v>2818</v>
      </c>
      <c r="C709" s="149" t="s">
        <v>2814</v>
      </c>
      <c r="D709" s="150">
        <v>2</v>
      </c>
      <c r="E709" s="150" t="s">
        <v>2815</v>
      </c>
      <c r="F709" s="151" t="s">
        <v>2819</v>
      </c>
      <c r="G709" s="152">
        <v>0</v>
      </c>
      <c r="H709" s="152">
        <v>4</v>
      </c>
      <c r="I709" s="153">
        <v>4</v>
      </c>
      <c r="J709" s="154">
        <v>0</v>
      </c>
      <c r="K709" s="155">
        <v>4</v>
      </c>
      <c r="L709" s="148" t="s">
        <v>57</v>
      </c>
      <c r="M709" s="148" t="s">
        <v>58</v>
      </c>
      <c r="N709" s="156"/>
      <c r="O709" s="157" t="s">
        <v>59</v>
      </c>
      <c r="P709" s="158">
        <v>30</v>
      </c>
      <c r="Q709" s="152" t="s">
        <v>60</v>
      </c>
      <c r="R709" s="152" t="s">
        <v>70</v>
      </c>
      <c r="S709" s="148">
        <v>0</v>
      </c>
      <c r="T709" s="148" t="s">
        <v>2820</v>
      </c>
      <c r="U709" s="170">
        <v>45</v>
      </c>
      <c r="V709" s="163" t="str">
        <f>VLOOKUP(U709,docentes!$A:$E,2,0)</f>
        <v>ANDRE ETEROVIC</v>
      </c>
      <c r="W709" s="171" t="str">
        <f>VLOOKUP(U709,docentes!$A:$E,5,0)</f>
        <v>CCNH</v>
      </c>
      <c r="X709" s="176">
        <v>45</v>
      </c>
      <c r="Y709" s="160" t="str">
        <f>VLOOKUP(X709,docentes!$A:$E,2,0)</f>
        <v>ANDRE ETEROVIC</v>
      </c>
      <c r="Z709" s="177" t="str">
        <f>VLOOKUP(X709,docentes!$A:$E,5,0)</f>
        <v>CCNH</v>
      </c>
    </row>
    <row r="710" spans="1:33" s="44" customFormat="1" ht="66.75" customHeight="1">
      <c r="A710" s="148" t="s">
        <v>1010</v>
      </c>
      <c r="B710" s="146" t="s">
        <v>2821</v>
      </c>
      <c r="C710" s="149" t="s">
        <v>2822</v>
      </c>
      <c r="D710" s="150">
        <v>2</v>
      </c>
      <c r="E710" s="150" t="s">
        <v>2823</v>
      </c>
      <c r="F710" s="151" t="s">
        <v>2824</v>
      </c>
      <c r="G710" s="152">
        <v>3</v>
      </c>
      <c r="H710" s="152">
        <v>0</v>
      </c>
      <c r="I710" s="153">
        <v>4</v>
      </c>
      <c r="J710" s="154">
        <v>3</v>
      </c>
      <c r="K710" s="155">
        <v>0</v>
      </c>
      <c r="L710" s="148" t="s">
        <v>57</v>
      </c>
      <c r="M710" s="148" t="s">
        <v>58</v>
      </c>
      <c r="N710" s="178"/>
      <c r="O710" s="157" t="s">
        <v>59</v>
      </c>
      <c r="P710" s="158">
        <v>20</v>
      </c>
      <c r="Q710" s="152" t="s">
        <v>60</v>
      </c>
      <c r="R710" s="152" t="s">
        <v>61</v>
      </c>
      <c r="S710" s="148" t="s">
        <v>2825</v>
      </c>
      <c r="T710" s="148">
        <v>0</v>
      </c>
      <c r="U710" s="159">
        <v>183</v>
      </c>
      <c r="V710" s="160" t="str">
        <f>VLOOKUP(U710,docentes!$A:$E,2,0)</f>
        <v>FERNANDA FRANZOLIN</v>
      </c>
      <c r="W710" s="161" t="str">
        <f>VLOOKUP(U710,docentes!$A:$E,5,0)</f>
        <v>CCNH</v>
      </c>
      <c r="X710" s="162"/>
      <c r="Y710" s="163"/>
      <c r="Z710" s="164"/>
    </row>
    <row r="711" spans="1:33" s="44" customFormat="1" ht="66.75" customHeight="1">
      <c r="A711" s="148" t="s">
        <v>1010</v>
      </c>
      <c r="B711" s="146" t="s">
        <v>2826</v>
      </c>
      <c r="C711" s="149" t="s">
        <v>2822</v>
      </c>
      <c r="D711" s="150">
        <v>2</v>
      </c>
      <c r="E711" s="150" t="s">
        <v>2823</v>
      </c>
      <c r="F711" s="151" t="s">
        <v>2827</v>
      </c>
      <c r="G711" s="152">
        <v>3</v>
      </c>
      <c r="H711" s="152">
        <v>0</v>
      </c>
      <c r="I711" s="153">
        <v>4</v>
      </c>
      <c r="J711" s="154">
        <v>3</v>
      </c>
      <c r="K711" s="155">
        <v>0</v>
      </c>
      <c r="L711" s="148" t="s">
        <v>57</v>
      </c>
      <c r="M711" s="148" t="s">
        <v>58</v>
      </c>
      <c r="N711" s="178"/>
      <c r="O711" s="157" t="s">
        <v>59</v>
      </c>
      <c r="P711" s="158">
        <v>20</v>
      </c>
      <c r="Q711" s="152" t="s">
        <v>60</v>
      </c>
      <c r="R711" s="152" t="s">
        <v>70</v>
      </c>
      <c r="S711" s="148" t="s">
        <v>2828</v>
      </c>
      <c r="T711" s="148">
        <v>0</v>
      </c>
      <c r="U711" s="159">
        <v>183</v>
      </c>
      <c r="V711" s="160" t="str">
        <f>VLOOKUP(U711,docentes!$A:$E,2,0)</f>
        <v>FERNANDA FRANZOLIN</v>
      </c>
      <c r="W711" s="161" t="str">
        <f>VLOOKUP(U711,docentes!$A:$E,5,0)</f>
        <v>CCNH</v>
      </c>
      <c r="X711" s="162"/>
      <c r="Y711" s="163"/>
      <c r="Z711" s="164"/>
    </row>
    <row r="712" spans="1:33" s="44" customFormat="1" ht="66.75" customHeight="1">
      <c r="A712" s="148" t="s">
        <v>1000</v>
      </c>
      <c r="B712" s="146" t="s">
        <v>2829</v>
      </c>
      <c r="C712" s="149" t="s">
        <v>2830</v>
      </c>
      <c r="D712" s="150">
        <v>2</v>
      </c>
      <c r="E712" s="150" t="s">
        <v>2831</v>
      </c>
      <c r="F712" s="151" t="s">
        <v>2832</v>
      </c>
      <c r="G712" s="152">
        <v>3</v>
      </c>
      <c r="H712" s="152">
        <v>0</v>
      </c>
      <c r="I712" s="153">
        <v>4</v>
      </c>
      <c r="J712" s="154">
        <v>3</v>
      </c>
      <c r="K712" s="155">
        <v>0</v>
      </c>
      <c r="L712" s="148" t="s">
        <v>57</v>
      </c>
      <c r="M712" s="148"/>
      <c r="N712" s="178"/>
      <c r="O712" s="157" t="s">
        <v>59</v>
      </c>
      <c r="P712" s="158">
        <v>30</v>
      </c>
      <c r="Q712" s="152" t="s">
        <v>60</v>
      </c>
      <c r="R712" s="152" t="s">
        <v>61</v>
      </c>
      <c r="S712" s="148">
        <v>0</v>
      </c>
      <c r="T712" s="148" t="s">
        <v>2833</v>
      </c>
      <c r="U712" s="159">
        <v>386</v>
      </c>
      <c r="V712" s="160" t="str">
        <f>VLOOKUP(U712,docentes!$A:$E,2,0)</f>
        <v>MARIA CANDIDA VARONE DE MORAIS CAPECCHI</v>
      </c>
      <c r="W712" s="161" t="str">
        <f>VLOOKUP(U712,docentes!$A:$E,5,0)</f>
        <v>CCNH</v>
      </c>
      <c r="X712" s="162"/>
      <c r="Y712" s="163"/>
      <c r="Z712" s="164"/>
    </row>
    <row r="713" spans="1:33" s="44" customFormat="1" ht="66.75" customHeight="1">
      <c r="A713" s="148" t="s">
        <v>1000</v>
      </c>
      <c r="B713" s="146" t="s">
        <v>2834</v>
      </c>
      <c r="C713" s="149" t="s">
        <v>2830</v>
      </c>
      <c r="D713" s="150">
        <v>2</v>
      </c>
      <c r="E713" s="150" t="s">
        <v>2831</v>
      </c>
      <c r="F713" s="151" t="s">
        <v>2835</v>
      </c>
      <c r="G713" s="152">
        <v>3</v>
      </c>
      <c r="H713" s="152">
        <v>0</v>
      </c>
      <c r="I713" s="153">
        <v>4</v>
      </c>
      <c r="J713" s="154">
        <v>3</v>
      </c>
      <c r="K713" s="155">
        <v>0</v>
      </c>
      <c r="L713" s="148" t="s">
        <v>57</v>
      </c>
      <c r="M713" s="148" t="s">
        <v>58</v>
      </c>
      <c r="N713" s="178"/>
      <c r="O713" s="157" t="s">
        <v>59</v>
      </c>
      <c r="P713" s="158">
        <v>30</v>
      </c>
      <c r="Q713" s="152" t="s">
        <v>60</v>
      </c>
      <c r="R713" s="152" t="s">
        <v>70</v>
      </c>
      <c r="S713" s="148">
        <v>0</v>
      </c>
      <c r="T713" s="148" t="s">
        <v>2836</v>
      </c>
      <c r="U713" s="159">
        <v>386</v>
      </c>
      <c r="V713" s="160" t="str">
        <f>VLOOKUP(U713,docentes!$A:$E,2,0)</f>
        <v>MARIA CANDIDA VARONE DE MORAIS CAPECCHI</v>
      </c>
      <c r="W713" s="161" t="str">
        <f>VLOOKUP(U713,docentes!$A:$E,5,0)</f>
        <v>CCNH</v>
      </c>
      <c r="X713" s="162"/>
      <c r="Y713" s="163"/>
      <c r="Z713" s="164"/>
      <c r="AB713" s="45"/>
    </row>
    <row r="714" spans="1:33" s="44" customFormat="1" ht="66.75" customHeight="1">
      <c r="A714" s="148" t="s">
        <v>1017</v>
      </c>
      <c r="B714" s="146" t="s">
        <v>2837</v>
      </c>
      <c r="C714" s="149" t="s">
        <v>2838</v>
      </c>
      <c r="D714" s="150">
        <v>2</v>
      </c>
      <c r="E714" s="150" t="s">
        <v>2839</v>
      </c>
      <c r="F714" s="151" t="s">
        <v>2840</v>
      </c>
      <c r="G714" s="152">
        <v>3</v>
      </c>
      <c r="H714" s="152">
        <v>0</v>
      </c>
      <c r="I714" s="153">
        <v>4</v>
      </c>
      <c r="J714" s="154">
        <v>3</v>
      </c>
      <c r="K714" s="155">
        <v>0</v>
      </c>
      <c r="L714" s="148" t="s">
        <v>57</v>
      </c>
      <c r="M714" s="148" t="s">
        <v>58</v>
      </c>
      <c r="N714" s="178"/>
      <c r="O714" s="157" t="s">
        <v>59</v>
      </c>
      <c r="P714" s="158">
        <v>39</v>
      </c>
      <c r="Q714" s="152" t="s">
        <v>60</v>
      </c>
      <c r="R714" s="152" t="s">
        <v>61</v>
      </c>
      <c r="S714" s="148">
        <v>0</v>
      </c>
      <c r="T714" s="148" t="s">
        <v>2841</v>
      </c>
      <c r="U714" s="159">
        <v>13</v>
      </c>
      <c r="V714" s="160" t="str">
        <f>VLOOKUP(U714,docentes!$A:$E,2,0)</f>
        <v>ALESSANDRO JACQUES RIBEIRO</v>
      </c>
      <c r="W714" s="161" t="str">
        <f>VLOOKUP(U714,docentes!$A:$E,5,0)</f>
        <v>CMCC</v>
      </c>
      <c r="X714" s="162">
        <v>13</v>
      </c>
      <c r="Y714" s="163" t="str">
        <f>VLOOKUP(X714,docentes!$A:$E,2,0)</f>
        <v>ALESSANDRO JACQUES RIBEIRO</v>
      </c>
      <c r="Z714" s="164" t="str">
        <f>VLOOKUP(X714,docentes!$A:$E,5,0)</f>
        <v>CMCC</v>
      </c>
      <c r="AB714" s="45"/>
    </row>
    <row r="715" spans="1:33" s="44" customFormat="1" ht="66.75" customHeight="1">
      <c r="A715" s="148" t="s">
        <v>1017</v>
      </c>
      <c r="B715" s="146" t="s">
        <v>2842</v>
      </c>
      <c r="C715" s="149" t="s">
        <v>2838</v>
      </c>
      <c r="D715" s="150">
        <v>2</v>
      </c>
      <c r="E715" s="150" t="s">
        <v>2839</v>
      </c>
      <c r="F715" s="151" t="s">
        <v>2843</v>
      </c>
      <c r="G715" s="152">
        <v>3</v>
      </c>
      <c r="H715" s="152">
        <v>0</v>
      </c>
      <c r="I715" s="153">
        <v>4</v>
      </c>
      <c r="J715" s="154">
        <v>3</v>
      </c>
      <c r="K715" s="155">
        <v>0</v>
      </c>
      <c r="L715" s="148" t="s">
        <v>57</v>
      </c>
      <c r="M715" s="148" t="s">
        <v>58</v>
      </c>
      <c r="N715" s="178"/>
      <c r="O715" s="157" t="s">
        <v>59</v>
      </c>
      <c r="P715" s="158">
        <v>39</v>
      </c>
      <c r="Q715" s="152" t="s">
        <v>60</v>
      </c>
      <c r="R715" s="152" t="s">
        <v>70</v>
      </c>
      <c r="S715" s="148">
        <v>0</v>
      </c>
      <c r="T715" s="148" t="s">
        <v>2844</v>
      </c>
      <c r="U715" s="159">
        <v>207</v>
      </c>
      <c r="V715" s="160" t="str">
        <f>VLOOKUP(U715,docentes!$A:$E,2,0)</f>
        <v>FRANCISCO JOSE BRABO BEZERRA</v>
      </c>
      <c r="W715" s="161" t="str">
        <f>VLOOKUP(U715,docentes!$A:$E,5,0)</f>
        <v>CMCC</v>
      </c>
      <c r="X715" s="162">
        <v>207</v>
      </c>
      <c r="Y715" s="163" t="str">
        <f>VLOOKUP(X715,docentes!$A:$E,2,0)</f>
        <v>FRANCISCO JOSE BRABO BEZERRA</v>
      </c>
      <c r="Z715" s="164" t="str">
        <f>VLOOKUP(X715,docentes!$A:$E,5,0)</f>
        <v>CMCC</v>
      </c>
      <c r="AB715" s="45"/>
    </row>
    <row r="716" spans="1:33" s="44" customFormat="1" ht="66.75" customHeight="1">
      <c r="A716" s="148" t="s">
        <v>1116</v>
      </c>
      <c r="B716" s="146" t="s">
        <v>2845</v>
      </c>
      <c r="C716" s="149" t="s">
        <v>2846</v>
      </c>
      <c r="D716" s="150">
        <v>2</v>
      </c>
      <c r="E716" s="150" t="s">
        <v>2847</v>
      </c>
      <c r="F716" s="151" t="s">
        <v>2848</v>
      </c>
      <c r="G716" s="152">
        <v>3</v>
      </c>
      <c r="H716" s="152">
        <v>0</v>
      </c>
      <c r="I716" s="153">
        <v>4</v>
      </c>
      <c r="J716" s="154">
        <v>3</v>
      </c>
      <c r="K716" s="155">
        <v>0</v>
      </c>
      <c r="L716" s="148" t="s">
        <v>57</v>
      </c>
      <c r="M716" s="148" t="s">
        <v>58</v>
      </c>
      <c r="N716" s="156"/>
      <c r="O716" s="157" t="s">
        <v>59</v>
      </c>
      <c r="P716" s="158">
        <v>20</v>
      </c>
      <c r="Q716" s="152" t="s">
        <v>60</v>
      </c>
      <c r="R716" s="152" t="s">
        <v>61</v>
      </c>
      <c r="S716" s="148" t="s">
        <v>2849</v>
      </c>
      <c r="T716" s="148">
        <v>0</v>
      </c>
      <c r="U716" s="159">
        <v>350</v>
      </c>
      <c r="V716" s="160" t="str">
        <f>VLOOKUP(U716,docentes!$A:$E,2,0)</f>
        <v>MAISA HELENA ALTARUGIO</v>
      </c>
      <c r="W716" s="161" t="str">
        <f>VLOOKUP(U716,docentes!$A:$E,5,0)</f>
        <v>CCNH</v>
      </c>
      <c r="X716" s="162"/>
      <c r="Y716" s="163"/>
      <c r="Z716" s="164"/>
    </row>
    <row r="717" spans="1:33" s="44" customFormat="1" ht="66.75" customHeight="1">
      <c r="A717" s="148" t="s">
        <v>1116</v>
      </c>
      <c r="B717" s="146" t="s">
        <v>2850</v>
      </c>
      <c r="C717" s="149" t="s">
        <v>2846</v>
      </c>
      <c r="D717" s="150">
        <v>2</v>
      </c>
      <c r="E717" s="150" t="s">
        <v>2847</v>
      </c>
      <c r="F717" s="151" t="s">
        <v>2851</v>
      </c>
      <c r="G717" s="152">
        <v>3</v>
      </c>
      <c r="H717" s="152">
        <v>0</v>
      </c>
      <c r="I717" s="153">
        <v>4</v>
      </c>
      <c r="J717" s="154">
        <v>3</v>
      </c>
      <c r="K717" s="155">
        <v>0</v>
      </c>
      <c r="L717" s="148" t="s">
        <v>750</v>
      </c>
      <c r="M717" s="148" t="s">
        <v>58</v>
      </c>
      <c r="N717" s="178"/>
      <c r="O717" s="165" t="s">
        <v>2852</v>
      </c>
      <c r="P717" s="158">
        <v>29</v>
      </c>
      <c r="Q717" s="152" t="s">
        <v>60</v>
      </c>
      <c r="R717" s="152" t="s">
        <v>70</v>
      </c>
      <c r="S717" s="148" t="s">
        <v>2853</v>
      </c>
      <c r="T717" s="148">
        <v>0</v>
      </c>
      <c r="U717" s="159">
        <v>350</v>
      </c>
      <c r="V717" s="160" t="str">
        <f>VLOOKUP(U717,docentes!$A:$E,2,0)</f>
        <v>MAISA HELENA ALTARUGIO</v>
      </c>
      <c r="W717" s="161" t="str">
        <f>VLOOKUP(U717,docentes!$A:$E,5,0)</f>
        <v>CCNH</v>
      </c>
      <c r="X717" s="162"/>
      <c r="Y717" s="163"/>
      <c r="Z717" s="164"/>
    </row>
    <row r="718" spans="1:33" s="44" customFormat="1" ht="66.75" customHeight="1">
      <c r="A718" s="148" t="s">
        <v>1126</v>
      </c>
      <c r="B718" s="146" t="s">
        <v>2854</v>
      </c>
      <c r="C718" s="149" t="s">
        <v>2855</v>
      </c>
      <c r="D718" s="150">
        <v>1</v>
      </c>
      <c r="E718" s="150" t="s">
        <v>2856</v>
      </c>
      <c r="F718" s="151" t="s">
        <v>2857</v>
      </c>
      <c r="G718" s="152">
        <v>0</v>
      </c>
      <c r="H718" s="152">
        <v>4</v>
      </c>
      <c r="I718" s="153">
        <v>4</v>
      </c>
      <c r="J718" s="154">
        <v>0</v>
      </c>
      <c r="K718" s="155">
        <v>4</v>
      </c>
      <c r="L718" s="148" t="s">
        <v>2858</v>
      </c>
      <c r="M718" s="148" t="e">
        <v>#N/A</v>
      </c>
      <c r="N718" s="156"/>
      <c r="O718" s="165" t="s">
        <v>913</v>
      </c>
      <c r="P718" s="158">
        <v>30</v>
      </c>
      <c r="Q718" s="152" t="s">
        <v>60</v>
      </c>
      <c r="R718" s="152" t="s">
        <v>61</v>
      </c>
      <c r="S718" s="148">
        <v>0</v>
      </c>
      <c r="T718" s="148" t="s">
        <v>2859</v>
      </c>
      <c r="U718" s="170">
        <v>29</v>
      </c>
      <c r="V718" s="163" t="str">
        <f>VLOOKUP(U718,docentes!$A:$E,2,0)</f>
        <v>ALVARO TAKEO OMORI</v>
      </c>
      <c r="W718" s="171" t="str">
        <f>VLOOKUP(U718,docentes!$A:$E,5,0)</f>
        <v>CCNH</v>
      </c>
      <c r="X718" s="176">
        <v>29</v>
      </c>
      <c r="Y718" s="160" t="str">
        <f>VLOOKUP(X718,docentes!$A:$E,2,0)</f>
        <v>ALVARO TAKEO OMORI</v>
      </c>
      <c r="Z718" s="177" t="str">
        <f>VLOOKUP(X718,docentes!$A:$E,5,0)</f>
        <v>CCNH</v>
      </c>
    </row>
    <row r="719" spans="1:33" s="44" customFormat="1" ht="66.75" customHeight="1">
      <c r="A719" s="148" t="s">
        <v>884</v>
      </c>
      <c r="B719" s="146" t="s">
        <v>2860</v>
      </c>
      <c r="C719" s="149" t="s">
        <v>2861</v>
      </c>
      <c r="D719" s="150">
        <v>2</v>
      </c>
      <c r="E719" s="150" t="s">
        <v>2862</v>
      </c>
      <c r="F719" s="151" t="s">
        <v>2863</v>
      </c>
      <c r="G719" s="152">
        <v>3</v>
      </c>
      <c r="H719" s="152">
        <v>1</v>
      </c>
      <c r="I719" s="153">
        <v>4</v>
      </c>
      <c r="J719" s="154">
        <v>3</v>
      </c>
      <c r="K719" s="155">
        <v>1</v>
      </c>
      <c r="L719" s="148" t="s">
        <v>97</v>
      </c>
      <c r="M719" s="148" t="s">
        <v>58</v>
      </c>
      <c r="N719" s="156"/>
      <c r="O719" s="157" t="s">
        <v>59</v>
      </c>
      <c r="P719" s="158">
        <v>30</v>
      </c>
      <c r="Q719" s="152" t="s">
        <v>60</v>
      </c>
      <c r="R719" s="152" t="s">
        <v>61</v>
      </c>
      <c r="S719" s="148" t="s">
        <v>2864</v>
      </c>
      <c r="T719" s="148" t="s">
        <v>2865</v>
      </c>
      <c r="U719" s="159">
        <v>347</v>
      </c>
      <c r="V719" s="160" t="str">
        <f>VLOOKUP(U719,docentes!$A:$E,2,0)</f>
        <v>LUIZ HENRIQUE BONANI DO NASCIMENTO</v>
      </c>
      <c r="W719" s="161" t="str">
        <f>VLOOKUP(U719,docentes!$A:$E,5,0)</f>
        <v>CECS</v>
      </c>
      <c r="X719" s="176">
        <v>347</v>
      </c>
      <c r="Y719" s="160" t="str">
        <f>VLOOKUP(X719,docentes!$A:$E,2,0)</f>
        <v>LUIZ HENRIQUE BONANI DO NASCIMENTO</v>
      </c>
      <c r="Z719" s="177" t="str">
        <f>VLOOKUP(X719,docentes!$A:$E,5,0)</f>
        <v>CECS</v>
      </c>
    </row>
    <row r="720" spans="1:33" s="44" customFormat="1" ht="66.75" customHeight="1">
      <c r="A720" s="148" t="s">
        <v>884</v>
      </c>
      <c r="B720" s="146" t="s">
        <v>2866</v>
      </c>
      <c r="C720" s="149" t="s">
        <v>2861</v>
      </c>
      <c r="D720" s="150">
        <v>2</v>
      </c>
      <c r="E720" s="150" t="s">
        <v>2862</v>
      </c>
      <c r="F720" s="151" t="s">
        <v>2867</v>
      </c>
      <c r="G720" s="152">
        <v>3</v>
      </c>
      <c r="H720" s="152">
        <v>1</v>
      </c>
      <c r="I720" s="153">
        <v>4</v>
      </c>
      <c r="J720" s="154">
        <v>3</v>
      </c>
      <c r="K720" s="155">
        <v>1</v>
      </c>
      <c r="L720" s="148" t="s">
        <v>97</v>
      </c>
      <c r="M720" s="148" t="s">
        <v>58</v>
      </c>
      <c r="N720" s="156"/>
      <c r="O720" s="157" t="s">
        <v>59</v>
      </c>
      <c r="P720" s="158">
        <v>30</v>
      </c>
      <c r="Q720" s="152" t="s">
        <v>60</v>
      </c>
      <c r="R720" s="152" t="s">
        <v>70</v>
      </c>
      <c r="S720" s="148" t="s">
        <v>2868</v>
      </c>
      <c r="T720" s="148" t="s">
        <v>2869</v>
      </c>
      <c r="U720" s="159">
        <v>427</v>
      </c>
      <c r="V720" s="160" t="str">
        <f>VLOOKUP(U720,docentes!$A:$E,2,0)</f>
        <v>MURILO BELLEZONI LOIOLA</v>
      </c>
      <c r="W720" s="161" t="str">
        <f>VLOOKUP(U720,docentes!$A:$E,5,0)</f>
        <v>CECS</v>
      </c>
      <c r="X720" s="176">
        <v>427</v>
      </c>
      <c r="Y720" s="160" t="str">
        <f>VLOOKUP(X720,docentes!$A:$E,2,0)</f>
        <v>MURILO BELLEZONI LOIOLA</v>
      </c>
      <c r="Z720" s="177" t="str">
        <f>VLOOKUP(X720,docentes!$A:$E,5,0)</f>
        <v>CECS</v>
      </c>
    </row>
    <row r="721" spans="1:26" s="44" customFormat="1" ht="66.75" customHeight="1">
      <c r="A721" s="148" t="s">
        <v>915</v>
      </c>
      <c r="B721" s="146" t="s">
        <v>2870</v>
      </c>
      <c r="C721" s="149" t="s">
        <v>2871</v>
      </c>
      <c r="D721" s="150">
        <v>1</v>
      </c>
      <c r="E721" s="150" t="s">
        <v>2872</v>
      </c>
      <c r="F721" s="151" t="s">
        <v>2873</v>
      </c>
      <c r="G721" s="152">
        <v>4</v>
      </c>
      <c r="H721" s="152">
        <v>0</v>
      </c>
      <c r="I721" s="153">
        <v>6</v>
      </c>
      <c r="J721" s="154">
        <v>4</v>
      </c>
      <c r="K721" s="155">
        <v>0</v>
      </c>
      <c r="L721" s="148" t="s">
        <v>902</v>
      </c>
      <c r="M721" s="148" t="s">
        <v>58</v>
      </c>
      <c r="N721" s="156"/>
      <c r="O721" s="148" t="s">
        <v>822</v>
      </c>
      <c r="P721" s="158">
        <v>32</v>
      </c>
      <c r="Q721" s="152" t="s">
        <v>60</v>
      </c>
      <c r="R721" s="152" t="s">
        <v>61</v>
      </c>
      <c r="S721" s="148" t="s">
        <v>2874</v>
      </c>
      <c r="T721" s="148">
        <v>0</v>
      </c>
      <c r="U721" s="159">
        <v>214</v>
      </c>
      <c r="V721" s="160" t="str">
        <f>VLOOKUP(U721,docentes!$A:$E,2,0)</f>
        <v>GERMAN LUGONES</v>
      </c>
      <c r="W721" s="161" t="str">
        <f>VLOOKUP(U721,docentes!$A:$E,5,0)</f>
        <v>CCNH</v>
      </c>
      <c r="X721" s="162"/>
      <c r="Y721" s="163"/>
      <c r="Z721" s="164"/>
    </row>
    <row r="722" spans="1:26" s="44" customFormat="1" ht="66.75" customHeight="1">
      <c r="A722" s="148" t="s">
        <v>222</v>
      </c>
      <c r="B722" s="146" t="s">
        <v>2875</v>
      </c>
      <c r="C722" s="149" t="s">
        <v>2876</v>
      </c>
      <c r="D722" s="150">
        <v>15</v>
      </c>
      <c r="E722" s="150" t="s">
        <v>2877</v>
      </c>
      <c r="F722" s="151" t="s">
        <v>2878</v>
      </c>
      <c r="G722" s="152">
        <v>3</v>
      </c>
      <c r="H722" s="152">
        <v>2</v>
      </c>
      <c r="I722" s="153">
        <v>5</v>
      </c>
      <c r="J722" s="154">
        <v>3</v>
      </c>
      <c r="K722" s="155">
        <v>2</v>
      </c>
      <c r="L722" s="148" t="s">
        <v>845</v>
      </c>
      <c r="M722" s="148" t="s">
        <v>58</v>
      </c>
      <c r="N722" s="156"/>
      <c r="O722" s="165" t="s">
        <v>2145</v>
      </c>
      <c r="P722" s="158">
        <v>30</v>
      </c>
      <c r="Q722" s="152" t="s">
        <v>60</v>
      </c>
      <c r="R722" s="152" t="s">
        <v>61</v>
      </c>
      <c r="S722" s="148" t="s">
        <v>2879</v>
      </c>
      <c r="T722" s="148" t="s">
        <v>2880</v>
      </c>
      <c r="U722" s="159">
        <v>500</v>
      </c>
      <c r="V722" s="160" t="str">
        <f>VLOOKUP(U722,docentes!$A:$E,2,0)</f>
        <v>RONALDO CRISTIANO PRATI</v>
      </c>
      <c r="W722" s="161" t="str">
        <f>VLOOKUP(U722,docentes!$A:$E,5,0)</f>
        <v>CMCC</v>
      </c>
      <c r="X722" s="176">
        <v>373</v>
      </c>
      <c r="Y722" s="160" t="str">
        <f>VLOOKUP(X722,docentes!$A:$E,2,0)</f>
        <v>MARCIO KATSUMI OIKAWA</v>
      </c>
      <c r="Z722" s="177" t="str">
        <f>VLOOKUP(X722,docentes!$A:$E,5,0)</f>
        <v>CMCC</v>
      </c>
    </row>
    <row r="723" spans="1:26" s="44" customFormat="1" ht="66.75" customHeight="1">
      <c r="A723" s="148" t="s">
        <v>222</v>
      </c>
      <c r="B723" s="146" t="s">
        <v>2881</v>
      </c>
      <c r="C723" s="149" t="s">
        <v>2876</v>
      </c>
      <c r="D723" s="150">
        <v>15</v>
      </c>
      <c r="E723" s="150" t="s">
        <v>2877</v>
      </c>
      <c r="F723" s="151" t="s">
        <v>2882</v>
      </c>
      <c r="G723" s="152">
        <v>3</v>
      </c>
      <c r="H723" s="152">
        <v>2</v>
      </c>
      <c r="I723" s="153">
        <v>5</v>
      </c>
      <c r="J723" s="154">
        <v>3</v>
      </c>
      <c r="K723" s="155">
        <v>2</v>
      </c>
      <c r="L723" s="148" t="s">
        <v>57</v>
      </c>
      <c r="M723" s="148" t="s">
        <v>58</v>
      </c>
      <c r="N723" s="156"/>
      <c r="O723" s="157" t="s">
        <v>59</v>
      </c>
      <c r="P723" s="158">
        <v>42</v>
      </c>
      <c r="Q723" s="152" t="s">
        <v>76</v>
      </c>
      <c r="R723" s="152" t="s">
        <v>61</v>
      </c>
      <c r="S723" s="148" t="s">
        <v>2883</v>
      </c>
      <c r="T723" s="148" t="s">
        <v>2884</v>
      </c>
      <c r="U723" s="159">
        <v>114</v>
      </c>
      <c r="V723" s="160" t="str">
        <f>VLOOKUP(U723,docentes!$A:$E,2,0)</f>
        <v>CRISTIANE OTERO REIS SALUM</v>
      </c>
      <c r="W723" s="161" t="str">
        <f>VLOOKUP(U723,docentes!$A:$E,5,0)</f>
        <v>CMCC</v>
      </c>
      <c r="X723" s="176">
        <v>194</v>
      </c>
      <c r="Y723" s="160" t="str">
        <f>VLOOKUP(X723,docentes!$A:$E,2,0)</f>
        <v>FERNANDO TEUBL FERREIRA</v>
      </c>
      <c r="Z723" s="177" t="str">
        <f>VLOOKUP(X723,docentes!$A:$E,5,0)</f>
        <v>CMCC</v>
      </c>
    </row>
    <row r="724" spans="1:26" s="44" customFormat="1" ht="66.75" customHeight="1">
      <c r="A724" s="148" t="s">
        <v>222</v>
      </c>
      <c r="B724" s="146" t="s">
        <v>2885</v>
      </c>
      <c r="C724" s="149" t="s">
        <v>2876</v>
      </c>
      <c r="D724" s="150">
        <v>15</v>
      </c>
      <c r="E724" s="150" t="s">
        <v>2877</v>
      </c>
      <c r="F724" s="151" t="s">
        <v>2886</v>
      </c>
      <c r="G724" s="152">
        <v>3</v>
      </c>
      <c r="H724" s="152">
        <v>2</v>
      </c>
      <c r="I724" s="153">
        <v>5</v>
      </c>
      <c r="J724" s="154">
        <v>3</v>
      </c>
      <c r="K724" s="155">
        <v>2</v>
      </c>
      <c r="L724" s="148" t="s">
        <v>845</v>
      </c>
      <c r="M724" s="148" t="s">
        <v>58</v>
      </c>
      <c r="N724" s="156"/>
      <c r="O724" s="165" t="s">
        <v>2145</v>
      </c>
      <c r="P724" s="158">
        <v>30</v>
      </c>
      <c r="Q724" s="152" t="s">
        <v>60</v>
      </c>
      <c r="R724" s="152" t="s">
        <v>70</v>
      </c>
      <c r="S724" s="148" t="s">
        <v>2887</v>
      </c>
      <c r="T724" s="148" t="s">
        <v>2888</v>
      </c>
      <c r="U724" s="159">
        <v>554</v>
      </c>
      <c r="V724" s="160" t="str">
        <f>VLOOKUP(U724,docentes!$A:$E,2,0)</f>
        <v>VERA NAGAMUTA</v>
      </c>
      <c r="W724" s="161" t="str">
        <f>VLOOKUP(U724,docentes!$A:$E,5,0)</f>
        <v>CMCC</v>
      </c>
      <c r="X724" s="176">
        <v>149</v>
      </c>
      <c r="Y724" s="160" t="str">
        <f>VLOOKUP(X724,docentes!$A:$E,2,0)</f>
        <v>EDSON PINHEIRO PIMENTEL</v>
      </c>
      <c r="Z724" s="177" t="str">
        <f>VLOOKUP(X724,docentes!$A:$E,5,0)</f>
        <v>CMCC</v>
      </c>
    </row>
    <row r="725" spans="1:26" s="44" customFormat="1" ht="66.75" customHeight="1">
      <c r="A725" s="148" t="s">
        <v>222</v>
      </c>
      <c r="B725" s="146" t="s">
        <v>2889</v>
      </c>
      <c r="C725" s="149" t="s">
        <v>2876</v>
      </c>
      <c r="D725" s="150">
        <v>15</v>
      </c>
      <c r="E725" s="150" t="s">
        <v>2877</v>
      </c>
      <c r="F725" s="151" t="s">
        <v>2890</v>
      </c>
      <c r="G725" s="152">
        <v>3</v>
      </c>
      <c r="H725" s="152">
        <v>2</v>
      </c>
      <c r="I725" s="153">
        <v>5</v>
      </c>
      <c r="J725" s="154">
        <v>3</v>
      </c>
      <c r="K725" s="155">
        <v>2</v>
      </c>
      <c r="L725" s="148" t="s">
        <v>57</v>
      </c>
      <c r="M725" s="148" t="s">
        <v>58</v>
      </c>
      <c r="N725" s="156"/>
      <c r="O725" s="157" t="s">
        <v>59</v>
      </c>
      <c r="P725" s="158">
        <v>42</v>
      </c>
      <c r="Q725" s="152" t="s">
        <v>76</v>
      </c>
      <c r="R725" s="152" t="s">
        <v>70</v>
      </c>
      <c r="S725" s="148" t="s">
        <v>2891</v>
      </c>
      <c r="T725" s="148" t="s">
        <v>2892</v>
      </c>
      <c r="U725" s="159">
        <v>49</v>
      </c>
      <c r="V725" s="160" t="str">
        <f>VLOOKUP(U725,docentes!$A:$E,2,0)</f>
        <v>ANDRE LUIZ BRANDAO</v>
      </c>
      <c r="W725" s="161" t="str">
        <f>VLOOKUP(U725,docentes!$A:$E,5,0)</f>
        <v>CMCC</v>
      </c>
      <c r="X725" s="176">
        <v>545</v>
      </c>
      <c r="Y725" s="160" t="str">
        <f>VLOOKUP(X725,docentes!$A:$E,2,0)</f>
        <v>VALERIO RAMOS BATISTA</v>
      </c>
      <c r="Z725" s="177" t="str">
        <f>VLOOKUP(X725,docentes!$A:$E,5,0)</f>
        <v>CMCC</v>
      </c>
    </row>
    <row r="726" spans="1:26" s="44" customFormat="1" ht="66.75" customHeight="1">
      <c r="A726" s="148" t="s">
        <v>222</v>
      </c>
      <c r="B726" s="146" t="s">
        <v>2893</v>
      </c>
      <c r="C726" s="149" t="s">
        <v>2876</v>
      </c>
      <c r="D726" s="150">
        <v>15</v>
      </c>
      <c r="E726" s="150" t="s">
        <v>2877</v>
      </c>
      <c r="F726" s="151" t="s">
        <v>2894</v>
      </c>
      <c r="G726" s="152">
        <v>3</v>
      </c>
      <c r="H726" s="152">
        <v>2</v>
      </c>
      <c r="I726" s="153">
        <v>5</v>
      </c>
      <c r="J726" s="154">
        <v>0</v>
      </c>
      <c r="K726" s="155">
        <v>2</v>
      </c>
      <c r="L726" s="148" t="s">
        <v>845</v>
      </c>
      <c r="M726" s="148" t="s">
        <v>58</v>
      </c>
      <c r="N726" s="156"/>
      <c r="O726" s="165" t="s">
        <v>2145</v>
      </c>
      <c r="P726" s="158">
        <v>30</v>
      </c>
      <c r="Q726" s="152" t="s">
        <v>60</v>
      </c>
      <c r="R726" s="152" t="s">
        <v>61</v>
      </c>
      <c r="S726" s="148" t="s">
        <v>2879</v>
      </c>
      <c r="T726" s="148" t="s">
        <v>2895</v>
      </c>
      <c r="U726" s="170">
        <v>500</v>
      </c>
      <c r="V726" s="163" t="str">
        <f>VLOOKUP(U726,docentes!$A:$E,2,0)</f>
        <v>RONALDO CRISTIANO PRATI</v>
      </c>
      <c r="W726" s="171" t="str">
        <f>VLOOKUP(U726,docentes!$A:$E,5,0)</f>
        <v>CMCC</v>
      </c>
      <c r="X726" s="176">
        <v>554</v>
      </c>
      <c r="Y726" s="160" t="str">
        <f>VLOOKUP(X726,docentes!$A:$E,2,0)</f>
        <v>VERA NAGAMUTA</v>
      </c>
      <c r="Z726" s="177" t="str">
        <f>VLOOKUP(X726,docentes!$A:$E,5,0)</f>
        <v>CMCC</v>
      </c>
    </row>
    <row r="727" spans="1:26" s="44" customFormat="1" ht="66.75" hidden="1" customHeight="1">
      <c r="A727" s="148" t="s">
        <v>222</v>
      </c>
      <c r="B727" s="168" t="s">
        <v>2896</v>
      </c>
      <c r="C727" s="149"/>
      <c r="D727" s="150">
        <v>0</v>
      </c>
      <c r="E727" s="150" t="s">
        <v>2877</v>
      </c>
      <c r="F727" s="169" t="s">
        <v>2897</v>
      </c>
      <c r="G727" s="152">
        <v>3</v>
      </c>
      <c r="H727" s="152">
        <v>2</v>
      </c>
      <c r="I727" s="153">
        <v>5</v>
      </c>
      <c r="J727" s="154">
        <v>0</v>
      </c>
      <c r="K727" s="155">
        <v>0</v>
      </c>
      <c r="L727" s="148" t="s">
        <v>732</v>
      </c>
      <c r="M727" s="148" t="s">
        <v>58</v>
      </c>
      <c r="N727" s="182"/>
      <c r="O727" s="165" t="s">
        <v>102</v>
      </c>
      <c r="P727" s="158">
        <v>0</v>
      </c>
      <c r="Q727" s="152" t="s">
        <v>76</v>
      </c>
      <c r="R727" s="152" t="s">
        <v>61</v>
      </c>
      <c r="S727" s="148" t="s">
        <v>2898</v>
      </c>
      <c r="T727" s="148" t="s">
        <v>2899</v>
      </c>
      <c r="U727" s="170">
        <v>114</v>
      </c>
      <c r="V727" s="163" t="str">
        <f>VLOOKUP(U727,docentes!$A:$E,2,0)</f>
        <v>CRISTIANE OTERO REIS SALUM</v>
      </c>
      <c r="W727" s="171" t="str">
        <f>VLOOKUP(U727,docentes!$A:$E,5,0)</f>
        <v>CMCC</v>
      </c>
      <c r="X727" s="162">
        <v>194</v>
      </c>
      <c r="Y727" s="163" t="str">
        <f>VLOOKUP(X727,docentes!$A:$E,2,0)</f>
        <v>FERNANDO TEUBL FERREIRA</v>
      </c>
      <c r="Z727" s="164" t="str">
        <f>VLOOKUP(X727,docentes!$A:$E,5,0)</f>
        <v>CMCC</v>
      </c>
    </row>
    <row r="728" spans="1:26" s="44" customFormat="1" ht="66.75" customHeight="1">
      <c r="A728" s="148" t="s">
        <v>222</v>
      </c>
      <c r="B728" s="146" t="s">
        <v>2900</v>
      </c>
      <c r="C728" s="149" t="s">
        <v>2876</v>
      </c>
      <c r="D728" s="150">
        <v>15</v>
      </c>
      <c r="E728" s="150" t="s">
        <v>2877</v>
      </c>
      <c r="F728" s="151" t="s">
        <v>2901</v>
      </c>
      <c r="G728" s="152">
        <v>3</v>
      </c>
      <c r="H728" s="152">
        <v>2</v>
      </c>
      <c r="I728" s="153">
        <v>5</v>
      </c>
      <c r="J728" s="154">
        <v>0</v>
      </c>
      <c r="K728" s="155">
        <v>2</v>
      </c>
      <c r="L728" s="148" t="s">
        <v>57</v>
      </c>
      <c r="M728" s="148" t="s">
        <v>58</v>
      </c>
      <c r="N728" s="156"/>
      <c r="O728" s="157" t="s">
        <v>59</v>
      </c>
      <c r="P728" s="158">
        <v>30</v>
      </c>
      <c r="Q728" s="152" t="s">
        <v>60</v>
      </c>
      <c r="R728" s="152" t="s">
        <v>70</v>
      </c>
      <c r="S728" s="148" t="s">
        <v>2887</v>
      </c>
      <c r="T728" s="148" t="s">
        <v>2902</v>
      </c>
      <c r="U728" s="170">
        <v>554</v>
      </c>
      <c r="V728" s="163" t="str">
        <f>VLOOKUP(U728,docentes!$A:$E,2,0)</f>
        <v>VERA NAGAMUTA</v>
      </c>
      <c r="W728" s="171" t="str">
        <f>VLOOKUP(U728,docentes!$A:$E,5,0)</f>
        <v>CMCC</v>
      </c>
      <c r="X728" s="176">
        <v>554</v>
      </c>
      <c r="Y728" s="160" t="str">
        <f>VLOOKUP(X728,docentes!$A:$E,2,0)</f>
        <v>VERA NAGAMUTA</v>
      </c>
      <c r="Z728" s="177" t="str">
        <f>VLOOKUP(X728,docentes!$A:$E,5,0)</f>
        <v>CMCC</v>
      </c>
    </row>
    <row r="729" spans="1:26" s="44" customFormat="1" ht="66.75" customHeight="1">
      <c r="A729" s="148" t="s">
        <v>222</v>
      </c>
      <c r="B729" s="146" t="s">
        <v>2903</v>
      </c>
      <c r="C729" s="149" t="s">
        <v>2876</v>
      </c>
      <c r="D729" s="150">
        <v>15</v>
      </c>
      <c r="E729" s="150" t="s">
        <v>2877</v>
      </c>
      <c r="F729" s="151" t="s">
        <v>2904</v>
      </c>
      <c r="G729" s="152">
        <v>3</v>
      </c>
      <c r="H729" s="152">
        <v>2</v>
      </c>
      <c r="I729" s="153">
        <v>5</v>
      </c>
      <c r="J729" s="154">
        <v>3</v>
      </c>
      <c r="K729" s="155">
        <v>2</v>
      </c>
      <c r="L729" s="148" t="s">
        <v>57</v>
      </c>
      <c r="M729" s="148" t="s">
        <v>58</v>
      </c>
      <c r="N729" s="156"/>
      <c r="O729" s="157" t="s">
        <v>59</v>
      </c>
      <c r="P729" s="158">
        <v>42</v>
      </c>
      <c r="Q729" s="152" t="s">
        <v>76</v>
      </c>
      <c r="R729" s="152" t="s">
        <v>70</v>
      </c>
      <c r="S729" s="148" t="s">
        <v>2905</v>
      </c>
      <c r="T729" s="148" t="s">
        <v>2906</v>
      </c>
      <c r="U729" s="159">
        <v>49</v>
      </c>
      <c r="V729" s="160" t="str">
        <f>VLOOKUP(U729,docentes!$A:$E,2,0)</f>
        <v>ANDRE LUIZ BRANDAO</v>
      </c>
      <c r="W729" s="161" t="str">
        <f>VLOOKUP(U729,docentes!$A:$E,5,0)</f>
        <v>CMCC</v>
      </c>
      <c r="X729" s="176">
        <v>194</v>
      </c>
      <c r="Y729" s="160" t="str">
        <f>VLOOKUP(X729,docentes!$A:$E,2,0)</f>
        <v>FERNANDO TEUBL FERREIRA</v>
      </c>
      <c r="Z729" s="177" t="str">
        <f>VLOOKUP(X729,docentes!$A:$E,5,0)</f>
        <v>CMCC</v>
      </c>
    </row>
    <row r="730" spans="1:26" s="44" customFormat="1" ht="66.75" customHeight="1">
      <c r="A730" s="148" t="s">
        <v>222</v>
      </c>
      <c r="B730" s="146" t="s">
        <v>2907</v>
      </c>
      <c r="C730" s="149" t="s">
        <v>2876</v>
      </c>
      <c r="D730" s="150">
        <v>15</v>
      </c>
      <c r="E730" s="150" t="s">
        <v>2877</v>
      </c>
      <c r="F730" s="151" t="s">
        <v>2908</v>
      </c>
      <c r="G730" s="152">
        <v>3</v>
      </c>
      <c r="H730" s="152">
        <v>2</v>
      </c>
      <c r="I730" s="153">
        <v>5</v>
      </c>
      <c r="J730" s="154">
        <v>0</v>
      </c>
      <c r="K730" s="155">
        <v>2</v>
      </c>
      <c r="L730" s="148" t="s">
        <v>57</v>
      </c>
      <c r="M730" s="148" t="s">
        <v>58</v>
      </c>
      <c r="N730" s="156"/>
      <c r="O730" s="157" t="s">
        <v>59</v>
      </c>
      <c r="P730" s="158">
        <v>30</v>
      </c>
      <c r="Q730" s="152" t="s">
        <v>60</v>
      </c>
      <c r="R730" s="152" t="s">
        <v>61</v>
      </c>
      <c r="S730" s="148" t="s">
        <v>2879</v>
      </c>
      <c r="T730" s="148" t="s">
        <v>2909</v>
      </c>
      <c r="U730" s="170">
        <v>500</v>
      </c>
      <c r="V730" s="163" t="str">
        <f>VLOOKUP(U730,docentes!$A:$E,2,0)</f>
        <v>RONALDO CRISTIANO PRATI</v>
      </c>
      <c r="W730" s="171" t="str">
        <f>VLOOKUP(U730,docentes!$A:$E,5,0)</f>
        <v>CMCC</v>
      </c>
      <c r="X730" s="176">
        <v>47</v>
      </c>
      <c r="Y730" s="160" t="str">
        <f>VLOOKUP(X730,docentes!$A:$E,2,0)</f>
        <v>ANDRE GUILHERME RIBEIRO BALAN</v>
      </c>
      <c r="Z730" s="177" t="str">
        <f>VLOOKUP(X730,docentes!$A:$E,5,0)</f>
        <v>CMCC</v>
      </c>
    </row>
    <row r="731" spans="1:26" s="44" customFormat="1" ht="66.75" customHeight="1">
      <c r="A731" s="148" t="s">
        <v>222</v>
      </c>
      <c r="B731" s="146" t="s">
        <v>2910</v>
      </c>
      <c r="C731" s="149" t="s">
        <v>2876</v>
      </c>
      <c r="D731" s="150">
        <v>15</v>
      </c>
      <c r="E731" s="150" t="s">
        <v>2877</v>
      </c>
      <c r="F731" s="151" t="s">
        <v>2911</v>
      </c>
      <c r="G731" s="152">
        <v>3</v>
      </c>
      <c r="H731" s="152">
        <v>2</v>
      </c>
      <c r="I731" s="153">
        <v>5</v>
      </c>
      <c r="J731" s="154">
        <v>0</v>
      </c>
      <c r="K731" s="155">
        <v>2</v>
      </c>
      <c r="L731" s="148" t="s">
        <v>57</v>
      </c>
      <c r="M731" s="148" t="s">
        <v>58</v>
      </c>
      <c r="N731" s="156"/>
      <c r="O731" s="157" t="s">
        <v>59</v>
      </c>
      <c r="P731" s="158">
        <v>30</v>
      </c>
      <c r="Q731" s="152" t="s">
        <v>60</v>
      </c>
      <c r="R731" s="152" t="s">
        <v>70</v>
      </c>
      <c r="S731" s="148" t="s">
        <v>2887</v>
      </c>
      <c r="T731" s="148" t="s">
        <v>2912</v>
      </c>
      <c r="U731" s="170">
        <v>554</v>
      </c>
      <c r="V731" s="163" t="str">
        <f>VLOOKUP(U731,docentes!$A:$E,2,0)</f>
        <v>VERA NAGAMUTA</v>
      </c>
      <c r="W731" s="171" t="str">
        <f>VLOOKUP(U731,docentes!$A:$E,5,0)</f>
        <v>CMCC</v>
      </c>
      <c r="X731" s="176">
        <v>493</v>
      </c>
      <c r="Y731" s="160" t="str">
        <f>VLOOKUP(X731,docentes!$A:$E,2,0)</f>
        <v>RODRIGO DE ALENCAR HAUSEN</v>
      </c>
      <c r="Z731" s="177" t="str">
        <f>VLOOKUP(X731,docentes!$A:$E,5,0)</f>
        <v>CMCC</v>
      </c>
    </row>
    <row r="732" spans="1:26" s="44" customFormat="1" ht="66.75" customHeight="1">
      <c r="A732" s="148" t="s">
        <v>222</v>
      </c>
      <c r="B732" s="146" t="s">
        <v>2913</v>
      </c>
      <c r="C732" s="149" t="s">
        <v>2876</v>
      </c>
      <c r="D732" s="150">
        <v>15</v>
      </c>
      <c r="E732" s="150" t="s">
        <v>2877</v>
      </c>
      <c r="F732" s="151" t="s">
        <v>2914</v>
      </c>
      <c r="G732" s="152">
        <v>3</v>
      </c>
      <c r="H732" s="152">
        <v>2</v>
      </c>
      <c r="I732" s="153">
        <v>5</v>
      </c>
      <c r="J732" s="154">
        <v>3</v>
      </c>
      <c r="K732" s="155">
        <v>2</v>
      </c>
      <c r="L732" s="148"/>
      <c r="M732" s="148"/>
      <c r="N732" s="156"/>
      <c r="O732" s="157" t="s">
        <v>59</v>
      </c>
      <c r="P732" s="158">
        <v>36</v>
      </c>
      <c r="Q732" s="152" t="s">
        <v>60</v>
      </c>
      <c r="R732" s="152" t="s">
        <v>61</v>
      </c>
      <c r="S732" s="148" t="s">
        <v>2915</v>
      </c>
      <c r="T732" s="148" t="s">
        <v>2915</v>
      </c>
      <c r="U732" s="159">
        <v>424</v>
      </c>
      <c r="V732" s="160" t="str">
        <f>VLOOKUP(U732,docentes!$A:$E,2,0)</f>
        <v>MONAEL PINHEIRO RIBEIRO</v>
      </c>
      <c r="W732" s="161" t="str">
        <f>VLOOKUP(U732,docentes!$A:$E,5,0)</f>
        <v>CMCC</v>
      </c>
      <c r="X732" s="176">
        <v>138</v>
      </c>
      <c r="Y732" s="160" t="str">
        <f>VLOOKUP(X732,docentes!$A:$E,2,0)</f>
        <v>DENISE HIDEKO GOYA</v>
      </c>
      <c r="Z732" s="177" t="str">
        <f>VLOOKUP(X732,docentes!$A:$E,5,0)</f>
        <v>CMCC</v>
      </c>
    </row>
    <row r="733" spans="1:26" s="44" customFormat="1" ht="66.75" customHeight="1">
      <c r="A733" s="148" t="s">
        <v>222</v>
      </c>
      <c r="B733" s="146" t="s">
        <v>2916</v>
      </c>
      <c r="C733" s="149" t="s">
        <v>2876</v>
      </c>
      <c r="D733" s="150">
        <v>15</v>
      </c>
      <c r="E733" s="150" t="s">
        <v>2877</v>
      </c>
      <c r="F733" s="151" t="s">
        <v>2917</v>
      </c>
      <c r="G733" s="152">
        <v>3</v>
      </c>
      <c r="H733" s="152">
        <v>2</v>
      </c>
      <c r="I733" s="153">
        <v>5</v>
      </c>
      <c r="J733" s="154">
        <v>0</v>
      </c>
      <c r="K733" s="155">
        <v>2</v>
      </c>
      <c r="L733" s="148"/>
      <c r="M733" s="148"/>
      <c r="N733" s="156"/>
      <c r="O733" s="165" t="s">
        <v>2918</v>
      </c>
      <c r="P733" s="158">
        <v>36</v>
      </c>
      <c r="Q733" s="152" t="s">
        <v>60</v>
      </c>
      <c r="R733" s="152" t="s">
        <v>61</v>
      </c>
      <c r="S733" s="148" t="s">
        <v>2915</v>
      </c>
      <c r="T733" s="148" t="s">
        <v>2915</v>
      </c>
      <c r="U733" s="170">
        <v>424</v>
      </c>
      <c r="V733" s="163" t="str">
        <f>VLOOKUP(U733,docentes!$A:$E,2,0)</f>
        <v>MONAEL PINHEIRO RIBEIRO</v>
      </c>
      <c r="W733" s="171" t="str">
        <f>VLOOKUP(U733,docentes!$A:$E,5,0)</f>
        <v>CMCC</v>
      </c>
      <c r="X733" s="176">
        <v>138</v>
      </c>
      <c r="Y733" s="160" t="str">
        <f>VLOOKUP(X733,docentes!$A:$E,2,0)</f>
        <v>DENISE HIDEKO GOYA</v>
      </c>
      <c r="Z733" s="177" t="str">
        <f>VLOOKUP(X733,docentes!$A:$E,5,0)</f>
        <v>CMCC</v>
      </c>
    </row>
    <row r="734" spans="1:26" s="44" customFormat="1" ht="66.75" customHeight="1">
      <c r="A734" s="148" t="s">
        <v>222</v>
      </c>
      <c r="B734" s="146" t="s">
        <v>2919</v>
      </c>
      <c r="C734" s="149" t="s">
        <v>2876</v>
      </c>
      <c r="D734" s="150">
        <v>15</v>
      </c>
      <c r="E734" s="150" t="s">
        <v>2877</v>
      </c>
      <c r="F734" s="151" t="s">
        <v>2920</v>
      </c>
      <c r="G734" s="152">
        <v>3</v>
      </c>
      <c r="H734" s="152">
        <v>2</v>
      </c>
      <c r="I734" s="153">
        <v>5</v>
      </c>
      <c r="J734" s="154">
        <v>0</v>
      </c>
      <c r="K734" s="155">
        <v>2</v>
      </c>
      <c r="L734" s="148"/>
      <c r="M734" s="148"/>
      <c r="N734" s="156"/>
      <c r="O734" s="165" t="s">
        <v>2918</v>
      </c>
      <c r="P734" s="158">
        <v>36</v>
      </c>
      <c r="Q734" s="152" t="s">
        <v>60</v>
      </c>
      <c r="R734" s="152" t="s">
        <v>61</v>
      </c>
      <c r="S734" s="148" t="s">
        <v>2915</v>
      </c>
      <c r="T734" s="148" t="s">
        <v>2915</v>
      </c>
      <c r="U734" s="170">
        <v>424</v>
      </c>
      <c r="V734" s="163" t="str">
        <f>VLOOKUP(U734,docentes!$A:$E,2,0)</f>
        <v>MONAEL PINHEIRO RIBEIRO</v>
      </c>
      <c r="W734" s="171" t="str">
        <f>VLOOKUP(U734,docentes!$A:$E,5,0)</f>
        <v>CMCC</v>
      </c>
      <c r="X734" s="176">
        <v>524</v>
      </c>
      <c r="Y734" s="160" t="str">
        <f>VLOOKUP(X734,docentes!$A:$E,2,0)</f>
        <v>SILVIA CRISTINA DOTTA</v>
      </c>
      <c r="Z734" s="177" t="str">
        <f>VLOOKUP(X734,docentes!$A:$E,5,0)</f>
        <v>CMCC</v>
      </c>
    </row>
    <row r="735" spans="1:26" s="44" customFormat="1" ht="66.75" customHeight="1">
      <c r="A735" s="148" t="s">
        <v>222</v>
      </c>
      <c r="B735" s="146" t="s">
        <v>2921</v>
      </c>
      <c r="C735" s="149" t="s">
        <v>2876</v>
      </c>
      <c r="D735" s="150">
        <v>15</v>
      </c>
      <c r="E735" s="150" t="s">
        <v>2877</v>
      </c>
      <c r="F735" s="151" t="s">
        <v>2922</v>
      </c>
      <c r="G735" s="152">
        <v>3</v>
      </c>
      <c r="H735" s="152">
        <v>2</v>
      </c>
      <c r="I735" s="153">
        <v>5</v>
      </c>
      <c r="J735" s="154">
        <v>3</v>
      </c>
      <c r="K735" s="155">
        <v>2</v>
      </c>
      <c r="L735" s="148"/>
      <c r="M735" s="148"/>
      <c r="N735" s="156"/>
      <c r="O735" s="165" t="s">
        <v>2918</v>
      </c>
      <c r="P735" s="158">
        <v>36</v>
      </c>
      <c r="Q735" s="152" t="s">
        <v>60</v>
      </c>
      <c r="R735" s="152" t="s">
        <v>61</v>
      </c>
      <c r="S735" s="148" t="s">
        <v>2915</v>
      </c>
      <c r="T735" s="148" t="s">
        <v>2915</v>
      </c>
      <c r="U735" s="159">
        <v>424</v>
      </c>
      <c r="V735" s="160" t="str">
        <f>VLOOKUP(U735,docentes!$A:$E,2,0)</f>
        <v>MONAEL PINHEIRO RIBEIRO</v>
      </c>
      <c r="W735" s="161" t="str">
        <f>VLOOKUP(U735,docentes!$A:$E,5,0)</f>
        <v>CMCC</v>
      </c>
      <c r="X735" s="176">
        <v>524</v>
      </c>
      <c r="Y735" s="160" t="str">
        <f>VLOOKUP(X735,docentes!$A:$E,2,0)</f>
        <v>SILVIA CRISTINA DOTTA</v>
      </c>
      <c r="Z735" s="177" t="str">
        <f>VLOOKUP(X735,docentes!$A:$E,5,0)</f>
        <v>CMCC</v>
      </c>
    </row>
    <row r="736" spans="1:26" s="44" customFormat="1" ht="66.75" customHeight="1">
      <c r="A736" s="148" t="s">
        <v>222</v>
      </c>
      <c r="B736" s="146" t="s">
        <v>2923</v>
      </c>
      <c r="C736" s="149" t="s">
        <v>2876</v>
      </c>
      <c r="D736" s="150">
        <v>15</v>
      </c>
      <c r="E736" s="150" t="s">
        <v>2877</v>
      </c>
      <c r="F736" s="151" t="s">
        <v>2924</v>
      </c>
      <c r="G736" s="152">
        <v>3</v>
      </c>
      <c r="H736" s="152">
        <v>2</v>
      </c>
      <c r="I736" s="153">
        <v>5</v>
      </c>
      <c r="J736" s="154">
        <v>0</v>
      </c>
      <c r="K736" s="155">
        <v>2</v>
      </c>
      <c r="L736" s="148"/>
      <c r="M736" s="148"/>
      <c r="N736" s="156"/>
      <c r="O736" s="165" t="s">
        <v>2918</v>
      </c>
      <c r="P736" s="158">
        <v>36</v>
      </c>
      <c r="Q736" s="152" t="s">
        <v>60</v>
      </c>
      <c r="R736" s="152" t="s">
        <v>61</v>
      </c>
      <c r="S736" s="148" t="s">
        <v>2915</v>
      </c>
      <c r="T736" s="148" t="s">
        <v>2915</v>
      </c>
      <c r="U736" s="170">
        <v>424</v>
      </c>
      <c r="V736" s="163" t="str">
        <f>VLOOKUP(U736,docentes!$A:$E,2,0)</f>
        <v>MONAEL PINHEIRO RIBEIRO</v>
      </c>
      <c r="W736" s="171" t="str">
        <f>VLOOKUP(U736,docentes!$A:$E,5,0)</f>
        <v>CMCC</v>
      </c>
      <c r="X736" s="176">
        <v>342</v>
      </c>
      <c r="Y736" s="160" t="str">
        <f>VLOOKUP(X736,docentes!$A:$E,2,0)</f>
        <v>LUIZ CARLOS DA SILVA ROZANTE</v>
      </c>
      <c r="Z736" s="177" t="str">
        <f>VLOOKUP(X736,docentes!$A:$E,5,0)</f>
        <v>CMCC</v>
      </c>
    </row>
    <row r="737" spans="1:33" s="44" customFormat="1" ht="66.75" customHeight="1">
      <c r="A737" s="148" t="s">
        <v>222</v>
      </c>
      <c r="B737" s="146" t="s">
        <v>2925</v>
      </c>
      <c r="C737" s="149" t="s">
        <v>2876</v>
      </c>
      <c r="D737" s="150">
        <v>15</v>
      </c>
      <c r="E737" s="150" t="s">
        <v>2877</v>
      </c>
      <c r="F737" s="151" t="s">
        <v>2926</v>
      </c>
      <c r="G737" s="152">
        <v>3</v>
      </c>
      <c r="H737" s="152">
        <v>2</v>
      </c>
      <c r="I737" s="153">
        <v>5</v>
      </c>
      <c r="J737" s="154">
        <v>0</v>
      </c>
      <c r="K737" s="155">
        <v>2</v>
      </c>
      <c r="L737" s="148" t="s">
        <v>57</v>
      </c>
      <c r="M737" s="148" t="s">
        <v>58</v>
      </c>
      <c r="N737" s="156"/>
      <c r="O737" s="157" t="s">
        <v>59</v>
      </c>
      <c r="P737" s="158">
        <v>180</v>
      </c>
      <c r="Q737" s="152" t="s">
        <v>60</v>
      </c>
      <c r="R737" s="152" t="s">
        <v>61</v>
      </c>
      <c r="S737" s="148" t="s">
        <v>2915</v>
      </c>
      <c r="T737" s="148" t="s">
        <v>2915</v>
      </c>
      <c r="U737" s="170">
        <v>424</v>
      </c>
      <c r="V737" s="163" t="str">
        <f>VLOOKUP(U737,docentes!$A:$E,2,0)</f>
        <v>MONAEL PINHEIRO RIBEIRO</v>
      </c>
      <c r="W737" s="171" t="str">
        <f>VLOOKUP(U737,docentes!$A:$E,5,0)</f>
        <v>CMCC</v>
      </c>
      <c r="X737" s="176">
        <v>342</v>
      </c>
      <c r="Y737" s="160" t="str">
        <f>VLOOKUP(X737,docentes!$A:$E,2,0)</f>
        <v>LUIZ CARLOS DA SILVA ROZANTE</v>
      </c>
      <c r="Z737" s="177" t="str">
        <f>VLOOKUP(X737,docentes!$A:$E,5,0)</f>
        <v>CMCC</v>
      </c>
    </row>
    <row r="738" spans="1:33" s="44" customFormat="1" ht="66.75" customHeight="1">
      <c r="A738" s="148" t="s">
        <v>993</v>
      </c>
      <c r="B738" s="146" t="s">
        <v>2927</v>
      </c>
      <c r="C738" s="149" t="s">
        <v>2928</v>
      </c>
      <c r="D738" s="150">
        <v>1</v>
      </c>
      <c r="E738" s="150" t="s">
        <v>2929</v>
      </c>
      <c r="F738" s="151" t="s">
        <v>2930</v>
      </c>
      <c r="G738" s="152">
        <v>3</v>
      </c>
      <c r="H738" s="152">
        <v>1</v>
      </c>
      <c r="I738" s="153">
        <v>4</v>
      </c>
      <c r="J738" s="154">
        <v>3</v>
      </c>
      <c r="K738" s="155">
        <v>1</v>
      </c>
      <c r="L738" s="148" t="s">
        <v>998</v>
      </c>
      <c r="M738" s="148" t="s">
        <v>68</v>
      </c>
      <c r="N738" s="156">
        <v>48</v>
      </c>
      <c r="O738" s="165" t="s">
        <v>913</v>
      </c>
      <c r="P738" s="158">
        <v>48</v>
      </c>
      <c r="Q738" s="152" t="s">
        <v>60</v>
      </c>
      <c r="R738" s="152" t="s">
        <v>61</v>
      </c>
      <c r="S738" s="148" t="s">
        <v>2931</v>
      </c>
      <c r="T738" s="148" t="s">
        <v>2932</v>
      </c>
      <c r="U738" s="159">
        <v>553</v>
      </c>
      <c r="V738" s="160" t="str">
        <f>VLOOKUP(U738,docentes!$A:$E,2,0)</f>
        <v>VANIA TROMBINI HERNANDES</v>
      </c>
      <c r="W738" s="161" t="str">
        <f>VLOOKUP(U738,docentes!$A:$E,5,0)</f>
        <v>CECS</v>
      </c>
      <c r="X738" s="176">
        <v>553</v>
      </c>
      <c r="Y738" s="160" t="str">
        <f>VLOOKUP(X738,docentes!$A:$E,2,0)</f>
        <v>VANIA TROMBINI HERNANDES</v>
      </c>
      <c r="Z738" s="177" t="str">
        <f>VLOOKUP(X738,docentes!$A:$E,5,0)</f>
        <v>CECS</v>
      </c>
    </row>
    <row r="739" spans="1:33" s="44" customFormat="1" ht="66.75" customHeight="1">
      <c r="A739" s="148" t="s">
        <v>884</v>
      </c>
      <c r="B739" s="146" t="s">
        <v>2933</v>
      </c>
      <c r="C739" s="149" t="s">
        <v>2934</v>
      </c>
      <c r="D739" s="150">
        <v>1</v>
      </c>
      <c r="E739" s="150" t="s">
        <v>2935</v>
      </c>
      <c r="F739" s="151" t="s">
        <v>2936</v>
      </c>
      <c r="G739" s="152">
        <v>3</v>
      </c>
      <c r="H739" s="152">
        <v>1</v>
      </c>
      <c r="I739" s="153">
        <v>4</v>
      </c>
      <c r="J739" s="154">
        <v>3</v>
      </c>
      <c r="K739" s="155">
        <v>1</v>
      </c>
      <c r="L739" s="148" t="s">
        <v>97</v>
      </c>
      <c r="M739" s="148" t="s">
        <v>58</v>
      </c>
      <c r="N739" s="156"/>
      <c r="O739" s="157" t="s">
        <v>59</v>
      </c>
      <c r="P739" s="158">
        <v>30</v>
      </c>
      <c r="Q739" s="152" t="s">
        <v>60</v>
      </c>
      <c r="R739" s="152" t="s">
        <v>61</v>
      </c>
      <c r="S739" s="148" t="s">
        <v>2937</v>
      </c>
      <c r="T739" s="148" t="s">
        <v>2938</v>
      </c>
      <c r="U739" s="159">
        <v>383</v>
      </c>
      <c r="V739" s="160" t="str">
        <f>VLOOKUP(U739,docentes!$A:$E,2,0)</f>
        <v>MARGARETHE STEINBERGER ELIAS BORN</v>
      </c>
      <c r="W739" s="161" t="str">
        <f>VLOOKUP(U739,docentes!$A:$E,5,0)</f>
        <v>CECS</v>
      </c>
      <c r="X739" s="176">
        <v>383</v>
      </c>
      <c r="Y739" s="160" t="str">
        <f>VLOOKUP(X739,docentes!$A:$E,2,0)</f>
        <v>MARGARETHE STEINBERGER ELIAS BORN</v>
      </c>
      <c r="Z739" s="177" t="str">
        <f>VLOOKUP(X739,docentes!$A:$E,5,0)</f>
        <v>CECS</v>
      </c>
    </row>
    <row r="740" spans="1:33" s="44" customFormat="1" ht="66.75" customHeight="1">
      <c r="A740" s="148" t="s">
        <v>884</v>
      </c>
      <c r="B740" s="146" t="s">
        <v>2939</v>
      </c>
      <c r="C740" s="149" t="s">
        <v>2940</v>
      </c>
      <c r="D740" s="150">
        <v>4</v>
      </c>
      <c r="E740" s="150" t="s">
        <v>2941</v>
      </c>
      <c r="F740" s="151" t="s">
        <v>2942</v>
      </c>
      <c r="G740" s="152">
        <v>4</v>
      </c>
      <c r="H740" s="152">
        <v>0</v>
      </c>
      <c r="I740" s="153">
        <v>4</v>
      </c>
      <c r="J740" s="154">
        <v>4</v>
      </c>
      <c r="K740" s="155">
        <v>0</v>
      </c>
      <c r="L740" s="148" t="s">
        <v>97</v>
      </c>
      <c r="M740" s="148" t="s">
        <v>58</v>
      </c>
      <c r="N740" s="156"/>
      <c r="O740" s="157" t="s">
        <v>59</v>
      </c>
      <c r="P740" s="158">
        <v>70</v>
      </c>
      <c r="Q740" s="152" t="s">
        <v>60</v>
      </c>
      <c r="R740" s="152" t="s">
        <v>61</v>
      </c>
      <c r="S740" s="148" t="s">
        <v>2943</v>
      </c>
      <c r="T740" s="148">
        <v>0</v>
      </c>
      <c r="U740" s="159">
        <v>488</v>
      </c>
      <c r="V740" s="160" t="str">
        <f>VLOOKUP(U740,docentes!$A:$E,2,0)</f>
        <v>RICARDO SUYAMA</v>
      </c>
      <c r="W740" s="161" t="str">
        <f>VLOOKUP(U740,docentes!$A:$E,5,0)</f>
        <v>CECS</v>
      </c>
      <c r="X740" s="162">
        <v>488</v>
      </c>
      <c r="Y740" s="163" t="str">
        <f>VLOOKUP(X740,docentes!$A:$E,2,0)</f>
        <v>RICARDO SUYAMA</v>
      </c>
      <c r="Z740" s="164" t="str">
        <f>VLOOKUP(X740,docentes!$A:$E,5,0)</f>
        <v>CECS</v>
      </c>
      <c r="AB740" s="45"/>
    </row>
    <row r="741" spans="1:33" s="44" customFormat="1" ht="66.75" customHeight="1">
      <c r="A741" s="148" t="s">
        <v>884</v>
      </c>
      <c r="B741" s="146" t="s">
        <v>2944</v>
      </c>
      <c r="C741" s="149" t="s">
        <v>2940</v>
      </c>
      <c r="D741" s="150">
        <v>4</v>
      </c>
      <c r="E741" s="150" t="s">
        <v>2941</v>
      </c>
      <c r="F741" s="151" t="s">
        <v>2945</v>
      </c>
      <c r="G741" s="152">
        <v>4</v>
      </c>
      <c r="H741" s="152">
        <v>0</v>
      </c>
      <c r="I741" s="153">
        <v>4</v>
      </c>
      <c r="J741" s="154">
        <v>4</v>
      </c>
      <c r="K741" s="155">
        <v>0</v>
      </c>
      <c r="L741" s="148" t="s">
        <v>97</v>
      </c>
      <c r="M741" s="148" t="s">
        <v>58</v>
      </c>
      <c r="N741" s="156"/>
      <c r="O741" s="157" t="s">
        <v>59</v>
      </c>
      <c r="P741" s="158">
        <v>70</v>
      </c>
      <c r="Q741" s="152" t="s">
        <v>60</v>
      </c>
      <c r="R741" s="152" t="s">
        <v>70</v>
      </c>
      <c r="S741" s="148" t="s">
        <v>2946</v>
      </c>
      <c r="T741" s="148">
        <v>0</v>
      </c>
      <c r="U741" s="159">
        <v>108</v>
      </c>
      <c r="V741" s="160" t="str">
        <f>VLOOKUP(U741,docentes!$A:$E,2,0)</f>
        <v>CLAUDIO JOSE BORDIN JUNIOR</v>
      </c>
      <c r="W741" s="161" t="str">
        <f>VLOOKUP(U741,docentes!$A:$E,5,0)</f>
        <v>CECS</v>
      </c>
      <c r="X741" s="162">
        <v>108</v>
      </c>
      <c r="Y741" s="163" t="str">
        <f>VLOOKUP(X741,docentes!$A:$E,2,0)</f>
        <v>CLAUDIO JOSE BORDIN JUNIOR</v>
      </c>
      <c r="Z741" s="164" t="str">
        <f>VLOOKUP(X741,docentes!$A:$E,5,0)</f>
        <v>CECS</v>
      </c>
      <c r="AB741" s="45"/>
    </row>
    <row r="742" spans="1:33" s="44" customFormat="1" ht="66.75" customHeight="1">
      <c r="A742" s="148" t="s">
        <v>134</v>
      </c>
      <c r="B742" s="146" t="s">
        <v>2947</v>
      </c>
      <c r="C742" s="149" t="s">
        <v>2940</v>
      </c>
      <c r="D742" s="150">
        <v>4</v>
      </c>
      <c r="E742" s="150" t="s">
        <v>2941</v>
      </c>
      <c r="F742" s="151" t="s">
        <v>2948</v>
      </c>
      <c r="G742" s="152">
        <v>4</v>
      </c>
      <c r="H742" s="152">
        <v>0</v>
      </c>
      <c r="I742" s="153">
        <v>4</v>
      </c>
      <c r="J742" s="154">
        <v>4</v>
      </c>
      <c r="K742" s="155">
        <v>0</v>
      </c>
      <c r="L742" s="148" t="s">
        <v>57</v>
      </c>
      <c r="M742" s="148" t="s">
        <v>58</v>
      </c>
      <c r="N742" s="156"/>
      <c r="O742" s="157" t="s">
        <v>59</v>
      </c>
      <c r="P742" s="158">
        <v>70</v>
      </c>
      <c r="Q742" s="152" t="s">
        <v>60</v>
      </c>
      <c r="R742" s="152" t="s">
        <v>61</v>
      </c>
      <c r="S742" s="148" t="s">
        <v>2949</v>
      </c>
      <c r="T742" s="148">
        <v>0</v>
      </c>
      <c r="U742" s="159">
        <v>9</v>
      </c>
      <c r="V742" s="160" t="str">
        <f>VLOOKUP(U742,docentes!$A:$E,2,0)</f>
        <v>ALAIN SEGUNDO POTTS</v>
      </c>
      <c r="W742" s="161" t="str">
        <f>VLOOKUP(U742,docentes!$A:$E,5,0)</f>
        <v>CECS</v>
      </c>
      <c r="X742" s="162"/>
      <c r="Y742" s="163"/>
      <c r="Z742" s="164"/>
    </row>
    <row r="743" spans="1:33" s="44" customFormat="1" ht="66.75" customHeight="1">
      <c r="A743" s="148" t="s">
        <v>134</v>
      </c>
      <c r="B743" s="146" t="s">
        <v>2950</v>
      </c>
      <c r="C743" s="149" t="s">
        <v>2940</v>
      </c>
      <c r="D743" s="150">
        <v>4</v>
      </c>
      <c r="E743" s="150" t="s">
        <v>2941</v>
      </c>
      <c r="F743" s="151" t="s">
        <v>2951</v>
      </c>
      <c r="G743" s="152">
        <v>4</v>
      </c>
      <c r="H743" s="152">
        <v>0</v>
      </c>
      <c r="I743" s="153">
        <v>4</v>
      </c>
      <c r="J743" s="154">
        <v>4</v>
      </c>
      <c r="K743" s="155">
        <v>0</v>
      </c>
      <c r="L743" s="148" t="s">
        <v>57</v>
      </c>
      <c r="M743" s="148" t="s">
        <v>58</v>
      </c>
      <c r="N743" s="156"/>
      <c r="O743" s="157" t="s">
        <v>59</v>
      </c>
      <c r="P743" s="158">
        <v>70</v>
      </c>
      <c r="Q743" s="152" t="s">
        <v>60</v>
      </c>
      <c r="R743" s="152" t="s">
        <v>70</v>
      </c>
      <c r="S743" s="148" t="s">
        <v>2952</v>
      </c>
      <c r="T743" s="148">
        <v>0</v>
      </c>
      <c r="U743" s="159">
        <v>9</v>
      </c>
      <c r="V743" s="160" t="str">
        <f>VLOOKUP(U743,docentes!$A:$E,2,0)</f>
        <v>ALAIN SEGUNDO POTTS</v>
      </c>
      <c r="W743" s="161" t="str">
        <f>VLOOKUP(U743,docentes!$A:$E,5,0)</f>
        <v>CECS</v>
      </c>
      <c r="X743" s="162"/>
      <c r="Y743" s="163"/>
      <c r="Z743" s="164"/>
    </row>
    <row r="744" spans="1:33" s="44" customFormat="1" ht="66.75" customHeight="1">
      <c r="A744" s="148" t="s">
        <v>993</v>
      </c>
      <c r="B744" s="146" t="s">
        <v>2953</v>
      </c>
      <c r="C744" s="149" t="s">
        <v>2954</v>
      </c>
      <c r="D744" s="150">
        <v>1</v>
      </c>
      <c r="E744" s="150" t="s">
        <v>2955</v>
      </c>
      <c r="F744" s="151" t="s">
        <v>2956</v>
      </c>
      <c r="G744" s="152">
        <v>3</v>
      </c>
      <c r="H744" s="152">
        <v>1</v>
      </c>
      <c r="I744" s="153">
        <v>4</v>
      </c>
      <c r="J744" s="154">
        <v>3</v>
      </c>
      <c r="K744" s="155">
        <v>1</v>
      </c>
      <c r="L744" s="148" t="s">
        <v>998</v>
      </c>
      <c r="M744" s="148" t="s">
        <v>68</v>
      </c>
      <c r="N744" s="156">
        <v>36</v>
      </c>
      <c r="O744" s="165" t="s">
        <v>913</v>
      </c>
      <c r="P744" s="158">
        <v>36</v>
      </c>
      <c r="Q744" s="152" t="s">
        <v>60</v>
      </c>
      <c r="R744" s="152" t="s">
        <v>70</v>
      </c>
      <c r="S744" s="148" t="s">
        <v>2957</v>
      </c>
      <c r="T744" s="148" t="s">
        <v>2958</v>
      </c>
      <c r="U744" s="159">
        <v>12</v>
      </c>
      <c r="V744" s="160" t="str">
        <f>VLOOKUP(U744,docentes!$A:$E,2,0)</f>
        <v>ALEJANDRO ANDRES ZUNIGA PAEZ</v>
      </c>
      <c r="W744" s="161" t="str">
        <f>VLOOKUP(U744,docentes!$A:$E,5,0)</f>
        <v>CECS</v>
      </c>
      <c r="X744" s="176">
        <v>12</v>
      </c>
      <c r="Y744" s="160" t="str">
        <f>VLOOKUP(X744,docentes!$A:$E,2,0)</f>
        <v>ALEJANDRO ANDRES ZUNIGA PAEZ</v>
      </c>
      <c r="Z744" s="177" t="str">
        <f>VLOOKUP(X744,docentes!$A:$E,5,0)</f>
        <v>CECS</v>
      </c>
    </row>
    <row r="745" spans="1:33" s="44" customFormat="1" ht="66.75" customHeight="1">
      <c r="A745" s="148" t="s">
        <v>884</v>
      </c>
      <c r="B745" s="146" t="s">
        <v>2959</v>
      </c>
      <c r="C745" s="149" t="s">
        <v>2960</v>
      </c>
      <c r="D745" s="150">
        <v>2</v>
      </c>
      <c r="E745" s="150" t="s">
        <v>2961</v>
      </c>
      <c r="F745" s="151" t="s">
        <v>2962</v>
      </c>
      <c r="G745" s="152">
        <v>2</v>
      </c>
      <c r="H745" s="152">
        <v>2</v>
      </c>
      <c r="I745" s="153">
        <v>4</v>
      </c>
      <c r="J745" s="154">
        <v>2</v>
      </c>
      <c r="K745" s="155">
        <v>2</v>
      </c>
      <c r="L745" s="148" t="s">
        <v>67</v>
      </c>
      <c r="M745" s="148" t="s">
        <v>68</v>
      </c>
      <c r="N745" s="151" t="s">
        <v>2963</v>
      </c>
      <c r="O745" s="172" t="s">
        <v>2964</v>
      </c>
      <c r="P745" s="158">
        <v>48</v>
      </c>
      <c r="Q745" s="152" t="s">
        <v>60</v>
      </c>
      <c r="R745" s="152" t="s">
        <v>61</v>
      </c>
      <c r="S745" s="148" t="s">
        <v>2965</v>
      </c>
      <c r="T745" s="148" t="s">
        <v>2966</v>
      </c>
      <c r="U745" s="159">
        <v>31</v>
      </c>
      <c r="V745" s="160" t="str">
        <f>VLOOKUP(U745,docentes!$A:$E,2,0)</f>
        <v>AMAURY KRUEL BUDRI</v>
      </c>
      <c r="W745" s="161" t="str">
        <f>VLOOKUP(U745,docentes!$A:$E,5,0)</f>
        <v>CECS</v>
      </c>
      <c r="X745" s="176">
        <v>31</v>
      </c>
      <c r="Y745" s="160" t="str">
        <f>VLOOKUP(X745,docentes!$A:$E,2,0)</f>
        <v>AMAURY KRUEL BUDRI</v>
      </c>
      <c r="Z745" s="177" t="str">
        <f>VLOOKUP(X745,docentes!$A:$E,5,0)</f>
        <v>CECS</v>
      </c>
    </row>
    <row r="746" spans="1:33" s="44" customFormat="1" ht="66.75" customHeight="1">
      <c r="A746" s="148" t="s">
        <v>884</v>
      </c>
      <c r="B746" s="146" t="s">
        <v>2967</v>
      </c>
      <c r="C746" s="149" t="s">
        <v>2960</v>
      </c>
      <c r="D746" s="150">
        <v>2</v>
      </c>
      <c r="E746" s="150" t="s">
        <v>2961</v>
      </c>
      <c r="F746" s="151" t="s">
        <v>2968</v>
      </c>
      <c r="G746" s="152">
        <v>2</v>
      </c>
      <c r="H746" s="152">
        <v>2</v>
      </c>
      <c r="I746" s="153">
        <v>4</v>
      </c>
      <c r="J746" s="154">
        <v>2</v>
      </c>
      <c r="K746" s="155">
        <v>2</v>
      </c>
      <c r="L746" s="148" t="s">
        <v>67</v>
      </c>
      <c r="M746" s="148" t="s">
        <v>68</v>
      </c>
      <c r="N746" s="156" t="s">
        <v>2963</v>
      </c>
      <c r="O746" s="148" t="s">
        <v>2969</v>
      </c>
      <c r="P746" s="158">
        <v>48</v>
      </c>
      <c r="Q746" s="152" t="s">
        <v>60</v>
      </c>
      <c r="R746" s="152" t="s">
        <v>70</v>
      </c>
      <c r="S746" s="148" t="s">
        <v>2970</v>
      </c>
      <c r="T746" s="148" t="s">
        <v>2971</v>
      </c>
      <c r="U746" s="159">
        <v>406</v>
      </c>
      <c r="V746" s="160" t="str">
        <f>VLOOKUP(U746,docentes!$A:$E,2,0)</f>
        <v>MARIO ALEXANDRE GAZZIRO</v>
      </c>
      <c r="W746" s="161" t="str">
        <f>VLOOKUP(U746,docentes!$A:$E,5,0)</f>
        <v>CECS</v>
      </c>
      <c r="X746" s="176">
        <v>406</v>
      </c>
      <c r="Y746" s="160" t="str">
        <f>VLOOKUP(X746,docentes!$A:$E,2,0)</f>
        <v>MARIO ALEXANDRE GAZZIRO</v>
      </c>
      <c r="Z746" s="177" t="str">
        <f>VLOOKUP(X746,docentes!$A:$E,5,0)</f>
        <v>CECS</v>
      </c>
    </row>
    <row r="747" spans="1:33" s="44" customFormat="1" ht="66.75" customHeight="1">
      <c r="A747" s="172" t="s">
        <v>114</v>
      </c>
      <c r="B747" s="146" t="s">
        <v>2972</v>
      </c>
      <c r="C747" s="149" t="s">
        <v>2973</v>
      </c>
      <c r="D747" s="150">
        <v>2</v>
      </c>
      <c r="E747" s="150" t="s">
        <v>2974</v>
      </c>
      <c r="F747" s="151" t="s">
        <v>2975</v>
      </c>
      <c r="G747" s="149">
        <v>0</v>
      </c>
      <c r="H747" s="173">
        <v>4</v>
      </c>
      <c r="I747" s="174">
        <v>4</v>
      </c>
      <c r="J747" s="155">
        <v>0</v>
      </c>
      <c r="K747" s="155">
        <v>4</v>
      </c>
      <c r="L747" s="172" t="s">
        <v>97</v>
      </c>
      <c r="M747" s="172" t="s">
        <v>58</v>
      </c>
      <c r="N747" s="151"/>
      <c r="O747" s="157" t="s">
        <v>59</v>
      </c>
      <c r="P747" s="175">
        <v>48</v>
      </c>
      <c r="Q747" s="152" t="s">
        <v>60</v>
      </c>
      <c r="R747" s="152" t="s">
        <v>61</v>
      </c>
      <c r="S747" s="148">
        <v>0</v>
      </c>
      <c r="T747" s="148" t="s">
        <v>2976</v>
      </c>
      <c r="U747" s="170">
        <v>205</v>
      </c>
      <c r="V747" s="163" t="str">
        <f>VLOOKUP(U747,docentes!$A:$E,2,0)</f>
        <v>FRANCISCO ISIDRO MASSETTO</v>
      </c>
      <c r="W747" s="171" t="str">
        <f>VLOOKUP(U747,docentes!$A:$E,5,0)</f>
        <v>CMCC</v>
      </c>
      <c r="X747" s="176">
        <v>205</v>
      </c>
      <c r="Y747" s="160" t="str">
        <f>VLOOKUP(X747,docentes!$A:$E,2,0)</f>
        <v>FRANCISCO ISIDRO MASSETTO</v>
      </c>
      <c r="Z747" s="177" t="str">
        <f>VLOOKUP(X747,docentes!$A:$E,5,0)</f>
        <v>CMCC</v>
      </c>
      <c r="AA747" s="45"/>
      <c r="AB747" s="45"/>
      <c r="AC747" s="45"/>
      <c r="AD747" s="45"/>
      <c r="AE747" s="45"/>
      <c r="AF747" s="45"/>
      <c r="AG747" s="45"/>
    </row>
    <row r="748" spans="1:33" s="44" customFormat="1" ht="66.75" customHeight="1">
      <c r="A748" s="172" t="s">
        <v>114</v>
      </c>
      <c r="B748" s="146" t="s">
        <v>2977</v>
      </c>
      <c r="C748" s="149" t="s">
        <v>2973</v>
      </c>
      <c r="D748" s="150">
        <v>2</v>
      </c>
      <c r="E748" s="150" t="s">
        <v>2974</v>
      </c>
      <c r="F748" s="151" t="s">
        <v>2978</v>
      </c>
      <c r="G748" s="149">
        <v>0</v>
      </c>
      <c r="H748" s="173">
        <v>4</v>
      </c>
      <c r="I748" s="174">
        <v>4</v>
      </c>
      <c r="J748" s="155">
        <v>0</v>
      </c>
      <c r="K748" s="155">
        <v>4</v>
      </c>
      <c r="L748" s="172" t="s">
        <v>2979</v>
      </c>
      <c r="M748" s="172" t="e">
        <v>#N/A</v>
      </c>
      <c r="N748" s="151"/>
      <c r="O748" s="172" t="s">
        <v>2980</v>
      </c>
      <c r="P748" s="175">
        <v>40</v>
      </c>
      <c r="Q748" s="152" t="s">
        <v>60</v>
      </c>
      <c r="R748" s="152" t="s">
        <v>61</v>
      </c>
      <c r="S748" s="148">
        <v>0</v>
      </c>
      <c r="T748" s="148" t="s">
        <v>2981</v>
      </c>
      <c r="U748" s="170">
        <v>205</v>
      </c>
      <c r="V748" s="163" t="str">
        <f>VLOOKUP(U748,docentes!$A:$E,2,0)</f>
        <v>FRANCISCO ISIDRO MASSETTO</v>
      </c>
      <c r="W748" s="171" t="str">
        <f>VLOOKUP(U748,docentes!$A:$E,5,0)</f>
        <v>CMCC</v>
      </c>
      <c r="X748" s="176">
        <v>205</v>
      </c>
      <c r="Y748" s="160" t="str">
        <f>VLOOKUP(X748,docentes!$A:$E,2,0)</f>
        <v>FRANCISCO ISIDRO MASSETTO</v>
      </c>
      <c r="Z748" s="177" t="str">
        <f>VLOOKUP(X748,docentes!$A:$E,5,0)</f>
        <v>CMCC</v>
      </c>
      <c r="AA748" s="45"/>
      <c r="AB748" s="45"/>
      <c r="AC748" s="45"/>
      <c r="AD748" s="45"/>
      <c r="AE748" s="45"/>
      <c r="AF748" s="45"/>
      <c r="AG748" s="45"/>
    </row>
    <row r="749" spans="1:33" s="44" customFormat="1" ht="66.75" customHeight="1">
      <c r="A749" s="172" t="s">
        <v>114</v>
      </c>
      <c r="B749" s="146" t="s">
        <v>2982</v>
      </c>
      <c r="C749" s="149" t="s">
        <v>2983</v>
      </c>
      <c r="D749" s="150">
        <v>2</v>
      </c>
      <c r="E749" s="150" t="s">
        <v>2984</v>
      </c>
      <c r="F749" s="151" t="s">
        <v>2985</v>
      </c>
      <c r="G749" s="149">
        <v>2</v>
      </c>
      <c r="H749" s="173">
        <v>2</v>
      </c>
      <c r="I749" s="174">
        <v>4</v>
      </c>
      <c r="J749" s="155">
        <v>2</v>
      </c>
      <c r="K749" s="155">
        <v>2</v>
      </c>
      <c r="L749" s="172"/>
      <c r="M749" s="172"/>
      <c r="N749" s="151"/>
      <c r="O749" s="157" t="s">
        <v>969</v>
      </c>
      <c r="P749" s="175">
        <v>30</v>
      </c>
      <c r="Q749" s="152" t="s">
        <v>60</v>
      </c>
      <c r="R749" s="152" t="s">
        <v>70</v>
      </c>
      <c r="S749" s="148"/>
      <c r="T749" s="148" t="s">
        <v>2986</v>
      </c>
      <c r="U749" s="159">
        <v>320</v>
      </c>
      <c r="V749" s="160" t="str">
        <f>VLOOKUP(U749,docentes!$A:$E,2,0)</f>
        <v>LETICIA RODRIGUES BUENO</v>
      </c>
      <c r="W749" s="161" t="str">
        <f>VLOOKUP(U749,docentes!$A:$E,5,0)</f>
        <v>CMCC</v>
      </c>
      <c r="X749" s="176">
        <v>320</v>
      </c>
      <c r="Y749" s="160" t="str">
        <f>VLOOKUP(X749,docentes!$A:$E,2,0)</f>
        <v>LETICIA RODRIGUES BUENO</v>
      </c>
      <c r="Z749" s="177" t="str">
        <f>VLOOKUP(X749,docentes!$A:$E,5,0)</f>
        <v>CMCC</v>
      </c>
      <c r="AA749" s="45"/>
      <c r="AB749" s="45"/>
      <c r="AC749" s="45"/>
      <c r="AD749" s="45"/>
      <c r="AE749" s="45"/>
      <c r="AF749" s="45"/>
      <c r="AG749" s="45"/>
    </row>
    <row r="750" spans="1:33" s="44" customFormat="1" ht="66.75" customHeight="1">
      <c r="A750" s="172" t="s">
        <v>114</v>
      </c>
      <c r="B750" s="146" t="s">
        <v>2987</v>
      </c>
      <c r="C750" s="149" t="s">
        <v>2983</v>
      </c>
      <c r="D750" s="150">
        <v>2</v>
      </c>
      <c r="E750" s="150" t="s">
        <v>2984</v>
      </c>
      <c r="F750" s="151" t="s">
        <v>2988</v>
      </c>
      <c r="G750" s="149">
        <v>2</v>
      </c>
      <c r="H750" s="173">
        <v>2</v>
      </c>
      <c r="I750" s="174">
        <v>4</v>
      </c>
      <c r="J750" s="155">
        <v>2</v>
      </c>
      <c r="K750" s="155">
        <v>2</v>
      </c>
      <c r="L750" s="172" t="s">
        <v>2989</v>
      </c>
      <c r="M750" s="172" t="e">
        <v>#N/A</v>
      </c>
      <c r="N750" s="151"/>
      <c r="O750" s="172" t="s">
        <v>2980</v>
      </c>
      <c r="P750" s="175">
        <v>40</v>
      </c>
      <c r="Q750" s="152" t="s">
        <v>60</v>
      </c>
      <c r="R750" s="152" t="s">
        <v>70</v>
      </c>
      <c r="S750" s="148">
        <v>0</v>
      </c>
      <c r="T750" s="148" t="s">
        <v>2990</v>
      </c>
      <c r="U750" s="159">
        <v>554</v>
      </c>
      <c r="V750" s="160" t="str">
        <f>VLOOKUP(U750,docentes!$A:$E,2,0)</f>
        <v>VERA NAGAMUTA</v>
      </c>
      <c r="W750" s="161" t="str">
        <f>VLOOKUP(U750,docentes!$A:$E,5,0)</f>
        <v>CMCC</v>
      </c>
      <c r="X750" s="176">
        <v>554</v>
      </c>
      <c r="Y750" s="160" t="str">
        <f>VLOOKUP(X750,docentes!$A:$E,2,0)</f>
        <v>VERA NAGAMUTA</v>
      </c>
      <c r="Z750" s="177" t="str">
        <f>VLOOKUP(X750,docentes!$A:$E,5,0)</f>
        <v>CMCC</v>
      </c>
      <c r="AA750" s="45"/>
      <c r="AB750" s="45"/>
      <c r="AC750" s="45"/>
      <c r="AD750" s="45"/>
      <c r="AE750" s="45"/>
      <c r="AF750" s="45"/>
      <c r="AG750" s="45"/>
    </row>
    <row r="751" spans="1:33" s="44" customFormat="1" ht="66.75" customHeight="1">
      <c r="A751" s="148" t="s">
        <v>52</v>
      </c>
      <c r="B751" s="146" t="s">
        <v>2991</v>
      </c>
      <c r="C751" s="149" t="s">
        <v>2992</v>
      </c>
      <c r="D751" s="150">
        <v>1</v>
      </c>
      <c r="E751" s="150" t="s">
        <v>2993</v>
      </c>
      <c r="F751" s="151" t="s">
        <v>2994</v>
      </c>
      <c r="G751" s="152">
        <v>3</v>
      </c>
      <c r="H751" s="152">
        <v>1</v>
      </c>
      <c r="I751" s="153">
        <v>5</v>
      </c>
      <c r="J751" s="154">
        <v>3</v>
      </c>
      <c r="K751" s="155">
        <v>1</v>
      </c>
      <c r="L751" s="148" t="s">
        <v>57</v>
      </c>
      <c r="M751" s="148" t="s">
        <v>58</v>
      </c>
      <c r="N751" s="156">
        <v>0</v>
      </c>
      <c r="O751" s="157" t="s">
        <v>59</v>
      </c>
      <c r="P751" s="158">
        <v>32</v>
      </c>
      <c r="Q751" s="152" t="s">
        <v>60</v>
      </c>
      <c r="R751" s="152" t="s">
        <v>70</v>
      </c>
      <c r="S751" s="148" t="s">
        <v>2995</v>
      </c>
      <c r="T751" s="148" t="s">
        <v>2996</v>
      </c>
      <c r="U751" s="159">
        <v>571</v>
      </c>
      <c r="V751" s="160" t="str">
        <f>VLOOKUP(U751,docentes!$A:$E,2,0)</f>
        <v>WESLEY GOIS</v>
      </c>
      <c r="W751" s="161" t="str">
        <f>VLOOKUP(U751,docentes!$A:$E,5,0)</f>
        <v>CECS</v>
      </c>
      <c r="X751" s="176">
        <v>571</v>
      </c>
      <c r="Y751" s="160" t="str">
        <f>VLOOKUP(X751,docentes!$A:$E,2,0)</f>
        <v>WESLEY GOIS</v>
      </c>
      <c r="Z751" s="177" t="str">
        <f>VLOOKUP(X751,docentes!$A:$E,5,0)</f>
        <v>CECS</v>
      </c>
    </row>
    <row r="752" spans="1:33" s="44" customFormat="1" ht="66.75" customHeight="1">
      <c r="A752" s="172" t="s">
        <v>222</v>
      </c>
      <c r="B752" s="146" t="s">
        <v>2997</v>
      </c>
      <c r="C752" s="149" t="s">
        <v>2998</v>
      </c>
      <c r="D752" s="150">
        <v>16</v>
      </c>
      <c r="E752" s="150" t="s">
        <v>2999</v>
      </c>
      <c r="F752" s="151" t="s">
        <v>3000</v>
      </c>
      <c r="G752" s="149">
        <v>0</v>
      </c>
      <c r="H752" s="173">
        <v>2</v>
      </c>
      <c r="I752" s="174">
        <v>10</v>
      </c>
      <c r="J752" s="155">
        <v>0</v>
      </c>
      <c r="K752" s="155">
        <v>2</v>
      </c>
      <c r="L752" s="172" t="s">
        <v>57</v>
      </c>
      <c r="M752" s="172" t="s">
        <v>58</v>
      </c>
      <c r="N752" s="151"/>
      <c r="O752" s="157" t="s">
        <v>59</v>
      </c>
      <c r="P752" s="175">
        <v>45</v>
      </c>
      <c r="Q752" s="152" t="s">
        <v>60</v>
      </c>
      <c r="R752" s="152" t="s">
        <v>61</v>
      </c>
      <c r="S752" s="148" t="s">
        <v>3001</v>
      </c>
      <c r="T752" s="148">
        <v>0</v>
      </c>
      <c r="U752" s="170"/>
      <c r="V752" s="163"/>
      <c r="W752" s="171"/>
      <c r="X752" s="176">
        <v>119</v>
      </c>
      <c r="Y752" s="160" t="str">
        <f>VLOOKUP(X752,docentes!$A:$E,2,0)</f>
        <v>DALMO MANDELLI</v>
      </c>
      <c r="Z752" s="177" t="str">
        <f>VLOOKUP(X752,docentes!$A:$E,5,0)</f>
        <v>CCNH</v>
      </c>
      <c r="AA752" s="45"/>
      <c r="AB752" s="45"/>
      <c r="AC752" s="45"/>
      <c r="AD752" s="45"/>
      <c r="AE752" s="45"/>
      <c r="AF752" s="45"/>
      <c r="AG752" s="45"/>
    </row>
    <row r="753" spans="1:35" s="44" customFormat="1" ht="66.75" customHeight="1">
      <c r="A753" s="148" t="s">
        <v>222</v>
      </c>
      <c r="B753" s="146" t="s">
        <v>3002</v>
      </c>
      <c r="C753" s="149" t="s">
        <v>2998</v>
      </c>
      <c r="D753" s="150">
        <v>16</v>
      </c>
      <c r="E753" s="150" t="s">
        <v>2999</v>
      </c>
      <c r="F753" s="151" t="s">
        <v>3003</v>
      </c>
      <c r="G753" s="152">
        <v>0</v>
      </c>
      <c r="H753" s="152">
        <v>2</v>
      </c>
      <c r="I753" s="153">
        <v>10</v>
      </c>
      <c r="J753" s="154">
        <v>0</v>
      </c>
      <c r="K753" s="155">
        <v>2</v>
      </c>
      <c r="L753" s="148" t="s">
        <v>57</v>
      </c>
      <c r="M753" s="148" t="s">
        <v>58</v>
      </c>
      <c r="N753" s="156"/>
      <c r="O753" s="157" t="s">
        <v>59</v>
      </c>
      <c r="P753" s="158">
        <v>45</v>
      </c>
      <c r="Q753" s="152" t="s">
        <v>60</v>
      </c>
      <c r="R753" s="152" t="s">
        <v>70</v>
      </c>
      <c r="S753" s="148" t="s">
        <v>3004</v>
      </c>
      <c r="T753" s="148">
        <v>0</v>
      </c>
      <c r="U753" s="170"/>
      <c r="V753" s="163"/>
      <c r="W753" s="171"/>
      <c r="X753" s="176">
        <v>327</v>
      </c>
      <c r="Y753" s="160" t="str">
        <f>VLOOKUP(X753,docentes!$A:$E,2,0)</f>
        <v>LUCIANA CAMPOS PAULINO</v>
      </c>
      <c r="Z753" s="177" t="str">
        <f>VLOOKUP(X753,docentes!$A:$E,5,0)</f>
        <v>CCNH</v>
      </c>
      <c r="AH753" s="45"/>
      <c r="AI753" s="45"/>
    </row>
    <row r="754" spans="1:35" s="44" customFormat="1" ht="66.75" customHeight="1">
      <c r="A754" s="172" t="s">
        <v>222</v>
      </c>
      <c r="B754" s="146" t="s">
        <v>3005</v>
      </c>
      <c r="C754" s="149" t="s">
        <v>2998</v>
      </c>
      <c r="D754" s="150">
        <v>16</v>
      </c>
      <c r="E754" s="150" t="s">
        <v>2999</v>
      </c>
      <c r="F754" s="151" t="s">
        <v>3006</v>
      </c>
      <c r="G754" s="149">
        <v>0</v>
      </c>
      <c r="H754" s="173">
        <v>2</v>
      </c>
      <c r="I754" s="174">
        <v>10</v>
      </c>
      <c r="J754" s="155">
        <v>0</v>
      </c>
      <c r="K754" s="155">
        <v>2</v>
      </c>
      <c r="L754" s="172" t="s">
        <v>57</v>
      </c>
      <c r="M754" s="172" t="s">
        <v>58</v>
      </c>
      <c r="N754" s="179"/>
      <c r="O754" s="157" t="s">
        <v>59</v>
      </c>
      <c r="P754" s="175">
        <v>45</v>
      </c>
      <c r="Q754" s="152" t="s">
        <v>60</v>
      </c>
      <c r="R754" s="152" t="s">
        <v>61</v>
      </c>
      <c r="S754" s="148" t="s">
        <v>3007</v>
      </c>
      <c r="T754" s="148">
        <v>0</v>
      </c>
      <c r="U754" s="170"/>
      <c r="V754" s="163"/>
      <c r="W754" s="171"/>
      <c r="X754" s="176">
        <v>34</v>
      </c>
      <c r="Y754" s="160" t="str">
        <f>VLOOKUP(X754,docentes!$A:$E,2,0)</f>
        <v>ANA CAROLINA SANTOS DE SOUZA GALVAO</v>
      </c>
      <c r="Z754" s="177" t="str">
        <f>VLOOKUP(X754,docentes!$A:$E,5,0)</f>
        <v>CCNH</v>
      </c>
      <c r="AA754" s="45"/>
      <c r="AB754" s="45"/>
      <c r="AC754" s="45"/>
      <c r="AD754" s="45"/>
      <c r="AE754" s="45"/>
      <c r="AF754" s="45"/>
      <c r="AG754" s="45"/>
    </row>
    <row r="755" spans="1:35" s="44" customFormat="1" ht="66.75" customHeight="1">
      <c r="A755" s="148" t="s">
        <v>222</v>
      </c>
      <c r="B755" s="146" t="s">
        <v>3008</v>
      </c>
      <c r="C755" s="149" t="s">
        <v>2998</v>
      </c>
      <c r="D755" s="150">
        <v>16</v>
      </c>
      <c r="E755" s="150" t="s">
        <v>2999</v>
      </c>
      <c r="F755" s="151" t="s">
        <v>3009</v>
      </c>
      <c r="G755" s="152">
        <v>0</v>
      </c>
      <c r="H755" s="152">
        <v>2</v>
      </c>
      <c r="I755" s="153">
        <v>10</v>
      </c>
      <c r="J755" s="154">
        <v>0</v>
      </c>
      <c r="K755" s="155">
        <v>2</v>
      </c>
      <c r="L755" s="148" t="s">
        <v>57</v>
      </c>
      <c r="M755" s="148" t="s">
        <v>58</v>
      </c>
      <c r="N755" s="156"/>
      <c r="O755" s="157" t="s">
        <v>59</v>
      </c>
      <c r="P755" s="158">
        <v>45</v>
      </c>
      <c r="Q755" s="152" t="s">
        <v>60</v>
      </c>
      <c r="R755" s="152" t="s">
        <v>70</v>
      </c>
      <c r="S755" s="148" t="s">
        <v>3010</v>
      </c>
      <c r="T755" s="148">
        <v>0</v>
      </c>
      <c r="U755" s="170"/>
      <c r="V755" s="163"/>
      <c r="W755" s="171"/>
      <c r="X755" s="176">
        <v>420</v>
      </c>
      <c r="Y755" s="160" t="str">
        <f>VLOOKUP(X755,docentes!$A:$E,2,0)</f>
        <v>MIRELA INES DE SAIRRE</v>
      </c>
      <c r="Z755" s="177" t="str">
        <f>VLOOKUP(X755,docentes!$A:$E,5,0)</f>
        <v>CCNH</v>
      </c>
    </row>
    <row r="756" spans="1:35" s="44" customFormat="1" ht="66.75" customHeight="1">
      <c r="A756" s="148" t="s">
        <v>222</v>
      </c>
      <c r="B756" s="146" t="s">
        <v>3011</v>
      </c>
      <c r="C756" s="149" t="s">
        <v>2998</v>
      </c>
      <c r="D756" s="150">
        <v>16</v>
      </c>
      <c r="E756" s="150" t="s">
        <v>2999</v>
      </c>
      <c r="F756" s="151" t="s">
        <v>3012</v>
      </c>
      <c r="G756" s="152">
        <v>0</v>
      </c>
      <c r="H756" s="167">
        <v>2</v>
      </c>
      <c r="I756" s="153">
        <v>10</v>
      </c>
      <c r="J756" s="154">
        <v>0</v>
      </c>
      <c r="K756" s="155">
        <v>2</v>
      </c>
      <c r="L756" s="148" t="s">
        <v>57</v>
      </c>
      <c r="M756" s="148" t="s">
        <v>58</v>
      </c>
      <c r="N756" s="156"/>
      <c r="O756" s="157" t="s">
        <v>59</v>
      </c>
      <c r="P756" s="158">
        <v>45</v>
      </c>
      <c r="Q756" s="152" t="s">
        <v>60</v>
      </c>
      <c r="R756" s="152" t="s">
        <v>61</v>
      </c>
      <c r="S756" s="148" t="s">
        <v>3013</v>
      </c>
      <c r="T756" s="148">
        <v>0</v>
      </c>
      <c r="U756" s="170"/>
      <c r="V756" s="163"/>
      <c r="W756" s="171"/>
      <c r="X756" s="176">
        <v>542</v>
      </c>
      <c r="Y756" s="160" t="str">
        <f>VLOOKUP(X756,docentes!$A:$E,2,0)</f>
        <v>TIAGO RODRIGUES</v>
      </c>
      <c r="Z756" s="177" t="str">
        <f>VLOOKUP(X756,docentes!$A:$E,5,0)</f>
        <v>CCNH</v>
      </c>
    </row>
    <row r="757" spans="1:35" s="44" customFormat="1" ht="66.75" customHeight="1">
      <c r="A757" s="148" t="s">
        <v>222</v>
      </c>
      <c r="B757" s="146" t="s">
        <v>3014</v>
      </c>
      <c r="C757" s="149" t="s">
        <v>2998</v>
      </c>
      <c r="D757" s="150">
        <v>16</v>
      </c>
      <c r="E757" s="150" t="s">
        <v>2999</v>
      </c>
      <c r="F757" s="151" t="s">
        <v>3015</v>
      </c>
      <c r="G757" s="152">
        <v>0</v>
      </c>
      <c r="H757" s="152">
        <v>2</v>
      </c>
      <c r="I757" s="153">
        <v>10</v>
      </c>
      <c r="J757" s="154">
        <v>0</v>
      </c>
      <c r="K757" s="155">
        <v>2</v>
      </c>
      <c r="L757" s="148" t="s">
        <v>57</v>
      </c>
      <c r="M757" s="148" t="s">
        <v>58</v>
      </c>
      <c r="N757" s="156"/>
      <c r="O757" s="157" t="s">
        <v>59</v>
      </c>
      <c r="P757" s="158">
        <v>45</v>
      </c>
      <c r="Q757" s="152" t="s">
        <v>60</v>
      </c>
      <c r="R757" s="152" t="s">
        <v>70</v>
      </c>
      <c r="S757" s="148" t="s">
        <v>3016</v>
      </c>
      <c r="T757" s="148">
        <v>0</v>
      </c>
      <c r="U757" s="170"/>
      <c r="V757" s="163"/>
      <c r="W757" s="171"/>
      <c r="X757" s="176">
        <v>358</v>
      </c>
      <c r="Y757" s="160" t="str">
        <f>VLOOKUP(X757,docentes!$A:$E,2,0)</f>
        <v>MARCELO AUGUSTO CHRISTOFFOLETE</v>
      </c>
      <c r="Z757" s="177" t="str">
        <f>VLOOKUP(X757,docentes!$A:$E,5,0)</f>
        <v>CCNH</v>
      </c>
    </row>
    <row r="758" spans="1:35" s="44" customFormat="1" ht="66.75" customHeight="1">
      <c r="A758" s="148" t="s">
        <v>222</v>
      </c>
      <c r="B758" s="146" t="s">
        <v>3017</v>
      </c>
      <c r="C758" s="149" t="s">
        <v>2998</v>
      </c>
      <c r="D758" s="150">
        <v>16</v>
      </c>
      <c r="E758" s="150" t="s">
        <v>2999</v>
      </c>
      <c r="F758" s="151" t="s">
        <v>3018</v>
      </c>
      <c r="G758" s="152">
        <v>0</v>
      </c>
      <c r="H758" s="152">
        <v>2</v>
      </c>
      <c r="I758" s="153">
        <v>10</v>
      </c>
      <c r="J758" s="154">
        <v>0</v>
      </c>
      <c r="K758" s="155">
        <v>2</v>
      </c>
      <c r="L758" s="148" t="s">
        <v>57</v>
      </c>
      <c r="M758" s="148" t="s">
        <v>58</v>
      </c>
      <c r="N758" s="156"/>
      <c r="O758" s="157" t="s">
        <v>59</v>
      </c>
      <c r="P758" s="158">
        <v>45</v>
      </c>
      <c r="Q758" s="152" t="s">
        <v>76</v>
      </c>
      <c r="R758" s="152" t="s">
        <v>61</v>
      </c>
      <c r="S758" s="148" t="s">
        <v>3019</v>
      </c>
      <c r="T758" s="148">
        <v>0</v>
      </c>
      <c r="U758" s="170"/>
      <c r="V758" s="163"/>
      <c r="W758" s="171"/>
      <c r="X758" s="176">
        <v>55</v>
      </c>
      <c r="Y758" s="160" t="str">
        <f>VLOOKUP(X758,docentes!$A:$E,2,0)</f>
        <v>ANDREA CECILIA DORION RODAS</v>
      </c>
      <c r="Z758" s="177" t="str">
        <f>VLOOKUP(X758,docentes!$A:$E,5,0)</f>
        <v>CECS</v>
      </c>
      <c r="AH758" s="45"/>
      <c r="AI758" s="45"/>
    </row>
    <row r="759" spans="1:35" s="44" customFormat="1" ht="66.75" customHeight="1">
      <c r="A759" s="148" t="s">
        <v>222</v>
      </c>
      <c r="B759" s="146" t="s">
        <v>3020</v>
      </c>
      <c r="C759" s="149" t="s">
        <v>2998</v>
      </c>
      <c r="D759" s="150">
        <v>16</v>
      </c>
      <c r="E759" s="150" t="s">
        <v>2999</v>
      </c>
      <c r="F759" s="151" t="s">
        <v>3021</v>
      </c>
      <c r="G759" s="152">
        <v>0</v>
      </c>
      <c r="H759" s="152">
        <v>2</v>
      </c>
      <c r="I759" s="153">
        <v>10</v>
      </c>
      <c r="J759" s="154">
        <v>0</v>
      </c>
      <c r="K759" s="155">
        <v>2</v>
      </c>
      <c r="L759" s="148" t="s">
        <v>57</v>
      </c>
      <c r="M759" s="148" t="s">
        <v>58</v>
      </c>
      <c r="N759" s="156"/>
      <c r="O759" s="157" t="s">
        <v>59</v>
      </c>
      <c r="P759" s="158">
        <v>45</v>
      </c>
      <c r="Q759" s="152" t="s">
        <v>76</v>
      </c>
      <c r="R759" s="152" t="s">
        <v>70</v>
      </c>
      <c r="S759" s="148" t="s">
        <v>3022</v>
      </c>
      <c r="T759" s="148">
        <v>0</v>
      </c>
      <c r="U759" s="170"/>
      <c r="V759" s="163"/>
      <c r="W759" s="171"/>
      <c r="X759" s="176">
        <v>374</v>
      </c>
      <c r="Y759" s="160" t="str">
        <f>VLOOKUP(X759,docentes!$A:$E,2,0)</f>
        <v>MARCIO SANTOS DA SILVA</v>
      </c>
      <c r="Z759" s="177" t="str">
        <f>VLOOKUP(X759,docentes!$A:$E,5,0)</f>
        <v>CCNH</v>
      </c>
    </row>
    <row r="760" spans="1:35" s="44" customFormat="1" ht="66.75" customHeight="1">
      <c r="A760" s="148" t="s">
        <v>222</v>
      </c>
      <c r="B760" s="146" t="s">
        <v>3023</v>
      </c>
      <c r="C760" s="149" t="s">
        <v>2998</v>
      </c>
      <c r="D760" s="150">
        <v>16</v>
      </c>
      <c r="E760" s="150" t="s">
        <v>2999</v>
      </c>
      <c r="F760" s="151" t="s">
        <v>3024</v>
      </c>
      <c r="G760" s="152">
        <v>0</v>
      </c>
      <c r="H760" s="152">
        <v>2</v>
      </c>
      <c r="I760" s="153">
        <v>10</v>
      </c>
      <c r="J760" s="154">
        <v>0</v>
      </c>
      <c r="K760" s="155">
        <v>2</v>
      </c>
      <c r="L760" s="148" t="s">
        <v>57</v>
      </c>
      <c r="M760" s="148" t="s">
        <v>58</v>
      </c>
      <c r="N760" s="156"/>
      <c r="O760" s="157" t="s">
        <v>59</v>
      </c>
      <c r="P760" s="158">
        <v>45</v>
      </c>
      <c r="Q760" s="152" t="s">
        <v>60</v>
      </c>
      <c r="R760" s="152" t="s">
        <v>61</v>
      </c>
      <c r="S760" s="148" t="s">
        <v>3025</v>
      </c>
      <c r="T760" s="148">
        <v>0</v>
      </c>
      <c r="U760" s="170"/>
      <c r="V760" s="163"/>
      <c r="W760" s="171"/>
      <c r="X760" s="176">
        <v>119</v>
      </c>
      <c r="Y760" s="160" t="str">
        <f>VLOOKUP(X760,docentes!$A:$E,2,0)</f>
        <v>DALMO MANDELLI</v>
      </c>
      <c r="Z760" s="177" t="str">
        <f>VLOOKUP(X760,docentes!$A:$E,5,0)</f>
        <v>CCNH</v>
      </c>
      <c r="AH760" s="45"/>
      <c r="AI760" s="45"/>
    </row>
    <row r="761" spans="1:35" s="44" customFormat="1" ht="66.75" customHeight="1">
      <c r="A761" s="148" t="s">
        <v>222</v>
      </c>
      <c r="B761" s="146" t="s">
        <v>3026</v>
      </c>
      <c r="C761" s="149" t="s">
        <v>2998</v>
      </c>
      <c r="D761" s="150">
        <v>16</v>
      </c>
      <c r="E761" s="150" t="s">
        <v>2999</v>
      </c>
      <c r="F761" s="151" t="s">
        <v>3027</v>
      </c>
      <c r="G761" s="152">
        <v>0</v>
      </c>
      <c r="H761" s="152">
        <v>2</v>
      </c>
      <c r="I761" s="153">
        <v>10</v>
      </c>
      <c r="J761" s="154">
        <v>0</v>
      </c>
      <c r="K761" s="155">
        <v>2</v>
      </c>
      <c r="L761" s="148" t="s">
        <v>57</v>
      </c>
      <c r="M761" s="148" t="s">
        <v>58</v>
      </c>
      <c r="N761" s="156"/>
      <c r="O761" s="157" t="s">
        <v>59</v>
      </c>
      <c r="P761" s="158">
        <v>45</v>
      </c>
      <c r="Q761" s="152" t="s">
        <v>60</v>
      </c>
      <c r="R761" s="152" t="s">
        <v>70</v>
      </c>
      <c r="S761" s="148" t="s">
        <v>3028</v>
      </c>
      <c r="T761" s="148">
        <v>0</v>
      </c>
      <c r="U761" s="170"/>
      <c r="V761" s="163"/>
      <c r="W761" s="171"/>
      <c r="X761" s="176">
        <v>420</v>
      </c>
      <c r="Y761" s="160" t="str">
        <f>VLOOKUP(X761,docentes!$A:$E,2,0)</f>
        <v>MIRELA INES DE SAIRRE</v>
      </c>
      <c r="Z761" s="177" t="str">
        <f>VLOOKUP(X761,docentes!$A:$E,5,0)</f>
        <v>CCNH</v>
      </c>
    </row>
    <row r="762" spans="1:35" s="44" customFormat="1" ht="66.75" customHeight="1">
      <c r="A762" s="148" t="s">
        <v>222</v>
      </c>
      <c r="B762" s="146" t="s">
        <v>3029</v>
      </c>
      <c r="C762" s="149" t="s">
        <v>2998</v>
      </c>
      <c r="D762" s="150">
        <v>16</v>
      </c>
      <c r="E762" s="150" t="s">
        <v>2999</v>
      </c>
      <c r="F762" s="151" t="s">
        <v>3030</v>
      </c>
      <c r="G762" s="152">
        <v>0</v>
      </c>
      <c r="H762" s="152">
        <v>2</v>
      </c>
      <c r="I762" s="153">
        <v>10</v>
      </c>
      <c r="J762" s="154">
        <v>0</v>
      </c>
      <c r="K762" s="155">
        <v>2</v>
      </c>
      <c r="L762" s="148" t="s">
        <v>57</v>
      </c>
      <c r="M762" s="148" t="s">
        <v>58</v>
      </c>
      <c r="N762" s="156"/>
      <c r="O762" s="157" t="s">
        <v>59</v>
      </c>
      <c r="P762" s="158">
        <v>45</v>
      </c>
      <c r="Q762" s="152" t="s">
        <v>60</v>
      </c>
      <c r="R762" s="152" t="s">
        <v>61</v>
      </c>
      <c r="S762" s="148" t="s">
        <v>3031</v>
      </c>
      <c r="T762" s="148">
        <v>0</v>
      </c>
      <c r="U762" s="170"/>
      <c r="V762" s="163"/>
      <c r="W762" s="171"/>
      <c r="X762" s="176">
        <v>542</v>
      </c>
      <c r="Y762" s="160" t="str">
        <f>VLOOKUP(X762,docentes!$A:$E,2,0)</f>
        <v>TIAGO RODRIGUES</v>
      </c>
      <c r="Z762" s="177" t="str">
        <f>VLOOKUP(X762,docentes!$A:$E,5,0)</f>
        <v>CCNH</v>
      </c>
      <c r="AH762" s="45"/>
      <c r="AI762" s="45"/>
    </row>
    <row r="763" spans="1:35" s="44" customFormat="1" ht="66.75" customHeight="1">
      <c r="A763" s="148" t="s">
        <v>222</v>
      </c>
      <c r="B763" s="146" t="s">
        <v>3032</v>
      </c>
      <c r="C763" s="149" t="s">
        <v>2998</v>
      </c>
      <c r="D763" s="150">
        <v>16</v>
      </c>
      <c r="E763" s="150" t="s">
        <v>2999</v>
      </c>
      <c r="F763" s="151" t="s">
        <v>3033</v>
      </c>
      <c r="G763" s="152">
        <v>0</v>
      </c>
      <c r="H763" s="152">
        <v>2</v>
      </c>
      <c r="I763" s="153">
        <v>10</v>
      </c>
      <c r="J763" s="154">
        <v>0</v>
      </c>
      <c r="K763" s="155">
        <v>2</v>
      </c>
      <c r="L763" s="148" t="s">
        <v>57</v>
      </c>
      <c r="M763" s="148" t="s">
        <v>58</v>
      </c>
      <c r="N763" s="156"/>
      <c r="O763" s="157" t="s">
        <v>59</v>
      </c>
      <c r="P763" s="158">
        <v>45</v>
      </c>
      <c r="Q763" s="152" t="s">
        <v>60</v>
      </c>
      <c r="R763" s="152" t="s">
        <v>70</v>
      </c>
      <c r="S763" s="148" t="s">
        <v>3034</v>
      </c>
      <c r="T763" s="148">
        <v>0</v>
      </c>
      <c r="U763" s="170"/>
      <c r="V763" s="163"/>
      <c r="W763" s="171"/>
      <c r="X763" s="176">
        <v>449</v>
      </c>
      <c r="Y763" s="160" t="str">
        <f>VLOOKUP(X763,docentes!$A:$E,2,0)</f>
        <v>PAULA AYAKO TIBA</v>
      </c>
      <c r="Z763" s="177" t="str">
        <f>VLOOKUP(X763,docentes!$A:$E,5,0)</f>
        <v>CMCC</v>
      </c>
    </row>
    <row r="764" spans="1:35" ht="66.75" customHeight="1">
      <c r="A764" s="148" t="s">
        <v>222</v>
      </c>
      <c r="B764" s="146" t="s">
        <v>3035</v>
      </c>
      <c r="C764" s="149" t="s">
        <v>2998</v>
      </c>
      <c r="D764" s="150">
        <v>16</v>
      </c>
      <c r="E764" s="150" t="s">
        <v>2999</v>
      </c>
      <c r="F764" s="151" t="s">
        <v>3036</v>
      </c>
      <c r="G764" s="152">
        <v>0</v>
      </c>
      <c r="H764" s="152">
        <v>2</v>
      </c>
      <c r="I764" s="153">
        <v>10</v>
      </c>
      <c r="J764" s="154">
        <v>0</v>
      </c>
      <c r="K764" s="155">
        <v>2</v>
      </c>
      <c r="L764" s="148" t="s">
        <v>57</v>
      </c>
      <c r="M764" s="148" t="s">
        <v>58</v>
      </c>
      <c r="N764" s="156"/>
      <c r="O764" s="157" t="s">
        <v>59</v>
      </c>
      <c r="P764" s="158">
        <v>45</v>
      </c>
      <c r="Q764" s="152" t="s">
        <v>76</v>
      </c>
      <c r="R764" s="152" t="s">
        <v>61</v>
      </c>
      <c r="S764" s="148" t="s">
        <v>3037</v>
      </c>
      <c r="T764" s="148">
        <v>0</v>
      </c>
      <c r="U764" s="170"/>
      <c r="V764" s="163"/>
      <c r="W764" s="171"/>
      <c r="X764" s="176">
        <v>307</v>
      </c>
      <c r="Y764" s="160" t="str">
        <f>VLOOKUP(X764,docentes!$A:$E,2,0)</f>
        <v>KARLA VITTORI</v>
      </c>
      <c r="Z764" s="177" t="str">
        <f>VLOOKUP(X764,docentes!$A:$E,5,0)</f>
        <v>CMCC</v>
      </c>
      <c r="AA764" s="44"/>
      <c r="AB764" s="44"/>
      <c r="AC764" s="44"/>
      <c r="AD764" s="44"/>
      <c r="AE764" s="44"/>
      <c r="AF764" s="44"/>
      <c r="AG764" s="44"/>
      <c r="AH764" s="44"/>
      <c r="AI764" s="44"/>
    </row>
    <row r="765" spans="1:35" s="44" customFormat="1" ht="66.75" customHeight="1">
      <c r="A765" s="148" t="s">
        <v>222</v>
      </c>
      <c r="B765" s="146" t="s">
        <v>3038</v>
      </c>
      <c r="C765" s="149" t="s">
        <v>2998</v>
      </c>
      <c r="D765" s="150">
        <v>16</v>
      </c>
      <c r="E765" s="150" t="s">
        <v>2999</v>
      </c>
      <c r="F765" s="151" t="s">
        <v>3039</v>
      </c>
      <c r="G765" s="152">
        <v>0</v>
      </c>
      <c r="H765" s="152">
        <v>2</v>
      </c>
      <c r="I765" s="153">
        <v>10</v>
      </c>
      <c r="J765" s="154">
        <v>0</v>
      </c>
      <c r="K765" s="155">
        <v>2</v>
      </c>
      <c r="L765" s="148" t="s">
        <v>57</v>
      </c>
      <c r="M765" s="148" t="s">
        <v>58</v>
      </c>
      <c r="N765" s="156"/>
      <c r="O765" s="157" t="s">
        <v>59</v>
      </c>
      <c r="P765" s="158">
        <v>45</v>
      </c>
      <c r="Q765" s="152" t="s">
        <v>76</v>
      </c>
      <c r="R765" s="152" t="s">
        <v>70</v>
      </c>
      <c r="S765" s="148" t="s">
        <v>3040</v>
      </c>
      <c r="T765" s="148">
        <v>0</v>
      </c>
      <c r="U765" s="170"/>
      <c r="V765" s="163"/>
      <c r="W765" s="171"/>
      <c r="X765" s="176">
        <v>374</v>
      </c>
      <c r="Y765" s="160" t="str">
        <f>VLOOKUP(X765,docentes!$A:$E,2,0)</f>
        <v>MARCIO SANTOS DA SILVA</v>
      </c>
      <c r="Z765" s="177" t="str">
        <f>VLOOKUP(X765,docentes!$A:$E,5,0)</f>
        <v>CCNH</v>
      </c>
    </row>
    <row r="766" spans="1:35" s="44" customFormat="1" ht="66.75" customHeight="1">
      <c r="A766" s="148" t="s">
        <v>713</v>
      </c>
      <c r="B766" s="146" t="s">
        <v>3041</v>
      </c>
      <c r="C766" s="149" t="s">
        <v>2998</v>
      </c>
      <c r="D766" s="150">
        <v>16</v>
      </c>
      <c r="E766" s="150" t="s">
        <v>2999</v>
      </c>
      <c r="F766" s="151" t="s">
        <v>3042</v>
      </c>
      <c r="G766" s="152">
        <v>0</v>
      </c>
      <c r="H766" s="152">
        <v>2</v>
      </c>
      <c r="I766" s="153">
        <v>0</v>
      </c>
      <c r="J766" s="154">
        <v>0</v>
      </c>
      <c r="K766" s="155">
        <v>2</v>
      </c>
      <c r="L766" s="148"/>
      <c r="M766" s="148"/>
      <c r="N766" s="156"/>
      <c r="O766" s="148" t="s">
        <v>1716</v>
      </c>
      <c r="P766" s="158">
        <v>45</v>
      </c>
      <c r="Q766" s="152" t="s">
        <v>76</v>
      </c>
      <c r="R766" s="152" t="s">
        <v>61</v>
      </c>
      <c r="S766" s="148" t="s">
        <v>3043</v>
      </c>
      <c r="T766" s="148">
        <v>0</v>
      </c>
      <c r="U766" s="170"/>
      <c r="V766" s="163"/>
      <c r="W766" s="171"/>
      <c r="X766" s="176">
        <v>1013</v>
      </c>
      <c r="Y766" s="160" t="str">
        <f>VLOOKUP(X766,docentes!$A:$E,2,0)</f>
        <v>professor Filosofia</v>
      </c>
      <c r="Z766" s="177" t="str">
        <f>VLOOKUP(X766,docentes!$A:$E,5,0)</f>
        <v>em contratação</v>
      </c>
    </row>
    <row r="767" spans="1:35" s="44" customFormat="1" ht="66.75" customHeight="1">
      <c r="A767" s="148" t="s">
        <v>713</v>
      </c>
      <c r="B767" s="146" t="s">
        <v>3044</v>
      </c>
      <c r="C767" s="149" t="s">
        <v>2998</v>
      </c>
      <c r="D767" s="150">
        <v>16</v>
      </c>
      <c r="E767" s="150" t="s">
        <v>2999</v>
      </c>
      <c r="F767" s="151" t="s">
        <v>3045</v>
      </c>
      <c r="G767" s="152">
        <v>0</v>
      </c>
      <c r="H767" s="152">
        <v>2</v>
      </c>
      <c r="I767" s="153">
        <v>10</v>
      </c>
      <c r="J767" s="154">
        <v>0</v>
      </c>
      <c r="K767" s="155">
        <v>2</v>
      </c>
      <c r="L767" s="148" t="s">
        <v>976</v>
      </c>
      <c r="M767" s="148" t="s">
        <v>977</v>
      </c>
      <c r="N767" s="156">
        <v>45</v>
      </c>
      <c r="O767" s="165" t="s">
        <v>3046</v>
      </c>
      <c r="P767" s="158">
        <v>45</v>
      </c>
      <c r="Q767" s="152" t="s">
        <v>76</v>
      </c>
      <c r="R767" s="152" t="s">
        <v>61</v>
      </c>
      <c r="S767" s="148" t="s">
        <v>3047</v>
      </c>
      <c r="T767" s="148">
        <v>0</v>
      </c>
      <c r="U767" s="170"/>
      <c r="V767" s="163"/>
      <c r="W767" s="171"/>
      <c r="X767" s="176">
        <v>297</v>
      </c>
      <c r="Y767" s="160" t="str">
        <f>VLOOKUP(X767,docentes!$A:$E,2,0)</f>
        <v>JULIA BERTINO MOREIRA</v>
      </c>
      <c r="Z767" s="177" t="str">
        <f>VLOOKUP(X767,docentes!$A:$E,5,0)</f>
        <v>CECS</v>
      </c>
    </row>
    <row r="768" spans="1:35" s="44" customFormat="1" ht="66.75" customHeight="1">
      <c r="A768" s="148" t="s">
        <v>805</v>
      </c>
      <c r="B768" s="146" t="s">
        <v>3048</v>
      </c>
      <c r="C768" s="149" t="s">
        <v>3049</v>
      </c>
      <c r="D768" s="150">
        <v>1</v>
      </c>
      <c r="E768" s="150" t="s">
        <v>3050</v>
      </c>
      <c r="F768" s="151" t="s">
        <v>3051</v>
      </c>
      <c r="G768" s="152">
        <v>3</v>
      </c>
      <c r="H768" s="152">
        <v>1</v>
      </c>
      <c r="I768" s="153">
        <v>4</v>
      </c>
      <c r="J768" s="154">
        <v>3</v>
      </c>
      <c r="K768" s="155">
        <v>1</v>
      </c>
      <c r="L768" s="148" t="s">
        <v>750</v>
      </c>
      <c r="M768" s="148" t="s">
        <v>58</v>
      </c>
      <c r="N768" s="156">
        <v>0</v>
      </c>
      <c r="O768" s="165" t="s">
        <v>913</v>
      </c>
      <c r="P768" s="158">
        <v>36</v>
      </c>
      <c r="Q768" s="152" t="s">
        <v>60</v>
      </c>
      <c r="R768" s="152" t="s">
        <v>61</v>
      </c>
      <c r="S768" s="148" t="s">
        <v>3052</v>
      </c>
      <c r="T768" s="148">
        <v>0</v>
      </c>
      <c r="U768" s="159">
        <v>484</v>
      </c>
      <c r="V768" s="160" t="str">
        <f>VLOOKUP(U768,docentes!$A:$E,2,0)</f>
        <v>RICARDO CANELOI DOS SANTOS</v>
      </c>
      <c r="W768" s="161" t="str">
        <f>VLOOKUP(U768,docentes!$A:$E,5,0)</f>
        <v>CECS</v>
      </c>
      <c r="X768" s="176">
        <v>484</v>
      </c>
      <c r="Y768" s="160" t="str">
        <f>VLOOKUP(X768,docentes!$A:$E,2,0)</f>
        <v>RICARDO CANELOI DOS SANTOS</v>
      </c>
      <c r="Z768" s="177" t="str">
        <f>VLOOKUP(X768,docentes!$A:$E,5,0)</f>
        <v>CECS</v>
      </c>
    </row>
    <row r="769" spans="1:33" s="44" customFormat="1" ht="66.75" customHeight="1">
      <c r="A769" s="148" t="s">
        <v>636</v>
      </c>
      <c r="B769" s="146" t="s">
        <v>3053</v>
      </c>
      <c r="C769" s="149" t="s">
        <v>3054</v>
      </c>
      <c r="D769" s="150">
        <v>2</v>
      </c>
      <c r="E769" s="150" t="s">
        <v>3055</v>
      </c>
      <c r="F769" s="151" t="s">
        <v>3056</v>
      </c>
      <c r="G769" s="152">
        <v>4</v>
      </c>
      <c r="H769" s="152">
        <v>0</v>
      </c>
      <c r="I769" s="153">
        <v>4</v>
      </c>
      <c r="J769" s="154">
        <v>4</v>
      </c>
      <c r="K769" s="155">
        <v>0</v>
      </c>
      <c r="L769" s="148" t="s">
        <v>57</v>
      </c>
      <c r="M769" s="148" t="s">
        <v>58</v>
      </c>
      <c r="N769" s="156"/>
      <c r="O769" s="157" t="s">
        <v>59</v>
      </c>
      <c r="P769" s="158">
        <v>32</v>
      </c>
      <c r="Q769" s="152" t="s">
        <v>76</v>
      </c>
      <c r="R769" s="152" t="s">
        <v>61</v>
      </c>
      <c r="S769" s="148" t="s">
        <v>3057</v>
      </c>
      <c r="T769" s="148">
        <v>0</v>
      </c>
      <c r="U769" s="159">
        <v>114</v>
      </c>
      <c r="V769" s="160" t="str">
        <f>VLOOKUP(U769,docentes!$A:$E,2,0)</f>
        <v>CRISTIANE OTERO REIS SALUM</v>
      </c>
      <c r="W769" s="161" t="str">
        <f>VLOOKUP(U769,docentes!$A:$E,5,0)</f>
        <v>CMCC</v>
      </c>
      <c r="X769" s="162"/>
      <c r="Y769" s="163" t="e">
        <f>VLOOKUP(X769,docentes!$A:$E,2,0)</f>
        <v>#N/A</v>
      </c>
      <c r="Z769" s="164" t="e">
        <f>VLOOKUP(X769,docentes!$A:$E,5,0)</f>
        <v>#N/A</v>
      </c>
      <c r="AB769" s="45"/>
    </row>
    <row r="770" spans="1:33" s="44" customFormat="1" ht="66.75" customHeight="1">
      <c r="A770" s="148" t="s">
        <v>636</v>
      </c>
      <c r="B770" s="146" t="s">
        <v>3058</v>
      </c>
      <c r="C770" s="149" t="s">
        <v>3054</v>
      </c>
      <c r="D770" s="150">
        <v>2</v>
      </c>
      <c r="E770" s="150" t="s">
        <v>3055</v>
      </c>
      <c r="F770" s="151" t="s">
        <v>3059</v>
      </c>
      <c r="G770" s="152">
        <v>4</v>
      </c>
      <c r="H770" s="152">
        <v>0</v>
      </c>
      <c r="I770" s="153">
        <v>4</v>
      </c>
      <c r="J770" s="154">
        <v>4</v>
      </c>
      <c r="K770" s="155">
        <v>0</v>
      </c>
      <c r="L770" s="148" t="s">
        <v>750</v>
      </c>
      <c r="M770" s="148" t="s">
        <v>58</v>
      </c>
      <c r="N770" s="156"/>
      <c r="O770" s="165" t="s">
        <v>3060</v>
      </c>
      <c r="P770" s="158">
        <v>34</v>
      </c>
      <c r="Q770" s="152" t="s">
        <v>76</v>
      </c>
      <c r="R770" s="152" t="s">
        <v>70</v>
      </c>
      <c r="S770" s="148" t="s">
        <v>3061</v>
      </c>
      <c r="T770" s="148">
        <v>0</v>
      </c>
      <c r="U770" s="159">
        <v>355</v>
      </c>
      <c r="V770" s="160" t="str">
        <f>VLOOKUP(U770,docentes!$A:$E,2,0)</f>
        <v>MARCELA BERMUDEZ ECHEVERRY</v>
      </c>
      <c r="W770" s="161" t="str">
        <f>VLOOKUP(U770,docentes!$A:$E,5,0)</f>
        <v>CMCC</v>
      </c>
      <c r="X770" s="162"/>
      <c r="Y770" s="163" t="e">
        <f>VLOOKUP(X770,docentes!$A:$E,2,0)</f>
        <v>#N/A</v>
      </c>
      <c r="Z770" s="164" t="e">
        <f>VLOOKUP(X770,docentes!$A:$E,5,0)</f>
        <v>#N/A</v>
      </c>
      <c r="AB770" s="45"/>
    </row>
    <row r="771" spans="1:33" s="44" customFormat="1" ht="66.75" customHeight="1">
      <c r="A771" s="148" t="s">
        <v>636</v>
      </c>
      <c r="B771" s="146" t="s">
        <v>3062</v>
      </c>
      <c r="C771" s="149" t="s">
        <v>3063</v>
      </c>
      <c r="D771" s="150">
        <v>1</v>
      </c>
      <c r="E771" s="150" t="s">
        <v>3064</v>
      </c>
      <c r="F771" s="151" t="s">
        <v>3065</v>
      </c>
      <c r="G771" s="152">
        <v>4</v>
      </c>
      <c r="H771" s="152">
        <v>0</v>
      </c>
      <c r="I771" s="153">
        <v>4</v>
      </c>
      <c r="J771" s="154">
        <v>4</v>
      </c>
      <c r="K771" s="155">
        <v>0</v>
      </c>
      <c r="L771" s="148" t="s">
        <v>67</v>
      </c>
      <c r="M771" s="148">
        <v>62</v>
      </c>
      <c r="N771" s="156"/>
      <c r="O771" s="148" t="s">
        <v>3066</v>
      </c>
      <c r="P771" s="158">
        <v>62</v>
      </c>
      <c r="Q771" s="152" t="s">
        <v>60</v>
      </c>
      <c r="R771" s="152" t="s">
        <v>61</v>
      </c>
      <c r="S771" s="148" t="s">
        <v>3067</v>
      </c>
      <c r="T771" s="148">
        <v>0</v>
      </c>
      <c r="U771" s="159">
        <v>458</v>
      </c>
      <c r="V771" s="160" t="str">
        <f>VLOOKUP(U771,docentes!$A:$E,2,0)</f>
        <v>PETER MAURICE ERNA CLAESSENS</v>
      </c>
      <c r="W771" s="161" t="str">
        <f>VLOOKUP(U771,docentes!$A:$E,5,0)</f>
        <v>CMCC</v>
      </c>
      <c r="X771" s="162"/>
      <c r="Y771" s="163"/>
      <c r="Z771" s="164"/>
    </row>
    <row r="772" spans="1:33" s="44" customFormat="1" ht="66.75" customHeight="1">
      <c r="A772" s="148" t="s">
        <v>636</v>
      </c>
      <c r="B772" s="146" t="s">
        <v>3068</v>
      </c>
      <c r="C772" s="149" t="s">
        <v>3069</v>
      </c>
      <c r="D772" s="150">
        <v>2</v>
      </c>
      <c r="E772" s="150" t="s">
        <v>3070</v>
      </c>
      <c r="F772" s="151" t="s">
        <v>3071</v>
      </c>
      <c r="G772" s="152">
        <v>4</v>
      </c>
      <c r="H772" s="152">
        <v>2</v>
      </c>
      <c r="I772" s="153">
        <v>4</v>
      </c>
      <c r="J772" s="154">
        <v>4</v>
      </c>
      <c r="K772" s="155">
        <v>2</v>
      </c>
      <c r="L772" s="148" t="s">
        <v>57</v>
      </c>
      <c r="M772" s="148" t="s">
        <v>58</v>
      </c>
      <c r="N772" s="156"/>
      <c r="O772" s="157" t="s">
        <v>59</v>
      </c>
      <c r="P772" s="158">
        <v>32</v>
      </c>
      <c r="Q772" s="152" t="s">
        <v>76</v>
      </c>
      <c r="R772" s="152" t="s">
        <v>61</v>
      </c>
      <c r="S772" s="148" t="s">
        <v>3072</v>
      </c>
      <c r="T772" s="148" t="s">
        <v>3073</v>
      </c>
      <c r="U772" s="159">
        <v>364</v>
      </c>
      <c r="V772" s="160" t="str">
        <f>VLOOKUP(U772,docentes!$A:$E,2,0)</f>
        <v>MARCELO SALVADOR CAETANO</v>
      </c>
      <c r="W772" s="161" t="str">
        <f>VLOOKUP(U772,docentes!$A:$E,5,0)</f>
        <v>CMCC</v>
      </c>
      <c r="X772" s="176">
        <v>200</v>
      </c>
      <c r="Y772" s="160" t="str">
        <f>VLOOKUP(X772,docentes!$A:$E,2,0)</f>
        <v>FRANCISCO CARLOS NATHER</v>
      </c>
      <c r="Z772" s="177" t="str">
        <f>VLOOKUP(X772,docentes!$A:$E,5,0)</f>
        <v>CMCC</v>
      </c>
    </row>
    <row r="773" spans="1:33" s="44" customFormat="1" ht="66.75" customHeight="1">
      <c r="A773" s="148" t="s">
        <v>636</v>
      </c>
      <c r="B773" s="146" t="s">
        <v>3074</v>
      </c>
      <c r="C773" s="149" t="s">
        <v>3069</v>
      </c>
      <c r="D773" s="150">
        <v>2</v>
      </c>
      <c r="E773" s="150" t="s">
        <v>3070</v>
      </c>
      <c r="F773" s="151" t="s">
        <v>3075</v>
      </c>
      <c r="G773" s="152">
        <v>4</v>
      </c>
      <c r="H773" s="152">
        <v>2</v>
      </c>
      <c r="I773" s="153">
        <v>4</v>
      </c>
      <c r="J773" s="154">
        <v>4</v>
      </c>
      <c r="K773" s="155">
        <v>2</v>
      </c>
      <c r="L773" s="148" t="s">
        <v>57</v>
      </c>
      <c r="M773" s="148" t="s">
        <v>58</v>
      </c>
      <c r="N773" s="156"/>
      <c r="O773" s="157" t="s">
        <v>59</v>
      </c>
      <c r="P773" s="158">
        <v>32</v>
      </c>
      <c r="Q773" s="152" t="s">
        <v>76</v>
      </c>
      <c r="R773" s="152" t="s">
        <v>70</v>
      </c>
      <c r="S773" s="148" t="s">
        <v>3076</v>
      </c>
      <c r="T773" s="148" t="s">
        <v>3077</v>
      </c>
      <c r="U773" s="159">
        <v>200</v>
      </c>
      <c r="V773" s="160" t="str">
        <f>VLOOKUP(U773,docentes!$A:$E,2,0)</f>
        <v>FRANCISCO CARLOS NATHER</v>
      </c>
      <c r="W773" s="161" t="str">
        <f>VLOOKUP(U773,docentes!$A:$E,5,0)</f>
        <v>CMCC</v>
      </c>
      <c r="X773" s="176">
        <v>364</v>
      </c>
      <c r="Y773" s="160" t="str">
        <f>VLOOKUP(X773,docentes!$A:$E,2,0)</f>
        <v>MARCELO SALVADOR CAETANO</v>
      </c>
      <c r="Z773" s="177" t="str">
        <f>VLOOKUP(X773,docentes!$A:$E,5,0)</f>
        <v>CMCC</v>
      </c>
    </row>
    <row r="774" spans="1:33" s="44" customFormat="1" ht="66.75" customHeight="1">
      <c r="A774" s="148" t="s">
        <v>184</v>
      </c>
      <c r="B774" s="146" t="s">
        <v>3078</v>
      </c>
      <c r="C774" s="149" t="s">
        <v>3079</v>
      </c>
      <c r="D774" s="150">
        <v>2</v>
      </c>
      <c r="E774" s="150" t="s">
        <v>3080</v>
      </c>
      <c r="F774" s="151" t="s">
        <v>3081</v>
      </c>
      <c r="G774" s="152">
        <v>2</v>
      </c>
      <c r="H774" s="152">
        <v>0</v>
      </c>
      <c r="I774" s="153">
        <v>4</v>
      </c>
      <c r="J774" s="154">
        <v>2</v>
      </c>
      <c r="K774" s="155">
        <v>0</v>
      </c>
      <c r="L774" s="148" t="s">
        <v>57</v>
      </c>
      <c r="M774" s="148" t="s">
        <v>58</v>
      </c>
      <c r="N774" s="156"/>
      <c r="O774" s="157" t="s">
        <v>59</v>
      </c>
      <c r="P774" s="158">
        <v>60</v>
      </c>
      <c r="Q774" s="152" t="s">
        <v>60</v>
      </c>
      <c r="R774" s="152" t="s">
        <v>61</v>
      </c>
      <c r="S774" s="148" t="s">
        <v>3082</v>
      </c>
      <c r="T774" s="148">
        <v>0</v>
      </c>
      <c r="U774" s="159">
        <v>391</v>
      </c>
      <c r="V774" s="160" t="str">
        <f>VLOOKUP(U774,docentes!$A:$E,2,0)</f>
        <v>MARIA CLEOFE VALVERDE BRAMBILA</v>
      </c>
      <c r="W774" s="161" t="str">
        <f>VLOOKUP(U774,docentes!$A:$E,5,0)</f>
        <v>CECS</v>
      </c>
      <c r="X774" s="162">
        <v>391</v>
      </c>
      <c r="Y774" s="163" t="str">
        <f>VLOOKUP(X774,docentes!$A:$E,2,0)</f>
        <v>MARIA CLEOFE VALVERDE BRAMBILA</v>
      </c>
      <c r="Z774" s="164" t="str">
        <f>VLOOKUP(X774,docentes!$A:$E,5,0)</f>
        <v>CECS</v>
      </c>
      <c r="AB774" s="45"/>
    </row>
    <row r="775" spans="1:33" s="44" customFormat="1" ht="66.75" customHeight="1">
      <c r="A775" s="148" t="s">
        <v>184</v>
      </c>
      <c r="B775" s="146" t="s">
        <v>3083</v>
      </c>
      <c r="C775" s="149" t="s">
        <v>3079</v>
      </c>
      <c r="D775" s="150">
        <v>2</v>
      </c>
      <c r="E775" s="150" t="s">
        <v>3080</v>
      </c>
      <c r="F775" s="151" t="s">
        <v>3084</v>
      </c>
      <c r="G775" s="152">
        <v>2</v>
      </c>
      <c r="H775" s="152">
        <v>0</v>
      </c>
      <c r="I775" s="153">
        <v>4</v>
      </c>
      <c r="J775" s="154">
        <v>2</v>
      </c>
      <c r="K775" s="155">
        <v>0</v>
      </c>
      <c r="L775" s="148" t="s">
        <v>57</v>
      </c>
      <c r="M775" s="148" t="s">
        <v>58</v>
      </c>
      <c r="N775" s="156"/>
      <c r="O775" s="157" t="s">
        <v>59</v>
      </c>
      <c r="P775" s="158">
        <v>60</v>
      </c>
      <c r="Q775" s="152" t="s">
        <v>60</v>
      </c>
      <c r="R775" s="152" t="s">
        <v>61</v>
      </c>
      <c r="S775" s="148" t="s">
        <v>3085</v>
      </c>
      <c r="T775" s="148">
        <v>0</v>
      </c>
      <c r="U775" s="159">
        <v>391</v>
      </c>
      <c r="V775" s="160" t="str">
        <f>VLOOKUP(U775,docentes!$A:$E,2,0)</f>
        <v>MARIA CLEOFE VALVERDE BRAMBILA</v>
      </c>
      <c r="W775" s="161" t="str">
        <f>VLOOKUP(U775,docentes!$A:$E,5,0)</f>
        <v>CECS</v>
      </c>
      <c r="X775" s="162">
        <v>391</v>
      </c>
      <c r="Y775" s="163" t="str">
        <f>VLOOKUP(X775,docentes!$A:$E,2,0)</f>
        <v>MARIA CLEOFE VALVERDE BRAMBILA</v>
      </c>
      <c r="Z775" s="164" t="str">
        <f>VLOOKUP(X775,docentes!$A:$E,5,0)</f>
        <v>CECS</v>
      </c>
      <c r="AB775" s="45"/>
    </row>
    <row r="776" spans="1:33" s="44" customFormat="1" ht="66.75" customHeight="1">
      <c r="A776" s="148" t="s">
        <v>1126</v>
      </c>
      <c r="B776" s="146" t="s">
        <v>3086</v>
      </c>
      <c r="C776" s="149" t="s">
        <v>3087</v>
      </c>
      <c r="D776" s="150">
        <v>2</v>
      </c>
      <c r="E776" s="150" t="s">
        <v>3088</v>
      </c>
      <c r="F776" s="151" t="s">
        <v>3089</v>
      </c>
      <c r="G776" s="152">
        <v>4</v>
      </c>
      <c r="H776" s="152">
        <v>2</v>
      </c>
      <c r="I776" s="153">
        <v>6</v>
      </c>
      <c r="J776" s="154">
        <v>4</v>
      </c>
      <c r="K776" s="155">
        <v>2</v>
      </c>
      <c r="L776" s="148" t="s">
        <v>2858</v>
      </c>
      <c r="M776" s="148" t="e">
        <v>#N/A</v>
      </c>
      <c r="N776" s="156"/>
      <c r="O776" s="165" t="s">
        <v>913</v>
      </c>
      <c r="P776" s="158">
        <v>30</v>
      </c>
      <c r="Q776" s="152" t="s">
        <v>60</v>
      </c>
      <c r="R776" s="152" t="s">
        <v>61</v>
      </c>
      <c r="S776" s="148" t="s">
        <v>3090</v>
      </c>
      <c r="T776" s="148" t="s">
        <v>3091</v>
      </c>
      <c r="U776" s="159">
        <v>305</v>
      </c>
      <c r="V776" s="160" t="str">
        <f>VLOOKUP(U776,docentes!$A:$E,2,0)</f>
        <v>KARINA PASSALACQUA MORELLI FRIN</v>
      </c>
      <c r="W776" s="161" t="str">
        <f>VLOOKUP(U776,docentes!$A:$E,5,0)</f>
        <v>CCNH</v>
      </c>
      <c r="X776" s="176">
        <v>565</v>
      </c>
      <c r="Y776" s="160" t="str">
        <f>VLOOKUP(X776,docentes!$A:$E,2,0)</f>
        <v>WAGNER ALVES CARVALHO</v>
      </c>
      <c r="Z776" s="177" t="str">
        <f>VLOOKUP(X776,docentes!$A:$E,5,0)</f>
        <v>CCNH</v>
      </c>
    </row>
    <row r="777" spans="1:33" s="44" customFormat="1" ht="66.75" customHeight="1">
      <c r="A777" s="148" t="s">
        <v>1126</v>
      </c>
      <c r="B777" s="146" t="s">
        <v>3092</v>
      </c>
      <c r="C777" s="149" t="s">
        <v>3087</v>
      </c>
      <c r="D777" s="150">
        <v>2</v>
      </c>
      <c r="E777" s="150" t="s">
        <v>3088</v>
      </c>
      <c r="F777" s="151" t="s">
        <v>3093</v>
      </c>
      <c r="G777" s="152">
        <v>4</v>
      </c>
      <c r="H777" s="152">
        <v>2</v>
      </c>
      <c r="I777" s="153">
        <v>6</v>
      </c>
      <c r="J777" s="154">
        <v>4</v>
      </c>
      <c r="K777" s="155">
        <v>2</v>
      </c>
      <c r="L777" s="148" t="s">
        <v>2858</v>
      </c>
      <c r="M777" s="148" t="e">
        <v>#N/A</v>
      </c>
      <c r="N777" s="156"/>
      <c r="O777" s="165" t="s">
        <v>913</v>
      </c>
      <c r="P777" s="158">
        <v>30</v>
      </c>
      <c r="Q777" s="152" t="s">
        <v>60</v>
      </c>
      <c r="R777" s="152" t="s">
        <v>70</v>
      </c>
      <c r="S777" s="148" t="s">
        <v>3094</v>
      </c>
      <c r="T777" s="148" t="s">
        <v>3095</v>
      </c>
      <c r="U777" s="159">
        <v>305</v>
      </c>
      <c r="V777" s="160" t="str">
        <f>VLOOKUP(U777,docentes!$A:$E,2,0)</f>
        <v>KARINA PASSALACQUA MORELLI FRIN</v>
      </c>
      <c r="W777" s="161" t="str">
        <f>VLOOKUP(U777,docentes!$A:$E,5,0)</f>
        <v>CCNH</v>
      </c>
      <c r="X777" s="176">
        <v>565</v>
      </c>
      <c r="Y777" s="160" t="str">
        <f>VLOOKUP(X777,docentes!$A:$E,2,0)</f>
        <v>WAGNER ALVES CARVALHO</v>
      </c>
      <c r="Z777" s="177" t="str">
        <f>VLOOKUP(X777,docentes!$A:$E,5,0)</f>
        <v>CCNH</v>
      </c>
    </row>
    <row r="778" spans="1:33" s="44" customFormat="1" ht="66.75" customHeight="1">
      <c r="A778" s="148" t="s">
        <v>184</v>
      </c>
      <c r="B778" s="146" t="s">
        <v>3096</v>
      </c>
      <c r="C778" s="149" t="s">
        <v>3097</v>
      </c>
      <c r="D778" s="150">
        <v>2</v>
      </c>
      <c r="E778" s="150" t="s">
        <v>3098</v>
      </c>
      <c r="F778" s="151" t="s">
        <v>3099</v>
      </c>
      <c r="G778" s="152">
        <v>3</v>
      </c>
      <c r="H778" s="152">
        <v>0</v>
      </c>
      <c r="I778" s="153">
        <v>4</v>
      </c>
      <c r="J778" s="154">
        <v>3</v>
      </c>
      <c r="K778" s="155">
        <v>0</v>
      </c>
      <c r="L778" s="148" t="s">
        <v>57</v>
      </c>
      <c r="M778" s="148" t="s">
        <v>58</v>
      </c>
      <c r="N778" s="156"/>
      <c r="O778" s="157" t="s">
        <v>59</v>
      </c>
      <c r="P778" s="158">
        <v>60</v>
      </c>
      <c r="Q778" s="152" t="s">
        <v>60</v>
      </c>
      <c r="R778" s="152" t="s">
        <v>61</v>
      </c>
      <c r="S778" s="148" t="s">
        <v>3100</v>
      </c>
      <c r="T778" s="148">
        <v>0</v>
      </c>
      <c r="U778" s="159">
        <v>104</v>
      </c>
      <c r="V778" s="160" t="str">
        <f>VLOOKUP(U778,docentes!$A:$E,2,0)</f>
        <v>CLAUDIA BOIAN</v>
      </c>
      <c r="W778" s="161" t="str">
        <f>VLOOKUP(U778,docentes!$A:$E,5,0)</f>
        <v>CECS</v>
      </c>
      <c r="X778" s="162"/>
      <c r="Y778" s="163"/>
      <c r="Z778" s="164"/>
    </row>
    <row r="779" spans="1:33" s="44" customFormat="1" ht="66.75" customHeight="1">
      <c r="A779" s="148" t="s">
        <v>184</v>
      </c>
      <c r="B779" s="146" t="s">
        <v>3101</v>
      </c>
      <c r="C779" s="149" t="s">
        <v>3097</v>
      </c>
      <c r="D779" s="150">
        <v>2</v>
      </c>
      <c r="E779" s="150" t="s">
        <v>3098</v>
      </c>
      <c r="F779" s="151" t="s">
        <v>3102</v>
      </c>
      <c r="G779" s="152">
        <v>3</v>
      </c>
      <c r="H779" s="152">
        <v>0</v>
      </c>
      <c r="I779" s="153">
        <v>4</v>
      </c>
      <c r="J779" s="154">
        <v>3</v>
      </c>
      <c r="K779" s="155">
        <v>0</v>
      </c>
      <c r="L779" s="148" t="s">
        <v>57</v>
      </c>
      <c r="M779" s="148" t="s">
        <v>58</v>
      </c>
      <c r="N779" s="156"/>
      <c r="O779" s="157" t="s">
        <v>59</v>
      </c>
      <c r="P779" s="158">
        <v>60</v>
      </c>
      <c r="Q779" s="152" t="s">
        <v>60</v>
      </c>
      <c r="R779" s="152" t="s">
        <v>70</v>
      </c>
      <c r="S779" s="148" t="s">
        <v>3103</v>
      </c>
      <c r="T779" s="167">
        <v>0</v>
      </c>
      <c r="U779" s="159">
        <v>507</v>
      </c>
      <c r="V779" s="160" t="str">
        <f>VLOOKUP(U779,docentes!$A:$E,2,0)</f>
        <v>ROSELI FREDERIGI BENASSI</v>
      </c>
      <c r="W779" s="161" t="str">
        <f>VLOOKUP(U779,docentes!$A:$E,5,0)</f>
        <v>CECS</v>
      </c>
      <c r="X779" s="162"/>
      <c r="Y779" s="163"/>
      <c r="Z779" s="164"/>
    </row>
    <row r="780" spans="1:33" s="44" customFormat="1" ht="66.75" customHeight="1">
      <c r="A780" s="148" t="s">
        <v>134</v>
      </c>
      <c r="B780" s="146" t="s">
        <v>3104</v>
      </c>
      <c r="C780" s="149" t="s">
        <v>3105</v>
      </c>
      <c r="D780" s="150">
        <v>1</v>
      </c>
      <c r="E780" s="150" t="s">
        <v>3106</v>
      </c>
      <c r="F780" s="151" t="s">
        <v>3107</v>
      </c>
      <c r="G780" s="152">
        <v>2</v>
      </c>
      <c r="H780" s="152">
        <v>1</v>
      </c>
      <c r="I780" s="153">
        <v>4</v>
      </c>
      <c r="J780" s="154">
        <v>2</v>
      </c>
      <c r="K780" s="155">
        <v>1</v>
      </c>
      <c r="L780" s="148" t="s">
        <v>57</v>
      </c>
      <c r="M780" s="148" t="s">
        <v>58</v>
      </c>
      <c r="N780" s="151"/>
      <c r="O780" s="157" t="s">
        <v>59</v>
      </c>
      <c r="P780" s="158">
        <v>72</v>
      </c>
      <c r="Q780" s="152" t="s">
        <v>60</v>
      </c>
      <c r="R780" s="152" t="s">
        <v>61</v>
      </c>
      <c r="S780" s="148" t="s">
        <v>3108</v>
      </c>
      <c r="T780" s="148">
        <v>0</v>
      </c>
      <c r="U780" s="159">
        <v>326</v>
      </c>
      <c r="V780" s="160" t="str">
        <f>VLOOKUP(U780,docentes!$A:$E,2,0)</f>
        <v>LUCIA REGINA HORTA RODRIGUES FRANCO</v>
      </c>
      <c r="W780" s="161" t="str">
        <f>VLOOKUP(U780,docentes!$A:$E,5,0)</f>
        <v>CMCC</v>
      </c>
      <c r="X780" s="176">
        <v>326</v>
      </c>
      <c r="Y780" s="160" t="str">
        <f>VLOOKUP(X780,docentes!$A:$E,2,0)</f>
        <v>LUCIA REGINA HORTA RODRIGUES FRANCO</v>
      </c>
      <c r="Z780" s="177" t="str">
        <f>VLOOKUP(X780,docentes!$A:$E,5,0)</f>
        <v>CMCC</v>
      </c>
    </row>
    <row r="781" spans="1:33" s="44" customFormat="1" ht="66.75" customHeight="1">
      <c r="A781" s="148" t="s">
        <v>805</v>
      </c>
      <c r="B781" s="146" t="s">
        <v>3109</v>
      </c>
      <c r="C781" s="149" t="s">
        <v>3110</v>
      </c>
      <c r="D781" s="150">
        <v>1</v>
      </c>
      <c r="E781" s="150" t="s">
        <v>3111</v>
      </c>
      <c r="F781" s="151" t="s">
        <v>3112</v>
      </c>
      <c r="G781" s="152">
        <v>3</v>
      </c>
      <c r="H781" s="152">
        <v>0</v>
      </c>
      <c r="I781" s="153">
        <v>3</v>
      </c>
      <c r="J781" s="154">
        <v>3</v>
      </c>
      <c r="K781" s="155">
        <v>0</v>
      </c>
      <c r="L781" s="148" t="s">
        <v>750</v>
      </c>
      <c r="M781" s="148" t="s">
        <v>58</v>
      </c>
      <c r="N781" s="156">
        <v>0</v>
      </c>
      <c r="O781" s="165" t="s">
        <v>913</v>
      </c>
      <c r="P781" s="158">
        <v>53</v>
      </c>
      <c r="Q781" s="152" t="s">
        <v>60</v>
      </c>
      <c r="R781" s="152" t="s">
        <v>61</v>
      </c>
      <c r="S781" s="148" t="s">
        <v>3113</v>
      </c>
      <c r="T781" s="148">
        <v>0</v>
      </c>
      <c r="U781" s="159">
        <v>274</v>
      </c>
      <c r="V781" s="160" t="str">
        <f>VLOOKUP(U781,docentes!$A:$E,2,0)</f>
        <v>JOAO MANOEL LOSADA MOREIRA</v>
      </c>
      <c r="W781" s="161" t="str">
        <f>VLOOKUP(U781,docentes!$A:$E,5,0)</f>
        <v>CECS</v>
      </c>
      <c r="X781" s="162">
        <v>274</v>
      </c>
      <c r="Y781" s="163" t="str">
        <f>VLOOKUP(X781,docentes!$A:$E,2,0)</f>
        <v>JOAO MANOEL LOSADA MOREIRA</v>
      </c>
      <c r="Z781" s="164" t="str">
        <f>VLOOKUP(X781,docentes!$A:$E,5,0)</f>
        <v>CECS</v>
      </c>
      <c r="AB781" s="45"/>
    </row>
    <row r="782" spans="1:33" s="44" customFormat="1" ht="66.75" customHeight="1">
      <c r="A782" s="148" t="s">
        <v>134</v>
      </c>
      <c r="B782" s="146" t="s">
        <v>3114</v>
      </c>
      <c r="C782" s="149" t="s">
        <v>3115</v>
      </c>
      <c r="D782" s="150">
        <v>1</v>
      </c>
      <c r="E782" s="150" t="s">
        <v>3116</v>
      </c>
      <c r="F782" s="151" t="s">
        <v>3117</v>
      </c>
      <c r="G782" s="152">
        <v>3</v>
      </c>
      <c r="H782" s="152">
        <v>1</v>
      </c>
      <c r="I782" s="153">
        <v>4</v>
      </c>
      <c r="J782" s="154">
        <v>3</v>
      </c>
      <c r="K782" s="155">
        <v>1</v>
      </c>
      <c r="L782" s="148" t="s">
        <v>57</v>
      </c>
      <c r="M782" s="148" t="s">
        <v>58</v>
      </c>
      <c r="N782" s="156"/>
      <c r="O782" s="157" t="s">
        <v>59</v>
      </c>
      <c r="P782" s="158">
        <v>20</v>
      </c>
      <c r="Q782" s="152" t="s">
        <v>60</v>
      </c>
      <c r="R782" s="152" t="s">
        <v>61</v>
      </c>
      <c r="S782" s="148" t="s">
        <v>3118</v>
      </c>
      <c r="T782" s="148" t="s">
        <v>3119</v>
      </c>
      <c r="U782" s="159">
        <v>162</v>
      </c>
      <c r="V782" s="160" t="str">
        <f>VLOOKUP(U782,docentes!$A:$E,2,0)</f>
        <v>ELVIRA RAFIKOVA</v>
      </c>
      <c r="W782" s="161" t="str">
        <f>VLOOKUP(U782,docentes!$A:$E,5,0)</f>
        <v>CECS</v>
      </c>
      <c r="X782" s="176">
        <v>162</v>
      </c>
      <c r="Y782" s="160" t="str">
        <f>VLOOKUP(X782,docentes!$A:$E,2,0)</f>
        <v>ELVIRA RAFIKOVA</v>
      </c>
      <c r="Z782" s="177" t="str">
        <f>VLOOKUP(X782,docentes!$A:$E,5,0)</f>
        <v>CECS</v>
      </c>
    </row>
    <row r="783" spans="1:33" s="44" customFormat="1" ht="66.75" customHeight="1">
      <c r="A783" s="172" t="s">
        <v>114</v>
      </c>
      <c r="B783" s="146" t="s">
        <v>3120</v>
      </c>
      <c r="C783" s="149" t="s">
        <v>3121</v>
      </c>
      <c r="D783" s="150">
        <v>2</v>
      </c>
      <c r="E783" s="150" t="s">
        <v>3122</v>
      </c>
      <c r="F783" s="151" t="s">
        <v>3123</v>
      </c>
      <c r="G783" s="149">
        <v>3</v>
      </c>
      <c r="H783" s="173">
        <v>1</v>
      </c>
      <c r="I783" s="174">
        <v>4</v>
      </c>
      <c r="J783" s="155">
        <v>3</v>
      </c>
      <c r="K783" s="155">
        <v>1</v>
      </c>
      <c r="L783" s="172" t="s">
        <v>97</v>
      </c>
      <c r="M783" s="172" t="s">
        <v>58</v>
      </c>
      <c r="N783" s="151"/>
      <c r="O783" s="157" t="s">
        <v>59</v>
      </c>
      <c r="P783" s="175">
        <v>40</v>
      </c>
      <c r="Q783" s="152" t="s">
        <v>60</v>
      </c>
      <c r="R783" s="152" t="s">
        <v>61</v>
      </c>
      <c r="S783" s="148" t="s">
        <v>3124</v>
      </c>
      <c r="T783" s="148" t="s">
        <v>3125</v>
      </c>
      <c r="U783" s="159">
        <v>138</v>
      </c>
      <c r="V783" s="160" t="str">
        <f>VLOOKUP(U783,docentes!$A:$E,2,0)</f>
        <v>DENISE HIDEKO GOYA</v>
      </c>
      <c r="W783" s="161" t="str">
        <f>VLOOKUP(U783,docentes!$A:$E,5,0)</f>
        <v>CMCC</v>
      </c>
      <c r="X783" s="176">
        <v>138</v>
      </c>
      <c r="Y783" s="160" t="str">
        <f>VLOOKUP(X783,docentes!$A:$E,2,0)</f>
        <v>DENISE HIDEKO GOYA</v>
      </c>
      <c r="Z783" s="177" t="str">
        <f>VLOOKUP(X783,docentes!$A:$E,5,0)</f>
        <v>CMCC</v>
      </c>
      <c r="AA783" s="45"/>
      <c r="AB783" s="45"/>
      <c r="AC783" s="45"/>
      <c r="AD783" s="45"/>
      <c r="AE783" s="45"/>
      <c r="AF783" s="45"/>
      <c r="AG783" s="45"/>
    </row>
    <row r="784" spans="1:33" s="44" customFormat="1" ht="66.75" customHeight="1">
      <c r="A784" s="172" t="s">
        <v>114</v>
      </c>
      <c r="B784" s="146" t="s">
        <v>3126</v>
      </c>
      <c r="C784" s="149" t="s">
        <v>3121</v>
      </c>
      <c r="D784" s="150">
        <v>2</v>
      </c>
      <c r="E784" s="150" t="s">
        <v>3122</v>
      </c>
      <c r="F784" s="151" t="s">
        <v>3127</v>
      </c>
      <c r="G784" s="149">
        <v>3</v>
      </c>
      <c r="H784" s="173">
        <v>1</v>
      </c>
      <c r="I784" s="174">
        <v>4</v>
      </c>
      <c r="J784" s="155">
        <v>3</v>
      </c>
      <c r="K784" s="155">
        <v>1</v>
      </c>
      <c r="L784" s="172" t="s">
        <v>97</v>
      </c>
      <c r="M784" s="172" t="s">
        <v>58</v>
      </c>
      <c r="N784" s="151"/>
      <c r="O784" s="157" t="s">
        <v>59</v>
      </c>
      <c r="P784" s="175">
        <v>40</v>
      </c>
      <c r="Q784" s="152" t="s">
        <v>60</v>
      </c>
      <c r="R784" s="152" t="s">
        <v>70</v>
      </c>
      <c r="S784" s="148" t="s">
        <v>3128</v>
      </c>
      <c r="T784" s="148" t="s">
        <v>3129</v>
      </c>
      <c r="U784" s="159">
        <v>138</v>
      </c>
      <c r="V784" s="160" t="str">
        <f>VLOOKUP(U784,docentes!$A:$E,2,0)</f>
        <v>DENISE HIDEKO GOYA</v>
      </c>
      <c r="W784" s="161" t="str">
        <f>VLOOKUP(U784,docentes!$A:$E,5,0)</f>
        <v>CMCC</v>
      </c>
      <c r="X784" s="176">
        <v>138</v>
      </c>
      <c r="Y784" s="160" t="str">
        <f>VLOOKUP(X784,docentes!$A:$E,2,0)</f>
        <v>DENISE HIDEKO GOYA</v>
      </c>
      <c r="Z784" s="177" t="str">
        <f>VLOOKUP(X784,docentes!$A:$E,5,0)</f>
        <v>CMCC</v>
      </c>
      <c r="AA784" s="45"/>
      <c r="AB784" s="45"/>
      <c r="AC784" s="45"/>
      <c r="AD784" s="45"/>
      <c r="AE784" s="45"/>
      <c r="AF784" s="45"/>
      <c r="AG784" s="45"/>
    </row>
    <row r="785" spans="1:28" s="44" customFormat="1" ht="66.75" customHeight="1">
      <c r="A785" s="148" t="s">
        <v>993</v>
      </c>
      <c r="B785" s="146" t="s">
        <v>3130</v>
      </c>
      <c r="C785" s="149" t="s">
        <v>3131</v>
      </c>
      <c r="D785" s="150">
        <v>2</v>
      </c>
      <c r="E785" s="150" t="s">
        <v>3132</v>
      </c>
      <c r="F785" s="151" t="s">
        <v>3133</v>
      </c>
      <c r="G785" s="152">
        <v>4</v>
      </c>
      <c r="H785" s="152">
        <v>0</v>
      </c>
      <c r="I785" s="153">
        <v>4</v>
      </c>
      <c r="J785" s="154">
        <v>4</v>
      </c>
      <c r="K785" s="155">
        <v>0</v>
      </c>
      <c r="L785" s="148" t="s">
        <v>97</v>
      </c>
      <c r="M785" s="148" t="s">
        <v>58</v>
      </c>
      <c r="N785" s="156">
        <v>0</v>
      </c>
      <c r="O785" s="157" t="s">
        <v>59</v>
      </c>
      <c r="P785" s="158">
        <v>60</v>
      </c>
      <c r="Q785" s="152" t="s">
        <v>60</v>
      </c>
      <c r="R785" s="152" t="s">
        <v>61</v>
      </c>
      <c r="S785" s="148" t="s">
        <v>3134</v>
      </c>
      <c r="T785" s="148">
        <v>0</v>
      </c>
      <c r="U785" s="159">
        <v>12</v>
      </c>
      <c r="V785" s="160" t="str">
        <f>VLOOKUP(U785,docentes!$A:$E,2,0)</f>
        <v>ALEJANDRO ANDRES ZUNIGA PAEZ</v>
      </c>
      <c r="W785" s="161" t="str">
        <f>VLOOKUP(U785,docentes!$A:$E,5,0)</f>
        <v>CECS</v>
      </c>
      <c r="X785" s="162">
        <v>12</v>
      </c>
      <c r="Y785" s="163" t="str">
        <f>VLOOKUP(X785,docentes!$A:$E,2,0)</f>
        <v>ALEJANDRO ANDRES ZUNIGA PAEZ</v>
      </c>
      <c r="Z785" s="164" t="str">
        <f>VLOOKUP(X785,docentes!$A:$E,5,0)</f>
        <v>CECS</v>
      </c>
      <c r="AB785" s="45"/>
    </row>
    <row r="786" spans="1:28" s="44" customFormat="1" ht="66.75" customHeight="1">
      <c r="A786" s="148" t="s">
        <v>993</v>
      </c>
      <c r="B786" s="146" t="s">
        <v>3135</v>
      </c>
      <c r="C786" s="149" t="s">
        <v>3131</v>
      </c>
      <c r="D786" s="150">
        <v>2</v>
      </c>
      <c r="E786" s="150" t="s">
        <v>3132</v>
      </c>
      <c r="F786" s="151" t="s">
        <v>3136</v>
      </c>
      <c r="G786" s="152">
        <v>4</v>
      </c>
      <c r="H786" s="152">
        <v>0</v>
      </c>
      <c r="I786" s="153">
        <v>4</v>
      </c>
      <c r="J786" s="154">
        <v>4</v>
      </c>
      <c r="K786" s="155">
        <v>0</v>
      </c>
      <c r="L786" s="148" t="s">
        <v>3137</v>
      </c>
      <c r="M786" s="148" t="s">
        <v>58</v>
      </c>
      <c r="N786" s="156">
        <v>0</v>
      </c>
      <c r="O786" s="148" t="s">
        <v>913</v>
      </c>
      <c r="P786" s="158">
        <v>65</v>
      </c>
      <c r="Q786" s="152" t="s">
        <v>60</v>
      </c>
      <c r="R786" s="152" t="s">
        <v>70</v>
      </c>
      <c r="S786" s="148" t="s">
        <v>3138</v>
      </c>
      <c r="T786" s="148">
        <v>0</v>
      </c>
      <c r="U786" s="159">
        <v>476</v>
      </c>
      <c r="V786" s="160" t="str">
        <f>VLOOKUP(U786,docentes!$A:$E,2,0)</f>
        <v>RENATO ALTOBELLI ANTUNES</v>
      </c>
      <c r="W786" s="161" t="str">
        <f>VLOOKUP(U786,docentes!$A:$E,5,0)</f>
        <v>CECS</v>
      </c>
      <c r="X786" s="162">
        <v>476</v>
      </c>
      <c r="Y786" s="163" t="str">
        <f>VLOOKUP(X786,docentes!$A:$E,2,0)</f>
        <v>RENATO ALTOBELLI ANTUNES</v>
      </c>
      <c r="Z786" s="164" t="str">
        <f>VLOOKUP(X786,docentes!$A:$E,5,0)</f>
        <v>CECS</v>
      </c>
      <c r="AB786" s="45"/>
    </row>
    <row r="787" spans="1:28" s="44" customFormat="1" ht="66.75" customHeight="1">
      <c r="A787" s="148" t="s">
        <v>1126</v>
      </c>
      <c r="B787" s="146" t="s">
        <v>3139</v>
      </c>
      <c r="C787" s="149" t="s">
        <v>3140</v>
      </c>
      <c r="D787" s="150">
        <v>2</v>
      </c>
      <c r="E787" s="150" t="s">
        <v>3141</v>
      </c>
      <c r="F787" s="151" t="s">
        <v>3142</v>
      </c>
      <c r="G787" s="152">
        <v>2</v>
      </c>
      <c r="H787" s="152">
        <v>0</v>
      </c>
      <c r="I787" s="153">
        <v>2</v>
      </c>
      <c r="J787" s="154">
        <v>2</v>
      </c>
      <c r="K787" s="155">
        <v>0</v>
      </c>
      <c r="L787" s="148" t="s">
        <v>57</v>
      </c>
      <c r="M787" s="148" t="s">
        <v>58</v>
      </c>
      <c r="N787" s="156"/>
      <c r="O787" s="148" t="s">
        <v>810</v>
      </c>
      <c r="P787" s="158">
        <v>32</v>
      </c>
      <c r="Q787" s="152" t="s">
        <v>60</v>
      </c>
      <c r="R787" s="152" t="s">
        <v>61</v>
      </c>
      <c r="S787" s="148" t="s">
        <v>3143</v>
      </c>
      <c r="T787" s="148">
        <v>0</v>
      </c>
      <c r="U787" s="159">
        <v>518</v>
      </c>
      <c r="V787" s="160" t="str">
        <f>VLOOKUP(U787,docentes!$A:$E,2,0)</f>
        <v>SERGIO HENRIQUE BEZERRA DE SOUSA LEAL</v>
      </c>
      <c r="W787" s="161" t="str">
        <f>VLOOKUP(U787,docentes!$A:$E,5,0)</f>
        <v>CCNH</v>
      </c>
      <c r="X787" s="162"/>
      <c r="Y787" s="163"/>
      <c r="Z787" s="164"/>
    </row>
    <row r="788" spans="1:28" s="44" customFormat="1" ht="66.75" customHeight="1">
      <c r="A788" s="148" t="s">
        <v>1126</v>
      </c>
      <c r="B788" s="146" t="s">
        <v>3144</v>
      </c>
      <c r="C788" s="149" t="s">
        <v>3140</v>
      </c>
      <c r="D788" s="150">
        <v>2</v>
      </c>
      <c r="E788" s="150" t="s">
        <v>3141</v>
      </c>
      <c r="F788" s="151" t="s">
        <v>3145</v>
      </c>
      <c r="G788" s="152">
        <v>2</v>
      </c>
      <c r="H788" s="152">
        <v>0</v>
      </c>
      <c r="I788" s="153">
        <v>2</v>
      </c>
      <c r="J788" s="154">
        <v>2</v>
      </c>
      <c r="K788" s="155">
        <v>0</v>
      </c>
      <c r="L788" s="148" t="s">
        <v>67</v>
      </c>
      <c r="M788" s="148" t="s">
        <v>68</v>
      </c>
      <c r="N788" s="156"/>
      <c r="O788" s="148" t="s">
        <v>913</v>
      </c>
      <c r="P788" s="158">
        <v>41</v>
      </c>
      <c r="Q788" s="152" t="s">
        <v>60</v>
      </c>
      <c r="R788" s="152" t="s">
        <v>70</v>
      </c>
      <c r="S788" s="148" t="s">
        <v>3146</v>
      </c>
      <c r="T788" s="148">
        <v>0</v>
      </c>
      <c r="U788" s="159">
        <v>518</v>
      </c>
      <c r="V788" s="160" t="str">
        <f>VLOOKUP(U788,docentes!$A:$E,2,0)</f>
        <v>SERGIO HENRIQUE BEZERRA DE SOUSA LEAL</v>
      </c>
      <c r="W788" s="161" t="str">
        <f>VLOOKUP(U788,docentes!$A:$E,5,0)</f>
        <v>CCNH</v>
      </c>
      <c r="X788" s="162"/>
      <c r="Y788" s="163"/>
      <c r="Z788" s="164"/>
    </row>
    <row r="789" spans="1:28" s="44" customFormat="1" ht="66.75" customHeight="1">
      <c r="A789" s="148" t="s">
        <v>636</v>
      </c>
      <c r="B789" s="146" t="s">
        <v>3147</v>
      </c>
      <c r="C789" s="149" t="s">
        <v>3148</v>
      </c>
      <c r="D789" s="150">
        <v>2</v>
      </c>
      <c r="E789" s="150" t="s">
        <v>3149</v>
      </c>
      <c r="F789" s="151" t="s">
        <v>3150</v>
      </c>
      <c r="G789" s="152">
        <v>4</v>
      </c>
      <c r="H789" s="152">
        <v>0</v>
      </c>
      <c r="I789" s="153">
        <v>4</v>
      </c>
      <c r="J789" s="154">
        <v>4</v>
      </c>
      <c r="K789" s="155">
        <v>0</v>
      </c>
      <c r="L789" s="148" t="s">
        <v>57</v>
      </c>
      <c r="M789" s="148" t="s">
        <v>58</v>
      </c>
      <c r="N789" s="156"/>
      <c r="O789" s="157" t="s">
        <v>59</v>
      </c>
      <c r="P789" s="158">
        <v>40</v>
      </c>
      <c r="Q789" s="152" t="s">
        <v>76</v>
      </c>
      <c r="R789" s="152" t="s">
        <v>61</v>
      </c>
      <c r="S789" s="148" t="s">
        <v>3151</v>
      </c>
      <c r="T789" s="148">
        <v>0</v>
      </c>
      <c r="U789" s="159">
        <v>51</v>
      </c>
      <c r="V789" s="160" t="str">
        <f>VLOOKUP(U789,docentes!$A:$E,2,0)</f>
        <v>ANDRE MASCIOLI CRAVO</v>
      </c>
      <c r="W789" s="161" t="str">
        <f>VLOOKUP(U789,docentes!$A:$E,5,0)</f>
        <v>CMCC</v>
      </c>
      <c r="X789" s="162">
        <v>573</v>
      </c>
      <c r="Y789" s="163" t="str">
        <f>VLOOKUP(X789,docentes!$A:$E,2,0)</f>
        <v>YOSSI ZANA</v>
      </c>
      <c r="Z789" s="164" t="str">
        <f>VLOOKUP(X789,docentes!$A:$E,5,0)</f>
        <v>CMCC</v>
      </c>
      <c r="AB789" s="45"/>
    </row>
    <row r="790" spans="1:28" s="44" customFormat="1" ht="66.75" customHeight="1">
      <c r="A790" s="148" t="s">
        <v>636</v>
      </c>
      <c r="B790" s="146" t="s">
        <v>3152</v>
      </c>
      <c r="C790" s="149" t="s">
        <v>3148</v>
      </c>
      <c r="D790" s="150">
        <v>2</v>
      </c>
      <c r="E790" s="150" t="s">
        <v>3149</v>
      </c>
      <c r="F790" s="151" t="s">
        <v>3153</v>
      </c>
      <c r="G790" s="152">
        <v>4</v>
      </c>
      <c r="H790" s="152">
        <v>0</v>
      </c>
      <c r="I790" s="153">
        <v>4</v>
      </c>
      <c r="J790" s="154">
        <v>4</v>
      </c>
      <c r="K790" s="155">
        <v>0</v>
      </c>
      <c r="L790" s="148" t="s">
        <v>57</v>
      </c>
      <c r="M790" s="148" t="s">
        <v>58</v>
      </c>
      <c r="N790" s="156"/>
      <c r="O790" s="157" t="s">
        <v>59</v>
      </c>
      <c r="P790" s="158">
        <v>40</v>
      </c>
      <c r="Q790" s="152" t="s">
        <v>76</v>
      </c>
      <c r="R790" s="152" t="s">
        <v>70</v>
      </c>
      <c r="S790" s="148" t="s">
        <v>3154</v>
      </c>
      <c r="T790" s="148">
        <v>0</v>
      </c>
      <c r="U790" s="159">
        <v>573</v>
      </c>
      <c r="V790" s="160" t="str">
        <f>VLOOKUP(U790,docentes!$A:$E,2,0)</f>
        <v>YOSSI ZANA</v>
      </c>
      <c r="W790" s="161" t="str">
        <f>VLOOKUP(U790,docentes!$A:$E,5,0)</f>
        <v>CMCC</v>
      </c>
      <c r="X790" s="162">
        <v>51</v>
      </c>
      <c r="Y790" s="163" t="str">
        <f>VLOOKUP(X790,docentes!$A:$E,2,0)</f>
        <v>ANDRE MASCIOLI CRAVO</v>
      </c>
      <c r="Z790" s="164" t="str">
        <f>VLOOKUP(X790,docentes!$A:$E,5,0)</f>
        <v>CMCC</v>
      </c>
      <c r="AB790" s="45"/>
    </row>
    <row r="791" spans="1:28" s="44" customFormat="1" ht="66.75" customHeight="1">
      <c r="A791" s="148" t="s">
        <v>128</v>
      </c>
      <c r="B791" s="146" t="s">
        <v>3155</v>
      </c>
      <c r="C791" s="149" t="s">
        <v>3156</v>
      </c>
      <c r="D791" s="150">
        <v>1</v>
      </c>
      <c r="E791" s="150" t="s">
        <v>3157</v>
      </c>
      <c r="F791" s="151" t="s">
        <v>3158</v>
      </c>
      <c r="G791" s="152">
        <v>2</v>
      </c>
      <c r="H791" s="152">
        <v>2</v>
      </c>
      <c r="I791" s="153">
        <v>4</v>
      </c>
      <c r="J791" s="154">
        <v>2</v>
      </c>
      <c r="K791" s="155">
        <v>2</v>
      </c>
      <c r="L791" s="148" t="s">
        <v>57</v>
      </c>
      <c r="M791" s="148" t="s">
        <v>58</v>
      </c>
      <c r="N791" s="156"/>
      <c r="O791" s="157" t="s">
        <v>59</v>
      </c>
      <c r="P791" s="158">
        <v>42</v>
      </c>
      <c r="Q791" s="149" t="s">
        <v>76</v>
      </c>
      <c r="R791" s="152" t="s">
        <v>70</v>
      </c>
      <c r="S791" s="148">
        <v>0</v>
      </c>
      <c r="T791" s="148" t="s">
        <v>3159</v>
      </c>
      <c r="U791" s="159">
        <v>443</v>
      </c>
      <c r="V791" s="160" t="str">
        <f>VLOOKUP(U791,docentes!$A:$E,2,0)</f>
        <v>PATRICIA BELFIORE FAVERO</v>
      </c>
      <c r="W791" s="161" t="str">
        <f>VLOOKUP(U791,docentes!$A:$E,5,0)</f>
        <v>CECS</v>
      </c>
      <c r="X791" s="176">
        <v>443</v>
      </c>
      <c r="Y791" s="160" t="str">
        <f>VLOOKUP(X791,docentes!$A:$E,2,0)</f>
        <v>PATRICIA BELFIORE FAVERO</v>
      </c>
      <c r="Z791" s="177" t="str">
        <f>VLOOKUP(X791,docentes!$A:$E,5,0)</f>
        <v>CECS</v>
      </c>
    </row>
    <row r="792" spans="1:28" s="44" customFormat="1" ht="66.75" customHeight="1">
      <c r="A792" s="148" t="s">
        <v>884</v>
      </c>
      <c r="B792" s="146" t="s">
        <v>3160</v>
      </c>
      <c r="C792" s="149" t="s">
        <v>3161</v>
      </c>
      <c r="D792" s="150">
        <v>1</v>
      </c>
      <c r="E792" s="150" t="s">
        <v>3162</v>
      </c>
      <c r="F792" s="151" t="s">
        <v>3163</v>
      </c>
      <c r="G792" s="152">
        <v>2</v>
      </c>
      <c r="H792" s="152">
        <v>2</v>
      </c>
      <c r="I792" s="153">
        <v>4</v>
      </c>
      <c r="J792" s="154">
        <v>2</v>
      </c>
      <c r="K792" s="155">
        <v>2</v>
      </c>
      <c r="L792" s="148" t="s">
        <v>97</v>
      </c>
      <c r="M792" s="148" t="s">
        <v>58</v>
      </c>
      <c r="N792" s="156"/>
      <c r="O792" s="157" t="s">
        <v>59</v>
      </c>
      <c r="P792" s="158">
        <v>30</v>
      </c>
      <c r="Q792" s="152" t="s">
        <v>60</v>
      </c>
      <c r="R792" s="152" t="s">
        <v>70</v>
      </c>
      <c r="S792" s="148" t="s">
        <v>3164</v>
      </c>
      <c r="T792" s="148" t="s">
        <v>3165</v>
      </c>
      <c r="U792" s="159">
        <v>108</v>
      </c>
      <c r="V792" s="160" t="str">
        <f>VLOOKUP(U792,docentes!$A:$E,2,0)</f>
        <v>CLAUDIO JOSE BORDIN JUNIOR</v>
      </c>
      <c r="W792" s="161" t="str">
        <f>VLOOKUP(U792,docentes!$A:$E,5,0)</f>
        <v>CECS</v>
      </c>
      <c r="X792" s="176">
        <v>108</v>
      </c>
      <c r="Y792" s="160" t="str">
        <f>VLOOKUP(X792,docentes!$A:$E,2,0)</f>
        <v>CLAUDIO JOSE BORDIN JUNIOR</v>
      </c>
      <c r="Z792" s="177" t="str">
        <f>VLOOKUP(X792,docentes!$A:$E,5,0)</f>
        <v>CECS</v>
      </c>
    </row>
    <row r="793" spans="1:28" s="44" customFormat="1" ht="66.75" customHeight="1">
      <c r="A793" s="148" t="s">
        <v>993</v>
      </c>
      <c r="B793" s="146" t="s">
        <v>3166</v>
      </c>
      <c r="C793" s="149" t="s">
        <v>3167</v>
      </c>
      <c r="D793" s="150">
        <v>1</v>
      </c>
      <c r="E793" s="150" t="s">
        <v>3168</v>
      </c>
      <c r="F793" s="151" t="s">
        <v>3169</v>
      </c>
      <c r="G793" s="152">
        <v>3</v>
      </c>
      <c r="H793" s="152">
        <v>1</v>
      </c>
      <c r="I793" s="153">
        <v>4</v>
      </c>
      <c r="J793" s="154">
        <v>3</v>
      </c>
      <c r="K793" s="155">
        <v>1</v>
      </c>
      <c r="L793" s="148" t="s">
        <v>998</v>
      </c>
      <c r="M793" s="148" t="s">
        <v>68</v>
      </c>
      <c r="N793" s="156">
        <v>36</v>
      </c>
      <c r="O793" s="165" t="s">
        <v>913</v>
      </c>
      <c r="P793" s="158">
        <v>36</v>
      </c>
      <c r="Q793" s="152" t="s">
        <v>60</v>
      </c>
      <c r="R793" s="152" t="s">
        <v>70</v>
      </c>
      <c r="S793" s="148" t="s">
        <v>3170</v>
      </c>
      <c r="T793" s="148" t="s">
        <v>3171</v>
      </c>
      <c r="U793" s="159">
        <v>129</v>
      </c>
      <c r="V793" s="160" t="str">
        <f>VLOOKUP(U793,docentes!$A:$E,2,0)</f>
        <v>DANILO JUSTINO CARASTAN</v>
      </c>
      <c r="W793" s="161" t="str">
        <f>VLOOKUP(U793,docentes!$A:$E,5,0)</f>
        <v>CECS</v>
      </c>
      <c r="X793" s="176">
        <v>532</v>
      </c>
      <c r="Y793" s="160" t="str">
        <f>VLOOKUP(X793,docentes!$A:$E,2,0)</f>
        <v>SUEL ERIC VIDOTTI</v>
      </c>
      <c r="Z793" s="177" t="str">
        <f>VLOOKUP(X793,docentes!$A:$E,5,0)</f>
        <v>CECS</v>
      </c>
    </row>
    <row r="794" spans="1:28" s="44" customFormat="1" ht="66.75" customHeight="1">
      <c r="A794" s="148" t="s">
        <v>993</v>
      </c>
      <c r="B794" s="146" t="s">
        <v>3172</v>
      </c>
      <c r="C794" s="149" t="s">
        <v>3173</v>
      </c>
      <c r="D794" s="150">
        <v>1</v>
      </c>
      <c r="E794" s="150" t="s">
        <v>3174</v>
      </c>
      <c r="F794" s="151" t="s">
        <v>3175</v>
      </c>
      <c r="G794" s="152">
        <v>3</v>
      </c>
      <c r="H794" s="152">
        <v>1</v>
      </c>
      <c r="I794" s="153">
        <v>4</v>
      </c>
      <c r="J794" s="154">
        <v>3</v>
      </c>
      <c r="K794" s="155">
        <v>1</v>
      </c>
      <c r="L794" s="148" t="s">
        <v>998</v>
      </c>
      <c r="M794" s="148" t="s">
        <v>68</v>
      </c>
      <c r="N794" s="156">
        <v>36</v>
      </c>
      <c r="O794" s="165" t="s">
        <v>913</v>
      </c>
      <c r="P794" s="158">
        <v>36</v>
      </c>
      <c r="Q794" s="152" t="s">
        <v>60</v>
      </c>
      <c r="R794" s="152" t="s">
        <v>70</v>
      </c>
      <c r="S794" s="148" t="s">
        <v>3176</v>
      </c>
      <c r="T794" s="148" t="s">
        <v>3177</v>
      </c>
      <c r="U794" s="159">
        <v>285</v>
      </c>
      <c r="V794" s="160" t="str">
        <f>VLOOKUP(U794,docentes!$A:$E,2,0)</f>
        <v>JOSE CARLOS MOREIRA</v>
      </c>
      <c r="W794" s="161" t="str">
        <f>VLOOKUP(U794,docentes!$A:$E,5,0)</f>
        <v>CECS</v>
      </c>
      <c r="X794" s="176">
        <v>285</v>
      </c>
      <c r="Y794" s="160" t="str">
        <f>VLOOKUP(X794,docentes!$A:$E,2,0)</f>
        <v>JOSE CARLOS MOREIRA</v>
      </c>
      <c r="Z794" s="177" t="str">
        <f>VLOOKUP(X794,docentes!$A:$E,5,0)</f>
        <v>CECS</v>
      </c>
    </row>
    <row r="795" spans="1:28" s="44" customFormat="1" ht="66.75" customHeight="1">
      <c r="A795" s="148" t="s">
        <v>1024</v>
      </c>
      <c r="B795" s="146" t="s">
        <v>3178</v>
      </c>
      <c r="C795" s="149" t="s">
        <v>3179</v>
      </c>
      <c r="D795" s="150">
        <v>2</v>
      </c>
      <c r="E795" s="150" t="s">
        <v>3180</v>
      </c>
      <c r="F795" s="151" t="s">
        <v>3181</v>
      </c>
      <c r="G795" s="152">
        <v>4</v>
      </c>
      <c r="H795" s="152">
        <v>0</v>
      </c>
      <c r="I795" s="153">
        <v>4</v>
      </c>
      <c r="J795" s="154">
        <v>4</v>
      </c>
      <c r="K795" s="155">
        <v>0</v>
      </c>
      <c r="L795" s="148" t="s">
        <v>97</v>
      </c>
      <c r="M795" s="148" t="s">
        <v>58</v>
      </c>
      <c r="N795" s="156"/>
      <c r="O795" s="157" t="s">
        <v>59</v>
      </c>
      <c r="P795" s="158">
        <v>90</v>
      </c>
      <c r="Q795" s="152" t="s">
        <v>76</v>
      </c>
      <c r="R795" s="152" t="s">
        <v>61</v>
      </c>
      <c r="S795" s="148" t="s">
        <v>3182</v>
      </c>
      <c r="T795" s="148">
        <v>0</v>
      </c>
      <c r="U795" s="159">
        <v>547</v>
      </c>
      <c r="V795" s="160" t="str">
        <f>VLOOKUP(U795,docentes!$A:$E,2,0)</f>
        <v>VALTER VENTURA DA ROCHA POMAR</v>
      </c>
      <c r="W795" s="161" t="str">
        <f>VLOOKUP(U795,docentes!$A:$E,5,0)</f>
        <v>CECS</v>
      </c>
      <c r="X795" s="162"/>
      <c r="Y795" s="163"/>
      <c r="Z795" s="164"/>
    </row>
    <row r="796" spans="1:28" s="44" customFormat="1" ht="66.75" customHeight="1">
      <c r="A796" s="148" t="s">
        <v>1024</v>
      </c>
      <c r="B796" s="146" t="s">
        <v>3183</v>
      </c>
      <c r="C796" s="149" t="s">
        <v>3179</v>
      </c>
      <c r="D796" s="150">
        <v>2</v>
      </c>
      <c r="E796" s="150" t="s">
        <v>3180</v>
      </c>
      <c r="F796" s="151" t="s">
        <v>3184</v>
      </c>
      <c r="G796" s="152">
        <v>4</v>
      </c>
      <c r="H796" s="152">
        <v>0</v>
      </c>
      <c r="I796" s="153">
        <v>4</v>
      </c>
      <c r="J796" s="154">
        <v>4</v>
      </c>
      <c r="K796" s="155">
        <v>0</v>
      </c>
      <c r="L796" s="148" t="s">
        <v>97</v>
      </c>
      <c r="M796" s="148" t="s">
        <v>58</v>
      </c>
      <c r="N796" s="156"/>
      <c r="O796" s="157" t="s">
        <v>59</v>
      </c>
      <c r="P796" s="158">
        <v>60</v>
      </c>
      <c r="Q796" s="152" t="s">
        <v>76</v>
      </c>
      <c r="R796" s="152" t="s">
        <v>70</v>
      </c>
      <c r="S796" s="148" t="s">
        <v>3185</v>
      </c>
      <c r="T796" s="148">
        <v>0</v>
      </c>
      <c r="U796" s="159">
        <v>293</v>
      </c>
      <c r="V796" s="160" t="str">
        <f>VLOOKUP(U796,docentes!$A:$E,2,0)</f>
        <v>JOSE PAULO GUEDES PINTO</v>
      </c>
      <c r="W796" s="161" t="str">
        <f>VLOOKUP(U796,docentes!$A:$E,5,0)</f>
        <v>CECS</v>
      </c>
      <c r="X796" s="162"/>
      <c r="Y796" s="163"/>
      <c r="Z796" s="164"/>
    </row>
    <row r="797" spans="1:28" s="44" customFormat="1" ht="66.75" customHeight="1">
      <c r="A797" s="148" t="s">
        <v>646</v>
      </c>
      <c r="B797" s="146" t="s">
        <v>3186</v>
      </c>
      <c r="C797" s="149" t="s">
        <v>3187</v>
      </c>
      <c r="D797" s="150">
        <v>2</v>
      </c>
      <c r="E797" s="150" t="s">
        <v>3188</v>
      </c>
      <c r="F797" s="151" t="s">
        <v>3189</v>
      </c>
      <c r="G797" s="152">
        <v>4</v>
      </c>
      <c r="H797" s="152">
        <v>2</v>
      </c>
      <c r="I797" s="153">
        <v>4</v>
      </c>
      <c r="J797" s="154">
        <v>4</v>
      </c>
      <c r="K797" s="155">
        <v>2</v>
      </c>
      <c r="L797" s="148" t="s">
        <v>57</v>
      </c>
      <c r="M797" s="148" t="s">
        <v>58</v>
      </c>
      <c r="N797" s="156"/>
      <c r="O797" s="157" t="s">
        <v>59</v>
      </c>
      <c r="P797" s="158">
        <v>30</v>
      </c>
      <c r="Q797" s="152" t="s">
        <v>60</v>
      </c>
      <c r="R797" s="152" t="s">
        <v>61</v>
      </c>
      <c r="S797" s="148" t="s">
        <v>3190</v>
      </c>
      <c r="T797" s="148" t="s">
        <v>3191</v>
      </c>
      <c r="U797" s="159">
        <v>356</v>
      </c>
      <c r="V797" s="160" t="str">
        <f>VLOOKUP(U797,docentes!$A:$E,2,0)</f>
        <v>MARCELA SORELLI CARNEIRO RAMOS</v>
      </c>
      <c r="W797" s="161" t="str">
        <f>VLOOKUP(U797,docentes!$A:$E,5,0)</f>
        <v>CCNH</v>
      </c>
      <c r="X797" s="176">
        <v>356</v>
      </c>
      <c r="Y797" s="160" t="str">
        <f>VLOOKUP(X797,docentes!$A:$E,2,0)</f>
        <v>MARCELA SORELLI CARNEIRO RAMOS</v>
      </c>
      <c r="Z797" s="177" t="str">
        <f>VLOOKUP(X797,docentes!$A:$E,5,0)</f>
        <v>CCNH</v>
      </c>
    </row>
    <row r="798" spans="1:28" s="44" customFormat="1" ht="66.75" customHeight="1">
      <c r="A798" s="148" t="s">
        <v>646</v>
      </c>
      <c r="B798" s="146" t="s">
        <v>3192</v>
      </c>
      <c r="C798" s="149" t="s">
        <v>3187</v>
      </c>
      <c r="D798" s="150">
        <v>2</v>
      </c>
      <c r="E798" s="150" t="s">
        <v>3188</v>
      </c>
      <c r="F798" s="151" t="s">
        <v>3193</v>
      </c>
      <c r="G798" s="152">
        <v>4</v>
      </c>
      <c r="H798" s="152">
        <v>2</v>
      </c>
      <c r="I798" s="153">
        <v>4</v>
      </c>
      <c r="J798" s="154">
        <v>4</v>
      </c>
      <c r="K798" s="155">
        <v>2</v>
      </c>
      <c r="L798" s="148" t="s">
        <v>57</v>
      </c>
      <c r="M798" s="148" t="s">
        <v>58</v>
      </c>
      <c r="N798" s="156"/>
      <c r="O798" s="157" t="s">
        <v>59</v>
      </c>
      <c r="P798" s="158">
        <v>30</v>
      </c>
      <c r="Q798" s="152" t="s">
        <v>60</v>
      </c>
      <c r="R798" s="152" t="s">
        <v>70</v>
      </c>
      <c r="S798" s="148" t="s">
        <v>3194</v>
      </c>
      <c r="T798" s="148" t="s">
        <v>3195</v>
      </c>
      <c r="U798" s="159">
        <v>358</v>
      </c>
      <c r="V798" s="160" t="str">
        <f>VLOOKUP(U798,docentes!$A:$E,2,0)</f>
        <v>MARCELO AUGUSTO CHRISTOFFOLETE</v>
      </c>
      <c r="W798" s="161" t="str">
        <f>VLOOKUP(U798,docentes!$A:$E,5,0)</f>
        <v>CCNH</v>
      </c>
      <c r="X798" s="176">
        <v>358</v>
      </c>
      <c r="Y798" s="160" t="str">
        <f>VLOOKUP(X798,docentes!$A:$E,2,0)</f>
        <v>MARCELO AUGUSTO CHRISTOFFOLETE</v>
      </c>
      <c r="Z798" s="177" t="str">
        <f>VLOOKUP(X798,docentes!$A:$E,5,0)</f>
        <v>CCNH</v>
      </c>
    </row>
    <row r="799" spans="1:28" s="44" customFormat="1" ht="66.75" customHeight="1">
      <c r="A799" s="148" t="s">
        <v>128</v>
      </c>
      <c r="B799" s="146" t="s">
        <v>3196</v>
      </c>
      <c r="C799" s="149" t="s">
        <v>3197</v>
      </c>
      <c r="D799" s="150">
        <v>2</v>
      </c>
      <c r="E799" s="150" t="s">
        <v>3198</v>
      </c>
      <c r="F799" s="151" t="s">
        <v>3199</v>
      </c>
      <c r="G799" s="152">
        <v>3</v>
      </c>
      <c r="H799" s="152">
        <v>1</v>
      </c>
      <c r="I799" s="153">
        <v>4</v>
      </c>
      <c r="J799" s="154">
        <v>3</v>
      </c>
      <c r="K799" s="155">
        <v>1</v>
      </c>
      <c r="L799" s="148" t="s">
        <v>57</v>
      </c>
      <c r="M799" s="148" t="s">
        <v>58</v>
      </c>
      <c r="N799" s="156"/>
      <c r="O799" s="157" t="s">
        <v>59</v>
      </c>
      <c r="P799" s="158">
        <v>32</v>
      </c>
      <c r="Q799" s="152" t="s">
        <v>60</v>
      </c>
      <c r="R799" s="152" t="s">
        <v>70</v>
      </c>
      <c r="S799" s="148">
        <v>0</v>
      </c>
      <c r="T799" s="148" t="s">
        <v>3200</v>
      </c>
      <c r="U799" s="159">
        <v>187</v>
      </c>
      <c r="V799" s="160" t="str">
        <f>VLOOKUP(U799,docentes!$A:$E,2,0)</f>
        <v>FERNANDO GASI</v>
      </c>
      <c r="W799" s="161" t="str">
        <f>VLOOKUP(U799,docentes!$A:$E,5,0)</f>
        <v>CECS</v>
      </c>
      <c r="X799" s="176">
        <v>187</v>
      </c>
      <c r="Y799" s="160" t="str">
        <f>VLOOKUP(X799,docentes!$A:$E,2,0)</f>
        <v>FERNANDO GASI</v>
      </c>
      <c r="Z799" s="177" t="str">
        <f>VLOOKUP(X799,docentes!$A:$E,5,0)</f>
        <v>CECS</v>
      </c>
    </row>
    <row r="800" spans="1:28" s="44" customFormat="1" ht="66.75" customHeight="1">
      <c r="A800" s="148" t="s">
        <v>128</v>
      </c>
      <c r="B800" s="146" t="s">
        <v>3201</v>
      </c>
      <c r="C800" s="149" t="s">
        <v>3197</v>
      </c>
      <c r="D800" s="150">
        <v>2</v>
      </c>
      <c r="E800" s="150" t="s">
        <v>3198</v>
      </c>
      <c r="F800" s="151" t="s">
        <v>3202</v>
      </c>
      <c r="G800" s="152">
        <v>3</v>
      </c>
      <c r="H800" s="152">
        <v>1</v>
      </c>
      <c r="I800" s="153">
        <v>4</v>
      </c>
      <c r="J800" s="154">
        <v>3</v>
      </c>
      <c r="K800" s="155">
        <v>1</v>
      </c>
      <c r="L800" s="148" t="s">
        <v>57</v>
      </c>
      <c r="M800" s="148" t="s">
        <v>58</v>
      </c>
      <c r="N800" s="156"/>
      <c r="O800" s="157" t="s">
        <v>59</v>
      </c>
      <c r="P800" s="158">
        <v>32</v>
      </c>
      <c r="Q800" s="152" t="s">
        <v>60</v>
      </c>
      <c r="R800" s="152" t="s">
        <v>70</v>
      </c>
      <c r="S800" s="148">
        <v>0</v>
      </c>
      <c r="T800" s="148" t="s">
        <v>3203</v>
      </c>
      <c r="U800" s="159">
        <v>167</v>
      </c>
      <c r="V800" s="160" t="str">
        <f>VLOOKUP(U800,docentes!$A:$E,2,0)</f>
        <v>ERIK GUSTAVO DEL CONTE</v>
      </c>
      <c r="W800" s="161" t="str">
        <f>VLOOKUP(U800,docentes!$A:$E,5,0)</f>
        <v>CECS</v>
      </c>
      <c r="X800" s="176">
        <v>167</v>
      </c>
      <c r="Y800" s="160" t="str">
        <f>VLOOKUP(X800,docentes!$A:$E,2,0)</f>
        <v>ERIK GUSTAVO DEL CONTE</v>
      </c>
      <c r="Z800" s="177" t="str">
        <f>VLOOKUP(X800,docentes!$A:$E,5,0)</f>
        <v>CECS</v>
      </c>
    </row>
    <row r="801" spans="1:35" s="44" customFormat="1" ht="66.75" customHeight="1">
      <c r="A801" s="148" t="s">
        <v>134</v>
      </c>
      <c r="B801" s="146" t="s">
        <v>3204</v>
      </c>
      <c r="C801" s="149" t="s">
        <v>3205</v>
      </c>
      <c r="D801" s="150">
        <v>2</v>
      </c>
      <c r="E801" s="150" t="s">
        <v>3206</v>
      </c>
      <c r="F801" s="151" t="s">
        <v>3207</v>
      </c>
      <c r="G801" s="152">
        <v>3</v>
      </c>
      <c r="H801" s="152">
        <v>2</v>
      </c>
      <c r="I801" s="153">
        <v>4</v>
      </c>
      <c r="J801" s="154">
        <v>3</v>
      </c>
      <c r="K801" s="155">
        <v>2</v>
      </c>
      <c r="L801" s="148" t="s">
        <v>821</v>
      </c>
      <c r="M801" s="148" t="s">
        <v>68</v>
      </c>
      <c r="N801" s="156">
        <v>33</v>
      </c>
      <c r="O801" s="148" t="s">
        <v>1155</v>
      </c>
      <c r="P801" s="158">
        <v>33</v>
      </c>
      <c r="Q801" s="152" t="s">
        <v>60</v>
      </c>
      <c r="R801" s="152" t="s">
        <v>61</v>
      </c>
      <c r="S801" s="148" t="s">
        <v>3208</v>
      </c>
      <c r="T801" s="148" t="s">
        <v>3209</v>
      </c>
      <c r="U801" s="159">
        <v>490</v>
      </c>
      <c r="V801" s="160" t="str">
        <f>VLOOKUP(U801,docentes!$A:$E,2,0)</f>
        <v>ROBERTO LUIZ DA CUNHA BARROSO RAMOS</v>
      </c>
      <c r="W801" s="161" t="str">
        <f>VLOOKUP(U801,docentes!$A:$E,5,0)</f>
        <v>CECS</v>
      </c>
      <c r="X801" s="176">
        <v>490</v>
      </c>
      <c r="Y801" s="160" t="str">
        <f>VLOOKUP(X801,docentes!$A:$E,2,0)</f>
        <v>ROBERTO LUIZ DA CUNHA BARROSO RAMOS</v>
      </c>
      <c r="Z801" s="177" t="str">
        <f>VLOOKUP(X801,docentes!$A:$E,5,0)</f>
        <v>CECS</v>
      </c>
    </row>
    <row r="802" spans="1:35" s="44" customFormat="1" ht="66.75" customHeight="1">
      <c r="A802" s="148" t="s">
        <v>134</v>
      </c>
      <c r="B802" s="146" t="s">
        <v>3210</v>
      </c>
      <c r="C802" s="149" t="s">
        <v>3205</v>
      </c>
      <c r="D802" s="150">
        <v>2</v>
      </c>
      <c r="E802" s="150" t="s">
        <v>3206</v>
      </c>
      <c r="F802" s="151" t="s">
        <v>3211</v>
      </c>
      <c r="G802" s="152">
        <v>3</v>
      </c>
      <c r="H802" s="152">
        <v>2</v>
      </c>
      <c r="I802" s="153">
        <v>4</v>
      </c>
      <c r="J802" s="154">
        <v>3</v>
      </c>
      <c r="K802" s="155">
        <v>2</v>
      </c>
      <c r="L802" s="148" t="s">
        <v>821</v>
      </c>
      <c r="M802" s="148" t="s">
        <v>68</v>
      </c>
      <c r="N802" s="156">
        <v>33</v>
      </c>
      <c r="O802" s="165" t="s">
        <v>1155</v>
      </c>
      <c r="P802" s="158">
        <v>33</v>
      </c>
      <c r="Q802" s="152" t="s">
        <v>60</v>
      </c>
      <c r="R802" s="152" t="s">
        <v>70</v>
      </c>
      <c r="S802" s="148" t="s">
        <v>3212</v>
      </c>
      <c r="T802" s="148" t="s">
        <v>3213</v>
      </c>
      <c r="U802" s="159">
        <v>555</v>
      </c>
      <c r="V802" s="160" t="str">
        <f>VLOOKUP(U802,docentes!$A:$E,2,0)</f>
        <v>VICTOR AUGUSTO FERNANDES DE CAMPOS</v>
      </c>
      <c r="W802" s="161" t="str">
        <f>VLOOKUP(U802,docentes!$A:$E,5,0)</f>
        <v>CECS</v>
      </c>
      <c r="X802" s="176">
        <v>555</v>
      </c>
      <c r="Y802" s="160" t="str">
        <f>VLOOKUP(X802,docentes!$A:$E,2,0)</f>
        <v>VICTOR AUGUSTO FERNANDES DE CAMPOS</v>
      </c>
      <c r="Z802" s="177" t="str">
        <f>VLOOKUP(X802,docentes!$A:$E,5,0)</f>
        <v>CECS</v>
      </c>
    </row>
    <row r="803" spans="1:35" s="44" customFormat="1" ht="66.75" customHeight="1">
      <c r="A803" s="148" t="s">
        <v>52</v>
      </c>
      <c r="B803" s="146" t="s">
        <v>3214</v>
      </c>
      <c r="C803" s="149" t="s">
        <v>3215</v>
      </c>
      <c r="D803" s="150">
        <v>1</v>
      </c>
      <c r="E803" s="150" t="s">
        <v>3216</v>
      </c>
      <c r="F803" s="151" t="s">
        <v>3217</v>
      </c>
      <c r="G803" s="152">
        <v>3</v>
      </c>
      <c r="H803" s="152">
        <v>2</v>
      </c>
      <c r="I803" s="153">
        <v>4</v>
      </c>
      <c r="J803" s="154">
        <v>3</v>
      </c>
      <c r="K803" s="155">
        <v>2</v>
      </c>
      <c r="L803" s="148" t="s">
        <v>57</v>
      </c>
      <c r="M803" s="148" t="s">
        <v>58</v>
      </c>
      <c r="N803" s="156">
        <v>0</v>
      </c>
      <c r="O803" s="157" t="s">
        <v>59</v>
      </c>
      <c r="P803" s="158">
        <v>31</v>
      </c>
      <c r="Q803" s="152" t="s">
        <v>60</v>
      </c>
      <c r="R803" s="152" t="s">
        <v>70</v>
      </c>
      <c r="S803" s="148" t="s">
        <v>3218</v>
      </c>
      <c r="T803" s="148" t="s">
        <v>3219</v>
      </c>
      <c r="U803" s="159">
        <v>46</v>
      </c>
      <c r="V803" s="160" t="str">
        <f>VLOOKUP(U803,docentes!$A:$E,2,0)</f>
        <v>ANDRE FENILI</v>
      </c>
      <c r="W803" s="161" t="str">
        <f>VLOOKUP(U803,docentes!$A:$E,5,0)</f>
        <v>CECS</v>
      </c>
      <c r="X803" s="176">
        <v>46</v>
      </c>
      <c r="Y803" s="160" t="str">
        <f>VLOOKUP(X803,docentes!$A:$E,2,0)</f>
        <v>ANDRE FENILI</v>
      </c>
      <c r="Z803" s="177" t="str">
        <f>VLOOKUP(X803,docentes!$A:$E,5,0)</f>
        <v>CECS</v>
      </c>
      <c r="AH803" s="45"/>
      <c r="AI803" s="45"/>
    </row>
    <row r="804" spans="1:35" s="44" customFormat="1" ht="66.75" customHeight="1">
      <c r="A804" s="148" t="s">
        <v>184</v>
      </c>
      <c r="B804" s="146" t="s">
        <v>3220</v>
      </c>
      <c r="C804" s="149" t="s">
        <v>3221</v>
      </c>
      <c r="D804" s="150">
        <v>2</v>
      </c>
      <c r="E804" s="150" t="s">
        <v>3222</v>
      </c>
      <c r="F804" s="151" t="s">
        <v>3223</v>
      </c>
      <c r="G804" s="152">
        <v>2</v>
      </c>
      <c r="H804" s="152">
        <v>2</v>
      </c>
      <c r="I804" s="153">
        <v>5</v>
      </c>
      <c r="J804" s="154">
        <v>2</v>
      </c>
      <c r="K804" s="155">
        <v>2</v>
      </c>
      <c r="L804" s="148" t="s">
        <v>57</v>
      </c>
      <c r="M804" s="148" t="s">
        <v>58</v>
      </c>
      <c r="N804" s="156"/>
      <c r="O804" s="157" t="s">
        <v>59</v>
      </c>
      <c r="P804" s="158">
        <v>60</v>
      </c>
      <c r="Q804" s="152" t="s">
        <v>60</v>
      </c>
      <c r="R804" s="152" t="s">
        <v>61</v>
      </c>
      <c r="S804" s="148" t="s">
        <v>3224</v>
      </c>
      <c r="T804" s="167">
        <v>0</v>
      </c>
      <c r="U804" s="159">
        <v>219</v>
      </c>
      <c r="V804" s="160" t="str">
        <f>VLOOKUP(U804,docentes!$A:$E,2,0)</f>
        <v>GILSON LAMEIRA DE LIMA</v>
      </c>
      <c r="W804" s="161" t="str">
        <f>VLOOKUP(U804,docentes!$A:$E,5,0)</f>
        <v>CECS</v>
      </c>
      <c r="X804" s="176">
        <v>417</v>
      </c>
      <c r="Y804" s="160" t="str">
        <f>VLOOKUP(X804,docentes!$A:$E,2,0)</f>
        <v>MELISSA CRISTINA PEREIRA GRACIOSA</v>
      </c>
      <c r="Z804" s="177" t="str">
        <f>VLOOKUP(X804,docentes!$A:$E,5,0)</f>
        <v>CECS</v>
      </c>
    </row>
    <row r="805" spans="1:35" s="44" customFormat="1" ht="66.75" customHeight="1">
      <c r="A805" s="148" t="s">
        <v>184</v>
      </c>
      <c r="B805" s="146" t="s">
        <v>3225</v>
      </c>
      <c r="C805" s="149" t="s">
        <v>3221</v>
      </c>
      <c r="D805" s="150">
        <v>2</v>
      </c>
      <c r="E805" s="150" t="s">
        <v>3222</v>
      </c>
      <c r="F805" s="151" t="s">
        <v>3226</v>
      </c>
      <c r="G805" s="152">
        <v>2</v>
      </c>
      <c r="H805" s="152">
        <v>2</v>
      </c>
      <c r="I805" s="153">
        <v>5</v>
      </c>
      <c r="J805" s="154">
        <v>2</v>
      </c>
      <c r="K805" s="155">
        <v>2</v>
      </c>
      <c r="L805" s="148" t="s">
        <v>821</v>
      </c>
      <c r="M805" s="148" t="s">
        <v>68</v>
      </c>
      <c r="N805" s="151">
        <v>65</v>
      </c>
      <c r="O805" s="165" t="s">
        <v>940</v>
      </c>
      <c r="P805" s="158">
        <v>65</v>
      </c>
      <c r="Q805" s="152" t="s">
        <v>60</v>
      </c>
      <c r="R805" s="152" t="s">
        <v>70</v>
      </c>
      <c r="S805" s="148" t="s">
        <v>3227</v>
      </c>
      <c r="T805" s="167">
        <v>0</v>
      </c>
      <c r="U805" s="159">
        <v>417</v>
      </c>
      <c r="V805" s="160" t="str">
        <f>VLOOKUP(U805,docentes!$A:$E,2,0)</f>
        <v>MELISSA CRISTINA PEREIRA GRACIOSA</v>
      </c>
      <c r="W805" s="161" t="str">
        <f>VLOOKUP(U805,docentes!$A:$E,5,0)</f>
        <v>CECS</v>
      </c>
      <c r="X805" s="176">
        <v>219</v>
      </c>
      <c r="Y805" s="160" t="str">
        <f>VLOOKUP(X805,docentes!$A:$E,2,0)</f>
        <v>GILSON LAMEIRA DE LIMA</v>
      </c>
      <c r="Z805" s="177" t="str">
        <f>VLOOKUP(X805,docentes!$A:$E,5,0)</f>
        <v>CECS</v>
      </c>
    </row>
    <row r="806" spans="1:35" s="44" customFormat="1" ht="66.75" customHeight="1">
      <c r="A806" s="148" t="s">
        <v>52</v>
      </c>
      <c r="B806" s="146" t="s">
        <v>3228</v>
      </c>
      <c r="C806" s="149" t="s">
        <v>3229</v>
      </c>
      <c r="D806" s="150">
        <v>1</v>
      </c>
      <c r="E806" s="150" t="s">
        <v>3230</v>
      </c>
      <c r="F806" s="151" t="s">
        <v>3231</v>
      </c>
      <c r="G806" s="152">
        <v>3</v>
      </c>
      <c r="H806" s="152">
        <v>1</v>
      </c>
      <c r="I806" s="153">
        <v>5</v>
      </c>
      <c r="J806" s="154">
        <v>3</v>
      </c>
      <c r="K806" s="155">
        <v>1</v>
      </c>
      <c r="L806" s="148" t="s">
        <v>750</v>
      </c>
      <c r="M806" s="148" t="s">
        <v>58</v>
      </c>
      <c r="N806" s="156">
        <v>34</v>
      </c>
      <c r="O806" s="148" t="s">
        <v>2467</v>
      </c>
      <c r="P806" s="158">
        <v>34</v>
      </c>
      <c r="Q806" s="152" t="s">
        <v>60</v>
      </c>
      <c r="R806" s="152" t="s">
        <v>70</v>
      </c>
      <c r="S806" s="148" t="s">
        <v>3232</v>
      </c>
      <c r="T806" s="148" t="s">
        <v>3233</v>
      </c>
      <c r="U806" s="159">
        <v>86</v>
      </c>
      <c r="V806" s="160" t="str">
        <f>VLOOKUP(U806,docentes!$A:$E,2,0)</f>
        <v>CARLOS ALBERTO ROCHA PIMENTEL</v>
      </c>
      <c r="W806" s="161" t="str">
        <f>VLOOKUP(U806,docentes!$A:$E,5,0)</f>
        <v>CECS</v>
      </c>
      <c r="X806" s="176">
        <v>86</v>
      </c>
      <c r="Y806" s="160" t="str">
        <f>VLOOKUP(X806,docentes!$A:$E,2,0)</f>
        <v>CARLOS ALBERTO ROCHA PIMENTEL</v>
      </c>
      <c r="Z806" s="177" t="str">
        <f>VLOOKUP(X806,docentes!$A:$E,5,0)</f>
        <v>CECS</v>
      </c>
    </row>
    <row r="807" spans="1:35" s="44" customFormat="1" ht="66.75" customHeight="1">
      <c r="A807" s="148" t="s">
        <v>184</v>
      </c>
      <c r="B807" s="146" t="s">
        <v>3234</v>
      </c>
      <c r="C807" s="149" t="s">
        <v>3235</v>
      </c>
      <c r="D807" s="150">
        <v>2</v>
      </c>
      <c r="E807" s="150" t="s">
        <v>3236</v>
      </c>
      <c r="F807" s="151" t="s">
        <v>3237</v>
      </c>
      <c r="G807" s="152">
        <v>2</v>
      </c>
      <c r="H807" s="152">
        <v>2</v>
      </c>
      <c r="I807" s="153">
        <v>4</v>
      </c>
      <c r="J807" s="154">
        <v>2</v>
      </c>
      <c r="K807" s="155">
        <v>2</v>
      </c>
      <c r="L807" s="148" t="s">
        <v>57</v>
      </c>
      <c r="M807" s="148" t="s">
        <v>58</v>
      </c>
      <c r="N807" s="156"/>
      <c r="O807" s="157" t="s">
        <v>59</v>
      </c>
      <c r="P807" s="158">
        <v>60</v>
      </c>
      <c r="Q807" s="152" t="s">
        <v>60</v>
      </c>
      <c r="R807" s="152" t="s">
        <v>61</v>
      </c>
      <c r="S807" s="148" t="s">
        <v>3238</v>
      </c>
      <c r="T807" s="148">
        <v>0</v>
      </c>
      <c r="U807" s="159">
        <v>537</v>
      </c>
      <c r="V807" s="160" t="str">
        <f>VLOOKUP(U807,docentes!$A:$E,2,0)</f>
        <v>TATIANE ARAUJO DE JESUS</v>
      </c>
      <c r="W807" s="161" t="str">
        <f>VLOOKUP(U807,docentes!$A:$E,5,0)</f>
        <v>CECS</v>
      </c>
      <c r="X807" s="176">
        <v>155</v>
      </c>
      <c r="Y807" s="160" t="str">
        <f>VLOOKUP(X807,docentes!$A:$E,2,0)</f>
        <v>EDUARDO LUCAS SUBTIL</v>
      </c>
      <c r="Z807" s="177" t="str">
        <f>VLOOKUP(X807,docentes!$A:$E,5,0)</f>
        <v>CECS</v>
      </c>
    </row>
    <row r="808" spans="1:35" s="44" customFormat="1" ht="66.75" customHeight="1">
      <c r="A808" s="148" t="s">
        <v>184</v>
      </c>
      <c r="B808" s="146" t="s">
        <v>3239</v>
      </c>
      <c r="C808" s="149" t="s">
        <v>3235</v>
      </c>
      <c r="D808" s="150">
        <v>2</v>
      </c>
      <c r="E808" s="150" t="s">
        <v>3236</v>
      </c>
      <c r="F808" s="151" t="s">
        <v>3240</v>
      </c>
      <c r="G808" s="152">
        <v>2</v>
      </c>
      <c r="H808" s="152">
        <v>2</v>
      </c>
      <c r="I808" s="153">
        <v>4</v>
      </c>
      <c r="J808" s="154">
        <v>2</v>
      </c>
      <c r="K808" s="155">
        <v>2</v>
      </c>
      <c r="L808" s="148" t="s">
        <v>821</v>
      </c>
      <c r="M808" s="148" t="s">
        <v>68</v>
      </c>
      <c r="N808" s="156">
        <v>65</v>
      </c>
      <c r="O808" s="165" t="s">
        <v>940</v>
      </c>
      <c r="P808" s="158">
        <v>65</v>
      </c>
      <c r="Q808" s="152" t="s">
        <v>60</v>
      </c>
      <c r="R808" s="152" t="s">
        <v>70</v>
      </c>
      <c r="S808" s="148" t="s">
        <v>3241</v>
      </c>
      <c r="T808" s="148">
        <v>0</v>
      </c>
      <c r="U808" s="159">
        <v>155</v>
      </c>
      <c r="V808" s="160" t="str">
        <f>VLOOKUP(U808,docentes!$A:$E,2,0)</f>
        <v>EDUARDO LUCAS SUBTIL</v>
      </c>
      <c r="W808" s="161" t="str">
        <f>VLOOKUP(U808,docentes!$A:$E,5,0)</f>
        <v>CECS</v>
      </c>
      <c r="X808" s="176">
        <v>537</v>
      </c>
      <c r="Y808" s="160" t="str">
        <f>VLOOKUP(X808,docentes!$A:$E,2,0)</f>
        <v>TATIANE ARAUJO DE JESUS</v>
      </c>
      <c r="Z808" s="177" t="str">
        <f>VLOOKUP(X808,docentes!$A:$E,5,0)</f>
        <v>CECS</v>
      </c>
    </row>
    <row r="809" spans="1:35" s="44" customFormat="1" ht="66.75" customHeight="1">
      <c r="A809" s="148" t="s">
        <v>128</v>
      </c>
      <c r="B809" s="146" t="s">
        <v>3242</v>
      </c>
      <c r="C809" s="149" t="s">
        <v>3243</v>
      </c>
      <c r="D809" s="150">
        <v>1</v>
      </c>
      <c r="E809" s="150" t="s">
        <v>3244</v>
      </c>
      <c r="F809" s="151" t="s">
        <v>3245</v>
      </c>
      <c r="G809" s="152">
        <v>2</v>
      </c>
      <c r="H809" s="152">
        <v>2</v>
      </c>
      <c r="I809" s="153">
        <v>4</v>
      </c>
      <c r="J809" s="154">
        <v>2</v>
      </c>
      <c r="K809" s="155">
        <v>2</v>
      </c>
      <c r="L809" s="148" t="s">
        <v>57</v>
      </c>
      <c r="M809" s="148" t="s">
        <v>58</v>
      </c>
      <c r="N809" s="156"/>
      <c r="O809" s="157" t="s">
        <v>59</v>
      </c>
      <c r="P809" s="158">
        <v>63</v>
      </c>
      <c r="Q809" s="152" t="s">
        <v>76</v>
      </c>
      <c r="R809" s="152" t="s">
        <v>70</v>
      </c>
      <c r="S809" s="148" t="s">
        <v>3246</v>
      </c>
      <c r="T809" s="148">
        <v>0</v>
      </c>
      <c r="U809" s="159">
        <v>319</v>
      </c>
      <c r="V809" s="160" t="str">
        <f>VLOOKUP(U809,docentes!$A:$E,2,0)</f>
        <v>LEONARDO RIBEIRO RODRIGUES</v>
      </c>
      <c r="W809" s="161" t="str">
        <f>VLOOKUP(U809,docentes!$A:$E,5,0)</f>
        <v>CECS</v>
      </c>
      <c r="X809" s="176">
        <v>319</v>
      </c>
      <c r="Y809" s="160" t="str">
        <f>VLOOKUP(X809,docentes!$A:$E,2,0)</f>
        <v>LEONARDO RIBEIRO RODRIGUES</v>
      </c>
      <c r="Z809" s="177" t="str">
        <f>VLOOKUP(X809,docentes!$A:$E,5,0)</f>
        <v>CECS</v>
      </c>
    </row>
    <row r="810" spans="1:35" s="44" customFormat="1" ht="66.75" customHeight="1">
      <c r="A810" s="148" t="s">
        <v>805</v>
      </c>
      <c r="B810" s="146" t="s">
        <v>3247</v>
      </c>
      <c r="C810" s="149" t="s">
        <v>3248</v>
      </c>
      <c r="D810" s="150">
        <v>1</v>
      </c>
      <c r="E810" s="150" t="s">
        <v>3249</v>
      </c>
      <c r="F810" s="151" t="s">
        <v>3250</v>
      </c>
      <c r="G810" s="152">
        <v>4</v>
      </c>
      <c r="H810" s="152">
        <v>0</v>
      </c>
      <c r="I810" s="153">
        <v>4</v>
      </c>
      <c r="J810" s="154">
        <v>4</v>
      </c>
      <c r="K810" s="155">
        <v>0</v>
      </c>
      <c r="L810" s="148" t="s">
        <v>57</v>
      </c>
      <c r="M810" s="148" t="s">
        <v>58</v>
      </c>
      <c r="N810" s="156">
        <v>0</v>
      </c>
      <c r="O810" s="165" t="s">
        <v>810</v>
      </c>
      <c r="P810" s="158">
        <v>24</v>
      </c>
      <c r="Q810" s="152" t="s">
        <v>60</v>
      </c>
      <c r="R810" s="152" t="s">
        <v>70</v>
      </c>
      <c r="S810" s="148" t="s">
        <v>3251</v>
      </c>
      <c r="T810" s="148" t="s">
        <v>3252</v>
      </c>
      <c r="U810" s="159">
        <v>116</v>
      </c>
      <c r="V810" s="160" t="str">
        <f>VLOOKUP(U810,docentes!$A:$E,2,0)</f>
        <v>CRISTINA AUTUORI TOMAZETI</v>
      </c>
      <c r="W810" s="161" t="str">
        <f>VLOOKUP(U810,docentes!$A:$E,5,0)</f>
        <v>CECS</v>
      </c>
      <c r="X810" s="162">
        <v>116</v>
      </c>
      <c r="Y810" s="163" t="str">
        <f>VLOOKUP(X810,docentes!$A:$E,2,0)</f>
        <v>CRISTINA AUTUORI TOMAZETI</v>
      </c>
      <c r="Z810" s="164" t="str">
        <f>VLOOKUP(X810,docentes!$A:$E,5,0)</f>
        <v>CECS</v>
      </c>
      <c r="AB810" s="45"/>
    </row>
    <row r="811" spans="1:35" s="44" customFormat="1" ht="66.75" customHeight="1">
      <c r="A811" s="148" t="s">
        <v>884</v>
      </c>
      <c r="B811" s="146" t="s">
        <v>3253</v>
      </c>
      <c r="C811" s="149" t="s">
        <v>3254</v>
      </c>
      <c r="D811" s="150">
        <v>1</v>
      </c>
      <c r="E811" s="150" t="s">
        <v>3255</v>
      </c>
      <c r="F811" s="151" t="s">
        <v>3256</v>
      </c>
      <c r="G811" s="152">
        <v>3</v>
      </c>
      <c r="H811" s="152">
        <v>1</v>
      </c>
      <c r="I811" s="153">
        <v>4</v>
      </c>
      <c r="J811" s="154">
        <v>3</v>
      </c>
      <c r="K811" s="155">
        <v>1</v>
      </c>
      <c r="L811" s="148" t="s">
        <v>57</v>
      </c>
      <c r="M811" s="148" t="s">
        <v>58</v>
      </c>
      <c r="N811" s="156"/>
      <c r="O811" s="157" t="s">
        <v>59</v>
      </c>
      <c r="P811" s="158">
        <v>30</v>
      </c>
      <c r="Q811" s="152" t="s">
        <v>60</v>
      </c>
      <c r="R811" s="152" t="s">
        <v>61</v>
      </c>
      <c r="S811" s="148" t="s">
        <v>3257</v>
      </c>
      <c r="T811" s="148" t="s">
        <v>3258</v>
      </c>
      <c r="U811" s="159">
        <v>488</v>
      </c>
      <c r="V811" s="160" t="str">
        <f>VLOOKUP(U811,docentes!$A:$E,2,0)</f>
        <v>RICARDO SUYAMA</v>
      </c>
      <c r="W811" s="161" t="str">
        <f>VLOOKUP(U811,docentes!$A:$E,5,0)</f>
        <v>CECS</v>
      </c>
      <c r="X811" s="176">
        <v>488</v>
      </c>
      <c r="Y811" s="160" t="str">
        <f>VLOOKUP(X811,docentes!$A:$E,2,0)</f>
        <v>RICARDO SUYAMA</v>
      </c>
      <c r="Z811" s="177" t="str">
        <f>VLOOKUP(X811,docentes!$A:$E,5,0)</f>
        <v>CECS</v>
      </c>
    </row>
    <row r="812" spans="1:35" s="44" customFormat="1" ht="66.75" customHeight="1">
      <c r="A812" s="148" t="s">
        <v>884</v>
      </c>
      <c r="B812" s="146" t="s">
        <v>3259</v>
      </c>
      <c r="C812" s="149" t="s">
        <v>3260</v>
      </c>
      <c r="D812" s="150">
        <v>1</v>
      </c>
      <c r="E812" s="150" t="s">
        <v>3261</v>
      </c>
      <c r="F812" s="151" t="s">
        <v>3262</v>
      </c>
      <c r="G812" s="152">
        <v>2</v>
      </c>
      <c r="H812" s="152">
        <v>2</v>
      </c>
      <c r="I812" s="153">
        <v>4</v>
      </c>
      <c r="J812" s="154">
        <v>2</v>
      </c>
      <c r="K812" s="155">
        <v>2</v>
      </c>
      <c r="L812" s="148"/>
      <c r="M812" s="148"/>
      <c r="N812" s="156"/>
      <c r="O812" s="165" t="s">
        <v>3263</v>
      </c>
      <c r="P812" s="158">
        <v>30</v>
      </c>
      <c r="Q812" s="152" t="s">
        <v>60</v>
      </c>
      <c r="R812" s="152" t="s">
        <v>70</v>
      </c>
      <c r="S812" s="148" t="s">
        <v>3264</v>
      </c>
      <c r="T812" s="148"/>
      <c r="U812" s="159">
        <v>213</v>
      </c>
      <c r="V812" s="160" t="str">
        <f>VLOOKUP(U812,docentes!$A:$E,2,0)</f>
        <v>GERMAN CARLOS SANTOS QUISPE</v>
      </c>
      <c r="W812" s="161" t="str">
        <f>VLOOKUP(U812,docentes!$A:$E,5,0)</f>
        <v>CECS</v>
      </c>
      <c r="X812" s="176">
        <v>213</v>
      </c>
      <c r="Y812" s="160" t="str">
        <f>VLOOKUP(X812,docentes!$A:$E,2,0)</f>
        <v>GERMAN CARLOS SANTOS QUISPE</v>
      </c>
      <c r="Z812" s="177" t="str">
        <f>VLOOKUP(X812,docentes!$A:$E,5,0)</f>
        <v>CECS</v>
      </c>
    </row>
    <row r="813" spans="1:35" s="44" customFormat="1" ht="66.75" customHeight="1">
      <c r="A813" s="148" t="s">
        <v>805</v>
      </c>
      <c r="B813" s="146" t="s">
        <v>3265</v>
      </c>
      <c r="C813" s="149" t="s">
        <v>3266</v>
      </c>
      <c r="D813" s="150">
        <v>2</v>
      </c>
      <c r="E813" s="150" t="s">
        <v>3267</v>
      </c>
      <c r="F813" s="151" t="s">
        <v>3268</v>
      </c>
      <c r="G813" s="152">
        <v>2</v>
      </c>
      <c r="H813" s="152">
        <v>2</v>
      </c>
      <c r="I813" s="153">
        <v>4</v>
      </c>
      <c r="J813" s="154">
        <v>2</v>
      </c>
      <c r="K813" s="155">
        <v>2</v>
      </c>
      <c r="L813" s="148"/>
      <c r="M813" s="148"/>
      <c r="N813" s="156"/>
      <c r="O813" s="148" t="s">
        <v>1716</v>
      </c>
      <c r="P813" s="158">
        <v>30</v>
      </c>
      <c r="Q813" s="152" t="s">
        <v>60</v>
      </c>
      <c r="R813" s="152" t="s">
        <v>70</v>
      </c>
      <c r="S813" s="148" t="s">
        <v>3269</v>
      </c>
      <c r="T813" s="148" t="s">
        <v>3270</v>
      </c>
      <c r="U813" s="159">
        <v>66</v>
      </c>
      <c r="V813" s="160" t="str">
        <f>VLOOKUP(U813,docentes!$A:$E,2,0)</f>
        <v>ANTONIO GARRIDO GALLEGO</v>
      </c>
      <c r="W813" s="161" t="str">
        <f>VLOOKUP(U813,docentes!$A:$E,5,0)</f>
        <v>CECS</v>
      </c>
      <c r="X813" s="176">
        <v>362</v>
      </c>
      <c r="Y813" s="160" t="str">
        <f>VLOOKUP(X813,docentes!$A:$E,2,0)</f>
        <v>MARCELO MODESTO DA SILVA</v>
      </c>
      <c r="Z813" s="177" t="str">
        <f>VLOOKUP(X813,docentes!$A:$E,5,0)</f>
        <v>CECS</v>
      </c>
    </row>
    <row r="814" spans="1:35" s="44" customFormat="1" ht="66.75" customHeight="1">
      <c r="A814" s="148" t="s">
        <v>805</v>
      </c>
      <c r="B814" s="146" t="s">
        <v>3271</v>
      </c>
      <c r="C814" s="149" t="s">
        <v>3266</v>
      </c>
      <c r="D814" s="150">
        <v>2</v>
      </c>
      <c r="E814" s="150" t="s">
        <v>3267</v>
      </c>
      <c r="F814" s="151" t="s">
        <v>3272</v>
      </c>
      <c r="G814" s="152">
        <v>2</v>
      </c>
      <c r="H814" s="152">
        <v>2</v>
      </c>
      <c r="I814" s="153">
        <v>4</v>
      </c>
      <c r="J814" s="154">
        <v>2</v>
      </c>
      <c r="K814" s="155">
        <v>2</v>
      </c>
      <c r="L814" s="148" t="s">
        <v>1060</v>
      </c>
      <c r="M814" s="148" t="s">
        <v>3273</v>
      </c>
      <c r="N814" s="156" t="s">
        <v>3274</v>
      </c>
      <c r="O814" s="157" t="s">
        <v>59</v>
      </c>
      <c r="P814" s="158">
        <v>30</v>
      </c>
      <c r="Q814" s="152" t="s">
        <v>60</v>
      </c>
      <c r="R814" s="152" t="s">
        <v>70</v>
      </c>
      <c r="S814" s="148" t="s">
        <v>3275</v>
      </c>
      <c r="T814" s="148" t="s">
        <v>3276</v>
      </c>
      <c r="U814" s="159">
        <v>66</v>
      </c>
      <c r="V814" s="160" t="str">
        <f>VLOOKUP(U814,docentes!$A:$E,2,0)</f>
        <v>ANTONIO GARRIDO GALLEGO</v>
      </c>
      <c r="W814" s="161" t="str">
        <f>VLOOKUP(U814,docentes!$A:$E,5,0)</f>
        <v>CECS</v>
      </c>
      <c r="X814" s="176">
        <v>6</v>
      </c>
      <c r="Y814" s="160" t="str">
        <f>VLOOKUP(X814,docentes!$A:$E,2,0)</f>
        <v>ADRIANO VIANA ENSINAS</v>
      </c>
      <c r="Z814" s="177" t="str">
        <f>VLOOKUP(X814,docentes!$A:$E,5,0)</f>
        <v>CECS</v>
      </c>
    </row>
    <row r="815" spans="1:35" s="44" customFormat="1" ht="66.75" customHeight="1">
      <c r="A815" s="148" t="s">
        <v>1024</v>
      </c>
      <c r="B815" s="146" t="s">
        <v>3277</v>
      </c>
      <c r="C815" s="149" t="s">
        <v>3278</v>
      </c>
      <c r="D815" s="150">
        <v>2</v>
      </c>
      <c r="E815" s="150" t="s">
        <v>3279</v>
      </c>
      <c r="F815" s="151" t="s">
        <v>3280</v>
      </c>
      <c r="G815" s="152">
        <v>4</v>
      </c>
      <c r="H815" s="152">
        <v>0</v>
      </c>
      <c r="I815" s="153">
        <v>4</v>
      </c>
      <c r="J815" s="154">
        <v>4</v>
      </c>
      <c r="K815" s="155">
        <v>0</v>
      </c>
      <c r="L815" s="148" t="s">
        <v>97</v>
      </c>
      <c r="M815" s="148" t="s">
        <v>58</v>
      </c>
      <c r="N815" s="156"/>
      <c r="O815" s="157" t="s">
        <v>59</v>
      </c>
      <c r="P815" s="158">
        <v>60</v>
      </c>
      <c r="Q815" s="152" t="s">
        <v>76</v>
      </c>
      <c r="R815" s="152" t="s">
        <v>61</v>
      </c>
      <c r="S815" s="148" t="s">
        <v>3281</v>
      </c>
      <c r="T815" s="148">
        <v>0</v>
      </c>
      <c r="U815" s="159">
        <v>535</v>
      </c>
      <c r="V815" s="160" t="str">
        <f>VLOOKUP(U815,docentes!$A:$E,2,0)</f>
        <v>TATIANA BERRINGER DE ASSUMPCAO</v>
      </c>
      <c r="W815" s="161" t="str">
        <f>VLOOKUP(U815,docentes!$A:$E,5,0)</f>
        <v>CECS</v>
      </c>
      <c r="X815" s="162"/>
      <c r="Y815" s="163"/>
      <c r="Z815" s="164"/>
    </row>
    <row r="816" spans="1:35" s="44" customFormat="1" ht="66.75" customHeight="1">
      <c r="A816" s="148" t="s">
        <v>1024</v>
      </c>
      <c r="B816" s="146" t="s">
        <v>3282</v>
      </c>
      <c r="C816" s="149" t="s">
        <v>3278</v>
      </c>
      <c r="D816" s="150">
        <v>2</v>
      </c>
      <c r="E816" s="150" t="s">
        <v>3279</v>
      </c>
      <c r="F816" s="151" t="s">
        <v>3283</v>
      </c>
      <c r="G816" s="152">
        <v>4</v>
      </c>
      <c r="H816" s="152">
        <v>0</v>
      </c>
      <c r="I816" s="153">
        <v>4</v>
      </c>
      <c r="J816" s="154">
        <v>4</v>
      </c>
      <c r="K816" s="155">
        <v>0</v>
      </c>
      <c r="L816" s="148" t="s">
        <v>97</v>
      </c>
      <c r="M816" s="148" t="s">
        <v>58</v>
      </c>
      <c r="N816" s="156"/>
      <c r="O816" s="157" t="s">
        <v>59</v>
      </c>
      <c r="P816" s="158">
        <v>60</v>
      </c>
      <c r="Q816" s="152" t="s">
        <v>76</v>
      </c>
      <c r="R816" s="152" t="s">
        <v>70</v>
      </c>
      <c r="S816" s="148" t="s">
        <v>3284</v>
      </c>
      <c r="T816" s="148">
        <v>0</v>
      </c>
      <c r="U816" s="159">
        <v>535</v>
      </c>
      <c r="V816" s="160" t="str">
        <f>VLOOKUP(U816,docentes!$A:$E,2,0)</f>
        <v>TATIANA BERRINGER DE ASSUMPCAO</v>
      </c>
      <c r="W816" s="161" t="str">
        <f>VLOOKUP(U816,docentes!$A:$E,5,0)</f>
        <v>CECS</v>
      </c>
      <c r="X816" s="162"/>
      <c r="Y816" s="163"/>
      <c r="Z816" s="164"/>
    </row>
    <row r="817" spans="1:35" s="44" customFormat="1" ht="66.75" customHeight="1">
      <c r="A817" s="148" t="s">
        <v>134</v>
      </c>
      <c r="B817" s="146" t="s">
        <v>3285</v>
      </c>
      <c r="C817" s="149" t="s">
        <v>3286</v>
      </c>
      <c r="D817" s="150">
        <v>1</v>
      </c>
      <c r="E817" s="150" t="s">
        <v>3287</v>
      </c>
      <c r="F817" s="151" t="s">
        <v>3288</v>
      </c>
      <c r="G817" s="152">
        <v>1</v>
      </c>
      <c r="H817" s="152">
        <v>3</v>
      </c>
      <c r="I817" s="153">
        <v>4</v>
      </c>
      <c r="J817" s="154">
        <v>1</v>
      </c>
      <c r="K817" s="155">
        <v>3</v>
      </c>
      <c r="L817" s="148" t="s">
        <v>821</v>
      </c>
      <c r="M817" s="148" t="s">
        <v>68</v>
      </c>
      <c r="N817" s="156">
        <v>33</v>
      </c>
      <c r="O817" s="165" t="s">
        <v>1155</v>
      </c>
      <c r="P817" s="158">
        <v>33</v>
      </c>
      <c r="Q817" s="152" t="s">
        <v>60</v>
      </c>
      <c r="R817" s="152" t="s">
        <v>70</v>
      </c>
      <c r="S817" s="148" t="s">
        <v>3289</v>
      </c>
      <c r="T817" s="148" t="s">
        <v>3290</v>
      </c>
      <c r="U817" s="159">
        <v>267</v>
      </c>
      <c r="V817" s="160" t="str">
        <f>VLOOKUP(U817,docentes!$A:$E,2,0)</f>
        <v>JESUS FRANKLIN ANDRADE ROMERO</v>
      </c>
      <c r="W817" s="161" t="str">
        <f>VLOOKUP(U817,docentes!$A:$E,5,0)</f>
        <v>CECS</v>
      </c>
      <c r="X817" s="176">
        <v>267</v>
      </c>
      <c r="Y817" s="160" t="str">
        <f>VLOOKUP(X817,docentes!$A:$E,2,0)</f>
        <v>JESUS FRANKLIN ANDRADE ROMERO</v>
      </c>
      <c r="Z817" s="177" t="str">
        <f>VLOOKUP(X817,docentes!$A:$E,5,0)</f>
        <v>CECS</v>
      </c>
    </row>
    <row r="818" spans="1:35" s="44" customFormat="1" ht="66.75" customHeight="1">
      <c r="A818" s="148" t="s">
        <v>1024</v>
      </c>
      <c r="B818" s="146" t="s">
        <v>3291</v>
      </c>
      <c r="C818" s="149" t="s">
        <v>3292</v>
      </c>
      <c r="D818" s="150">
        <v>2</v>
      </c>
      <c r="E818" s="150" t="s">
        <v>3293</v>
      </c>
      <c r="F818" s="151" t="s">
        <v>3294</v>
      </c>
      <c r="G818" s="152">
        <v>4</v>
      </c>
      <c r="H818" s="152">
        <v>0</v>
      </c>
      <c r="I818" s="153">
        <v>4</v>
      </c>
      <c r="J818" s="154">
        <v>4</v>
      </c>
      <c r="K818" s="155">
        <v>0</v>
      </c>
      <c r="L818" s="148" t="s">
        <v>97</v>
      </c>
      <c r="M818" s="148" t="s">
        <v>58</v>
      </c>
      <c r="N818" s="156"/>
      <c r="O818" s="157" t="s">
        <v>59</v>
      </c>
      <c r="P818" s="158">
        <v>60</v>
      </c>
      <c r="Q818" s="152" t="s">
        <v>76</v>
      </c>
      <c r="R818" s="152" t="s">
        <v>61</v>
      </c>
      <c r="S818" s="148" t="s">
        <v>3295</v>
      </c>
      <c r="T818" s="148">
        <v>0</v>
      </c>
      <c r="U818" s="159">
        <v>547</v>
      </c>
      <c r="V818" s="160" t="str">
        <f>VLOOKUP(U818,docentes!$A:$E,2,0)</f>
        <v>VALTER VENTURA DA ROCHA POMAR</v>
      </c>
      <c r="W818" s="161" t="str">
        <f>VLOOKUP(U818,docentes!$A:$E,5,0)</f>
        <v>CECS</v>
      </c>
      <c r="X818" s="162"/>
      <c r="Y818" s="163"/>
      <c r="Z818" s="164"/>
    </row>
    <row r="819" spans="1:35" ht="66.75" customHeight="1">
      <c r="A819" s="148" t="s">
        <v>1024</v>
      </c>
      <c r="B819" s="146" t="s">
        <v>3296</v>
      </c>
      <c r="C819" s="149" t="s">
        <v>3292</v>
      </c>
      <c r="D819" s="150">
        <v>2</v>
      </c>
      <c r="E819" s="150" t="s">
        <v>3293</v>
      </c>
      <c r="F819" s="151" t="s">
        <v>3297</v>
      </c>
      <c r="G819" s="152">
        <v>4</v>
      </c>
      <c r="H819" s="152">
        <v>0</v>
      </c>
      <c r="I819" s="153">
        <v>4</v>
      </c>
      <c r="J819" s="154">
        <v>4</v>
      </c>
      <c r="K819" s="155">
        <v>0</v>
      </c>
      <c r="L819" s="148" t="s">
        <v>97</v>
      </c>
      <c r="M819" s="148" t="s">
        <v>58</v>
      </c>
      <c r="N819" s="156"/>
      <c r="O819" s="157" t="s">
        <v>59</v>
      </c>
      <c r="P819" s="158">
        <v>60</v>
      </c>
      <c r="Q819" s="152" t="s">
        <v>76</v>
      </c>
      <c r="R819" s="152" t="s">
        <v>70</v>
      </c>
      <c r="S819" s="148" t="s">
        <v>3298</v>
      </c>
      <c r="T819" s="148">
        <v>0</v>
      </c>
      <c r="U819" s="159">
        <v>547</v>
      </c>
      <c r="V819" s="160" t="str">
        <f>VLOOKUP(U819,docentes!$A:$E,2,0)</f>
        <v>VALTER VENTURA DA ROCHA POMAR</v>
      </c>
      <c r="W819" s="161" t="str">
        <f>VLOOKUP(U819,docentes!$A:$E,5,0)</f>
        <v>CECS</v>
      </c>
      <c r="X819" s="162"/>
      <c r="Y819" s="163"/>
      <c r="Z819" s="164"/>
      <c r="AA819" s="44"/>
      <c r="AB819" s="44"/>
      <c r="AC819" s="44"/>
      <c r="AD819" s="44"/>
      <c r="AE819" s="44"/>
      <c r="AF819" s="44"/>
      <c r="AG819" s="44"/>
      <c r="AH819" s="44"/>
      <c r="AI819" s="44"/>
    </row>
    <row r="820" spans="1:35" s="44" customFormat="1" ht="66.75" customHeight="1">
      <c r="A820" s="148" t="s">
        <v>128</v>
      </c>
      <c r="B820" s="146" t="s">
        <v>3299</v>
      </c>
      <c r="C820" s="149" t="s">
        <v>3300</v>
      </c>
      <c r="D820" s="150">
        <v>1</v>
      </c>
      <c r="E820" s="150" t="s">
        <v>3301</v>
      </c>
      <c r="F820" s="151" t="s">
        <v>3302</v>
      </c>
      <c r="G820" s="152">
        <v>2</v>
      </c>
      <c r="H820" s="152">
        <v>2</v>
      </c>
      <c r="I820" s="153">
        <v>4</v>
      </c>
      <c r="J820" s="154">
        <v>2</v>
      </c>
      <c r="K820" s="155">
        <v>2</v>
      </c>
      <c r="L820" s="148" t="s">
        <v>57</v>
      </c>
      <c r="M820" s="148" t="s">
        <v>58</v>
      </c>
      <c r="N820" s="156"/>
      <c r="O820" s="157" t="s">
        <v>59</v>
      </c>
      <c r="P820" s="158">
        <v>63</v>
      </c>
      <c r="Q820" s="152" t="s">
        <v>76</v>
      </c>
      <c r="R820" s="152" t="s">
        <v>70</v>
      </c>
      <c r="S820" s="148" t="s">
        <v>3303</v>
      </c>
      <c r="T820" s="148">
        <v>0</v>
      </c>
      <c r="U820" s="159">
        <v>443</v>
      </c>
      <c r="V820" s="160" t="str">
        <f>VLOOKUP(U820,docentes!$A:$E,2,0)</f>
        <v>PATRICIA BELFIORE FAVERO</v>
      </c>
      <c r="W820" s="161" t="str">
        <f>VLOOKUP(U820,docentes!$A:$E,5,0)</f>
        <v>CECS</v>
      </c>
      <c r="X820" s="176">
        <v>443</v>
      </c>
      <c r="Y820" s="160" t="str">
        <f>VLOOKUP(X820,docentes!$A:$E,2,0)</f>
        <v>PATRICIA BELFIORE FAVERO</v>
      </c>
      <c r="Z820" s="177" t="str">
        <f>VLOOKUP(X820,docentes!$A:$E,5,0)</f>
        <v>CECS</v>
      </c>
    </row>
    <row r="821" spans="1:35" s="44" customFormat="1" ht="66.75" customHeight="1">
      <c r="A821" s="148" t="s">
        <v>84</v>
      </c>
      <c r="B821" s="146" t="s">
        <v>3304</v>
      </c>
      <c r="C821" s="149" t="s">
        <v>3305</v>
      </c>
      <c r="D821" s="150">
        <v>2</v>
      </c>
      <c r="E821" s="150" t="s">
        <v>3306</v>
      </c>
      <c r="F821" s="151" t="s">
        <v>3307</v>
      </c>
      <c r="G821" s="152">
        <v>2</v>
      </c>
      <c r="H821" s="152">
        <v>3</v>
      </c>
      <c r="I821" s="153">
        <v>0</v>
      </c>
      <c r="J821" s="154">
        <v>2</v>
      </c>
      <c r="K821" s="155">
        <v>3</v>
      </c>
      <c r="L821" s="148" t="s">
        <v>57</v>
      </c>
      <c r="M821" s="148" t="s">
        <v>58</v>
      </c>
      <c r="N821" s="156"/>
      <c r="O821" s="157" t="s">
        <v>59</v>
      </c>
      <c r="P821" s="158">
        <v>60</v>
      </c>
      <c r="Q821" s="152" t="s">
        <v>76</v>
      </c>
      <c r="R821" s="152" t="s">
        <v>61</v>
      </c>
      <c r="S821" s="148" t="s">
        <v>3308</v>
      </c>
      <c r="T821" s="148">
        <v>0</v>
      </c>
      <c r="U821" s="159">
        <v>35</v>
      </c>
      <c r="V821" s="160" t="str">
        <f>VLOOKUP(U821,docentes!$A:$E,2,0)</f>
        <v>ANA CLAUDIA POLATO E FAVA</v>
      </c>
      <c r="W821" s="161" t="str">
        <f>VLOOKUP(U821,docentes!$A:$E,5,0)</f>
        <v>CECS</v>
      </c>
      <c r="X821" s="176">
        <v>35</v>
      </c>
      <c r="Y821" s="160" t="str">
        <f>VLOOKUP(X821,docentes!$A:$E,2,0)</f>
        <v>ANA CLAUDIA POLATO E FAVA</v>
      </c>
      <c r="Z821" s="177" t="str">
        <f>VLOOKUP(X821,docentes!$A:$E,5,0)</f>
        <v>CECS</v>
      </c>
    </row>
    <row r="822" spans="1:35" s="44" customFormat="1" ht="66.75" customHeight="1">
      <c r="A822" s="148" t="s">
        <v>84</v>
      </c>
      <c r="B822" s="146" t="s">
        <v>3309</v>
      </c>
      <c r="C822" s="149" t="s">
        <v>3305</v>
      </c>
      <c r="D822" s="150">
        <v>2</v>
      </c>
      <c r="E822" s="150" t="s">
        <v>3306</v>
      </c>
      <c r="F822" s="151" t="s">
        <v>3310</v>
      </c>
      <c r="G822" s="152">
        <v>2</v>
      </c>
      <c r="H822" s="152">
        <v>3</v>
      </c>
      <c r="I822" s="153">
        <v>0</v>
      </c>
      <c r="J822" s="154">
        <v>2</v>
      </c>
      <c r="K822" s="155">
        <v>3</v>
      </c>
      <c r="L822" s="148" t="s">
        <v>57</v>
      </c>
      <c r="M822" s="148" t="s">
        <v>58</v>
      </c>
      <c r="N822" s="156"/>
      <c r="O822" s="157" t="s">
        <v>59</v>
      </c>
      <c r="P822" s="158">
        <v>90</v>
      </c>
      <c r="Q822" s="152" t="s">
        <v>76</v>
      </c>
      <c r="R822" s="152" t="s">
        <v>61</v>
      </c>
      <c r="S822" s="148" t="s">
        <v>3311</v>
      </c>
      <c r="T822" s="148">
        <v>0</v>
      </c>
      <c r="U822" s="159">
        <v>1003</v>
      </c>
      <c r="V822" s="160" t="str">
        <f>VLOOKUP(U822,docentes!$A:$E,2,0)</f>
        <v>PAULA NABUCO</v>
      </c>
      <c r="W822" s="161" t="str">
        <f>VLOOKUP(U822,docentes!$A:$E,5,0)</f>
        <v>não identificado</v>
      </c>
      <c r="X822" s="176">
        <v>1003</v>
      </c>
      <c r="Y822" s="160" t="str">
        <f>VLOOKUP(X822,docentes!$A:$E,2,0)</f>
        <v>PAULA NABUCO</v>
      </c>
      <c r="Z822" s="177" t="str">
        <f>VLOOKUP(X822,docentes!$A:$E,5,0)</f>
        <v>não identificado</v>
      </c>
    </row>
    <row r="823" spans="1:35" s="44" customFormat="1" ht="66.75" customHeight="1">
      <c r="A823" s="148" t="s">
        <v>675</v>
      </c>
      <c r="B823" s="146" t="s">
        <v>3312</v>
      </c>
      <c r="C823" s="149" t="s">
        <v>3313</v>
      </c>
      <c r="D823" s="150">
        <v>2</v>
      </c>
      <c r="E823" s="150" t="s">
        <v>3314</v>
      </c>
      <c r="F823" s="151" t="s">
        <v>3315</v>
      </c>
      <c r="G823" s="152">
        <v>3</v>
      </c>
      <c r="H823" s="152">
        <v>1</v>
      </c>
      <c r="I823" s="153">
        <v>4</v>
      </c>
      <c r="J823" s="154">
        <v>3</v>
      </c>
      <c r="K823" s="155">
        <v>1</v>
      </c>
      <c r="L823" s="148" t="s">
        <v>57</v>
      </c>
      <c r="M823" s="148" t="s">
        <v>58</v>
      </c>
      <c r="N823" s="156"/>
      <c r="O823" s="157" t="s">
        <v>59</v>
      </c>
      <c r="P823" s="158">
        <v>30</v>
      </c>
      <c r="Q823" s="152" t="s">
        <v>60</v>
      </c>
      <c r="R823" s="152" t="s">
        <v>61</v>
      </c>
      <c r="S823" s="148" t="s">
        <v>3316</v>
      </c>
      <c r="T823" s="148" t="s">
        <v>3317</v>
      </c>
      <c r="U823" s="159">
        <v>251</v>
      </c>
      <c r="V823" s="160" t="str">
        <f>VLOOKUP(U823,docentes!$A:$E,2,0)</f>
        <v>ILKA TIEMY KATO PRATES</v>
      </c>
      <c r="W823" s="161" t="str">
        <f>VLOOKUP(U823,docentes!$A:$E,5,0)</f>
        <v>CECS</v>
      </c>
      <c r="X823" s="176">
        <v>251</v>
      </c>
      <c r="Y823" s="160" t="str">
        <f>VLOOKUP(X823,docentes!$A:$E,2,0)</f>
        <v>ILKA TIEMY KATO PRATES</v>
      </c>
      <c r="Z823" s="177" t="str">
        <f>VLOOKUP(X823,docentes!$A:$E,5,0)</f>
        <v>CECS</v>
      </c>
    </row>
    <row r="824" spans="1:35" s="44" customFormat="1" ht="66.75" customHeight="1">
      <c r="A824" s="148" t="s">
        <v>675</v>
      </c>
      <c r="B824" s="146" t="s">
        <v>3318</v>
      </c>
      <c r="C824" s="149" t="s">
        <v>3313</v>
      </c>
      <c r="D824" s="150">
        <v>2</v>
      </c>
      <c r="E824" s="150" t="s">
        <v>3314</v>
      </c>
      <c r="F824" s="151" t="s">
        <v>3319</v>
      </c>
      <c r="G824" s="152">
        <v>3</v>
      </c>
      <c r="H824" s="152">
        <v>1</v>
      </c>
      <c r="I824" s="153">
        <v>4</v>
      </c>
      <c r="J824" s="154">
        <v>3</v>
      </c>
      <c r="K824" s="155">
        <v>1</v>
      </c>
      <c r="L824" s="148" t="s">
        <v>57</v>
      </c>
      <c r="M824" s="148" t="s">
        <v>58</v>
      </c>
      <c r="N824" s="156"/>
      <c r="O824" s="157" t="s">
        <v>59</v>
      </c>
      <c r="P824" s="158">
        <v>30</v>
      </c>
      <c r="Q824" s="152" t="s">
        <v>60</v>
      </c>
      <c r="R824" s="152" t="s">
        <v>70</v>
      </c>
      <c r="S824" s="148" t="s">
        <v>3320</v>
      </c>
      <c r="T824" s="148" t="s">
        <v>3321</v>
      </c>
      <c r="U824" s="159">
        <v>442</v>
      </c>
      <c r="V824" s="160" t="str">
        <f>VLOOKUP(U824,docentes!$A:$E,2,0)</f>
        <v>PATRICIA APARECIDA DA ANA</v>
      </c>
      <c r="W824" s="161" t="str">
        <f>VLOOKUP(U824,docentes!$A:$E,5,0)</f>
        <v>CECS</v>
      </c>
      <c r="X824" s="176">
        <v>442</v>
      </c>
      <c r="Y824" s="160" t="str">
        <f>VLOOKUP(X824,docentes!$A:$E,2,0)</f>
        <v>PATRICIA APARECIDA DA ANA</v>
      </c>
      <c r="Z824" s="177" t="str">
        <f>VLOOKUP(X824,docentes!$A:$E,5,0)</f>
        <v>CECS</v>
      </c>
    </row>
    <row r="825" spans="1:35" s="44" customFormat="1" ht="66.75" customHeight="1">
      <c r="A825" s="148" t="s">
        <v>128</v>
      </c>
      <c r="B825" s="146" t="s">
        <v>3322</v>
      </c>
      <c r="C825" s="149" t="s">
        <v>3323</v>
      </c>
      <c r="D825" s="150">
        <v>2</v>
      </c>
      <c r="E825" s="150" t="s">
        <v>3324</v>
      </c>
      <c r="F825" s="151" t="s">
        <v>3325</v>
      </c>
      <c r="G825" s="152">
        <v>2</v>
      </c>
      <c r="H825" s="152">
        <v>0</v>
      </c>
      <c r="I825" s="153">
        <v>3</v>
      </c>
      <c r="J825" s="154">
        <v>2</v>
      </c>
      <c r="K825" s="155">
        <v>0</v>
      </c>
      <c r="L825" s="148" t="s">
        <v>57</v>
      </c>
      <c r="M825" s="148" t="s">
        <v>58</v>
      </c>
      <c r="N825" s="156"/>
      <c r="O825" s="157" t="s">
        <v>59</v>
      </c>
      <c r="P825" s="158">
        <v>62</v>
      </c>
      <c r="Q825" s="152" t="s">
        <v>76</v>
      </c>
      <c r="R825" s="152" t="s">
        <v>61</v>
      </c>
      <c r="S825" s="148" t="s">
        <v>3326</v>
      </c>
      <c r="T825" s="148">
        <v>0</v>
      </c>
      <c r="U825" s="159">
        <v>324</v>
      </c>
      <c r="V825" s="160" t="str">
        <f>VLOOKUP(U825,docentes!$A:$E,2,0)</f>
        <v>LUCELIA BORGES DA COSTA</v>
      </c>
      <c r="W825" s="161" t="str">
        <f>VLOOKUP(U825,docentes!$A:$E,5,0)</f>
        <v>CECS</v>
      </c>
      <c r="X825" s="162"/>
      <c r="Y825" s="163"/>
      <c r="Z825" s="164"/>
    </row>
    <row r="826" spans="1:35" s="44" customFormat="1" ht="66.75" customHeight="1">
      <c r="A826" s="148" t="s">
        <v>128</v>
      </c>
      <c r="B826" s="146" t="s">
        <v>3327</v>
      </c>
      <c r="C826" s="149" t="s">
        <v>3323</v>
      </c>
      <c r="D826" s="150">
        <v>2</v>
      </c>
      <c r="E826" s="150" t="s">
        <v>3324</v>
      </c>
      <c r="F826" s="151" t="s">
        <v>3328</v>
      </c>
      <c r="G826" s="152">
        <v>2</v>
      </c>
      <c r="H826" s="152">
        <v>0</v>
      </c>
      <c r="I826" s="153">
        <v>3</v>
      </c>
      <c r="J826" s="154">
        <v>2</v>
      </c>
      <c r="K826" s="155">
        <v>0</v>
      </c>
      <c r="L826" s="148" t="s">
        <v>57</v>
      </c>
      <c r="M826" s="148" t="s">
        <v>58</v>
      </c>
      <c r="N826" s="156"/>
      <c r="O826" s="157" t="s">
        <v>59</v>
      </c>
      <c r="P826" s="158">
        <v>63</v>
      </c>
      <c r="Q826" s="152" t="s">
        <v>76</v>
      </c>
      <c r="R826" s="152" t="s">
        <v>70</v>
      </c>
      <c r="S826" s="148" t="s">
        <v>3329</v>
      </c>
      <c r="T826" s="148">
        <v>0</v>
      </c>
      <c r="U826" s="159">
        <v>324</v>
      </c>
      <c r="V826" s="160" t="str">
        <f>VLOOKUP(U826,docentes!$A:$E,2,0)</f>
        <v>LUCELIA BORGES DA COSTA</v>
      </c>
      <c r="W826" s="161" t="str">
        <f>VLOOKUP(U826,docentes!$A:$E,5,0)</f>
        <v>CECS</v>
      </c>
      <c r="X826" s="162"/>
      <c r="Y826" s="163"/>
      <c r="Z826" s="164"/>
    </row>
    <row r="827" spans="1:35" s="44" customFormat="1" ht="66.75" customHeight="1">
      <c r="A827" s="148" t="s">
        <v>884</v>
      </c>
      <c r="B827" s="146" t="s">
        <v>3330</v>
      </c>
      <c r="C827" s="149" t="s">
        <v>3331</v>
      </c>
      <c r="D827" s="150">
        <v>2</v>
      </c>
      <c r="E827" s="150" t="s">
        <v>3332</v>
      </c>
      <c r="F827" s="151" t="s">
        <v>3333</v>
      </c>
      <c r="G827" s="152">
        <v>3</v>
      </c>
      <c r="H827" s="152">
        <v>1</v>
      </c>
      <c r="I827" s="153">
        <v>4</v>
      </c>
      <c r="J827" s="154">
        <v>3</v>
      </c>
      <c r="K827" s="155">
        <v>1</v>
      </c>
      <c r="L827" s="148" t="s">
        <v>97</v>
      </c>
      <c r="M827" s="148" t="s">
        <v>58</v>
      </c>
      <c r="N827" s="156"/>
      <c r="O827" s="157" t="s">
        <v>59</v>
      </c>
      <c r="P827" s="158">
        <v>30</v>
      </c>
      <c r="Q827" s="152" t="s">
        <v>60</v>
      </c>
      <c r="R827" s="152" t="s">
        <v>61</v>
      </c>
      <c r="S827" s="148" t="s">
        <v>3334</v>
      </c>
      <c r="T827" s="148" t="s">
        <v>3335</v>
      </c>
      <c r="U827" s="159">
        <v>31</v>
      </c>
      <c r="V827" s="160" t="str">
        <f>VLOOKUP(U827,docentes!$A:$E,2,0)</f>
        <v>AMAURY KRUEL BUDRI</v>
      </c>
      <c r="W827" s="161" t="str">
        <f>VLOOKUP(U827,docentes!$A:$E,5,0)</f>
        <v>CECS</v>
      </c>
      <c r="X827" s="176">
        <v>31</v>
      </c>
      <c r="Y827" s="160" t="str">
        <f>VLOOKUP(X827,docentes!$A:$E,2,0)</f>
        <v>AMAURY KRUEL BUDRI</v>
      </c>
      <c r="Z827" s="177" t="str">
        <f>VLOOKUP(X827,docentes!$A:$E,5,0)</f>
        <v>CECS</v>
      </c>
    </row>
    <row r="828" spans="1:35" s="44" customFormat="1" ht="66.75" customHeight="1">
      <c r="A828" s="148" t="s">
        <v>884</v>
      </c>
      <c r="B828" s="146" t="s">
        <v>3336</v>
      </c>
      <c r="C828" s="149" t="s">
        <v>3331</v>
      </c>
      <c r="D828" s="150">
        <v>2</v>
      </c>
      <c r="E828" s="150" t="s">
        <v>3332</v>
      </c>
      <c r="F828" s="151" t="s">
        <v>3337</v>
      </c>
      <c r="G828" s="152">
        <v>3</v>
      </c>
      <c r="H828" s="152">
        <v>1</v>
      </c>
      <c r="I828" s="153">
        <v>4</v>
      </c>
      <c r="J828" s="154">
        <v>3</v>
      </c>
      <c r="K828" s="155">
        <v>1</v>
      </c>
      <c r="L828" s="148" t="s">
        <v>97</v>
      </c>
      <c r="M828" s="148" t="s">
        <v>58</v>
      </c>
      <c r="N828" s="156"/>
      <c r="O828" s="157" t="s">
        <v>59</v>
      </c>
      <c r="P828" s="158">
        <v>30</v>
      </c>
      <c r="Q828" s="152" t="s">
        <v>60</v>
      </c>
      <c r="R828" s="152" t="s">
        <v>70</v>
      </c>
      <c r="S828" s="148" t="s">
        <v>3338</v>
      </c>
      <c r="T828" s="148" t="s">
        <v>3339</v>
      </c>
      <c r="U828" s="159">
        <v>347</v>
      </c>
      <c r="V828" s="160" t="str">
        <f>VLOOKUP(U828,docentes!$A:$E,2,0)</f>
        <v>LUIZ HENRIQUE BONANI DO NASCIMENTO</v>
      </c>
      <c r="W828" s="161" t="str">
        <f>VLOOKUP(U828,docentes!$A:$E,5,0)</f>
        <v>CECS</v>
      </c>
      <c r="X828" s="176">
        <v>347</v>
      </c>
      <c r="Y828" s="160" t="str">
        <f>VLOOKUP(X828,docentes!$A:$E,2,0)</f>
        <v>LUIZ HENRIQUE BONANI DO NASCIMENTO</v>
      </c>
      <c r="Z828" s="177" t="str">
        <f>VLOOKUP(X828,docentes!$A:$E,5,0)</f>
        <v>CECS</v>
      </c>
    </row>
    <row r="829" spans="1:35" s="44" customFormat="1" ht="66.75" customHeight="1">
      <c r="A829" s="148" t="s">
        <v>713</v>
      </c>
      <c r="B829" s="146" t="s">
        <v>3340</v>
      </c>
      <c r="C829" s="149" t="s">
        <v>3341</v>
      </c>
      <c r="D829" s="150">
        <v>6</v>
      </c>
      <c r="E829" s="150" t="s">
        <v>3342</v>
      </c>
      <c r="F829" s="151" t="s">
        <v>3343</v>
      </c>
      <c r="G829" s="152">
        <v>4</v>
      </c>
      <c r="H829" s="152">
        <v>0</v>
      </c>
      <c r="I829" s="153">
        <v>4</v>
      </c>
      <c r="J829" s="154">
        <v>4</v>
      </c>
      <c r="K829" s="155">
        <v>0</v>
      </c>
      <c r="L829" s="148" t="s">
        <v>57</v>
      </c>
      <c r="M829" s="148" t="s">
        <v>58</v>
      </c>
      <c r="N829" s="156"/>
      <c r="O829" s="157" t="s">
        <v>59</v>
      </c>
      <c r="P829" s="158">
        <v>90</v>
      </c>
      <c r="Q829" s="152" t="s">
        <v>76</v>
      </c>
      <c r="R829" s="152" t="s">
        <v>70</v>
      </c>
      <c r="S829" s="148" t="s">
        <v>3344</v>
      </c>
      <c r="T829" s="148">
        <v>0</v>
      </c>
      <c r="U829" s="159">
        <v>390</v>
      </c>
      <c r="V829" s="160" t="str">
        <f>VLOOKUP(U829,docentes!$A:$E,2,0)</f>
        <v>MARIA CECILIA LEONEL GOMES DOS REIS</v>
      </c>
      <c r="W829" s="161" t="str">
        <f>VLOOKUP(U829,docentes!$A:$E,5,0)</f>
        <v>CCNH</v>
      </c>
      <c r="X829" s="162"/>
      <c r="Y829" s="163"/>
      <c r="Z829" s="164"/>
    </row>
    <row r="830" spans="1:35" s="44" customFormat="1" ht="66.75" customHeight="1">
      <c r="A830" s="148" t="s">
        <v>713</v>
      </c>
      <c r="B830" s="146" t="s">
        <v>3345</v>
      </c>
      <c r="C830" s="149" t="s">
        <v>3341</v>
      </c>
      <c r="D830" s="150">
        <v>6</v>
      </c>
      <c r="E830" s="150" t="s">
        <v>3342</v>
      </c>
      <c r="F830" s="151" t="s">
        <v>3346</v>
      </c>
      <c r="G830" s="152">
        <v>4</v>
      </c>
      <c r="H830" s="152">
        <v>0</v>
      </c>
      <c r="I830" s="153">
        <v>4</v>
      </c>
      <c r="J830" s="154">
        <v>4</v>
      </c>
      <c r="K830" s="155">
        <v>0</v>
      </c>
      <c r="L830" s="148" t="s">
        <v>57</v>
      </c>
      <c r="M830" s="148" t="s">
        <v>58</v>
      </c>
      <c r="N830" s="151"/>
      <c r="O830" s="157" t="s">
        <v>59</v>
      </c>
      <c r="P830" s="158">
        <v>90</v>
      </c>
      <c r="Q830" s="152" t="s">
        <v>76</v>
      </c>
      <c r="R830" s="152" t="s">
        <v>70</v>
      </c>
      <c r="S830" s="148" t="s">
        <v>3347</v>
      </c>
      <c r="T830" s="148">
        <v>0</v>
      </c>
      <c r="U830" s="159">
        <v>505</v>
      </c>
      <c r="V830" s="160" t="str">
        <f>VLOOKUP(U830,docentes!$A:$E,2,0)</f>
        <v>ROQUE DA COSTA CAIERO</v>
      </c>
      <c r="W830" s="161" t="str">
        <f>VLOOKUP(U830,docentes!$A:$E,5,0)</f>
        <v>CCNH</v>
      </c>
      <c r="X830" s="162"/>
      <c r="Y830" s="163"/>
      <c r="Z830" s="164"/>
    </row>
    <row r="831" spans="1:35" s="44" customFormat="1" ht="66.75" customHeight="1">
      <c r="A831" s="148" t="s">
        <v>713</v>
      </c>
      <c r="B831" s="146" t="s">
        <v>3348</v>
      </c>
      <c r="C831" s="149" t="s">
        <v>3341</v>
      </c>
      <c r="D831" s="150">
        <v>6</v>
      </c>
      <c r="E831" s="150" t="s">
        <v>3342</v>
      </c>
      <c r="F831" s="151" t="s">
        <v>3349</v>
      </c>
      <c r="G831" s="152">
        <v>4</v>
      </c>
      <c r="H831" s="152">
        <v>0</v>
      </c>
      <c r="I831" s="153">
        <v>4</v>
      </c>
      <c r="J831" s="154">
        <v>4</v>
      </c>
      <c r="K831" s="155">
        <v>0</v>
      </c>
      <c r="L831" s="148" t="s">
        <v>57</v>
      </c>
      <c r="M831" s="148" t="s">
        <v>58</v>
      </c>
      <c r="N831" s="156"/>
      <c r="O831" s="157" t="s">
        <v>59</v>
      </c>
      <c r="P831" s="158">
        <v>90</v>
      </c>
      <c r="Q831" s="152" t="s">
        <v>76</v>
      </c>
      <c r="R831" s="152" t="s">
        <v>61</v>
      </c>
      <c r="S831" s="148" t="s">
        <v>3350</v>
      </c>
      <c r="T831" s="148">
        <v>0</v>
      </c>
      <c r="U831" s="159">
        <v>505</v>
      </c>
      <c r="V831" s="160" t="str">
        <f>VLOOKUP(U831,docentes!$A:$E,2,0)</f>
        <v>ROQUE DA COSTA CAIERO</v>
      </c>
      <c r="W831" s="161" t="str">
        <f>VLOOKUP(U831,docentes!$A:$E,5,0)</f>
        <v>CCNH</v>
      </c>
      <c r="X831" s="162"/>
      <c r="Y831" s="163"/>
      <c r="Z831" s="164"/>
    </row>
    <row r="832" spans="1:35" s="44" customFormat="1" ht="66.75" customHeight="1">
      <c r="A832" s="148" t="s">
        <v>713</v>
      </c>
      <c r="B832" s="146" t="s">
        <v>3351</v>
      </c>
      <c r="C832" s="149" t="s">
        <v>3341</v>
      </c>
      <c r="D832" s="150">
        <v>6</v>
      </c>
      <c r="E832" s="150" t="s">
        <v>3342</v>
      </c>
      <c r="F832" s="151" t="s">
        <v>3352</v>
      </c>
      <c r="G832" s="152">
        <v>4</v>
      </c>
      <c r="H832" s="152">
        <v>0</v>
      </c>
      <c r="I832" s="153">
        <v>4</v>
      </c>
      <c r="J832" s="154">
        <v>4</v>
      </c>
      <c r="K832" s="155">
        <v>0</v>
      </c>
      <c r="L832" s="148" t="s">
        <v>57</v>
      </c>
      <c r="M832" s="148" t="s">
        <v>58</v>
      </c>
      <c r="N832" s="156"/>
      <c r="O832" s="157" t="s">
        <v>59</v>
      </c>
      <c r="P832" s="158">
        <v>90</v>
      </c>
      <c r="Q832" s="152" t="s">
        <v>76</v>
      </c>
      <c r="R832" s="152" t="s">
        <v>61</v>
      </c>
      <c r="S832" s="148" t="s">
        <v>3353</v>
      </c>
      <c r="T832" s="148">
        <v>0</v>
      </c>
      <c r="U832" s="159">
        <v>186</v>
      </c>
      <c r="V832" s="160" t="str">
        <f>VLOOKUP(U832,docentes!$A:$E,2,0)</f>
        <v>FERNANDO COSTA MATTOS</v>
      </c>
      <c r="W832" s="161" t="str">
        <f>VLOOKUP(U832,docentes!$A:$E,5,0)</f>
        <v>CCNH</v>
      </c>
      <c r="X832" s="162"/>
      <c r="Y832" s="163"/>
      <c r="Z832" s="164"/>
    </row>
    <row r="833" spans="1:28" s="44" customFormat="1" ht="66.75" customHeight="1">
      <c r="A833" s="148" t="s">
        <v>713</v>
      </c>
      <c r="B833" s="146" t="s">
        <v>3354</v>
      </c>
      <c r="C833" s="149" t="s">
        <v>3341</v>
      </c>
      <c r="D833" s="150">
        <v>6</v>
      </c>
      <c r="E833" s="150" t="s">
        <v>3342</v>
      </c>
      <c r="F833" s="151" t="s">
        <v>3355</v>
      </c>
      <c r="G833" s="152">
        <v>4</v>
      </c>
      <c r="H833" s="152">
        <v>0</v>
      </c>
      <c r="I833" s="153">
        <v>4</v>
      </c>
      <c r="J833" s="154">
        <v>4</v>
      </c>
      <c r="K833" s="155">
        <v>0</v>
      </c>
      <c r="L833" s="148" t="s">
        <v>821</v>
      </c>
      <c r="M833" s="148">
        <v>100</v>
      </c>
      <c r="N833" s="156"/>
      <c r="O833" s="165" t="s">
        <v>751</v>
      </c>
      <c r="P833" s="158"/>
      <c r="Q833" s="152" t="s">
        <v>76</v>
      </c>
      <c r="R833" s="152" t="s">
        <v>70</v>
      </c>
      <c r="S833" s="148" t="s">
        <v>3356</v>
      </c>
      <c r="T833" s="148">
        <v>0</v>
      </c>
      <c r="U833" s="159">
        <v>390</v>
      </c>
      <c r="V833" s="160" t="str">
        <f>VLOOKUP(U833,docentes!$A:$E,2,0)</f>
        <v>MARIA CECILIA LEONEL GOMES DOS REIS</v>
      </c>
      <c r="W833" s="161" t="str">
        <f>VLOOKUP(U833,docentes!$A:$E,5,0)</f>
        <v>CCNH</v>
      </c>
      <c r="X833" s="162"/>
      <c r="Y833" s="163"/>
      <c r="Z833" s="164"/>
    </row>
    <row r="834" spans="1:28" s="44" customFormat="1" ht="66.75" customHeight="1">
      <c r="A834" s="148" t="s">
        <v>713</v>
      </c>
      <c r="B834" s="146" t="s">
        <v>3357</v>
      </c>
      <c r="C834" s="149" t="s">
        <v>3341</v>
      </c>
      <c r="D834" s="150">
        <v>6</v>
      </c>
      <c r="E834" s="150" t="s">
        <v>3342</v>
      </c>
      <c r="F834" s="151" t="s">
        <v>3358</v>
      </c>
      <c r="G834" s="152">
        <v>4</v>
      </c>
      <c r="H834" s="152">
        <v>0</v>
      </c>
      <c r="I834" s="153">
        <v>4</v>
      </c>
      <c r="J834" s="154">
        <v>4</v>
      </c>
      <c r="K834" s="155">
        <v>0</v>
      </c>
      <c r="L834" s="148" t="s">
        <v>57</v>
      </c>
      <c r="M834" s="148" t="s">
        <v>58</v>
      </c>
      <c r="N834" s="156"/>
      <c r="O834" s="157" t="s">
        <v>59</v>
      </c>
      <c r="P834" s="158">
        <v>90</v>
      </c>
      <c r="Q834" s="152" t="s">
        <v>76</v>
      </c>
      <c r="R834" s="152" t="s">
        <v>61</v>
      </c>
      <c r="S834" s="148" t="s">
        <v>3359</v>
      </c>
      <c r="T834" s="148">
        <v>0</v>
      </c>
      <c r="U834" s="159">
        <v>186</v>
      </c>
      <c r="V834" s="160" t="str">
        <f>VLOOKUP(U834,docentes!$A:$E,2,0)</f>
        <v>FERNANDO COSTA MATTOS</v>
      </c>
      <c r="W834" s="161" t="str">
        <f>VLOOKUP(U834,docentes!$A:$E,5,0)</f>
        <v>CCNH</v>
      </c>
      <c r="X834" s="162"/>
      <c r="Y834" s="163"/>
      <c r="Z834" s="164"/>
    </row>
    <row r="835" spans="1:28" s="44" customFormat="1" ht="66.75" customHeight="1">
      <c r="A835" s="148" t="s">
        <v>128</v>
      </c>
      <c r="B835" s="146" t="s">
        <v>3360</v>
      </c>
      <c r="C835" s="149" t="s">
        <v>3361</v>
      </c>
      <c r="D835" s="150">
        <v>1</v>
      </c>
      <c r="E835" s="150" t="s">
        <v>3362</v>
      </c>
      <c r="F835" s="151" t="s">
        <v>3363</v>
      </c>
      <c r="G835" s="152">
        <v>2</v>
      </c>
      <c r="H835" s="152">
        <v>2</v>
      </c>
      <c r="I835" s="153">
        <v>5</v>
      </c>
      <c r="J835" s="154">
        <v>2</v>
      </c>
      <c r="K835" s="155">
        <v>2</v>
      </c>
      <c r="L835" s="148" t="s">
        <v>57</v>
      </c>
      <c r="M835" s="148" t="s">
        <v>58</v>
      </c>
      <c r="N835" s="156"/>
      <c r="O835" s="157" t="s">
        <v>59</v>
      </c>
      <c r="P835" s="158">
        <v>62</v>
      </c>
      <c r="Q835" s="152" t="s">
        <v>76</v>
      </c>
      <c r="R835" s="152" t="s">
        <v>61</v>
      </c>
      <c r="S835" s="148" t="s">
        <v>3364</v>
      </c>
      <c r="T835" s="148">
        <v>0</v>
      </c>
      <c r="U835" s="159">
        <v>229</v>
      </c>
      <c r="V835" s="160" t="str">
        <f>VLOOKUP(U835,docentes!$A:$E,2,0)</f>
        <v>GUILHERME CANUTO DA SILVA</v>
      </c>
      <c r="W835" s="161" t="str">
        <f>VLOOKUP(U835,docentes!$A:$E,5,0)</f>
        <v>CECS</v>
      </c>
      <c r="X835" s="176">
        <v>229</v>
      </c>
      <c r="Y835" s="160" t="str">
        <f>VLOOKUP(X835,docentes!$A:$E,2,0)</f>
        <v>GUILHERME CANUTO DA SILVA</v>
      </c>
      <c r="Z835" s="177" t="str">
        <f>VLOOKUP(X835,docentes!$A:$E,5,0)</f>
        <v>CECS</v>
      </c>
    </row>
    <row r="836" spans="1:28" s="44" customFormat="1" ht="66.75" customHeight="1">
      <c r="A836" s="148" t="s">
        <v>1017</v>
      </c>
      <c r="B836" s="146" t="s">
        <v>3365</v>
      </c>
      <c r="C836" s="149" t="s">
        <v>3366</v>
      </c>
      <c r="D836" s="150">
        <v>1</v>
      </c>
      <c r="E836" s="150" t="s">
        <v>3367</v>
      </c>
      <c r="F836" s="151" t="s">
        <v>3368</v>
      </c>
      <c r="G836" s="152">
        <v>4</v>
      </c>
      <c r="H836" s="152">
        <v>0</v>
      </c>
      <c r="I836" s="153">
        <v>4</v>
      </c>
      <c r="J836" s="154">
        <v>4</v>
      </c>
      <c r="K836" s="155">
        <v>0</v>
      </c>
      <c r="L836" s="148" t="s">
        <v>57</v>
      </c>
      <c r="M836" s="148" t="s">
        <v>58</v>
      </c>
      <c r="N836" s="178"/>
      <c r="O836" s="157" t="s">
        <v>59</v>
      </c>
      <c r="P836" s="158">
        <v>39</v>
      </c>
      <c r="Q836" s="152" t="s">
        <v>60</v>
      </c>
      <c r="R836" s="152" t="s">
        <v>61</v>
      </c>
      <c r="S836" s="148">
        <v>0</v>
      </c>
      <c r="T836" s="148" t="s">
        <v>3369</v>
      </c>
      <c r="U836" s="159">
        <v>207</v>
      </c>
      <c r="V836" s="160" t="str">
        <f>VLOOKUP(U836,docentes!$A:$E,2,0)</f>
        <v>FRANCISCO JOSE BRABO BEZERRA</v>
      </c>
      <c r="W836" s="161" t="str">
        <f>VLOOKUP(U836,docentes!$A:$E,5,0)</f>
        <v>CMCC</v>
      </c>
      <c r="X836" s="162">
        <v>207</v>
      </c>
      <c r="Y836" s="163" t="str">
        <f>VLOOKUP(X836,docentes!$A:$E,2,0)</f>
        <v>FRANCISCO JOSE BRABO BEZERRA</v>
      </c>
      <c r="Z836" s="164" t="str">
        <f>VLOOKUP(X836,docentes!$A:$E,5,0)</f>
        <v>CMCC</v>
      </c>
      <c r="AB836" s="45"/>
    </row>
    <row r="837" spans="1:28" s="44" customFormat="1" ht="66.75" customHeight="1">
      <c r="A837" s="148" t="s">
        <v>1017</v>
      </c>
      <c r="B837" s="146" t="s">
        <v>3370</v>
      </c>
      <c r="C837" s="149" t="s">
        <v>3371</v>
      </c>
      <c r="D837" s="150">
        <v>2</v>
      </c>
      <c r="E837" s="150" t="s">
        <v>3372</v>
      </c>
      <c r="F837" s="151" t="s">
        <v>3373</v>
      </c>
      <c r="G837" s="152">
        <v>4</v>
      </c>
      <c r="H837" s="152">
        <v>0</v>
      </c>
      <c r="I837" s="153">
        <v>4</v>
      </c>
      <c r="J837" s="154">
        <v>4</v>
      </c>
      <c r="K837" s="155">
        <v>0</v>
      </c>
      <c r="L837" s="148" t="s">
        <v>57</v>
      </c>
      <c r="M837" s="148" t="s">
        <v>58</v>
      </c>
      <c r="N837" s="178"/>
      <c r="O837" s="157" t="s">
        <v>59</v>
      </c>
      <c r="P837" s="158">
        <v>52</v>
      </c>
      <c r="Q837" s="152" t="s">
        <v>60</v>
      </c>
      <c r="R837" s="152" t="s">
        <v>61</v>
      </c>
      <c r="S837" s="148" t="s">
        <v>3374</v>
      </c>
      <c r="T837" s="148">
        <v>0</v>
      </c>
      <c r="U837" s="159">
        <v>150</v>
      </c>
      <c r="V837" s="160" t="str">
        <f>VLOOKUP(U837,docentes!$A:$E,2,0)</f>
        <v>EDSON RYOJI OKAMOTO IWAKI</v>
      </c>
      <c r="W837" s="161" t="str">
        <f>VLOOKUP(U837,docentes!$A:$E,5,0)</f>
        <v>CMCC</v>
      </c>
      <c r="X837" s="162"/>
      <c r="Y837" s="163"/>
      <c r="Z837" s="164"/>
    </row>
    <row r="838" spans="1:28" s="44" customFormat="1" ht="66.75" customHeight="1">
      <c r="A838" s="148" t="s">
        <v>1017</v>
      </c>
      <c r="B838" s="146" t="s">
        <v>3375</v>
      </c>
      <c r="C838" s="149" t="s">
        <v>3371</v>
      </c>
      <c r="D838" s="150">
        <v>2</v>
      </c>
      <c r="E838" s="150" t="s">
        <v>3372</v>
      </c>
      <c r="F838" s="151" t="s">
        <v>3376</v>
      </c>
      <c r="G838" s="152">
        <v>4</v>
      </c>
      <c r="H838" s="152">
        <v>0</v>
      </c>
      <c r="I838" s="153">
        <v>4</v>
      </c>
      <c r="J838" s="154">
        <v>4</v>
      </c>
      <c r="K838" s="155">
        <v>0</v>
      </c>
      <c r="L838" s="148" t="s">
        <v>57</v>
      </c>
      <c r="M838" s="148" t="s">
        <v>58</v>
      </c>
      <c r="N838" s="178"/>
      <c r="O838" s="157" t="s">
        <v>59</v>
      </c>
      <c r="P838" s="158">
        <v>52</v>
      </c>
      <c r="Q838" s="152" t="s">
        <v>60</v>
      </c>
      <c r="R838" s="152" t="s">
        <v>70</v>
      </c>
      <c r="S838" s="148" t="s">
        <v>3377</v>
      </c>
      <c r="T838" s="148">
        <v>0</v>
      </c>
      <c r="U838" s="159">
        <v>150</v>
      </c>
      <c r="V838" s="160" t="str">
        <f>VLOOKUP(U838,docentes!$A:$E,2,0)</f>
        <v>EDSON RYOJI OKAMOTO IWAKI</v>
      </c>
      <c r="W838" s="161" t="str">
        <f>VLOOKUP(U838,docentes!$A:$E,5,0)</f>
        <v>CMCC</v>
      </c>
      <c r="X838" s="162"/>
      <c r="Y838" s="163"/>
      <c r="Z838" s="164"/>
    </row>
    <row r="839" spans="1:28" s="44" customFormat="1" ht="66.75" customHeight="1">
      <c r="A839" s="148" t="s">
        <v>78</v>
      </c>
      <c r="B839" s="146" t="s">
        <v>3378</v>
      </c>
      <c r="C839" s="149" t="s">
        <v>3379</v>
      </c>
      <c r="D839" s="150">
        <v>2</v>
      </c>
      <c r="E839" s="150" t="s">
        <v>3380</v>
      </c>
      <c r="F839" s="151" t="s">
        <v>3381</v>
      </c>
      <c r="G839" s="152">
        <v>4</v>
      </c>
      <c r="H839" s="152">
        <v>0</v>
      </c>
      <c r="I839" s="153">
        <v>4</v>
      </c>
      <c r="J839" s="154">
        <v>4</v>
      </c>
      <c r="K839" s="155">
        <v>0</v>
      </c>
      <c r="L839" s="148" t="s">
        <v>97</v>
      </c>
      <c r="M839" s="148" t="s">
        <v>58</v>
      </c>
      <c r="N839" s="156"/>
      <c r="O839" s="157" t="s">
        <v>59</v>
      </c>
      <c r="P839" s="158">
        <v>48</v>
      </c>
      <c r="Q839" s="152" t="s">
        <v>60</v>
      </c>
      <c r="R839" s="152" t="s">
        <v>61</v>
      </c>
      <c r="S839" s="148" t="s">
        <v>3382</v>
      </c>
      <c r="T839" s="148">
        <v>0</v>
      </c>
      <c r="U839" s="159">
        <v>111</v>
      </c>
      <c r="V839" s="160" t="str">
        <f>VLOOKUP(U839,docentes!$A:$E,2,0)</f>
        <v>CRISTIAN FAVIO COLETTI</v>
      </c>
      <c r="W839" s="161" t="str">
        <f>VLOOKUP(U839,docentes!$A:$E,5,0)</f>
        <v>CMCC</v>
      </c>
      <c r="X839" s="162"/>
      <c r="Y839" s="163"/>
      <c r="Z839" s="164"/>
    </row>
    <row r="840" spans="1:28" s="44" customFormat="1" ht="66.75" customHeight="1">
      <c r="A840" s="148" t="s">
        <v>78</v>
      </c>
      <c r="B840" s="146" t="s">
        <v>3383</v>
      </c>
      <c r="C840" s="149" t="s">
        <v>3379</v>
      </c>
      <c r="D840" s="150">
        <v>2</v>
      </c>
      <c r="E840" s="150" t="s">
        <v>3380</v>
      </c>
      <c r="F840" s="151" t="s">
        <v>3384</v>
      </c>
      <c r="G840" s="152">
        <v>4</v>
      </c>
      <c r="H840" s="152">
        <v>0</v>
      </c>
      <c r="I840" s="153">
        <v>4</v>
      </c>
      <c r="J840" s="154">
        <v>4</v>
      </c>
      <c r="K840" s="155">
        <v>0</v>
      </c>
      <c r="L840" s="148" t="s">
        <v>97</v>
      </c>
      <c r="M840" s="148" t="s">
        <v>58</v>
      </c>
      <c r="N840" s="156"/>
      <c r="O840" s="157" t="s">
        <v>59</v>
      </c>
      <c r="P840" s="158">
        <v>48</v>
      </c>
      <c r="Q840" s="152" t="s">
        <v>60</v>
      </c>
      <c r="R840" s="152" t="s">
        <v>70</v>
      </c>
      <c r="S840" s="148" t="s">
        <v>3385</v>
      </c>
      <c r="T840" s="148">
        <v>0</v>
      </c>
      <c r="U840" s="159">
        <v>111</v>
      </c>
      <c r="V840" s="160" t="str">
        <f>VLOOKUP(U840,docentes!$A:$E,2,0)</f>
        <v>CRISTIAN FAVIO COLETTI</v>
      </c>
      <c r="W840" s="161" t="str">
        <f>VLOOKUP(U840,docentes!$A:$E,5,0)</f>
        <v>CMCC</v>
      </c>
      <c r="X840" s="162"/>
      <c r="Y840" s="163"/>
      <c r="Z840" s="164"/>
    </row>
    <row r="841" spans="1:28" s="44" customFormat="1" ht="66.75" customHeight="1">
      <c r="A841" s="148" t="s">
        <v>915</v>
      </c>
      <c r="B841" s="146" t="s">
        <v>3386</v>
      </c>
      <c r="C841" s="149" t="s">
        <v>3387</v>
      </c>
      <c r="D841" s="150">
        <v>1</v>
      </c>
      <c r="E841" s="150" t="s">
        <v>3388</v>
      </c>
      <c r="F841" s="151" t="s">
        <v>3389</v>
      </c>
      <c r="G841" s="152">
        <v>4</v>
      </c>
      <c r="H841" s="152">
        <v>0</v>
      </c>
      <c r="I841" s="153">
        <v>4</v>
      </c>
      <c r="J841" s="154">
        <v>4</v>
      </c>
      <c r="K841" s="155">
        <v>0</v>
      </c>
      <c r="L841" s="148" t="s">
        <v>57</v>
      </c>
      <c r="M841" s="148" t="s">
        <v>58</v>
      </c>
      <c r="N841" s="156"/>
      <c r="O841" s="157" t="s">
        <v>59</v>
      </c>
      <c r="P841" s="158">
        <v>30</v>
      </c>
      <c r="Q841" s="152" t="s">
        <v>60</v>
      </c>
      <c r="R841" s="152" t="s">
        <v>70</v>
      </c>
      <c r="S841" s="148" t="s">
        <v>3390</v>
      </c>
      <c r="T841" s="148">
        <v>0</v>
      </c>
      <c r="U841" s="159">
        <v>455</v>
      </c>
      <c r="V841" s="160" t="str">
        <f>VLOOKUP(U841,docentes!$A:$E,2,0)</f>
        <v>PEDRO GALLI MERCADANTE</v>
      </c>
      <c r="W841" s="161" t="str">
        <f>VLOOKUP(U841,docentes!$A:$E,5,0)</f>
        <v>CCNH</v>
      </c>
      <c r="X841" s="162"/>
      <c r="Y841" s="163"/>
      <c r="Z841" s="164"/>
    </row>
    <row r="842" spans="1:28" s="44" customFormat="1" ht="66.75" customHeight="1">
      <c r="A842" s="148" t="s">
        <v>128</v>
      </c>
      <c r="B842" s="146" t="s">
        <v>3391</v>
      </c>
      <c r="C842" s="149" t="s">
        <v>3392</v>
      </c>
      <c r="D842" s="150">
        <v>2</v>
      </c>
      <c r="E842" s="150" t="s">
        <v>3393</v>
      </c>
      <c r="F842" s="151" t="s">
        <v>3394</v>
      </c>
      <c r="G842" s="152">
        <v>2</v>
      </c>
      <c r="H842" s="152">
        <v>0</v>
      </c>
      <c r="I842" s="153">
        <v>3</v>
      </c>
      <c r="J842" s="154">
        <v>2</v>
      </c>
      <c r="K842" s="155">
        <v>0</v>
      </c>
      <c r="L842" s="148" t="s">
        <v>57</v>
      </c>
      <c r="M842" s="148" t="s">
        <v>58</v>
      </c>
      <c r="N842" s="156"/>
      <c r="O842" s="157" t="s">
        <v>59</v>
      </c>
      <c r="P842" s="158">
        <v>32</v>
      </c>
      <c r="Q842" s="149" t="s">
        <v>76</v>
      </c>
      <c r="R842" s="152" t="s">
        <v>61</v>
      </c>
      <c r="S842" s="148">
        <v>0</v>
      </c>
      <c r="T842" s="148" t="s">
        <v>3395</v>
      </c>
      <c r="U842" s="159">
        <v>145</v>
      </c>
      <c r="V842" s="160" t="str">
        <f>VLOOKUP(U842,docentes!$A:$E,2,0)</f>
        <v>DOUGLAS ALVES CASSIANO</v>
      </c>
      <c r="W842" s="161" t="str">
        <f>VLOOKUP(U842,docentes!$A:$E,5,0)</f>
        <v>CECS</v>
      </c>
      <c r="X842" s="162">
        <v>145</v>
      </c>
      <c r="Y842" s="163" t="str">
        <f>VLOOKUP(X842,docentes!$A:$E,2,0)</f>
        <v>DOUGLAS ALVES CASSIANO</v>
      </c>
      <c r="Z842" s="164" t="str">
        <f>VLOOKUP(X842,docentes!$A:$E,5,0)</f>
        <v>CECS</v>
      </c>
      <c r="AB842" s="45"/>
    </row>
    <row r="843" spans="1:28" s="44" customFormat="1" ht="66.75" customHeight="1">
      <c r="A843" s="148" t="s">
        <v>128</v>
      </c>
      <c r="B843" s="146" t="s">
        <v>3396</v>
      </c>
      <c r="C843" s="149" t="s">
        <v>3392</v>
      </c>
      <c r="D843" s="150">
        <v>2</v>
      </c>
      <c r="E843" s="150" t="s">
        <v>3393</v>
      </c>
      <c r="F843" s="151" t="s">
        <v>3397</v>
      </c>
      <c r="G843" s="152">
        <v>2</v>
      </c>
      <c r="H843" s="152">
        <v>0</v>
      </c>
      <c r="I843" s="153">
        <v>3</v>
      </c>
      <c r="J843" s="154">
        <v>2</v>
      </c>
      <c r="K843" s="155">
        <v>0</v>
      </c>
      <c r="L843" s="148" t="s">
        <v>57</v>
      </c>
      <c r="M843" s="148" t="s">
        <v>58</v>
      </c>
      <c r="N843" s="156"/>
      <c r="O843" s="157" t="s">
        <v>59</v>
      </c>
      <c r="P843" s="158">
        <v>40</v>
      </c>
      <c r="Q843" s="149" t="s">
        <v>76</v>
      </c>
      <c r="R843" s="152" t="s">
        <v>70</v>
      </c>
      <c r="S843" s="148">
        <v>0</v>
      </c>
      <c r="T843" s="148" t="s">
        <v>3398</v>
      </c>
      <c r="U843" s="159">
        <v>145</v>
      </c>
      <c r="V843" s="160" t="str">
        <f>VLOOKUP(U843,docentes!$A:$E,2,0)</f>
        <v>DOUGLAS ALVES CASSIANO</v>
      </c>
      <c r="W843" s="161" t="str">
        <f>VLOOKUP(U843,docentes!$A:$E,5,0)</f>
        <v>CECS</v>
      </c>
      <c r="X843" s="162">
        <v>145</v>
      </c>
      <c r="Y843" s="163" t="str">
        <f>VLOOKUP(X843,docentes!$A:$E,2,0)</f>
        <v>DOUGLAS ALVES CASSIANO</v>
      </c>
      <c r="Z843" s="164" t="str">
        <f>VLOOKUP(X843,docentes!$A:$E,5,0)</f>
        <v>CECS</v>
      </c>
      <c r="AB843" s="45"/>
    </row>
    <row r="844" spans="1:28" s="44" customFormat="1" ht="66.75" customHeight="1">
      <c r="A844" s="148" t="s">
        <v>184</v>
      </c>
      <c r="B844" s="146" t="s">
        <v>3399</v>
      </c>
      <c r="C844" s="149" t="s">
        <v>3400</v>
      </c>
      <c r="D844" s="150">
        <v>2</v>
      </c>
      <c r="E844" s="150" t="s">
        <v>3401</v>
      </c>
      <c r="F844" s="151" t="s">
        <v>3402</v>
      </c>
      <c r="G844" s="152">
        <v>3</v>
      </c>
      <c r="H844" s="152">
        <v>0</v>
      </c>
      <c r="I844" s="153">
        <v>4</v>
      </c>
      <c r="J844" s="154">
        <v>3</v>
      </c>
      <c r="K844" s="155">
        <v>0</v>
      </c>
      <c r="L844" s="148" t="s">
        <v>821</v>
      </c>
      <c r="M844" s="148" t="s">
        <v>68</v>
      </c>
      <c r="N844" s="156">
        <v>63</v>
      </c>
      <c r="O844" s="165" t="s">
        <v>3403</v>
      </c>
      <c r="P844" s="158">
        <v>63</v>
      </c>
      <c r="Q844" s="152" t="s">
        <v>60</v>
      </c>
      <c r="R844" s="152" t="s">
        <v>61</v>
      </c>
      <c r="S844" s="148" t="s">
        <v>3404</v>
      </c>
      <c r="T844" s="148">
        <v>0</v>
      </c>
      <c r="U844" s="159">
        <v>485</v>
      </c>
      <c r="V844" s="160" t="str">
        <f>VLOOKUP(U844,docentes!$A:$E,2,0)</f>
        <v>RICARDO DE SOUSA MORETTI</v>
      </c>
      <c r="W844" s="161" t="str">
        <f>VLOOKUP(U844,docentes!$A:$E,5,0)</f>
        <v>CECS</v>
      </c>
      <c r="X844" s="162">
        <v>202</v>
      </c>
      <c r="Y844" s="163" t="str">
        <f>VLOOKUP(X844,docentes!$A:$E,2,0)</f>
        <v>FRANCISCO DE ASSIS COMARU</v>
      </c>
      <c r="Z844" s="164" t="str">
        <f>VLOOKUP(X844,docentes!$A:$E,5,0)</f>
        <v>CECS</v>
      </c>
      <c r="AB844" s="45"/>
    </row>
    <row r="845" spans="1:28" s="44" customFormat="1" ht="66.75" customHeight="1">
      <c r="A845" s="148" t="s">
        <v>184</v>
      </c>
      <c r="B845" s="146" t="s">
        <v>3405</v>
      </c>
      <c r="C845" s="149" t="s">
        <v>3400</v>
      </c>
      <c r="D845" s="150">
        <v>2</v>
      </c>
      <c r="E845" s="150" t="s">
        <v>3401</v>
      </c>
      <c r="F845" s="151" t="s">
        <v>3406</v>
      </c>
      <c r="G845" s="152">
        <v>3</v>
      </c>
      <c r="H845" s="152">
        <v>0</v>
      </c>
      <c r="I845" s="153">
        <v>4</v>
      </c>
      <c r="J845" s="154">
        <v>3</v>
      </c>
      <c r="K845" s="155">
        <v>0</v>
      </c>
      <c r="L845" s="148" t="s">
        <v>821</v>
      </c>
      <c r="M845" s="148" t="s">
        <v>68</v>
      </c>
      <c r="N845" s="156">
        <v>62</v>
      </c>
      <c r="O845" s="165" t="s">
        <v>3407</v>
      </c>
      <c r="P845" s="158">
        <v>62</v>
      </c>
      <c r="Q845" s="152" t="s">
        <v>60</v>
      </c>
      <c r="R845" s="152" t="s">
        <v>70</v>
      </c>
      <c r="S845" s="148" t="s">
        <v>3408</v>
      </c>
      <c r="T845" s="148">
        <v>0</v>
      </c>
      <c r="U845" s="159">
        <v>202</v>
      </c>
      <c r="V845" s="160" t="str">
        <f>VLOOKUP(U845,docentes!$A:$E,2,0)</f>
        <v>FRANCISCO DE ASSIS COMARU</v>
      </c>
      <c r="W845" s="161" t="str">
        <f>VLOOKUP(U845,docentes!$A:$E,5,0)</f>
        <v>CECS</v>
      </c>
      <c r="X845" s="162">
        <v>485</v>
      </c>
      <c r="Y845" s="163" t="str">
        <f>VLOOKUP(X845,docentes!$A:$E,2,0)</f>
        <v>RICARDO DE SOUSA MORETTI</v>
      </c>
      <c r="Z845" s="164" t="str">
        <f>VLOOKUP(X845,docentes!$A:$E,5,0)</f>
        <v>CECS</v>
      </c>
      <c r="AB845" s="45"/>
    </row>
    <row r="846" spans="1:28" s="44" customFormat="1" ht="66.75" customHeight="1">
      <c r="A846" s="148" t="s">
        <v>78</v>
      </c>
      <c r="B846" s="146" t="s">
        <v>3409</v>
      </c>
      <c r="C846" s="149" t="s">
        <v>3410</v>
      </c>
      <c r="D846" s="150">
        <v>1</v>
      </c>
      <c r="E846" s="150" t="s">
        <v>3411</v>
      </c>
      <c r="F846" s="151" t="s">
        <v>3412</v>
      </c>
      <c r="G846" s="152">
        <v>4</v>
      </c>
      <c r="H846" s="152">
        <v>0</v>
      </c>
      <c r="I846" s="153">
        <v>4</v>
      </c>
      <c r="J846" s="154">
        <v>4</v>
      </c>
      <c r="K846" s="155">
        <v>0</v>
      </c>
      <c r="L846" s="148" t="s">
        <v>97</v>
      </c>
      <c r="M846" s="148" t="s">
        <v>58</v>
      </c>
      <c r="N846" s="156"/>
      <c r="O846" s="157" t="s">
        <v>59</v>
      </c>
      <c r="P846" s="158">
        <v>106</v>
      </c>
      <c r="Q846" s="152" t="s">
        <v>60</v>
      </c>
      <c r="R846" s="152" t="s">
        <v>61</v>
      </c>
      <c r="S846" s="148" t="s">
        <v>3413</v>
      </c>
      <c r="T846" s="148">
        <v>0</v>
      </c>
      <c r="U846" s="159">
        <v>505</v>
      </c>
      <c r="V846" s="160" t="str">
        <f>VLOOKUP(U846,docentes!$A:$E,2,0)</f>
        <v>ROQUE DA COSTA CAIERO</v>
      </c>
      <c r="W846" s="161" t="str">
        <f>VLOOKUP(U846,docentes!$A:$E,5,0)</f>
        <v>CCNH</v>
      </c>
      <c r="X846" s="162"/>
      <c r="Y846" s="163"/>
      <c r="Z846" s="164"/>
    </row>
    <row r="847" spans="1:28" s="44" customFormat="1" ht="66.75" customHeight="1">
      <c r="A847" s="148" t="s">
        <v>1000</v>
      </c>
      <c r="B847" s="146" t="s">
        <v>3414</v>
      </c>
      <c r="C847" s="149" t="s">
        <v>3415</v>
      </c>
      <c r="D847" s="150">
        <v>1</v>
      </c>
      <c r="E847" s="150" t="s">
        <v>3416</v>
      </c>
      <c r="F847" s="151" t="s">
        <v>3417</v>
      </c>
      <c r="G847" s="152">
        <v>4</v>
      </c>
      <c r="H847" s="152">
        <v>2</v>
      </c>
      <c r="I847" s="153">
        <v>6</v>
      </c>
      <c r="J847" s="154">
        <v>4</v>
      </c>
      <c r="K847" s="155">
        <v>2</v>
      </c>
      <c r="L847" s="148" t="s">
        <v>57</v>
      </c>
      <c r="M847" s="148" t="s">
        <v>58</v>
      </c>
      <c r="N847" s="178"/>
      <c r="O847" s="157" t="s">
        <v>59</v>
      </c>
      <c r="P847" s="158">
        <v>30</v>
      </c>
      <c r="Q847" s="152" t="s">
        <v>60</v>
      </c>
      <c r="R847" s="152" t="s">
        <v>70</v>
      </c>
      <c r="S847" s="148" t="s">
        <v>3418</v>
      </c>
      <c r="T847" s="148">
        <v>0</v>
      </c>
      <c r="U847" s="159">
        <v>363</v>
      </c>
      <c r="V847" s="160" t="str">
        <f>VLOOKUP(U847,docentes!$A:$E,2,0)</f>
        <v>MARCELO OLIVEIRA DA COSTA PIRES</v>
      </c>
      <c r="W847" s="161" t="str">
        <f>VLOOKUP(U847,docentes!$A:$E,5,0)</f>
        <v>CCNH</v>
      </c>
      <c r="X847" s="176">
        <v>363</v>
      </c>
      <c r="Y847" s="160" t="str">
        <f>VLOOKUP(X847,docentes!$A:$E,2,0)</f>
        <v>MARCELO OLIVEIRA DA COSTA PIRES</v>
      </c>
      <c r="Z847" s="177" t="str">
        <f>VLOOKUP(X847,docentes!$A:$E,5,0)</f>
        <v>CCNH</v>
      </c>
    </row>
    <row r="848" spans="1:28" s="44" customFormat="1" ht="66.75" customHeight="1">
      <c r="A848" s="148" t="s">
        <v>713</v>
      </c>
      <c r="B848" s="146" t="s">
        <v>3419</v>
      </c>
      <c r="C848" s="149" t="s">
        <v>3420</v>
      </c>
      <c r="D848" s="150">
        <v>5</v>
      </c>
      <c r="E848" s="150" t="s">
        <v>3421</v>
      </c>
      <c r="F848" s="151" t="s">
        <v>3422</v>
      </c>
      <c r="G848" s="152">
        <v>4</v>
      </c>
      <c r="H848" s="152">
        <v>0</v>
      </c>
      <c r="I848" s="153">
        <v>4</v>
      </c>
      <c r="J848" s="154">
        <v>4</v>
      </c>
      <c r="K848" s="155">
        <v>0</v>
      </c>
      <c r="L848" s="148" t="s">
        <v>57</v>
      </c>
      <c r="M848" s="148" t="s">
        <v>58</v>
      </c>
      <c r="N848" s="156"/>
      <c r="O848" s="157" t="s">
        <v>59</v>
      </c>
      <c r="P848" s="158">
        <v>90</v>
      </c>
      <c r="Q848" s="152" t="s">
        <v>76</v>
      </c>
      <c r="R848" s="152" t="s">
        <v>70</v>
      </c>
      <c r="S848" s="148" t="s">
        <v>3423</v>
      </c>
      <c r="T848" s="148">
        <v>0</v>
      </c>
      <c r="U848" s="159">
        <v>1007</v>
      </c>
      <c r="V848" s="160" t="str">
        <f>VLOOKUP(U848,docentes!$A:$E,2,0)</f>
        <v>PROFESSOR FILOSOFIA (EM CONTRTAÇÃO)</v>
      </c>
      <c r="W848" s="177" t="str">
        <f>VLOOKUP(U848,docentes!$A:$E,5,0)</f>
        <v>em contratação</v>
      </c>
      <c r="X848" s="162"/>
      <c r="Y848" s="163"/>
      <c r="Z848" s="164"/>
    </row>
    <row r="849" spans="1:35" s="44" customFormat="1" ht="66.75" hidden="1" customHeight="1">
      <c r="A849" s="148" t="s">
        <v>713</v>
      </c>
      <c r="B849" s="168" t="s">
        <v>3424</v>
      </c>
      <c r="C849" s="149"/>
      <c r="D849" s="150">
        <v>0</v>
      </c>
      <c r="E849" s="150" t="s">
        <v>3421</v>
      </c>
      <c r="F849" s="169" t="s">
        <v>3425</v>
      </c>
      <c r="G849" s="152">
        <v>4</v>
      </c>
      <c r="H849" s="152">
        <v>0</v>
      </c>
      <c r="I849" s="153">
        <v>4</v>
      </c>
      <c r="J849" s="154">
        <v>0</v>
      </c>
      <c r="K849" s="155">
        <v>0</v>
      </c>
      <c r="L849" s="148" t="s">
        <v>732</v>
      </c>
      <c r="M849" s="148" t="s">
        <v>58</v>
      </c>
      <c r="N849" s="156" t="s">
        <v>3426</v>
      </c>
      <c r="O849" s="165" t="s">
        <v>102</v>
      </c>
      <c r="P849" s="158">
        <v>0</v>
      </c>
      <c r="Q849" s="152" t="s">
        <v>76</v>
      </c>
      <c r="R849" s="152" t="s">
        <v>70</v>
      </c>
      <c r="S849" s="148" t="s">
        <v>3427</v>
      </c>
      <c r="T849" s="148">
        <v>0</v>
      </c>
      <c r="U849" s="170">
        <v>1007</v>
      </c>
      <c r="V849" s="163" t="str">
        <f>VLOOKUP(U849,docentes!$A:$E,2,0)</f>
        <v>PROFESSOR FILOSOFIA (EM CONTRTAÇÃO)</v>
      </c>
      <c r="W849" s="164"/>
      <c r="X849" s="162"/>
      <c r="Y849" s="163"/>
      <c r="Z849" s="164"/>
    </row>
    <row r="850" spans="1:35" s="44" customFormat="1" ht="66.75" customHeight="1">
      <c r="A850" s="148" t="s">
        <v>713</v>
      </c>
      <c r="B850" s="146" t="s">
        <v>3428</v>
      </c>
      <c r="C850" s="149" t="s">
        <v>3420</v>
      </c>
      <c r="D850" s="150">
        <v>5</v>
      </c>
      <c r="E850" s="150" t="s">
        <v>3421</v>
      </c>
      <c r="F850" s="151" t="s">
        <v>3429</v>
      </c>
      <c r="G850" s="152">
        <v>4</v>
      </c>
      <c r="H850" s="152">
        <v>0</v>
      </c>
      <c r="I850" s="153">
        <v>4</v>
      </c>
      <c r="J850" s="154">
        <v>4</v>
      </c>
      <c r="K850" s="155">
        <v>0</v>
      </c>
      <c r="L850" s="148" t="s">
        <v>57</v>
      </c>
      <c r="M850" s="148" t="s">
        <v>58</v>
      </c>
      <c r="N850" s="156"/>
      <c r="O850" s="157" t="s">
        <v>59</v>
      </c>
      <c r="P850" s="158">
        <v>90</v>
      </c>
      <c r="Q850" s="152" t="s">
        <v>76</v>
      </c>
      <c r="R850" s="152" t="s">
        <v>61</v>
      </c>
      <c r="S850" s="148" t="s">
        <v>3430</v>
      </c>
      <c r="T850" s="148">
        <v>0</v>
      </c>
      <c r="U850" s="159">
        <v>1007</v>
      </c>
      <c r="V850" s="160" t="str">
        <f>VLOOKUP(U850,docentes!$A:$E,2,0)</f>
        <v>PROFESSOR FILOSOFIA (EM CONTRTAÇÃO)</v>
      </c>
      <c r="W850" s="177" t="str">
        <f>VLOOKUP(U850,docentes!$A:$E,5,0)</f>
        <v>em contratação</v>
      </c>
      <c r="X850" s="162"/>
      <c r="Y850" s="163"/>
      <c r="Z850" s="164"/>
    </row>
    <row r="851" spans="1:35" s="44" customFormat="1" ht="66.75" customHeight="1">
      <c r="A851" s="148" t="s">
        <v>713</v>
      </c>
      <c r="B851" s="146" t="s">
        <v>3431</v>
      </c>
      <c r="C851" s="149" t="s">
        <v>3420</v>
      </c>
      <c r="D851" s="150">
        <v>5</v>
      </c>
      <c r="E851" s="150" t="s">
        <v>3421</v>
      </c>
      <c r="F851" s="151" t="s">
        <v>3432</v>
      </c>
      <c r="G851" s="152">
        <v>4</v>
      </c>
      <c r="H851" s="152">
        <v>0</v>
      </c>
      <c r="I851" s="153">
        <v>4</v>
      </c>
      <c r="J851" s="154">
        <v>4</v>
      </c>
      <c r="K851" s="155">
        <v>0</v>
      </c>
      <c r="L851" s="148" t="s">
        <v>57</v>
      </c>
      <c r="M851" s="148" t="s">
        <v>58</v>
      </c>
      <c r="N851" s="156"/>
      <c r="O851" s="157" t="s">
        <v>59</v>
      </c>
      <c r="P851" s="158">
        <v>90</v>
      </c>
      <c r="Q851" s="152" t="s">
        <v>76</v>
      </c>
      <c r="R851" s="152" t="s">
        <v>61</v>
      </c>
      <c r="S851" s="148" t="s">
        <v>3433</v>
      </c>
      <c r="T851" s="148">
        <v>0</v>
      </c>
      <c r="U851" s="159">
        <v>80</v>
      </c>
      <c r="V851" s="160" t="str">
        <f>VLOOKUP(U851,docentes!$A:$E,2,0)</f>
        <v>BRUNO NADAI</v>
      </c>
      <c r="W851" s="161" t="str">
        <f>VLOOKUP(U851,docentes!$A:$E,5,0)</f>
        <v>CCNH</v>
      </c>
      <c r="X851" s="162"/>
      <c r="Y851" s="163"/>
      <c r="Z851" s="164"/>
    </row>
    <row r="852" spans="1:35" s="44" customFormat="1" ht="66.75" customHeight="1">
      <c r="A852" s="148" t="s">
        <v>713</v>
      </c>
      <c r="B852" s="146" t="s">
        <v>3434</v>
      </c>
      <c r="C852" s="149" t="s">
        <v>3420</v>
      </c>
      <c r="D852" s="150">
        <v>5</v>
      </c>
      <c r="E852" s="150" t="s">
        <v>3421</v>
      </c>
      <c r="F852" s="151" t="s">
        <v>3435</v>
      </c>
      <c r="G852" s="152">
        <v>4</v>
      </c>
      <c r="H852" s="152">
        <v>0</v>
      </c>
      <c r="I852" s="153">
        <v>4</v>
      </c>
      <c r="J852" s="154">
        <v>4</v>
      </c>
      <c r="K852" s="155">
        <v>0</v>
      </c>
      <c r="L852" s="148" t="s">
        <v>821</v>
      </c>
      <c r="M852" s="148">
        <v>100</v>
      </c>
      <c r="N852" s="156"/>
      <c r="O852" s="165" t="s">
        <v>751</v>
      </c>
      <c r="P852" s="158"/>
      <c r="Q852" s="152" t="s">
        <v>76</v>
      </c>
      <c r="R852" s="152" t="s">
        <v>70</v>
      </c>
      <c r="S852" s="148" t="s">
        <v>3436</v>
      </c>
      <c r="T852" s="148">
        <v>0</v>
      </c>
      <c r="U852" s="159">
        <v>1007</v>
      </c>
      <c r="V852" s="160" t="str">
        <f>VLOOKUP(U852,docentes!$A:$E,2,0)</f>
        <v>PROFESSOR FILOSOFIA (EM CONTRTAÇÃO)</v>
      </c>
      <c r="W852" s="177" t="str">
        <f>VLOOKUP(U852,docentes!$A:$E,5,0)</f>
        <v>em contratação</v>
      </c>
      <c r="X852" s="162"/>
      <c r="Y852" s="163"/>
      <c r="Z852" s="164"/>
    </row>
    <row r="853" spans="1:35" s="44" customFormat="1" ht="66.75" customHeight="1">
      <c r="A853" s="148" t="s">
        <v>713</v>
      </c>
      <c r="B853" s="146" t="s">
        <v>3437</v>
      </c>
      <c r="C853" s="149" t="s">
        <v>3420</v>
      </c>
      <c r="D853" s="150">
        <v>5</v>
      </c>
      <c r="E853" s="150" t="s">
        <v>3421</v>
      </c>
      <c r="F853" s="151" t="s">
        <v>3438</v>
      </c>
      <c r="G853" s="152">
        <v>4</v>
      </c>
      <c r="H853" s="152">
        <v>0</v>
      </c>
      <c r="I853" s="153">
        <v>4</v>
      </c>
      <c r="J853" s="154">
        <v>4</v>
      </c>
      <c r="K853" s="155">
        <v>0</v>
      </c>
      <c r="L853" s="148" t="s">
        <v>57</v>
      </c>
      <c r="M853" s="148" t="s">
        <v>58</v>
      </c>
      <c r="N853" s="156"/>
      <c r="O853" s="157" t="s">
        <v>59</v>
      </c>
      <c r="P853" s="158">
        <v>90</v>
      </c>
      <c r="Q853" s="152" t="s">
        <v>76</v>
      </c>
      <c r="R853" s="152" t="s">
        <v>61</v>
      </c>
      <c r="S853" s="148" t="s">
        <v>3439</v>
      </c>
      <c r="T853" s="148">
        <v>0</v>
      </c>
      <c r="U853" s="159">
        <v>80</v>
      </c>
      <c r="V853" s="160" t="str">
        <f>VLOOKUP(U853,docentes!$A:$E,2,0)</f>
        <v>BRUNO NADAI</v>
      </c>
      <c r="W853" s="161" t="str">
        <f>VLOOKUP(U853,docentes!$A:$E,5,0)</f>
        <v>CCNH</v>
      </c>
      <c r="X853" s="162"/>
      <c r="Y853" s="163"/>
      <c r="Z853" s="164"/>
    </row>
    <row r="854" spans="1:35" s="44" customFormat="1" ht="66.75" customHeight="1">
      <c r="A854" s="148" t="s">
        <v>692</v>
      </c>
      <c r="B854" s="146" t="s">
        <v>3440</v>
      </c>
      <c r="C854" s="149" t="s">
        <v>3441</v>
      </c>
      <c r="D854" s="150">
        <v>3</v>
      </c>
      <c r="E854" s="150" t="s">
        <v>3442</v>
      </c>
      <c r="F854" s="151" t="s">
        <v>3443</v>
      </c>
      <c r="G854" s="152">
        <v>3</v>
      </c>
      <c r="H854" s="152">
        <v>1</v>
      </c>
      <c r="I854" s="153">
        <v>5</v>
      </c>
      <c r="J854" s="154">
        <v>3</v>
      </c>
      <c r="K854" s="155">
        <v>1</v>
      </c>
      <c r="L854" s="148" t="s">
        <v>67</v>
      </c>
      <c r="M854" s="148" t="s">
        <v>68</v>
      </c>
      <c r="N854" s="178" t="s">
        <v>2232</v>
      </c>
      <c r="O854" s="165" t="s">
        <v>3444</v>
      </c>
      <c r="P854" s="158">
        <v>100</v>
      </c>
      <c r="Q854" s="152" t="s">
        <v>60</v>
      </c>
      <c r="R854" s="152" t="s">
        <v>61</v>
      </c>
      <c r="S854" s="148" t="s">
        <v>3445</v>
      </c>
      <c r="T854" s="148">
        <v>0</v>
      </c>
      <c r="U854" s="159">
        <v>479</v>
      </c>
      <c r="V854" s="160" t="str">
        <f>VLOOKUP(U854,docentes!$A:$E,2,0)</f>
        <v>REYNALDO PALACIOS BERECHE</v>
      </c>
      <c r="W854" s="161" t="str">
        <f>VLOOKUP(U854,docentes!$A:$E,5,0)</f>
        <v>CECS</v>
      </c>
      <c r="X854" s="176">
        <v>479</v>
      </c>
      <c r="Y854" s="160" t="str">
        <f>VLOOKUP(X854,docentes!$A:$E,2,0)</f>
        <v>REYNALDO PALACIOS BERECHE</v>
      </c>
      <c r="Z854" s="177" t="str">
        <f>VLOOKUP(X854,docentes!$A:$E,5,0)</f>
        <v>CECS</v>
      </c>
    </row>
    <row r="855" spans="1:35" s="44" customFormat="1" ht="66.75" customHeight="1">
      <c r="A855" s="148" t="s">
        <v>692</v>
      </c>
      <c r="B855" s="146" t="s">
        <v>3446</v>
      </c>
      <c r="C855" s="149" t="s">
        <v>3441</v>
      </c>
      <c r="D855" s="150">
        <v>3</v>
      </c>
      <c r="E855" s="150" t="s">
        <v>3442</v>
      </c>
      <c r="F855" s="151" t="s">
        <v>3447</v>
      </c>
      <c r="G855" s="152">
        <v>3</v>
      </c>
      <c r="H855" s="152">
        <v>1</v>
      </c>
      <c r="I855" s="153">
        <v>5</v>
      </c>
      <c r="J855" s="154">
        <v>3</v>
      </c>
      <c r="K855" s="155">
        <v>1</v>
      </c>
      <c r="L855" s="148" t="s">
        <v>97</v>
      </c>
      <c r="M855" s="148" t="s">
        <v>58</v>
      </c>
      <c r="N855" s="178"/>
      <c r="O855" s="157" t="s">
        <v>59</v>
      </c>
      <c r="P855" s="158">
        <v>86</v>
      </c>
      <c r="Q855" s="152" t="s">
        <v>60</v>
      </c>
      <c r="R855" s="152" t="s">
        <v>70</v>
      </c>
      <c r="S855" s="148" t="s">
        <v>3448</v>
      </c>
      <c r="T855" s="148">
        <v>0</v>
      </c>
      <c r="U855" s="159">
        <v>362</v>
      </c>
      <c r="V855" s="160" t="str">
        <f>VLOOKUP(U855,docentes!$A:$E,2,0)</f>
        <v>MARCELO MODESTO DA SILVA</v>
      </c>
      <c r="W855" s="161" t="str">
        <f>VLOOKUP(U855,docentes!$A:$E,5,0)</f>
        <v>CECS</v>
      </c>
      <c r="X855" s="176">
        <v>362</v>
      </c>
      <c r="Y855" s="160" t="str">
        <f>VLOOKUP(X855,docentes!$A:$E,2,0)</f>
        <v>MARCELO MODESTO DA SILVA</v>
      </c>
      <c r="Z855" s="177" t="str">
        <f>VLOOKUP(X855,docentes!$A:$E,5,0)</f>
        <v>CECS</v>
      </c>
    </row>
    <row r="856" spans="1:35" s="44" customFormat="1" ht="66.75" customHeight="1">
      <c r="A856" s="148" t="s">
        <v>692</v>
      </c>
      <c r="B856" s="146" t="s">
        <v>3449</v>
      </c>
      <c r="C856" s="149" t="s">
        <v>3441</v>
      </c>
      <c r="D856" s="150">
        <v>3</v>
      </c>
      <c r="E856" s="150" t="s">
        <v>3442</v>
      </c>
      <c r="F856" s="151" t="s">
        <v>3450</v>
      </c>
      <c r="G856" s="152">
        <v>3</v>
      </c>
      <c r="H856" s="152">
        <v>1</v>
      </c>
      <c r="I856" s="153">
        <v>5</v>
      </c>
      <c r="J856" s="154">
        <v>3</v>
      </c>
      <c r="K856" s="155">
        <v>1</v>
      </c>
      <c r="L856" s="148" t="s">
        <v>97</v>
      </c>
      <c r="M856" s="148" t="s">
        <v>58</v>
      </c>
      <c r="N856" s="178"/>
      <c r="O856" s="157" t="s">
        <v>59</v>
      </c>
      <c r="P856" s="158">
        <v>86</v>
      </c>
      <c r="Q856" s="152" t="s">
        <v>60</v>
      </c>
      <c r="R856" s="152" t="s">
        <v>70</v>
      </c>
      <c r="S856" s="148" t="s">
        <v>3451</v>
      </c>
      <c r="T856" s="148">
        <v>0</v>
      </c>
      <c r="U856" s="159">
        <v>362</v>
      </c>
      <c r="V856" s="160" t="str">
        <f>VLOOKUP(U856,docentes!$A:$E,2,0)</f>
        <v>MARCELO MODESTO DA SILVA</v>
      </c>
      <c r="W856" s="161" t="str">
        <f>VLOOKUP(U856,docentes!$A:$E,5,0)</f>
        <v>CECS</v>
      </c>
      <c r="X856" s="176">
        <v>362</v>
      </c>
      <c r="Y856" s="160" t="str">
        <f>VLOOKUP(X856,docentes!$A:$E,2,0)</f>
        <v>MARCELO MODESTO DA SILVA</v>
      </c>
      <c r="Z856" s="177" t="str">
        <f>VLOOKUP(X856,docentes!$A:$E,5,0)</f>
        <v>CECS</v>
      </c>
    </row>
    <row r="857" spans="1:35" s="44" customFormat="1" ht="66.75" customHeight="1">
      <c r="A857" s="148" t="s">
        <v>805</v>
      </c>
      <c r="B857" s="146" t="s">
        <v>3452</v>
      </c>
      <c r="C857" s="149" t="s">
        <v>3453</v>
      </c>
      <c r="D857" s="150">
        <v>1</v>
      </c>
      <c r="E857" s="150" t="s">
        <v>3454</v>
      </c>
      <c r="F857" s="151" t="s">
        <v>3455</v>
      </c>
      <c r="G857" s="152">
        <v>3</v>
      </c>
      <c r="H857" s="152">
        <v>1</v>
      </c>
      <c r="I857" s="153">
        <v>5</v>
      </c>
      <c r="J857" s="154">
        <v>3</v>
      </c>
      <c r="K857" s="155">
        <v>1</v>
      </c>
      <c r="L857" s="148" t="s">
        <v>57</v>
      </c>
      <c r="M857" s="148" t="s">
        <v>58</v>
      </c>
      <c r="N857" s="156">
        <v>0</v>
      </c>
      <c r="O857" s="165" t="s">
        <v>810</v>
      </c>
      <c r="P857" s="158">
        <v>60</v>
      </c>
      <c r="Q857" s="152" t="s">
        <v>60</v>
      </c>
      <c r="R857" s="152" t="s">
        <v>61</v>
      </c>
      <c r="S857" s="148" t="s">
        <v>3456</v>
      </c>
      <c r="T857" s="148">
        <v>0</v>
      </c>
      <c r="U857" s="159">
        <v>479</v>
      </c>
      <c r="V857" s="160" t="str">
        <f>VLOOKUP(U857,docentes!$A:$E,2,0)</f>
        <v>REYNALDO PALACIOS BERECHE</v>
      </c>
      <c r="W857" s="161" t="str">
        <f>VLOOKUP(U857,docentes!$A:$E,5,0)</f>
        <v>CECS</v>
      </c>
      <c r="X857" s="176">
        <v>479</v>
      </c>
      <c r="Y857" s="160" t="str">
        <f>VLOOKUP(X857,docentes!$A:$E,2,0)</f>
        <v>REYNALDO PALACIOS BERECHE</v>
      </c>
      <c r="Z857" s="177" t="str">
        <f>VLOOKUP(X857,docentes!$A:$E,5,0)</f>
        <v>CECS</v>
      </c>
    </row>
    <row r="858" spans="1:35" s="44" customFormat="1" ht="66.75" customHeight="1">
      <c r="A858" s="148" t="s">
        <v>1126</v>
      </c>
      <c r="B858" s="146" t="s">
        <v>3457</v>
      </c>
      <c r="C858" s="149" t="s">
        <v>3458</v>
      </c>
      <c r="D858" s="150">
        <v>2</v>
      </c>
      <c r="E858" s="150" t="s">
        <v>3459</v>
      </c>
      <c r="F858" s="151" t="s">
        <v>3460</v>
      </c>
      <c r="G858" s="152">
        <v>4</v>
      </c>
      <c r="H858" s="152">
        <v>0</v>
      </c>
      <c r="I858" s="153">
        <v>6</v>
      </c>
      <c r="J858" s="154">
        <v>4</v>
      </c>
      <c r="K858" s="155">
        <v>0</v>
      </c>
      <c r="L858" s="148" t="s">
        <v>57</v>
      </c>
      <c r="M858" s="148" t="s">
        <v>58</v>
      </c>
      <c r="N858" s="156"/>
      <c r="O858" s="148" t="s">
        <v>810</v>
      </c>
      <c r="P858" s="158">
        <v>57</v>
      </c>
      <c r="Q858" s="152" t="s">
        <v>60</v>
      </c>
      <c r="R858" s="152" t="s">
        <v>61</v>
      </c>
      <c r="S858" s="148" t="s">
        <v>3461</v>
      </c>
      <c r="T858" s="148">
        <v>0</v>
      </c>
      <c r="U858" s="159">
        <v>412</v>
      </c>
      <c r="V858" s="160" t="str">
        <f>VLOOKUP(U858,docentes!$A:$E,2,0)</f>
        <v>MAURO COELHO DOS SANTOS</v>
      </c>
      <c r="W858" s="161" t="str">
        <f>VLOOKUP(U858,docentes!$A:$E,5,0)</f>
        <v>CCNH</v>
      </c>
      <c r="X858" s="162"/>
      <c r="Y858" s="163"/>
      <c r="Z858" s="164"/>
    </row>
    <row r="859" spans="1:35" ht="66.75" customHeight="1">
      <c r="A859" s="148" t="s">
        <v>1126</v>
      </c>
      <c r="B859" s="146" t="s">
        <v>3462</v>
      </c>
      <c r="C859" s="149" t="s">
        <v>3458</v>
      </c>
      <c r="D859" s="150">
        <v>2</v>
      </c>
      <c r="E859" s="150" t="s">
        <v>3459</v>
      </c>
      <c r="F859" s="151" t="s">
        <v>3463</v>
      </c>
      <c r="G859" s="152">
        <v>4</v>
      </c>
      <c r="H859" s="152">
        <v>0</v>
      </c>
      <c r="I859" s="153">
        <v>6</v>
      </c>
      <c r="J859" s="154">
        <v>4</v>
      </c>
      <c r="K859" s="155">
        <v>0</v>
      </c>
      <c r="L859" s="148" t="s">
        <v>57</v>
      </c>
      <c r="M859" s="148" t="s">
        <v>58</v>
      </c>
      <c r="N859" s="156"/>
      <c r="O859" s="165" t="s">
        <v>810</v>
      </c>
      <c r="P859" s="158">
        <v>57</v>
      </c>
      <c r="Q859" s="152" t="s">
        <v>60</v>
      </c>
      <c r="R859" s="152" t="s">
        <v>70</v>
      </c>
      <c r="S859" s="148" t="s">
        <v>3464</v>
      </c>
      <c r="T859" s="148">
        <v>0</v>
      </c>
      <c r="U859" s="159">
        <v>412</v>
      </c>
      <c r="V859" s="160" t="str">
        <f>VLOOKUP(U859,docentes!$A:$E,2,0)</f>
        <v>MAURO COELHO DOS SANTOS</v>
      </c>
      <c r="W859" s="161" t="str">
        <f>VLOOKUP(U859,docentes!$A:$E,5,0)</f>
        <v>CCNH</v>
      </c>
      <c r="X859" s="162"/>
      <c r="Y859" s="163"/>
      <c r="Z859" s="164"/>
      <c r="AA859" s="44"/>
      <c r="AB859" s="44"/>
      <c r="AC859" s="44"/>
      <c r="AD859" s="44"/>
      <c r="AE859" s="44"/>
      <c r="AF859" s="44"/>
      <c r="AG859" s="44"/>
      <c r="AH859" s="44"/>
      <c r="AI859" s="44"/>
    </row>
    <row r="860" spans="1:35" s="44" customFormat="1" ht="66.75" customHeight="1">
      <c r="A860" s="148" t="s">
        <v>646</v>
      </c>
      <c r="B860" s="146" t="s">
        <v>3465</v>
      </c>
      <c r="C860" s="149" t="s">
        <v>3466</v>
      </c>
      <c r="D860" s="150">
        <v>1</v>
      </c>
      <c r="E860" s="150" t="s">
        <v>3467</v>
      </c>
      <c r="F860" s="151" t="s">
        <v>3468</v>
      </c>
      <c r="G860" s="152">
        <v>4</v>
      </c>
      <c r="H860" s="152">
        <v>2</v>
      </c>
      <c r="I860" s="153">
        <v>4</v>
      </c>
      <c r="J860" s="154">
        <v>4</v>
      </c>
      <c r="K860" s="155">
        <v>2</v>
      </c>
      <c r="L860" s="148" t="s">
        <v>57</v>
      </c>
      <c r="M860" s="148" t="s">
        <v>58</v>
      </c>
      <c r="N860" s="156"/>
      <c r="O860" s="157" t="s">
        <v>59</v>
      </c>
      <c r="P860" s="158">
        <v>30</v>
      </c>
      <c r="Q860" s="152" t="s">
        <v>60</v>
      </c>
      <c r="R860" s="152" t="s">
        <v>61</v>
      </c>
      <c r="S860" s="148" t="s">
        <v>3469</v>
      </c>
      <c r="T860" s="148" t="s">
        <v>3470</v>
      </c>
      <c r="U860" s="159">
        <v>126</v>
      </c>
      <c r="V860" s="160" t="str">
        <f>VLOOKUP(U860,docentes!$A:$E,2,0)</f>
        <v>DANIELE RIBEIRO DE ARAUJO</v>
      </c>
      <c r="W860" s="161" t="str">
        <f>VLOOKUP(U860,docentes!$A:$E,5,0)</f>
        <v>CCNH</v>
      </c>
      <c r="X860" s="176">
        <v>542</v>
      </c>
      <c r="Y860" s="160" t="str">
        <f>VLOOKUP(X860,docentes!$A:$E,2,0)</f>
        <v>TIAGO RODRIGUES</v>
      </c>
      <c r="Z860" s="177" t="str">
        <f>VLOOKUP(X860,docentes!$A:$E,5,0)</f>
        <v>CCNH</v>
      </c>
    </row>
    <row r="861" spans="1:35" s="44" customFormat="1" ht="66.75" customHeight="1">
      <c r="A861" s="148" t="s">
        <v>646</v>
      </c>
      <c r="B861" s="146" t="s">
        <v>3471</v>
      </c>
      <c r="C861" s="149" t="s">
        <v>3472</v>
      </c>
      <c r="D861" s="150">
        <v>2</v>
      </c>
      <c r="E861" s="150" t="s">
        <v>3473</v>
      </c>
      <c r="F861" s="151" t="s">
        <v>3474</v>
      </c>
      <c r="G861" s="152">
        <v>2</v>
      </c>
      <c r="H861" s="152">
        <v>0</v>
      </c>
      <c r="I861" s="153">
        <v>2</v>
      </c>
      <c r="J861" s="154">
        <v>2</v>
      </c>
      <c r="K861" s="155">
        <v>0</v>
      </c>
      <c r="L861" s="148" t="s">
        <v>57</v>
      </c>
      <c r="M861" s="148" t="s">
        <v>58</v>
      </c>
      <c r="N861" s="156"/>
      <c r="O861" s="157" t="s">
        <v>59</v>
      </c>
      <c r="P861" s="158">
        <v>30</v>
      </c>
      <c r="Q861" s="152" t="s">
        <v>60</v>
      </c>
      <c r="R861" s="152" t="s">
        <v>61</v>
      </c>
      <c r="S861" s="148" t="s">
        <v>3475</v>
      </c>
      <c r="T861" s="148">
        <v>0</v>
      </c>
      <c r="U861" s="159">
        <v>34</v>
      </c>
      <c r="V861" s="160" t="str">
        <f>VLOOKUP(U861,docentes!$A:$E,2,0)</f>
        <v>ANA CAROLINA SANTOS DE SOUZA GALVAO</v>
      </c>
      <c r="W861" s="161" t="str">
        <f>VLOOKUP(U861,docentes!$A:$E,5,0)</f>
        <v>CCNH</v>
      </c>
      <c r="X861" s="162"/>
      <c r="Y861" s="163"/>
      <c r="Z861" s="164"/>
    </row>
    <row r="862" spans="1:35" s="44" customFormat="1" ht="66.75" customHeight="1">
      <c r="A862" s="148" t="s">
        <v>646</v>
      </c>
      <c r="B862" s="146" t="s">
        <v>3476</v>
      </c>
      <c r="C862" s="149" t="s">
        <v>3472</v>
      </c>
      <c r="D862" s="150">
        <v>2</v>
      </c>
      <c r="E862" s="150" t="s">
        <v>3473</v>
      </c>
      <c r="F862" s="151" t="s">
        <v>3477</v>
      </c>
      <c r="G862" s="152">
        <v>2</v>
      </c>
      <c r="H862" s="152">
        <v>0</v>
      </c>
      <c r="I862" s="153">
        <v>2</v>
      </c>
      <c r="J862" s="154">
        <v>2</v>
      </c>
      <c r="K862" s="155">
        <v>0</v>
      </c>
      <c r="L862" s="148" t="s">
        <v>57</v>
      </c>
      <c r="M862" s="148" t="s">
        <v>58</v>
      </c>
      <c r="N862" s="156"/>
      <c r="O862" s="157" t="s">
        <v>59</v>
      </c>
      <c r="P862" s="158">
        <v>30</v>
      </c>
      <c r="Q862" s="152" t="s">
        <v>60</v>
      </c>
      <c r="R862" s="152" t="s">
        <v>70</v>
      </c>
      <c r="S862" s="148" t="s">
        <v>3478</v>
      </c>
      <c r="T862" s="148">
        <v>0</v>
      </c>
      <c r="U862" s="159">
        <v>99</v>
      </c>
      <c r="V862" s="160" t="str">
        <f>VLOOKUP(U862,docentes!$A:$E,2,0)</f>
        <v>CHARLES MORPHY DIAS DOS SANTOS</v>
      </c>
      <c r="W862" s="161" t="str">
        <f>VLOOKUP(U862,docentes!$A:$E,5,0)</f>
        <v>CCNH</v>
      </c>
      <c r="X862" s="162"/>
      <c r="Y862" s="163"/>
      <c r="Z862" s="164"/>
    </row>
    <row r="863" spans="1:35" s="44" customFormat="1" ht="66.75" customHeight="1">
      <c r="A863" s="148" t="s">
        <v>915</v>
      </c>
      <c r="B863" s="146" t="s">
        <v>3479</v>
      </c>
      <c r="C863" s="149" t="s">
        <v>36</v>
      </c>
      <c r="D863" s="150">
        <v>1</v>
      </c>
      <c r="E863" s="150" t="s">
        <v>3480</v>
      </c>
      <c r="F863" s="151" t="s">
        <v>3481</v>
      </c>
      <c r="G863" s="152">
        <v>2</v>
      </c>
      <c r="H863" s="152">
        <v>0</v>
      </c>
      <c r="I863" s="153">
        <v>2</v>
      </c>
      <c r="J863" s="154">
        <v>2</v>
      </c>
      <c r="K863" s="155">
        <v>0</v>
      </c>
      <c r="L863" s="148" t="s">
        <v>57</v>
      </c>
      <c r="M863" s="148" t="s">
        <v>58</v>
      </c>
      <c r="N863" s="156"/>
      <c r="O863" s="157" t="s">
        <v>59</v>
      </c>
      <c r="P863" s="158">
        <v>30</v>
      </c>
      <c r="Q863" s="152" t="s">
        <v>60</v>
      </c>
      <c r="R863" s="152" t="s">
        <v>61</v>
      </c>
      <c r="S863" s="148" t="s">
        <v>3482</v>
      </c>
      <c r="T863" s="148">
        <v>0</v>
      </c>
      <c r="U863" s="159">
        <v>137</v>
      </c>
      <c r="V863" s="160" t="str">
        <f>VLOOKUP(U863,docentes!$A:$E,2,0)</f>
        <v>DENISE CRIADO PEREIRA DE SOUZA</v>
      </c>
      <c r="W863" s="161" t="str">
        <f>VLOOKUP(U863,docentes!$A:$E,5,0)</f>
        <v>CCNH</v>
      </c>
      <c r="X863" s="162"/>
      <c r="Y863" s="163"/>
      <c r="Z863" s="164"/>
    </row>
    <row r="864" spans="1:35" s="44" customFormat="1" ht="66.75" customHeight="1">
      <c r="A864" s="148" t="s">
        <v>78</v>
      </c>
      <c r="B864" s="146" t="s">
        <v>3483</v>
      </c>
      <c r="C864" s="149" t="s">
        <v>3484</v>
      </c>
      <c r="D864" s="150">
        <v>1</v>
      </c>
      <c r="E864" s="150" t="s">
        <v>3485</v>
      </c>
      <c r="F864" s="151" t="s">
        <v>3486</v>
      </c>
      <c r="G864" s="152">
        <v>0</v>
      </c>
      <c r="H864" s="152">
        <v>4</v>
      </c>
      <c r="I864" s="153">
        <v>6</v>
      </c>
      <c r="J864" s="154">
        <v>0</v>
      </c>
      <c r="K864" s="155">
        <v>4</v>
      </c>
      <c r="L864" s="148" t="s">
        <v>97</v>
      </c>
      <c r="M864" s="148" t="s">
        <v>58</v>
      </c>
      <c r="N864" s="156"/>
      <c r="O864" s="157" t="s">
        <v>59</v>
      </c>
      <c r="P864" s="158">
        <v>70</v>
      </c>
      <c r="Q864" s="152" t="s">
        <v>60</v>
      </c>
      <c r="R864" s="152" t="s">
        <v>61</v>
      </c>
      <c r="S864" s="148" t="s">
        <v>3487</v>
      </c>
      <c r="T864" s="148">
        <v>0</v>
      </c>
      <c r="U864" s="170"/>
      <c r="V864" s="163"/>
      <c r="W864" s="171"/>
      <c r="X864" s="176">
        <v>23</v>
      </c>
      <c r="Y864" s="160" t="str">
        <f>VLOOKUP(X864,docentes!$A:$E,2,0)</f>
        <v>ALEXEI MAGALHAES VENEZIANI</v>
      </c>
      <c r="Z864" s="177" t="str">
        <f>VLOOKUP(X864,docentes!$A:$E,5,0)</f>
        <v>CMCC</v>
      </c>
    </row>
    <row r="865" spans="1:35" s="44" customFormat="1" ht="66.75" customHeight="1">
      <c r="A865" s="148" t="s">
        <v>78</v>
      </c>
      <c r="B865" s="146" t="s">
        <v>3488</v>
      </c>
      <c r="C865" s="149" t="s">
        <v>3489</v>
      </c>
      <c r="D865" s="150">
        <v>1</v>
      </c>
      <c r="E865" s="150" t="s">
        <v>3490</v>
      </c>
      <c r="F865" s="151" t="s">
        <v>3491</v>
      </c>
      <c r="G865" s="152">
        <v>0</v>
      </c>
      <c r="H865" s="152">
        <v>4</v>
      </c>
      <c r="I865" s="153">
        <v>6</v>
      </c>
      <c r="J865" s="154">
        <v>0</v>
      </c>
      <c r="K865" s="155">
        <v>4</v>
      </c>
      <c r="L865" s="148" t="s">
        <v>97</v>
      </c>
      <c r="M865" s="148" t="s">
        <v>58</v>
      </c>
      <c r="N865" s="156"/>
      <c r="O865" s="157" t="s">
        <v>59</v>
      </c>
      <c r="P865" s="158">
        <v>70</v>
      </c>
      <c r="Q865" s="152" t="s">
        <v>60</v>
      </c>
      <c r="R865" s="152" t="s">
        <v>61</v>
      </c>
      <c r="S865" s="148" t="s">
        <v>3492</v>
      </c>
      <c r="T865" s="148">
        <v>0</v>
      </c>
      <c r="U865" s="170"/>
      <c r="V865" s="163"/>
      <c r="W865" s="171"/>
      <c r="X865" s="176">
        <v>23</v>
      </c>
      <c r="Y865" s="160" t="str">
        <f>VLOOKUP(X865,docentes!$A:$E,2,0)</f>
        <v>ALEXEI MAGALHAES VENEZIANI</v>
      </c>
      <c r="Z865" s="177" t="str">
        <f>VLOOKUP(X865,docentes!$A:$E,5,0)</f>
        <v>CMCC</v>
      </c>
    </row>
    <row r="866" spans="1:35" s="44" customFormat="1" ht="66.75" customHeight="1">
      <c r="A866" s="148" t="s">
        <v>78</v>
      </c>
      <c r="B866" s="146" t="s">
        <v>3493</v>
      </c>
      <c r="C866" s="149" t="s">
        <v>3494</v>
      </c>
      <c r="D866" s="150">
        <v>1</v>
      </c>
      <c r="E866" s="150" t="s">
        <v>3495</v>
      </c>
      <c r="F866" s="151" t="s">
        <v>3496</v>
      </c>
      <c r="G866" s="152">
        <v>0</v>
      </c>
      <c r="H866" s="152">
        <v>2</v>
      </c>
      <c r="I866" s="153">
        <v>6</v>
      </c>
      <c r="J866" s="154">
        <v>0</v>
      </c>
      <c r="K866" s="155">
        <v>2</v>
      </c>
      <c r="L866" s="148" t="s">
        <v>97</v>
      </c>
      <c r="M866" s="148" t="s">
        <v>58</v>
      </c>
      <c r="N866" s="156"/>
      <c r="O866" s="157" t="s">
        <v>59</v>
      </c>
      <c r="P866" s="158">
        <v>70</v>
      </c>
      <c r="Q866" s="152" t="s">
        <v>60</v>
      </c>
      <c r="R866" s="152" t="s">
        <v>61</v>
      </c>
      <c r="S866" s="148" t="s">
        <v>3497</v>
      </c>
      <c r="T866" s="148">
        <v>0</v>
      </c>
      <c r="U866" s="170"/>
      <c r="V866" s="163"/>
      <c r="W866" s="171"/>
      <c r="X866" s="176">
        <v>23</v>
      </c>
      <c r="Y866" s="160" t="str">
        <f>VLOOKUP(X866,docentes!$A:$E,2,0)</f>
        <v>ALEXEI MAGALHAES VENEZIANI</v>
      </c>
      <c r="Z866" s="177" t="str">
        <f>VLOOKUP(X866,docentes!$A:$E,5,0)</f>
        <v>CMCC</v>
      </c>
    </row>
    <row r="867" spans="1:35" s="44" customFormat="1" ht="66.75" customHeight="1">
      <c r="A867" s="148" t="s">
        <v>1024</v>
      </c>
      <c r="B867" s="146" t="s">
        <v>3498</v>
      </c>
      <c r="C867" s="149" t="s">
        <v>3499</v>
      </c>
      <c r="D867" s="150">
        <v>2</v>
      </c>
      <c r="E867" s="150" t="s">
        <v>3500</v>
      </c>
      <c r="F867" s="151" t="s">
        <v>3501</v>
      </c>
      <c r="G867" s="152">
        <v>4</v>
      </c>
      <c r="H867" s="152">
        <v>0</v>
      </c>
      <c r="I867" s="153">
        <v>4</v>
      </c>
      <c r="J867" s="154">
        <v>4</v>
      </c>
      <c r="K867" s="155">
        <v>0</v>
      </c>
      <c r="L867" s="148" t="s">
        <v>97</v>
      </c>
      <c r="M867" s="148" t="s">
        <v>58</v>
      </c>
      <c r="N867" s="156"/>
      <c r="O867" s="157" t="s">
        <v>59</v>
      </c>
      <c r="P867" s="158">
        <v>60</v>
      </c>
      <c r="Q867" s="152" t="s">
        <v>76</v>
      </c>
      <c r="R867" s="152" t="s">
        <v>61</v>
      </c>
      <c r="S867" s="148" t="s">
        <v>3502</v>
      </c>
      <c r="T867" s="148">
        <v>0</v>
      </c>
      <c r="U867" s="159">
        <v>249</v>
      </c>
      <c r="V867" s="160" t="str">
        <f>VLOOKUP(U867,docentes!$A:$E,2,0)</f>
        <v>IGOR FUSER</v>
      </c>
      <c r="W867" s="161" t="str">
        <f>VLOOKUP(U867,docentes!$A:$E,5,0)</f>
        <v>CECS</v>
      </c>
      <c r="X867" s="162"/>
      <c r="Y867" s="163"/>
      <c r="Z867" s="164"/>
    </row>
    <row r="868" spans="1:35" s="44" customFormat="1" ht="66.75" customHeight="1">
      <c r="A868" s="148" t="s">
        <v>1024</v>
      </c>
      <c r="B868" s="146" t="s">
        <v>3503</v>
      </c>
      <c r="C868" s="149" t="s">
        <v>3499</v>
      </c>
      <c r="D868" s="150">
        <v>2</v>
      </c>
      <c r="E868" s="150" t="s">
        <v>3500</v>
      </c>
      <c r="F868" s="151" t="s">
        <v>3504</v>
      </c>
      <c r="G868" s="152">
        <v>4</v>
      </c>
      <c r="H868" s="152">
        <v>0</v>
      </c>
      <c r="I868" s="153">
        <v>4</v>
      </c>
      <c r="J868" s="154">
        <v>4</v>
      </c>
      <c r="K868" s="155">
        <v>0</v>
      </c>
      <c r="L868" s="148" t="s">
        <v>97</v>
      </c>
      <c r="M868" s="148" t="s">
        <v>58</v>
      </c>
      <c r="N868" s="156"/>
      <c r="O868" s="157" t="s">
        <v>59</v>
      </c>
      <c r="P868" s="158">
        <v>60</v>
      </c>
      <c r="Q868" s="152" t="s">
        <v>76</v>
      </c>
      <c r="R868" s="152" t="s">
        <v>70</v>
      </c>
      <c r="S868" s="148" t="s">
        <v>3505</v>
      </c>
      <c r="T868" s="148">
        <v>0</v>
      </c>
      <c r="U868" s="159">
        <v>249</v>
      </c>
      <c r="V868" s="160" t="str">
        <f>VLOOKUP(U868,docentes!$A:$E,2,0)</f>
        <v>IGOR FUSER</v>
      </c>
      <c r="W868" s="161" t="str">
        <f>VLOOKUP(U868,docentes!$A:$E,5,0)</f>
        <v>CECS</v>
      </c>
      <c r="X868" s="162"/>
      <c r="Y868" s="163"/>
      <c r="Z868" s="164"/>
    </row>
    <row r="869" spans="1:35" ht="66.75" customHeight="1">
      <c r="A869" s="148" t="s">
        <v>193</v>
      </c>
      <c r="B869" s="146" t="s">
        <v>3506</v>
      </c>
      <c r="C869" s="149" t="s">
        <v>3507</v>
      </c>
      <c r="D869" s="150">
        <v>2</v>
      </c>
      <c r="E869" s="150" t="s">
        <v>3508</v>
      </c>
      <c r="F869" s="151" t="s">
        <v>3509</v>
      </c>
      <c r="G869" s="152">
        <v>4</v>
      </c>
      <c r="H869" s="152">
        <v>0</v>
      </c>
      <c r="I869" s="153">
        <v>4</v>
      </c>
      <c r="J869" s="154">
        <v>4</v>
      </c>
      <c r="K869" s="155">
        <v>0</v>
      </c>
      <c r="L869" s="148" t="s">
        <v>97</v>
      </c>
      <c r="M869" s="148" t="s">
        <v>58</v>
      </c>
      <c r="N869" s="156"/>
      <c r="O869" s="157" t="s">
        <v>59</v>
      </c>
      <c r="P869" s="158">
        <v>42</v>
      </c>
      <c r="Q869" s="152" t="s">
        <v>76</v>
      </c>
      <c r="R869" s="152" t="s">
        <v>61</v>
      </c>
      <c r="S869" s="148" t="s">
        <v>3510</v>
      </c>
      <c r="T869" s="148">
        <v>0</v>
      </c>
      <c r="U869" s="159">
        <v>432</v>
      </c>
      <c r="V869" s="160" t="str">
        <f>VLOOKUP(U869,docentes!$A:$E,2,0)</f>
        <v>NEUSA SERRA</v>
      </c>
      <c r="W869" s="161" t="str">
        <f>VLOOKUP(U869,docentes!$A:$E,5,0)</f>
        <v>CECS</v>
      </c>
      <c r="X869" s="162"/>
      <c r="Y869" s="163"/>
      <c r="Z869" s="164"/>
      <c r="AA869" s="44"/>
      <c r="AB869" s="44"/>
      <c r="AC869" s="44"/>
      <c r="AD869" s="44"/>
      <c r="AE869" s="44"/>
      <c r="AF869" s="44"/>
      <c r="AG869" s="44"/>
      <c r="AH869" s="44"/>
      <c r="AI869" s="44"/>
    </row>
    <row r="870" spans="1:35" s="44" customFormat="1" ht="66.75" customHeight="1">
      <c r="A870" s="148" t="s">
        <v>193</v>
      </c>
      <c r="B870" s="146" t="s">
        <v>3511</v>
      </c>
      <c r="C870" s="149" t="s">
        <v>3507</v>
      </c>
      <c r="D870" s="150">
        <v>2</v>
      </c>
      <c r="E870" s="150" t="s">
        <v>3508</v>
      </c>
      <c r="F870" s="151" t="s">
        <v>3512</v>
      </c>
      <c r="G870" s="152">
        <v>4</v>
      </c>
      <c r="H870" s="152">
        <v>0</v>
      </c>
      <c r="I870" s="153">
        <v>4</v>
      </c>
      <c r="J870" s="154">
        <v>4</v>
      </c>
      <c r="K870" s="155">
        <v>0</v>
      </c>
      <c r="L870" s="148" t="s">
        <v>67</v>
      </c>
      <c r="M870" s="148">
        <v>62</v>
      </c>
      <c r="N870" s="156" t="s">
        <v>3513</v>
      </c>
      <c r="O870" s="165" t="s">
        <v>3514</v>
      </c>
      <c r="P870" s="158">
        <v>62</v>
      </c>
      <c r="Q870" s="152" t="s">
        <v>76</v>
      </c>
      <c r="R870" s="152" t="s">
        <v>70</v>
      </c>
      <c r="S870" s="148" t="s">
        <v>3515</v>
      </c>
      <c r="T870" s="148">
        <v>0</v>
      </c>
      <c r="U870" s="159">
        <v>432</v>
      </c>
      <c r="V870" s="160" t="str">
        <f>VLOOKUP(U870,docentes!$A:$E,2,0)</f>
        <v>NEUSA SERRA</v>
      </c>
      <c r="W870" s="161" t="str">
        <f>VLOOKUP(U870,docentes!$A:$E,5,0)</f>
        <v>CECS</v>
      </c>
      <c r="X870" s="162"/>
      <c r="Y870" s="163"/>
      <c r="Z870" s="164"/>
    </row>
    <row r="871" spans="1:35" s="44" customFormat="1" ht="66.75" customHeight="1">
      <c r="A871" s="148" t="s">
        <v>52</v>
      </c>
      <c r="B871" s="146" t="s">
        <v>3516</v>
      </c>
      <c r="C871" s="149" t="s">
        <v>3517</v>
      </c>
      <c r="D871" s="150">
        <v>1</v>
      </c>
      <c r="E871" s="150" t="s">
        <v>3518</v>
      </c>
      <c r="F871" s="151" t="s">
        <v>3519</v>
      </c>
      <c r="G871" s="152">
        <v>3</v>
      </c>
      <c r="H871" s="152">
        <v>1</v>
      </c>
      <c r="I871" s="153">
        <v>4</v>
      </c>
      <c r="J871" s="154">
        <v>3</v>
      </c>
      <c r="K871" s="155">
        <v>1</v>
      </c>
      <c r="L871" s="148" t="s">
        <v>750</v>
      </c>
      <c r="M871" s="148" t="s">
        <v>58</v>
      </c>
      <c r="N871" s="156">
        <v>42</v>
      </c>
      <c r="O871" s="165" t="s">
        <v>2467</v>
      </c>
      <c r="P871" s="158">
        <v>42</v>
      </c>
      <c r="Q871" s="152" t="s">
        <v>60</v>
      </c>
      <c r="R871" s="152" t="s">
        <v>70</v>
      </c>
      <c r="S871" s="148" t="s">
        <v>3520</v>
      </c>
      <c r="T871" s="148" t="s">
        <v>3521</v>
      </c>
      <c r="U871" s="159">
        <v>115</v>
      </c>
      <c r="V871" s="160" t="str">
        <f>VLOOKUP(U871,docentes!$A:$E,2,0)</f>
        <v>CRISTIANO FIORILO DE MELO</v>
      </c>
      <c r="W871" s="161" t="str">
        <f>VLOOKUP(U871,docentes!$A:$E,5,0)</f>
        <v>CECS</v>
      </c>
      <c r="X871" s="176">
        <v>115</v>
      </c>
      <c r="Y871" s="160" t="str">
        <f>VLOOKUP(X871,docentes!$A:$E,2,0)</f>
        <v>CRISTIANO FIORILO DE MELO</v>
      </c>
      <c r="Z871" s="177" t="str">
        <f>VLOOKUP(X871,docentes!$A:$E,5,0)</f>
        <v>CECS</v>
      </c>
    </row>
    <row r="872" spans="1:35" s="44" customFormat="1" ht="66.75" customHeight="1">
      <c r="A872" s="148" t="s">
        <v>805</v>
      </c>
      <c r="B872" s="146" t="s">
        <v>3522</v>
      </c>
      <c r="C872" s="149" t="s">
        <v>3523</v>
      </c>
      <c r="D872" s="150">
        <v>1</v>
      </c>
      <c r="E872" s="150" t="s">
        <v>3524</v>
      </c>
      <c r="F872" s="151" t="s">
        <v>3525</v>
      </c>
      <c r="G872" s="152">
        <v>3</v>
      </c>
      <c r="H872" s="152">
        <v>1</v>
      </c>
      <c r="I872" s="153">
        <v>4</v>
      </c>
      <c r="J872" s="154">
        <v>3</v>
      </c>
      <c r="K872" s="155">
        <v>1</v>
      </c>
      <c r="L872" s="148" t="s">
        <v>750</v>
      </c>
      <c r="M872" s="148" t="s">
        <v>58</v>
      </c>
      <c r="N872" s="156">
        <v>0</v>
      </c>
      <c r="O872" s="148" t="s">
        <v>913</v>
      </c>
      <c r="P872" s="158">
        <v>74</v>
      </c>
      <c r="Q872" s="152" t="s">
        <v>60</v>
      </c>
      <c r="R872" s="152" t="s">
        <v>70</v>
      </c>
      <c r="S872" s="148" t="s">
        <v>3526</v>
      </c>
      <c r="T872" s="148">
        <v>0</v>
      </c>
      <c r="U872" s="159">
        <v>302</v>
      </c>
      <c r="V872" s="160" t="str">
        <f>VLOOKUP(U872,docentes!$A:$E,2,0)</f>
        <v>JULIANA TOFANO DE CAMPOS LEITE</v>
      </c>
      <c r="W872" s="161" t="str">
        <f>VLOOKUP(U872,docentes!$A:$E,5,0)</f>
        <v>CECS</v>
      </c>
      <c r="X872" s="176">
        <v>302</v>
      </c>
      <c r="Y872" s="160" t="str">
        <f>VLOOKUP(X872,docentes!$A:$E,2,0)</f>
        <v>JULIANA TOFANO DE CAMPOS LEITE</v>
      </c>
      <c r="Z872" s="177" t="str">
        <f>VLOOKUP(X872,docentes!$A:$E,5,0)</f>
        <v>CECS</v>
      </c>
    </row>
    <row r="873" spans="1:35" s="44" customFormat="1" ht="66.75" customHeight="1">
      <c r="A873" s="148" t="s">
        <v>805</v>
      </c>
      <c r="B873" s="146" t="s">
        <v>3527</v>
      </c>
      <c r="C873" s="149" t="s">
        <v>3528</v>
      </c>
      <c r="D873" s="150">
        <v>1</v>
      </c>
      <c r="E873" s="150" t="s">
        <v>3529</v>
      </c>
      <c r="F873" s="151" t="s">
        <v>3530</v>
      </c>
      <c r="G873" s="152">
        <v>2</v>
      </c>
      <c r="H873" s="152">
        <v>2</v>
      </c>
      <c r="I873" s="153">
        <v>4</v>
      </c>
      <c r="J873" s="154">
        <v>2</v>
      </c>
      <c r="K873" s="155">
        <v>2</v>
      </c>
      <c r="L873" s="148" t="s">
        <v>57</v>
      </c>
      <c r="M873" s="148" t="s">
        <v>58</v>
      </c>
      <c r="N873" s="156">
        <v>0</v>
      </c>
      <c r="O873" s="165" t="s">
        <v>810</v>
      </c>
      <c r="P873" s="158">
        <v>30</v>
      </c>
      <c r="Q873" s="152" t="s">
        <v>60</v>
      </c>
      <c r="R873" s="152" t="s">
        <v>70</v>
      </c>
      <c r="S873" s="148" t="s">
        <v>3531</v>
      </c>
      <c r="T873" s="148">
        <v>0</v>
      </c>
      <c r="U873" s="159">
        <v>302</v>
      </c>
      <c r="V873" s="160" t="str">
        <f>VLOOKUP(U873,docentes!$A:$E,2,0)</f>
        <v>JULIANA TOFANO DE CAMPOS LEITE</v>
      </c>
      <c r="W873" s="161" t="str">
        <f>VLOOKUP(U873,docentes!$A:$E,5,0)</f>
        <v>CECS</v>
      </c>
      <c r="X873" s="176">
        <v>302</v>
      </c>
      <c r="Y873" s="160" t="str">
        <f>VLOOKUP(X873,docentes!$A:$E,2,0)</f>
        <v>JULIANA TOFANO DE CAMPOS LEITE</v>
      </c>
      <c r="Z873" s="177" t="str">
        <f>VLOOKUP(X873,docentes!$A:$E,5,0)</f>
        <v>CECS</v>
      </c>
    </row>
    <row r="874" spans="1:35" ht="66.75" customHeight="1">
      <c r="A874" s="148" t="s">
        <v>184</v>
      </c>
      <c r="B874" s="146" t="s">
        <v>3532</v>
      </c>
      <c r="C874" s="149" t="s">
        <v>3533</v>
      </c>
      <c r="D874" s="150">
        <v>2</v>
      </c>
      <c r="E874" s="150" t="s">
        <v>3534</v>
      </c>
      <c r="F874" s="151" t="s">
        <v>3535</v>
      </c>
      <c r="G874" s="152">
        <v>3</v>
      </c>
      <c r="H874" s="152">
        <v>1</v>
      </c>
      <c r="I874" s="153">
        <v>5</v>
      </c>
      <c r="J874" s="154">
        <v>3</v>
      </c>
      <c r="K874" s="155">
        <v>1</v>
      </c>
      <c r="L874" s="148" t="s">
        <v>57</v>
      </c>
      <c r="M874" s="148" t="s">
        <v>58</v>
      </c>
      <c r="N874" s="156"/>
      <c r="O874" s="157" t="s">
        <v>59</v>
      </c>
      <c r="P874" s="158">
        <v>60</v>
      </c>
      <c r="Q874" s="152" t="s">
        <v>60</v>
      </c>
      <c r="R874" s="152" t="s">
        <v>61</v>
      </c>
      <c r="S874" s="148" t="s">
        <v>3536</v>
      </c>
      <c r="T874" s="148">
        <v>0</v>
      </c>
      <c r="U874" s="159">
        <v>104</v>
      </c>
      <c r="V874" s="160" t="str">
        <f>VLOOKUP(U874,docentes!$A:$E,2,0)</f>
        <v>CLAUDIA BOIAN</v>
      </c>
      <c r="W874" s="161" t="str">
        <f>VLOOKUP(U874,docentes!$A:$E,5,0)</f>
        <v>CECS</v>
      </c>
      <c r="X874" s="176">
        <v>325</v>
      </c>
      <c r="Y874" s="160" t="str">
        <f>VLOOKUP(X874,docentes!$A:$E,2,0)</f>
        <v>LUCIA HELENA GOMES COELHO</v>
      </c>
      <c r="Z874" s="177" t="str">
        <f>VLOOKUP(X874,docentes!$A:$E,5,0)</f>
        <v>CECS</v>
      </c>
      <c r="AA874" s="44"/>
      <c r="AB874" s="44"/>
      <c r="AC874" s="44"/>
      <c r="AD874" s="44"/>
      <c r="AE874" s="44"/>
      <c r="AF874" s="44"/>
      <c r="AG874" s="44"/>
      <c r="AH874" s="44"/>
      <c r="AI874" s="44"/>
    </row>
    <row r="875" spans="1:35" s="44" customFormat="1" ht="66.75" customHeight="1">
      <c r="A875" s="148" t="s">
        <v>184</v>
      </c>
      <c r="B875" s="146" t="s">
        <v>3537</v>
      </c>
      <c r="C875" s="149" t="s">
        <v>3533</v>
      </c>
      <c r="D875" s="150">
        <v>2</v>
      </c>
      <c r="E875" s="150" t="s">
        <v>3534</v>
      </c>
      <c r="F875" s="151" t="s">
        <v>3538</v>
      </c>
      <c r="G875" s="152">
        <v>3</v>
      </c>
      <c r="H875" s="152">
        <v>1</v>
      </c>
      <c r="I875" s="153">
        <v>5</v>
      </c>
      <c r="J875" s="154">
        <v>3</v>
      </c>
      <c r="K875" s="155">
        <v>1</v>
      </c>
      <c r="L875" s="148" t="s">
        <v>57</v>
      </c>
      <c r="M875" s="148" t="s">
        <v>58</v>
      </c>
      <c r="N875" s="156"/>
      <c r="O875" s="157" t="s">
        <v>59</v>
      </c>
      <c r="P875" s="158">
        <v>60</v>
      </c>
      <c r="Q875" s="152" t="s">
        <v>60</v>
      </c>
      <c r="R875" s="152" t="s">
        <v>70</v>
      </c>
      <c r="S875" s="148" t="s">
        <v>3539</v>
      </c>
      <c r="T875" s="148">
        <v>0</v>
      </c>
      <c r="U875" s="159">
        <v>325</v>
      </c>
      <c r="V875" s="160" t="str">
        <f>VLOOKUP(U875,docentes!$A:$E,2,0)</f>
        <v>LUCIA HELENA GOMES COELHO</v>
      </c>
      <c r="W875" s="161" t="str">
        <f>VLOOKUP(U875,docentes!$A:$E,5,0)</f>
        <v>CECS</v>
      </c>
      <c r="X875" s="176">
        <v>104</v>
      </c>
      <c r="Y875" s="160" t="str">
        <f>VLOOKUP(X875,docentes!$A:$E,2,0)</f>
        <v>CLAUDIA BOIAN</v>
      </c>
      <c r="Z875" s="177" t="str">
        <f>VLOOKUP(X875,docentes!$A:$E,5,0)</f>
        <v>CECS</v>
      </c>
    </row>
    <row r="876" spans="1:35" ht="66.75" customHeight="1">
      <c r="A876" s="148" t="s">
        <v>222</v>
      </c>
      <c r="B876" s="146" t="s">
        <v>3540</v>
      </c>
      <c r="C876" s="149" t="s">
        <v>3541</v>
      </c>
      <c r="D876" s="150">
        <v>7</v>
      </c>
      <c r="E876" s="150" t="s">
        <v>3542</v>
      </c>
      <c r="F876" s="151" t="s">
        <v>3543</v>
      </c>
      <c r="G876" s="152">
        <v>3</v>
      </c>
      <c r="H876" s="152">
        <v>2</v>
      </c>
      <c r="I876" s="153">
        <v>6</v>
      </c>
      <c r="J876" s="154">
        <v>3</v>
      </c>
      <c r="K876" s="155">
        <v>2</v>
      </c>
      <c r="L876" s="148" t="s">
        <v>750</v>
      </c>
      <c r="M876" s="148" t="s">
        <v>58</v>
      </c>
      <c r="N876" s="156"/>
      <c r="O876" s="165" t="s">
        <v>3544</v>
      </c>
      <c r="P876" s="158">
        <v>31</v>
      </c>
      <c r="Q876" s="152" t="s">
        <v>60</v>
      </c>
      <c r="R876" s="152" t="s">
        <v>61</v>
      </c>
      <c r="S876" s="148" t="s">
        <v>3545</v>
      </c>
      <c r="T876" s="148" t="s">
        <v>3546</v>
      </c>
      <c r="U876" s="159">
        <v>420</v>
      </c>
      <c r="V876" s="160" t="str">
        <f>VLOOKUP(U876,docentes!$A:$E,2,0)</f>
        <v>MIRELA INES DE SAIRRE</v>
      </c>
      <c r="W876" s="161" t="str">
        <f>VLOOKUP(U876,docentes!$A:$E,5,0)</f>
        <v>CCNH</v>
      </c>
      <c r="X876" s="176">
        <v>305</v>
      </c>
      <c r="Y876" s="160" t="str">
        <f>VLOOKUP(X876,docentes!$A:$E,2,0)</f>
        <v>KARINA PASSALACQUA MORELLI FRIN</v>
      </c>
      <c r="Z876" s="177" t="str">
        <f>VLOOKUP(X876,docentes!$A:$E,5,0)</f>
        <v>CCNH</v>
      </c>
      <c r="AA876" s="44"/>
      <c r="AB876" s="44"/>
      <c r="AC876" s="44"/>
      <c r="AD876" s="44"/>
      <c r="AE876" s="44"/>
      <c r="AF876" s="44"/>
      <c r="AG876" s="44"/>
      <c r="AH876" s="44"/>
      <c r="AI876" s="44"/>
    </row>
    <row r="877" spans="1:35" s="44" customFormat="1" ht="66.75" customHeight="1">
      <c r="A877" s="148" t="s">
        <v>222</v>
      </c>
      <c r="B877" s="146" t="s">
        <v>3547</v>
      </c>
      <c r="C877" s="149" t="s">
        <v>3541</v>
      </c>
      <c r="D877" s="150">
        <v>7</v>
      </c>
      <c r="E877" s="150" t="s">
        <v>3542</v>
      </c>
      <c r="F877" s="151" t="s">
        <v>3548</v>
      </c>
      <c r="G877" s="152">
        <v>3</v>
      </c>
      <c r="H877" s="152">
        <v>2</v>
      </c>
      <c r="I877" s="153">
        <v>6</v>
      </c>
      <c r="J877" s="154">
        <v>3</v>
      </c>
      <c r="K877" s="155">
        <v>2</v>
      </c>
      <c r="L877" s="148" t="s">
        <v>57</v>
      </c>
      <c r="M877" s="148" t="s">
        <v>58</v>
      </c>
      <c r="N877" s="156"/>
      <c r="O877" s="157" t="s">
        <v>59</v>
      </c>
      <c r="P877" s="158">
        <v>30</v>
      </c>
      <c r="Q877" s="149" t="s">
        <v>76</v>
      </c>
      <c r="R877" s="152" t="s">
        <v>61</v>
      </c>
      <c r="S877" s="148" t="s">
        <v>3549</v>
      </c>
      <c r="T877" s="148" t="s">
        <v>3550</v>
      </c>
      <c r="U877" s="159">
        <v>243</v>
      </c>
      <c r="V877" s="160" t="str">
        <f>VLOOKUP(U877,docentes!$A:$E,2,0)</f>
        <v>HELOISA FRANCA MALTEZ</v>
      </c>
      <c r="W877" s="161" t="str">
        <f>VLOOKUP(U877,docentes!$A:$E,5,0)</f>
        <v>CCNH</v>
      </c>
      <c r="X877" s="176">
        <v>54</v>
      </c>
      <c r="Y877" s="160" t="str">
        <f>VLOOKUP(X877,docentes!$A:$E,2,0)</f>
        <v>ANDRE SARTO POLO</v>
      </c>
      <c r="Z877" s="177" t="str">
        <f>VLOOKUP(X877,docentes!$A:$E,5,0)</f>
        <v>CCNH</v>
      </c>
    </row>
    <row r="878" spans="1:35" s="44" customFormat="1" ht="66.75" customHeight="1">
      <c r="A878" s="148" t="s">
        <v>222</v>
      </c>
      <c r="B878" s="146" t="s">
        <v>3551</v>
      </c>
      <c r="C878" s="149" t="s">
        <v>3541</v>
      </c>
      <c r="D878" s="150">
        <v>7</v>
      </c>
      <c r="E878" s="150" t="s">
        <v>3542</v>
      </c>
      <c r="F878" s="151" t="s">
        <v>3552</v>
      </c>
      <c r="G878" s="152">
        <v>3</v>
      </c>
      <c r="H878" s="152">
        <v>2</v>
      </c>
      <c r="I878" s="153">
        <v>6</v>
      </c>
      <c r="J878" s="154">
        <v>3</v>
      </c>
      <c r="K878" s="155">
        <v>2</v>
      </c>
      <c r="L878" s="148" t="s">
        <v>57</v>
      </c>
      <c r="M878" s="148" t="s">
        <v>58</v>
      </c>
      <c r="N878" s="156"/>
      <c r="O878" s="157" t="s">
        <v>59</v>
      </c>
      <c r="P878" s="158">
        <v>30</v>
      </c>
      <c r="Q878" s="152" t="s">
        <v>60</v>
      </c>
      <c r="R878" s="152" t="s">
        <v>70</v>
      </c>
      <c r="S878" s="148" t="s">
        <v>3553</v>
      </c>
      <c r="T878" s="148" t="s">
        <v>3554</v>
      </c>
      <c r="U878" s="159">
        <v>188</v>
      </c>
      <c r="V878" s="160" t="str">
        <f>VLOOKUP(U878,docentes!$A:$E,2,0)</f>
        <v>FERNANDO HEERING BARTOLONI</v>
      </c>
      <c r="W878" s="161" t="str">
        <f>VLOOKUP(U878,docentes!$A:$E,5,0)</f>
        <v>CCNH</v>
      </c>
      <c r="X878" s="176">
        <v>258</v>
      </c>
      <c r="Y878" s="160" t="str">
        <f>VLOOKUP(X878,docentes!$A:$E,2,0)</f>
        <v>IVANISE GAUBEUR</v>
      </c>
      <c r="Z878" s="177" t="str">
        <f>VLOOKUP(X878,docentes!$A:$E,5,0)</f>
        <v>CCNH</v>
      </c>
    </row>
    <row r="879" spans="1:35" s="44" customFormat="1" ht="66.75" customHeight="1">
      <c r="A879" s="148" t="s">
        <v>222</v>
      </c>
      <c r="B879" s="146" t="s">
        <v>3555</v>
      </c>
      <c r="C879" s="149" t="s">
        <v>3541</v>
      </c>
      <c r="D879" s="150">
        <v>7</v>
      </c>
      <c r="E879" s="150" t="s">
        <v>3542</v>
      </c>
      <c r="F879" s="151" t="s">
        <v>3556</v>
      </c>
      <c r="G879" s="152">
        <v>3</v>
      </c>
      <c r="H879" s="152">
        <v>2</v>
      </c>
      <c r="I879" s="153">
        <v>6</v>
      </c>
      <c r="J879" s="154">
        <v>3</v>
      </c>
      <c r="K879" s="155">
        <v>2</v>
      </c>
      <c r="L879" s="148" t="s">
        <v>57</v>
      </c>
      <c r="M879" s="148" t="s">
        <v>58</v>
      </c>
      <c r="N879" s="156"/>
      <c r="O879" s="157" t="s">
        <v>59</v>
      </c>
      <c r="P879" s="158">
        <v>30</v>
      </c>
      <c r="Q879" s="149" t="s">
        <v>76</v>
      </c>
      <c r="R879" s="152" t="s">
        <v>70</v>
      </c>
      <c r="S879" s="148" t="s">
        <v>3557</v>
      </c>
      <c r="T879" s="148" t="s">
        <v>3558</v>
      </c>
      <c r="U879" s="159">
        <v>243</v>
      </c>
      <c r="V879" s="160" t="str">
        <f>VLOOKUP(U879,docentes!$A:$E,2,0)</f>
        <v>HELOISA FRANCA MALTEZ</v>
      </c>
      <c r="W879" s="161" t="str">
        <f>VLOOKUP(U879,docentes!$A:$E,5,0)</f>
        <v>CCNH</v>
      </c>
      <c r="X879" s="176">
        <v>54</v>
      </c>
      <c r="Y879" s="160" t="str">
        <f>VLOOKUP(X879,docentes!$A:$E,2,0)</f>
        <v>ANDRE SARTO POLO</v>
      </c>
      <c r="Z879" s="177" t="str">
        <f>VLOOKUP(X879,docentes!$A:$E,5,0)</f>
        <v>CCNH</v>
      </c>
    </row>
    <row r="880" spans="1:35" s="44" customFormat="1" ht="66.75" customHeight="1">
      <c r="A880" s="148" t="s">
        <v>222</v>
      </c>
      <c r="B880" s="146" t="s">
        <v>3559</v>
      </c>
      <c r="C880" s="149" t="s">
        <v>3541</v>
      </c>
      <c r="D880" s="150">
        <v>7</v>
      </c>
      <c r="E880" s="150" t="s">
        <v>3542</v>
      </c>
      <c r="F880" s="151" t="s">
        <v>3560</v>
      </c>
      <c r="G880" s="152">
        <v>3</v>
      </c>
      <c r="H880" s="152">
        <v>2</v>
      </c>
      <c r="I880" s="153">
        <v>6</v>
      </c>
      <c r="J880" s="154">
        <v>0</v>
      </c>
      <c r="K880" s="155">
        <v>2</v>
      </c>
      <c r="L880" s="148" t="s">
        <v>57</v>
      </c>
      <c r="M880" s="148" t="s">
        <v>58</v>
      </c>
      <c r="N880" s="156"/>
      <c r="O880" s="157" t="s">
        <v>59</v>
      </c>
      <c r="P880" s="158">
        <v>30</v>
      </c>
      <c r="Q880" s="152" t="s">
        <v>60</v>
      </c>
      <c r="R880" s="152" t="s">
        <v>61</v>
      </c>
      <c r="S880" s="148" t="s">
        <v>3545</v>
      </c>
      <c r="T880" s="148" t="s">
        <v>3561</v>
      </c>
      <c r="U880" s="170">
        <v>420</v>
      </c>
      <c r="V880" s="163" t="str">
        <f>VLOOKUP(U880,docentes!$A:$E,2,0)</f>
        <v>MIRELA INES DE SAIRRE</v>
      </c>
      <c r="W880" s="171" t="str">
        <f>VLOOKUP(U880,docentes!$A:$E,5,0)</f>
        <v>CCNH</v>
      </c>
      <c r="X880" s="176">
        <v>374</v>
      </c>
      <c r="Y880" s="160" t="str">
        <f>VLOOKUP(X880,docentes!$A:$E,2,0)</f>
        <v>MARCIO SANTOS DA SILVA</v>
      </c>
      <c r="Z880" s="177" t="str">
        <f>VLOOKUP(X880,docentes!$A:$E,5,0)</f>
        <v>CCNH</v>
      </c>
    </row>
    <row r="881" spans="1:26" s="44" customFormat="1" ht="66.75" hidden="1" customHeight="1">
      <c r="A881" s="148" t="s">
        <v>222</v>
      </c>
      <c r="B881" s="168" t="s">
        <v>3562</v>
      </c>
      <c r="C881" s="149"/>
      <c r="D881" s="150">
        <v>0</v>
      </c>
      <c r="E881" s="150" t="s">
        <v>3542</v>
      </c>
      <c r="F881" s="169" t="s">
        <v>3563</v>
      </c>
      <c r="G881" s="152">
        <v>3</v>
      </c>
      <c r="H881" s="152">
        <v>2</v>
      </c>
      <c r="I881" s="153">
        <v>6</v>
      </c>
      <c r="J881" s="154">
        <v>0</v>
      </c>
      <c r="K881" s="155">
        <v>0</v>
      </c>
      <c r="L881" s="148" t="s">
        <v>732</v>
      </c>
      <c r="M881" s="148" t="s">
        <v>58</v>
      </c>
      <c r="N881" s="182"/>
      <c r="O881" s="186" t="s">
        <v>102</v>
      </c>
      <c r="P881" s="158">
        <v>0</v>
      </c>
      <c r="Q881" s="149" t="s">
        <v>76</v>
      </c>
      <c r="R881" s="152" t="s">
        <v>61</v>
      </c>
      <c r="S881" s="148" t="s">
        <v>3549</v>
      </c>
      <c r="T881" s="148" t="s">
        <v>3564</v>
      </c>
      <c r="U881" s="170">
        <v>243</v>
      </c>
      <c r="V881" s="163" t="str">
        <f>VLOOKUP(U881,docentes!$A:$E,2,0)</f>
        <v>HELOISA FRANCA MALTEZ</v>
      </c>
      <c r="W881" s="171" t="str">
        <f>VLOOKUP(U881,docentes!$A:$E,5,0)</f>
        <v>CCNH</v>
      </c>
      <c r="X881" s="162">
        <v>29</v>
      </c>
      <c r="Y881" s="163" t="str">
        <f>VLOOKUP(X881,docentes!$A:$E,2,0)</f>
        <v>ALVARO TAKEO OMORI</v>
      </c>
      <c r="Z881" s="164" t="str">
        <f>VLOOKUP(X881,docentes!$A:$E,5,0)</f>
        <v>CCNH</v>
      </c>
    </row>
    <row r="882" spans="1:26" s="44" customFormat="1" ht="66.75" hidden="1" customHeight="1">
      <c r="A882" s="148" t="s">
        <v>222</v>
      </c>
      <c r="B882" s="168" t="s">
        <v>3565</v>
      </c>
      <c r="C882" s="149"/>
      <c r="D882" s="150">
        <v>0</v>
      </c>
      <c r="E882" s="150" t="s">
        <v>3542</v>
      </c>
      <c r="F882" s="169" t="s">
        <v>3566</v>
      </c>
      <c r="G882" s="152">
        <v>3</v>
      </c>
      <c r="H882" s="152">
        <v>2</v>
      </c>
      <c r="I882" s="153">
        <v>6</v>
      </c>
      <c r="J882" s="154">
        <v>0</v>
      </c>
      <c r="K882" s="155">
        <v>0</v>
      </c>
      <c r="L882" s="148" t="s">
        <v>732</v>
      </c>
      <c r="M882" s="148"/>
      <c r="N882" s="156"/>
      <c r="O882" s="165" t="s">
        <v>102</v>
      </c>
      <c r="P882" s="158">
        <v>0</v>
      </c>
      <c r="Q882" s="152" t="s">
        <v>60</v>
      </c>
      <c r="R882" s="152" t="s">
        <v>70</v>
      </c>
      <c r="S882" s="148" t="s">
        <v>3553</v>
      </c>
      <c r="T882" s="148" t="s">
        <v>3567</v>
      </c>
      <c r="U882" s="170">
        <v>188</v>
      </c>
      <c r="V882" s="163" t="str">
        <f>VLOOKUP(U882,docentes!$A:$E,2,0)</f>
        <v>FERNANDO HEERING BARTOLONI</v>
      </c>
      <c r="W882" s="171" t="str">
        <f>VLOOKUP(U882,docentes!$A:$E,5,0)</f>
        <v>CCNH</v>
      </c>
      <c r="X882" s="162">
        <v>420</v>
      </c>
      <c r="Y882" s="163" t="str">
        <f>VLOOKUP(X882,docentes!$A:$E,2,0)</f>
        <v>MIRELA INES DE SAIRRE</v>
      </c>
      <c r="Z882" s="164" t="str">
        <f>VLOOKUP(X882,docentes!$A:$E,5,0)</f>
        <v>CCNH</v>
      </c>
    </row>
    <row r="883" spans="1:26" s="44" customFormat="1" ht="66.75" hidden="1" customHeight="1">
      <c r="A883" s="148" t="s">
        <v>222</v>
      </c>
      <c r="B883" s="168" t="s">
        <v>3568</v>
      </c>
      <c r="C883" s="149"/>
      <c r="D883" s="150">
        <v>0</v>
      </c>
      <c r="E883" s="150" t="s">
        <v>3542</v>
      </c>
      <c r="F883" s="169" t="s">
        <v>3569</v>
      </c>
      <c r="G883" s="152">
        <v>3</v>
      </c>
      <c r="H883" s="152">
        <v>2</v>
      </c>
      <c r="I883" s="153">
        <v>6</v>
      </c>
      <c r="J883" s="154">
        <v>0</v>
      </c>
      <c r="K883" s="155">
        <v>0</v>
      </c>
      <c r="L883" s="148" t="s">
        <v>732</v>
      </c>
      <c r="M883" s="148"/>
      <c r="N883" s="156"/>
      <c r="O883" s="165" t="s">
        <v>102</v>
      </c>
      <c r="P883" s="158">
        <v>0</v>
      </c>
      <c r="Q883" s="149" t="s">
        <v>76</v>
      </c>
      <c r="R883" s="152" t="s">
        <v>70</v>
      </c>
      <c r="S883" s="148" t="s">
        <v>3557</v>
      </c>
      <c r="T883" s="148" t="s">
        <v>3570</v>
      </c>
      <c r="U883" s="170">
        <v>243</v>
      </c>
      <c r="V883" s="163" t="str">
        <f>VLOOKUP(U883,docentes!$A:$E,2,0)</f>
        <v>HELOISA FRANCA MALTEZ</v>
      </c>
      <c r="W883" s="171" t="str">
        <f>VLOOKUP(U883,docentes!$A:$E,5,0)</f>
        <v>CCNH</v>
      </c>
      <c r="X883" s="162">
        <v>408</v>
      </c>
      <c r="Y883" s="163" t="str">
        <f>VLOOKUP(X883,docentes!$A:$E,2,0)</f>
        <v>MARISELMA FERREIRA</v>
      </c>
      <c r="Z883" s="164" t="str">
        <f>VLOOKUP(X883,docentes!$A:$E,5,0)</f>
        <v>CCNH</v>
      </c>
    </row>
    <row r="884" spans="1:26" s="44" customFormat="1" ht="66.75" customHeight="1">
      <c r="A884" s="148" t="s">
        <v>222</v>
      </c>
      <c r="B884" s="146" t="s">
        <v>3571</v>
      </c>
      <c r="C884" s="149" t="s">
        <v>3541</v>
      </c>
      <c r="D884" s="150">
        <v>7</v>
      </c>
      <c r="E884" s="150" t="s">
        <v>3542</v>
      </c>
      <c r="F884" s="151" t="s">
        <v>3572</v>
      </c>
      <c r="G884" s="152">
        <v>3</v>
      </c>
      <c r="H884" s="152">
        <v>2</v>
      </c>
      <c r="I884" s="153">
        <v>6</v>
      </c>
      <c r="J884" s="154">
        <v>0</v>
      </c>
      <c r="K884" s="155">
        <v>2</v>
      </c>
      <c r="L884" s="148" t="s">
        <v>57</v>
      </c>
      <c r="M884" s="148"/>
      <c r="N884" s="156"/>
      <c r="O884" s="157" t="s">
        <v>59</v>
      </c>
      <c r="P884" s="158">
        <v>30</v>
      </c>
      <c r="Q884" s="152" t="s">
        <v>60</v>
      </c>
      <c r="R884" s="152" t="s">
        <v>61</v>
      </c>
      <c r="S884" s="148" t="s">
        <v>3545</v>
      </c>
      <c r="T884" s="148" t="s">
        <v>3573</v>
      </c>
      <c r="U884" s="170">
        <v>420</v>
      </c>
      <c r="V884" s="163" t="str">
        <f>VLOOKUP(U884,docentes!$A:$E,2,0)</f>
        <v>MIRELA INES DE SAIRRE</v>
      </c>
      <c r="W884" s="171" t="str">
        <f>VLOOKUP(U884,docentes!$A:$E,5,0)</f>
        <v>CCNH</v>
      </c>
      <c r="X884" s="176">
        <v>420</v>
      </c>
      <c r="Y884" s="160" t="str">
        <f>VLOOKUP(X884,docentes!$A:$E,2,0)</f>
        <v>MIRELA INES DE SAIRRE</v>
      </c>
      <c r="Z884" s="177" t="str">
        <f>VLOOKUP(X884,docentes!$A:$E,5,0)</f>
        <v>CCNH</v>
      </c>
    </row>
    <row r="885" spans="1:26" s="44" customFormat="1" ht="66.75" hidden="1" customHeight="1">
      <c r="A885" s="148" t="s">
        <v>222</v>
      </c>
      <c r="B885" s="168" t="s">
        <v>3574</v>
      </c>
      <c r="C885" s="149"/>
      <c r="D885" s="150">
        <v>0</v>
      </c>
      <c r="E885" s="150" t="s">
        <v>3542</v>
      </c>
      <c r="F885" s="169" t="s">
        <v>3575</v>
      </c>
      <c r="G885" s="152">
        <v>3</v>
      </c>
      <c r="H885" s="152">
        <v>2</v>
      </c>
      <c r="I885" s="153">
        <v>6</v>
      </c>
      <c r="J885" s="154">
        <v>0</v>
      </c>
      <c r="K885" s="155">
        <v>0</v>
      </c>
      <c r="L885" s="148" t="s">
        <v>732</v>
      </c>
      <c r="M885" s="148"/>
      <c r="N885" s="156"/>
      <c r="O885" s="165" t="s">
        <v>102</v>
      </c>
      <c r="P885" s="158">
        <v>0</v>
      </c>
      <c r="Q885" s="149" t="s">
        <v>76</v>
      </c>
      <c r="R885" s="152" t="s">
        <v>61</v>
      </c>
      <c r="S885" s="148" t="s">
        <v>3549</v>
      </c>
      <c r="T885" s="148" t="s">
        <v>3576</v>
      </c>
      <c r="U885" s="170">
        <v>243</v>
      </c>
      <c r="V885" s="163" t="str">
        <f>VLOOKUP(U885,docentes!$A:$E,2,0)</f>
        <v>HELOISA FRANCA MALTEZ</v>
      </c>
      <c r="W885" s="171" t="str">
        <f>VLOOKUP(U885,docentes!$A:$E,5,0)</f>
        <v>CCNH</v>
      </c>
      <c r="X885" s="162">
        <v>408</v>
      </c>
      <c r="Y885" s="163" t="str">
        <f>VLOOKUP(X885,docentes!$A:$E,2,0)</f>
        <v>MARISELMA FERREIRA</v>
      </c>
      <c r="Z885" s="164" t="str">
        <f>VLOOKUP(X885,docentes!$A:$E,5,0)</f>
        <v>CCNH</v>
      </c>
    </row>
    <row r="886" spans="1:26" s="44" customFormat="1" ht="66.75" customHeight="1">
      <c r="A886" s="148" t="s">
        <v>222</v>
      </c>
      <c r="B886" s="146" t="s">
        <v>3577</v>
      </c>
      <c r="C886" s="149" t="s">
        <v>3541</v>
      </c>
      <c r="D886" s="150">
        <v>7</v>
      </c>
      <c r="E886" s="150" t="s">
        <v>3542</v>
      </c>
      <c r="F886" s="151" t="s">
        <v>3578</v>
      </c>
      <c r="G886" s="152">
        <v>3</v>
      </c>
      <c r="H886" s="152">
        <v>2</v>
      </c>
      <c r="I886" s="153">
        <v>6</v>
      </c>
      <c r="J886" s="154">
        <v>0</v>
      </c>
      <c r="K886" s="155">
        <v>2</v>
      </c>
      <c r="L886" s="148" t="s">
        <v>57</v>
      </c>
      <c r="M886" s="148"/>
      <c r="N886" s="156"/>
      <c r="O886" s="157" t="s">
        <v>59</v>
      </c>
      <c r="P886" s="158">
        <v>30</v>
      </c>
      <c r="Q886" s="152" t="s">
        <v>60</v>
      </c>
      <c r="R886" s="152" t="s">
        <v>70</v>
      </c>
      <c r="S886" s="148" t="s">
        <v>3553</v>
      </c>
      <c r="T886" s="148" t="s">
        <v>3579</v>
      </c>
      <c r="U886" s="170">
        <v>188</v>
      </c>
      <c r="V886" s="163" t="str">
        <f>VLOOKUP(U886,docentes!$A:$E,2,0)</f>
        <v>FERNANDO HEERING BARTOLONI</v>
      </c>
      <c r="W886" s="171" t="str">
        <f>VLOOKUP(U886,docentes!$A:$E,5,0)</f>
        <v>CCNH</v>
      </c>
      <c r="X886" s="176">
        <v>188</v>
      </c>
      <c r="Y886" s="160" t="str">
        <f>VLOOKUP(X886,docentes!$A:$E,2,0)</f>
        <v>FERNANDO HEERING BARTOLONI</v>
      </c>
      <c r="Z886" s="177" t="str">
        <f>VLOOKUP(X886,docentes!$A:$E,5,0)</f>
        <v>CCNH</v>
      </c>
    </row>
    <row r="887" spans="1:26" s="44" customFormat="1" ht="66.75" hidden="1" customHeight="1">
      <c r="A887" s="148" t="s">
        <v>222</v>
      </c>
      <c r="B887" s="168" t="s">
        <v>3580</v>
      </c>
      <c r="C887" s="149"/>
      <c r="D887" s="150">
        <v>0</v>
      </c>
      <c r="E887" s="150" t="s">
        <v>3542</v>
      </c>
      <c r="F887" s="169" t="s">
        <v>3581</v>
      </c>
      <c r="G887" s="152">
        <v>3</v>
      </c>
      <c r="H887" s="152">
        <v>2</v>
      </c>
      <c r="I887" s="153">
        <v>6</v>
      </c>
      <c r="J887" s="154">
        <v>0</v>
      </c>
      <c r="K887" s="155">
        <v>0</v>
      </c>
      <c r="L887" s="148" t="s">
        <v>732</v>
      </c>
      <c r="M887" s="148"/>
      <c r="N887" s="156"/>
      <c r="O887" s="165" t="s">
        <v>102</v>
      </c>
      <c r="P887" s="158">
        <v>0</v>
      </c>
      <c r="Q887" s="149" t="s">
        <v>76</v>
      </c>
      <c r="R887" s="152" t="s">
        <v>70</v>
      </c>
      <c r="S887" s="148" t="s">
        <v>3557</v>
      </c>
      <c r="T887" s="148" t="s">
        <v>3582</v>
      </c>
      <c r="U887" s="170">
        <v>243</v>
      </c>
      <c r="V887" s="163" t="str">
        <f>VLOOKUP(U887,docentes!$A:$E,2,0)</f>
        <v>HELOISA FRANCA MALTEZ</v>
      </c>
      <c r="W887" s="171" t="str">
        <f>VLOOKUP(U887,docentes!$A:$E,5,0)</f>
        <v>CCNH</v>
      </c>
      <c r="X887" s="162">
        <v>29</v>
      </c>
      <c r="Y887" s="163" t="str">
        <f>VLOOKUP(X887,docentes!$A:$E,2,0)</f>
        <v>ALVARO TAKEO OMORI</v>
      </c>
      <c r="Z887" s="164" t="str">
        <f>VLOOKUP(X887,docentes!$A:$E,5,0)</f>
        <v>CCNH</v>
      </c>
    </row>
    <row r="888" spans="1:26" s="44" customFormat="1" ht="66.75" customHeight="1">
      <c r="A888" s="148" t="s">
        <v>980</v>
      </c>
      <c r="B888" s="146" t="s">
        <v>3583</v>
      </c>
      <c r="C888" s="149" t="s">
        <v>3584</v>
      </c>
      <c r="D888" s="150">
        <v>1</v>
      </c>
      <c r="E888" s="150" t="s">
        <v>3585</v>
      </c>
      <c r="F888" s="151" t="s">
        <v>3586</v>
      </c>
      <c r="G888" s="152">
        <v>2</v>
      </c>
      <c r="H888" s="152">
        <v>0</v>
      </c>
      <c r="I888" s="153">
        <v>4</v>
      </c>
      <c r="J888" s="154">
        <v>2</v>
      </c>
      <c r="K888" s="155">
        <v>0</v>
      </c>
      <c r="L888" s="148" t="s">
        <v>750</v>
      </c>
      <c r="M888" s="148"/>
      <c r="N888" s="156" t="s">
        <v>3587</v>
      </c>
      <c r="O888" s="165" t="s">
        <v>3588</v>
      </c>
      <c r="P888" s="158">
        <v>44</v>
      </c>
      <c r="Q888" s="152" t="s">
        <v>76</v>
      </c>
      <c r="R888" s="152" t="s">
        <v>70</v>
      </c>
      <c r="S888" s="148" t="s">
        <v>3589</v>
      </c>
      <c r="T888" s="148">
        <v>0</v>
      </c>
      <c r="U888" s="159">
        <v>523</v>
      </c>
      <c r="V888" s="160" t="str">
        <f>VLOOKUP(U888,docentes!$A:$E,2,0)</f>
        <v>SILVANA MARIA ZIONI</v>
      </c>
      <c r="W888" s="161" t="str">
        <f>VLOOKUP(U888,docentes!$A:$E,5,0)</f>
        <v>CECS</v>
      </c>
      <c r="X888" s="162"/>
      <c r="Y888" s="163"/>
      <c r="Z888" s="164"/>
    </row>
    <row r="889" spans="1:26" ht="43.5" customHeight="1">
      <c r="B889" s="151" t="s">
        <v>3590</v>
      </c>
      <c r="C889" s="187">
        <f>SUM(J3:J888)</f>
        <v>2129</v>
      </c>
      <c r="D889" s="187">
        <f>SUM(K3:K888)</f>
        <v>880</v>
      </c>
      <c r="E889" s="51"/>
      <c r="F889" s="51"/>
      <c r="T889" s="45"/>
      <c r="W889" s="85"/>
    </row>
    <row r="890" spans="1:26" ht="24" customHeight="1">
      <c r="B890" s="48"/>
      <c r="C890" s="188">
        <f>C889+D889</f>
        <v>3009</v>
      </c>
      <c r="D890" s="189"/>
      <c r="E890" s="51"/>
      <c r="F890" s="51"/>
      <c r="W890" s="85"/>
    </row>
    <row r="901" spans="19:19" ht="15">
      <c r="S901"/>
    </row>
    <row r="902" spans="19:19" ht="15">
      <c r="S902"/>
    </row>
    <row r="903" spans="19:19" ht="15">
      <c r="S903"/>
    </row>
  </sheetData>
  <sheetProtection formatCells="0" formatColumns="0" formatRows="0" insertColumns="0" insertRows="0" insertHyperlinks="0" deleteColumns="0" deleteRows="0" selectLockedCells="1" pivotTables="0" selectUnlockedCells="1"/>
  <protectedRanges>
    <protectedRange sqref="L460:L588 L71:L73 L317:L347 L21:L33 L842:L878 L673:L722 L2:L19" name="DECISÕES" securityDescriptor="O:WDG:WDD:(A;;CC;;;S-1-5-21-2065068914-2424464825-150620467-21628)"/>
    <protectedRange sqref="N2:P2" name="VAGAS E OBSERVAÇÕES"/>
    <protectedRange sqref="N880:N883 N425:N440 N845:O862 O863:O883 N842 N26:N33 O26:O104 O114:O121 O123:O137 O139:O153 O155:O156 O158:O165 O167:O178 O194:O199 O201 O203:O205 O207:O208 O214:O217 O219:O221 N21:O25 O106:O112 O223:O229 O231 O233 O235:O238 O241 O181 O188 O191 O264 O275:O277 O20 N489:O489 N523:N529 N587:N588 O744:O745 O244 O758 O760:O763 O766 N71:N73 N863:N878 O248:O252 O254:O260 O266:O273 O279:O292 O294:O295 O297:O304 O306:O308 N317:N321 O310:O321 N322:O330 N331:N347 O331:O354 O357:O358 O360:O385 O387:O388 O390 O392:O400 O402:O418 N460:N488 O421:O488 N490:N495 O490:O494 N496:O522 N553 O525:O553 N554:O586 O588:O605 O607:O615 O617:O653 O210:O212 O655:O661 N673:O729 O730:O741 O747:O751 O184:O185 O842:O844 N770:O841 N844 O663:O670 O768:O769 O753 O885:O888 N3:O19 P3:P888" name="VAGAS E OBSERVAÇÕES_1"/>
    <protectedRange sqref="N530:N536 N538:N552" name="VAGAS E OBSERVAÇÕES_4"/>
    <protectedRange sqref="L746:L769" name="DECISÕES_1" securityDescriptor="O:WDG:WDD:(A;;CC;;;S-1-5-21-2065068914-2424464825-150620467-21628)"/>
    <protectedRange sqref="N746:O746 N758 N764:O765 N760:N763 N767:O767 N766 N753 N752:O752 N747:N751 N754:O755 N768:N769 N757:O757 N756 N759:O759" name="VAGAS E OBSERVAÇÕES_5"/>
    <protectedRange sqref="L348:L352 L358:L400 L354:L356" name="DECISÕES_2" securityDescriptor="O:WDG:WDD:(A;;CC;;;S-1-5-21-2065068914-2424464825-150620467-21628)"/>
    <protectedRange sqref="O495 N348:N385 N387:N388 N386:O386 N389:O389 N391:O391 N390 O523:O524 N392:N400 O355:O356" name="VAGAS E OBSERVAÇÕES_6"/>
    <protectedRange sqref="L723:L745" name="DECISÕES_3" securityDescriptor="O:WDG:WDD:(A;;CC;;;S-1-5-21-2065068914-2424464825-150620467-21628)"/>
    <protectedRange sqref="N742:O743 N730:N741 N744:N745" name="VAGAS E OBSERVAÇÕES_7"/>
    <protectedRange sqref="L770:L841" name="DECISÕES_4" securityDescriptor="O:WDG:WDD:(A;;CC;;;S-1-5-21-2065068914-2424464825-150620467-21628)"/>
    <protectedRange sqref="L589:L629" name="DECISÕES_5" securityDescriptor="O:WDG:WDD:(A;;CC;;;S-1-5-21-2065068914-2424464825-150620467-21628)"/>
    <protectedRange sqref="N606:O606 N616:O616 N607:N615 N617:N629 N589:N605" name="VAGAS E OBSERVAÇÕES_8"/>
    <protectedRange sqref="L630:L651" name="DECISÕES_6" securityDescriptor="O:WDG:WDD:(A;;CC;;;S-1-5-21-2065068914-2424464825-150620467-21628)"/>
    <protectedRange sqref="N630:N651" name="VAGAS E OBSERVAÇÕES_9"/>
    <protectedRange sqref="L20 L401:L424" name="DECISÕES_7" securityDescriptor="O:WDG:WDD:(A;;CC;;;S-1-5-21-2065068914-2424464825-150620467-21628)"/>
    <protectedRange sqref="N401:O401 N421:N424 N402:N418 N419:O420 N20" name="VAGAS E OBSERVAÇÕES_10"/>
    <protectedRange sqref="L441:L459" name="DECISÕES_8" securityDescriptor="O:WDG:WDD:(A;;CC;;;S-1-5-21-2065068914-2424464825-150620467-21628)"/>
    <protectedRange sqref="N441:N459" name="VAGAS E OBSERVAÇÕES_11"/>
    <protectedRange sqref="L879:L883" name="DECISÕES_10" securityDescriptor="O:WDG:WDD:(A;;CC;;;S-1-5-21-2065068914-2424464825-150620467-21628)"/>
    <protectedRange sqref="L425:L440" name="DECISÕES_11" securityDescriptor="O:WDG:WDD:(A;;CC;;;S-1-5-21-2065068914-2424464825-150620467-21628)"/>
    <protectedRange sqref="L652:L672" name="DECISÕES_12" securityDescriptor="O:WDG:WDD:(A;;CC;;;S-1-5-21-2065068914-2424464825-150620467-21628)"/>
    <protectedRange sqref="N663:N670 N655:N661 N654:O654 N652:N653 N662:O662 N671:O672" name="VAGAS E OBSERVAÇÕES_12"/>
    <protectedRange sqref="L353 L34:L70 L74:L316" name="DECISÕES_13" securityDescriptor="O:WDG:WDD:(A;;CC;;;S-1-5-21-2065068914-2424464825-150620467-21628)"/>
    <protectedRange sqref="L884:L888" name="DECISÕES_14" securityDescriptor="O:WDG:WDD:(A;;CC;;;S-1-5-21-2065068914-2424464825-150620467-21628)"/>
    <protectedRange sqref="N884:O884 N886 N206:O206 N209:O209 N213:O213 N210:N212 N218:O218 N222:O222 N219:N221 N230:O230 N223:N229 N231 N233 N235:N238 N253:O253 N248:N252 N265:O265 N264 N274:O274 N293:O293 N296:O296 N294:N295 N106:N112 N115:N121 N182:O183 N297:N308 N309:O309 N275:N292 N154:O154 N123:N153 N155:N179 N188:N199 N310:N316 N232:O232 N234:O234 N207:N208 N239:O240 O138 O157 O166 O179 N186:O187 O190 O193 O587 O756 N34:N70 N74:N104 N203:N205 N214:N217 N242:O243 N241 N245:O247 N244 N254:N260 N266:N273 N261:O263 N113:O113 N105:O105 N122:O122 N180:O180 N181 N184:N185 N200:O200 N202:O202 N201" name="VAGAS E OBSERVAÇÕES_15"/>
    <protectedRange sqref="N885 N887:N888" name="VAGAS E OBSERVAÇÕES_16"/>
    <protectedRange sqref="L357" name="DECISÕES_15" securityDescriptor="O:WDG:WDD:(A;;CC;;;S-1-5-21-2065068914-2424464825-150620467-21628)"/>
  </protectedRanges>
  <autoFilter ref="A2:AK890">
    <filterColumn colId="5">
      <colorFilter dxfId="2"/>
    </filterColumn>
  </autoFilter>
  <sortState ref="A3:AL888">
    <sortCondition ref="F3:F888"/>
    <sortCondition ref="R3:R888"/>
    <sortCondition ref="Q3:Q888"/>
  </sortState>
  <mergeCells count="23">
    <mergeCell ref="A1:A2"/>
    <mergeCell ref="B1:B2"/>
    <mergeCell ref="X1:X2"/>
    <mergeCell ref="C890:D890"/>
    <mergeCell ref="Z1:Z2"/>
    <mergeCell ref="I1:I2"/>
    <mergeCell ref="G1:G2"/>
    <mergeCell ref="H1:H2"/>
    <mergeCell ref="S1:S2"/>
    <mergeCell ref="T1:T2"/>
    <mergeCell ref="L1:P1"/>
    <mergeCell ref="J1:J2"/>
    <mergeCell ref="K1:K2"/>
    <mergeCell ref="V1:V2"/>
    <mergeCell ref="W1:W2"/>
    <mergeCell ref="Y1:Y2"/>
    <mergeCell ref="U1:U2"/>
    <mergeCell ref="E1:E2"/>
    <mergeCell ref="C1:C2"/>
    <mergeCell ref="F1:F2"/>
    <mergeCell ref="D1:D2"/>
    <mergeCell ref="Q1:Q2"/>
    <mergeCell ref="R1:R2"/>
  </mergeCells>
  <conditionalFormatting sqref="M2">
    <cfRule type="containsText" dxfId="12" priority="15" stopIfTrue="1" operator="containsText" text="manter">
      <formula>NOT(ISERROR(SEARCH("manter",M2)))</formula>
    </cfRule>
  </conditionalFormatting>
  <conditionalFormatting sqref="B891:B1048576 B396:B685 B139:B178 B180:B189 B354:B393 B191:B192 B194:B352 B36:B137 B694:B888 B3:B34">
    <cfRule type="duplicateValues" dxfId="11" priority="14"/>
  </conditionalFormatting>
  <conditionalFormatting sqref="B138">
    <cfRule type="duplicateValues" dxfId="10" priority="13"/>
  </conditionalFormatting>
  <conditionalFormatting sqref="B179">
    <cfRule type="duplicateValues" dxfId="9" priority="12"/>
  </conditionalFormatting>
  <conditionalFormatting sqref="B394:B395">
    <cfRule type="duplicateValues" dxfId="8" priority="11"/>
  </conditionalFormatting>
  <conditionalFormatting sqref="B35">
    <cfRule type="duplicateValues" dxfId="7" priority="10"/>
  </conditionalFormatting>
  <conditionalFormatting sqref="B353">
    <cfRule type="duplicateValues" dxfId="6" priority="9"/>
  </conditionalFormatting>
  <conditionalFormatting sqref="B190">
    <cfRule type="duplicateValues" dxfId="5" priority="8"/>
  </conditionalFormatting>
  <conditionalFormatting sqref="B193">
    <cfRule type="duplicateValues" dxfId="4" priority="7"/>
  </conditionalFormatting>
  <conditionalFormatting sqref="B686:B693">
    <cfRule type="duplicateValues" dxfId="3" priority="5"/>
  </conditionalFormatting>
  <dataValidations disablePrompts="1" count="1">
    <dataValidation type="list" allowBlank="1" showInputMessage="1" showErrorMessage="1" sqref="L357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4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S637"/>
  <sheetViews>
    <sheetView showGridLines="0" zoomScale="90" zoomScaleNormal="90" workbookViewId="0">
      <pane ySplit="1" topLeftCell="A50" activePane="bottomLeft" state="frozen"/>
      <selection activeCell="F1" sqref="F1"/>
      <selection pane="bottomLeft" activeCell="E602" sqref="E602"/>
    </sheetView>
  </sheetViews>
  <sheetFormatPr defaultRowHeight="12.75"/>
  <cols>
    <col min="1" max="1" width="8.28515625" style="53" customWidth="1"/>
    <col min="2" max="2" width="57.85546875" style="44" bestFit="1" customWidth="1"/>
    <col min="3" max="3" width="13.5703125" style="53" customWidth="1"/>
    <col min="4" max="4" width="30" style="44" customWidth="1"/>
    <col min="5" max="5" width="15.7109375" style="53" bestFit="1" customWidth="1"/>
    <col min="6" max="6" width="23.85546875" style="53" customWidth="1"/>
    <col min="7" max="7" width="58.140625" style="54" customWidth="1"/>
    <col min="8" max="9" width="14.7109375" style="55" customWidth="1"/>
    <col min="10" max="14" width="14.7109375" style="68" customWidth="1"/>
    <col min="15" max="15" width="14.7109375" style="55" customWidth="1"/>
    <col min="16" max="16" width="79.28515625" style="53" customWidth="1"/>
    <col min="17" max="18" width="18.140625" style="53" customWidth="1"/>
    <col min="19" max="19" width="13.5703125" style="53" customWidth="1"/>
    <col min="20" max="16384" width="9.140625" style="44"/>
  </cols>
  <sheetData>
    <row r="1" spans="1:19" s="64" customFormat="1" ht="50.25" customHeight="1">
      <c r="A1" s="190" t="s">
        <v>3591</v>
      </c>
      <c r="B1" s="191" t="s">
        <v>3592</v>
      </c>
      <c r="C1" s="190" t="s">
        <v>3593</v>
      </c>
      <c r="D1" s="190" t="s">
        <v>3594</v>
      </c>
      <c r="E1" s="192" t="s">
        <v>3595</v>
      </c>
      <c r="F1" s="192" t="s">
        <v>3596</v>
      </c>
      <c r="G1" s="192" t="s">
        <v>3597</v>
      </c>
      <c r="H1" s="193" t="s">
        <v>3598</v>
      </c>
      <c r="I1" s="194" t="s">
        <v>3599</v>
      </c>
      <c r="J1" s="195" t="s">
        <v>3600</v>
      </c>
      <c r="K1" s="195" t="s">
        <v>3601</v>
      </c>
      <c r="L1" s="195" t="s">
        <v>3602</v>
      </c>
      <c r="M1" s="195" t="s">
        <v>3603</v>
      </c>
      <c r="N1" s="195" t="s">
        <v>3604</v>
      </c>
      <c r="O1" s="194"/>
      <c r="P1" s="192" t="s">
        <v>3605</v>
      </c>
      <c r="Q1" s="192" t="s">
        <v>3606</v>
      </c>
      <c r="R1" s="192" t="s">
        <v>3607</v>
      </c>
      <c r="S1" s="192" t="s">
        <v>3591</v>
      </c>
    </row>
    <row r="2" spans="1:19" s="52" customFormat="1" ht="16.5" customHeight="1">
      <c r="A2" s="196" t="s">
        <v>3608</v>
      </c>
      <c r="B2" s="197" t="s">
        <v>3609</v>
      </c>
      <c r="C2" s="196">
        <v>1676798</v>
      </c>
      <c r="D2" s="197" t="s">
        <v>3610</v>
      </c>
      <c r="E2" s="198" t="s">
        <v>3611</v>
      </c>
      <c r="F2" s="198" t="s">
        <v>3612</v>
      </c>
      <c r="G2" s="199" t="s">
        <v>3613</v>
      </c>
      <c r="H2" s="200">
        <v>41910</v>
      </c>
      <c r="I2" s="200">
        <v>42274</v>
      </c>
      <c r="J2" s="201">
        <f>COUNTIFS('TURMAS 2015.2'!U:U,A2)</f>
        <v>0</v>
      </c>
      <c r="K2" s="201">
        <f>SUMIFS('TURMAS 2015.2'!J:J,'TURMAS 2015.2'!U:U,A2)</f>
        <v>0</v>
      </c>
      <c r="L2" s="201">
        <f>COUNTIF('TURMAS 2015.2'!X:X,A2)</f>
        <v>0</v>
      </c>
      <c r="M2" s="201">
        <f>SUMIFS('TURMAS 2015.2'!K:K,'TURMAS 2015.2'!X:X,A2)</f>
        <v>0</v>
      </c>
      <c r="N2" s="201">
        <f>K2+M2</f>
        <v>0</v>
      </c>
      <c r="O2" s="200"/>
      <c r="P2" s="198">
        <v>0</v>
      </c>
      <c r="Q2" s="198">
        <v>0</v>
      </c>
      <c r="R2" s="198">
        <v>1</v>
      </c>
      <c r="S2" s="198"/>
    </row>
    <row r="3" spans="1:19" s="52" customFormat="1" ht="16.5" customHeight="1">
      <c r="A3" s="196" t="s">
        <v>3608</v>
      </c>
      <c r="B3" s="197" t="s">
        <v>3614</v>
      </c>
      <c r="C3" s="196">
        <v>1727233</v>
      </c>
      <c r="D3" s="197" t="s">
        <v>3610</v>
      </c>
      <c r="E3" s="198" t="s">
        <v>3611</v>
      </c>
      <c r="F3" s="198" t="s">
        <v>3612</v>
      </c>
      <c r="G3" s="199" t="s">
        <v>3615</v>
      </c>
      <c r="H3" s="200">
        <v>41707</v>
      </c>
      <c r="I3" s="200">
        <v>42802</v>
      </c>
      <c r="J3" s="201">
        <f>COUNTIFS('TURMAS 2015.2'!U:U,A3)</f>
        <v>0</v>
      </c>
      <c r="K3" s="201">
        <f>SUMIFS('TURMAS 2015.2'!J:J,'TURMAS 2015.2'!U:U,A3)</f>
        <v>0</v>
      </c>
      <c r="L3" s="201">
        <f>COUNTIF('TURMAS 2015.2'!X:X,A3)</f>
        <v>0</v>
      </c>
      <c r="M3" s="201">
        <f>SUMIFS('TURMAS 2015.2'!K:K,'TURMAS 2015.2'!X:X,A3)</f>
        <v>0</v>
      </c>
      <c r="N3" s="201">
        <f>K3+M3</f>
        <v>0</v>
      </c>
      <c r="O3" s="200"/>
      <c r="P3" s="198">
        <v>0</v>
      </c>
      <c r="Q3" s="198">
        <v>0</v>
      </c>
      <c r="R3" s="198">
        <v>1</v>
      </c>
      <c r="S3" s="198"/>
    </row>
    <row r="4" spans="1:19" s="52" customFormat="1" ht="16.5" customHeight="1">
      <c r="A4" s="196" t="s">
        <v>3608</v>
      </c>
      <c r="B4" s="197" t="s">
        <v>3616</v>
      </c>
      <c r="C4" s="196">
        <v>1765455</v>
      </c>
      <c r="D4" s="197" t="s">
        <v>3617</v>
      </c>
      <c r="E4" s="198" t="s">
        <v>3618</v>
      </c>
      <c r="F4" s="198" t="s">
        <v>3612</v>
      </c>
      <c r="G4" s="199" t="s">
        <v>3619</v>
      </c>
      <c r="H4" s="200">
        <v>41852</v>
      </c>
      <c r="I4" s="200">
        <v>42216</v>
      </c>
      <c r="J4" s="201">
        <f>COUNTIFS('TURMAS 2015.2'!U:U,A4)</f>
        <v>0</v>
      </c>
      <c r="K4" s="201">
        <f>SUMIFS('TURMAS 2015.2'!J:J,'TURMAS 2015.2'!U:U,A4)</f>
        <v>0</v>
      </c>
      <c r="L4" s="201">
        <f>COUNTIF('TURMAS 2015.2'!X:X,A4)</f>
        <v>0</v>
      </c>
      <c r="M4" s="201">
        <f>SUMIFS('TURMAS 2015.2'!K:K,'TURMAS 2015.2'!X:X,A4)</f>
        <v>0</v>
      </c>
      <c r="N4" s="201">
        <f>K4+M4</f>
        <v>0</v>
      </c>
      <c r="O4" s="200"/>
      <c r="P4" s="198">
        <v>0</v>
      </c>
      <c r="Q4" s="198">
        <v>0</v>
      </c>
      <c r="R4" s="198">
        <v>1</v>
      </c>
      <c r="S4" s="198"/>
    </row>
    <row r="5" spans="1:19" s="57" customFormat="1" ht="16.5" customHeight="1">
      <c r="A5" s="196" t="s">
        <v>3608</v>
      </c>
      <c r="B5" s="197" t="s">
        <v>3620</v>
      </c>
      <c r="C5" s="196">
        <v>776882</v>
      </c>
      <c r="D5" s="197" t="s">
        <v>3621</v>
      </c>
      <c r="E5" s="198" t="s">
        <v>3618</v>
      </c>
      <c r="F5" s="198" t="s">
        <v>3612</v>
      </c>
      <c r="G5" s="199" t="s">
        <v>3622</v>
      </c>
      <c r="H5" s="200">
        <v>41944</v>
      </c>
      <c r="I5" s="200">
        <v>42309</v>
      </c>
      <c r="J5" s="201">
        <f>COUNTIFS('TURMAS 2015.2'!U:U,A5)</f>
        <v>0</v>
      </c>
      <c r="K5" s="201">
        <f>SUMIFS('TURMAS 2015.2'!J:J,'TURMAS 2015.2'!U:U,A5)</f>
        <v>0</v>
      </c>
      <c r="L5" s="201">
        <f>COUNTIF('TURMAS 2015.2'!X:X,A5)</f>
        <v>0</v>
      </c>
      <c r="M5" s="201">
        <f>SUMIFS('TURMAS 2015.2'!K:K,'TURMAS 2015.2'!X:X,A5)</f>
        <v>0</v>
      </c>
      <c r="N5" s="201">
        <f>K5+M5</f>
        <v>0</v>
      </c>
      <c r="O5" s="200"/>
      <c r="P5" s="198">
        <v>0</v>
      </c>
      <c r="Q5" s="198">
        <v>0</v>
      </c>
      <c r="R5" s="198">
        <v>1</v>
      </c>
      <c r="S5" s="198"/>
    </row>
    <row r="6" spans="1:19" s="69" customFormat="1" ht="16.5" customHeight="1">
      <c r="A6" s="202">
        <v>10052</v>
      </c>
      <c r="B6" s="203" t="s">
        <v>3623</v>
      </c>
      <c r="C6" s="202">
        <v>1765425</v>
      </c>
      <c r="D6" s="203" t="s">
        <v>3610</v>
      </c>
      <c r="E6" s="149" t="s">
        <v>3618</v>
      </c>
      <c r="F6" s="149" t="s">
        <v>3624</v>
      </c>
      <c r="G6" s="173" t="s">
        <v>3625</v>
      </c>
      <c r="H6" s="204">
        <v>41892</v>
      </c>
      <c r="I6" s="204">
        <v>42055</v>
      </c>
      <c r="J6" s="205">
        <f>COUNTIFS('TURMAS 2015.2'!U:U,A6)</f>
        <v>4</v>
      </c>
      <c r="K6" s="205">
        <f>SUMIFS('TURMAS 2015.2'!J:J,'TURMAS 2015.2'!U:U,A6)</f>
        <v>12</v>
      </c>
      <c r="L6" s="205">
        <f>COUNTIF('TURMAS 2015.2'!X:X,A6)</f>
        <v>4</v>
      </c>
      <c r="M6" s="205">
        <f>SUMIFS('TURMAS 2015.2'!K:K,'TURMAS 2015.2'!X:X,A6)</f>
        <v>4</v>
      </c>
      <c r="N6" s="205">
        <f>K6+M6</f>
        <v>16</v>
      </c>
      <c r="O6" s="204"/>
      <c r="P6" s="149">
        <v>0</v>
      </c>
      <c r="Q6" s="149">
        <v>0</v>
      </c>
      <c r="R6" s="149">
        <v>1</v>
      </c>
      <c r="S6" s="149"/>
    </row>
    <row r="7" spans="1:19" s="52" customFormat="1" ht="16.5" customHeight="1">
      <c r="A7" s="196" t="s">
        <v>3608</v>
      </c>
      <c r="B7" s="197" t="s">
        <v>3626</v>
      </c>
      <c r="C7" s="196">
        <v>1766082</v>
      </c>
      <c r="D7" s="197" t="s">
        <v>3617</v>
      </c>
      <c r="E7" s="198" t="s">
        <v>3618</v>
      </c>
      <c r="F7" s="198" t="s">
        <v>3612</v>
      </c>
      <c r="G7" s="199" t="s">
        <v>3627</v>
      </c>
      <c r="H7" s="200">
        <v>40613</v>
      </c>
      <c r="I7" s="200">
        <v>42268</v>
      </c>
      <c r="J7" s="201">
        <f>COUNTIFS('TURMAS 2015.2'!U:U,A7)</f>
        <v>0</v>
      </c>
      <c r="K7" s="201">
        <f>SUMIFS('TURMAS 2015.2'!J:J,'TURMAS 2015.2'!U:U,A7)</f>
        <v>0</v>
      </c>
      <c r="L7" s="201">
        <f>COUNTIF('TURMAS 2015.2'!X:X,A7)</f>
        <v>0</v>
      </c>
      <c r="M7" s="201">
        <f>SUMIFS('TURMAS 2015.2'!K:K,'TURMAS 2015.2'!X:X,A7)</f>
        <v>0</v>
      </c>
      <c r="N7" s="201">
        <f>K7+M7</f>
        <v>0</v>
      </c>
      <c r="O7" s="200"/>
      <c r="P7" s="198">
        <v>0</v>
      </c>
      <c r="Q7" s="198">
        <v>0</v>
      </c>
      <c r="R7" s="198">
        <v>1</v>
      </c>
      <c r="S7" s="198"/>
    </row>
    <row r="8" spans="1:19" s="52" customFormat="1" ht="16.5" customHeight="1">
      <c r="A8" s="196" t="s">
        <v>3608</v>
      </c>
      <c r="B8" s="197" t="s">
        <v>3628</v>
      </c>
      <c r="C8" s="196">
        <v>1734918</v>
      </c>
      <c r="D8" s="197" t="s">
        <v>3610</v>
      </c>
      <c r="E8" s="198" t="s">
        <v>3618</v>
      </c>
      <c r="F8" s="198" t="s">
        <v>3612</v>
      </c>
      <c r="G8" s="199" t="s">
        <v>3629</v>
      </c>
      <c r="H8" s="200">
        <v>41821</v>
      </c>
      <c r="I8" s="200">
        <v>42185</v>
      </c>
      <c r="J8" s="201">
        <f>COUNTIFS('TURMAS 2015.2'!U:U,A8)</f>
        <v>0</v>
      </c>
      <c r="K8" s="201">
        <f>SUMIFS('TURMAS 2015.2'!J:J,'TURMAS 2015.2'!U:U,A8)</f>
        <v>0</v>
      </c>
      <c r="L8" s="201">
        <f>COUNTIF('TURMAS 2015.2'!X:X,A8)</f>
        <v>0</v>
      </c>
      <c r="M8" s="201">
        <f>SUMIFS('TURMAS 2015.2'!K:K,'TURMAS 2015.2'!X:X,A8)</f>
        <v>0</v>
      </c>
      <c r="N8" s="201">
        <f>K8+M8</f>
        <v>0</v>
      </c>
      <c r="O8" s="200"/>
      <c r="P8" s="198">
        <v>0</v>
      </c>
      <c r="Q8" s="198">
        <v>0</v>
      </c>
      <c r="R8" s="198">
        <v>1</v>
      </c>
      <c r="S8" s="198"/>
    </row>
    <row r="9" spans="1:19" s="52" customFormat="1" ht="16.5" customHeight="1">
      <c r="A9" s="196" t="s">
        <v>3608</v>
      </c>
      <c r="B9" s="197" t="s">
        <v>3630</v>
      </c>
      <c r="C9" s="196">
        <v>1671292</v>
      </c>
      <c r="D9" s="197" t="s">
        <v>3610</v>
      </c>
      <c r="E9" s="198" t="s">
        <v>3618</v>
      </c>
      <c r="F9" s="198" t="s">
        <v>3612</v>
      </c>
      <c r="G9" s="199" t="s">
        <v>3631</v>
      </c>
      <c r="H9" s="200">
        <v>41852</v>
      </c>
      <c r="I9" s="200">
        <v>42216</v>
      </c>
      <c r="J9" s="201">
        <f>COUNTIFS('TURMAS 2015.2'!U:U,A9)</f>
        <v>0</v>
      </c>
      <c r="K9" s="201">
        <f>SUMIFS('TURMAS 2015.2'!J:J,'TURMAS 2015.2'!U:U,A9)</f>
        <v>0</v>
      </c>
      <c r="L9" s="201">
        <f>COUNTIF('TURMAS 2015.2'!X:X,A9)</f>
        <v>0</v>
      </c>
      <c r="M9" s="201">
        <f>SUMIFS('TURMAS 2015.2'!K:K,'TURMAS 2015.2'!X:X,A9)</f>
        <v>0</v>
      </c>
      <c r="N9" s="201">
        <f>K9+M9</f>
        <v>0</v>
      </c>
      <c r="O9" s="200"/>
      <c r="P9" s="198">
        <v>0</v>
      </c>
      <c r="Q9" s="198">
        <v>0</v>
      </c>
      <c r="R9" s="198">
        <v>1</v>
      </c>
      <c r="S9" s="198"/>
    </row>
    <row r="10" spans="1:19" s="52" customFormat="1" ht="16.5" customHeight="1">
      <c r="A10" s="196">
        <v>10051</v>
      </c>
      <c r="B10" s="206" t="s">
        <v>3632</v>
      </c>
      <c r="C10" s="207">
        <v>1568760</v>
      </c>
      <c r="D10" s="206" t="s">
        <v>3610</v>
      </c>
      <c r="E10" s="208" t="s">
        <v>3618</v>
      </c>
      <c r="F10" s="152" t="s">
        <v>3624</v>
      </c>
      <c r="G10" s="209" t="s">
        <v>3633</v>
      </c>
      <c r="H10" s="210">
        <v>42008</v>
      </c>
      <c r="I10" s="210">
        <v>42067</v>
      </c>
      <c r="J10" s="201">
        <f>COUNTIFS('TURMAS 2015.2'!U:U,A10)</f>
        <v>0</v>
      </c>
      <c r="K10" s="201">
        <f>SUMIFS('TURMAS 2015.2'!J:J,'TURMAS 2015.2'!U:U,A10)</f>
        <v>0</v>
      </c>
      <c r="L10" s="201">
        <f>COUNTIF('TURMAS 2015.2'!X:X,A10)</f>
        <v>0</v>
      </c>
      <c r="M10" s="201">
        <f>SUMIFS('TURMAS 2015.2'!K:K,'TURMAS 2015.2'!X:X,A10)</f>
        <v>0</v>
      </c>
      <c r="N10" s="201">
        <f>K10+M10</f>
        <v>0</v>
      </c>
      <c r="O10" s="210"/>
      <c r="P10" s="208">
        <v>0</v>
      </c>
      <c r="Q10" s="208">
        <v>0</v>
      </c>
      <c r="R10" s="208">
        <v>1</v>
      </c>
      <c r="S10" s="208"/>
    </row>
    <row r="11" spans="1:19" s="52" customFormat="1" ht="16.5" customHeight="1">
      <c r="A11" s="196" t="s">
        <v>3608</v>
      </c>
      <c r="B11" s="206" t="s">
        <v>3634</v>
      </c>
      <c r="C11" s="207">
        <v>1768514</v>
      </c>
      <c r="D11" s="206" t="s">
        <v>3635</v>
      </c>
      <c r="E11" s="208" t="s">
        <v>3611</v>
      </c>
      <c r="F11" s="208" t="s">
        <v>3636</v>
      </c>
      <c r="G11" s="209" t="s">
        <v>3637</v>
      </c>
      <c r="H11" s="210">
        <v>41969</v>
      </c>
      <c r="I11" s="210">
        <v>42150</v>
      </c>
      <c r="J11" s="201">
        <f>COUNTIFS('TURMAS 2015.2'!U:U,A11)</f>
        <v>0</v>
      </c>
      <c r="K11" s="201">
        <f>SUMIFS('TURMAS 2015.2'!J:J,'TURMAS 2015.2'!U:U,A11)</f>
        <v>0</v>
      </c>
      <c r="L11" s="201">
        <f>COUNTIF('TURMAS 2015.2'!X:X,A11)</f>
        <v>0</v>
      </c>
      <c r="M11" s="201">
        <f>SUMIFS('TURMAS 2015.2'!K:K,'TURMAS 2015.2'!X:X,A11)</f>
        <v>0</v>
      </c>
      <c r="N11" s="201">
        <f>K11+M11</f>
        <v>0</v>
      </c>
      <c r="O11" s="210"/>
      <c r="P11" s="208">
        <v>0</v>
      </c>
      <c r="Q11" s="208">
        <v>0</v>
      </c>
      <c r="R11" s="208">
        <v>1</v>
      </c>
      <c r="S11" s="208"/>
    </row>
    <row r="12" spans="1:19" s="69" customFormat="1" ht="16.5" customHeight="1">
      <c r="A12" s="211">
        <v>1</v>
      </c>
      <c r="B12" s="212" t="s">
        <v>3638</v>
      </c>
      <c r="C12" s="211">
        <v>1947257</v>
      </c>
      <c r="D12" s="212" t="s">
        <v>3617</v>
      </c>
      <c r="E12" s="152" t="s">
        <v>3618</v>
      </c>
      <c r="F12" s="152" t="s">
        <v>3624</v>
      </c>
      <c r="G12" s="178" t="s">
        <v>3639</v>
      </c>
      <c r="H12" s="213" t="s">
        <v>3639</v>
      </c>
      <c r="I12" s="213" t="s">
        <v>3639</v>
      </c>
      <c r="J12" s="201">
        <f>COUNTIFS('TURMAS 2015.2'!U:U,A12)</f>
        <v>1</v>
      </c>
      <c r="K12" s="201">
        <f>SUMIFS('TURMAS 2015.2'!J:J,'TURMAS 2015.2'!U:U,A12)</f>
        <v>4</v>
      </c>
      <c r="L12" s="201">
        <f>COUNTIF('TURMAS 2015.2'!X:X,A12)</f>
        <v>0</v>
      </c>
      <c r="M12" s="201">
        <f>SUMIFS('TURMAS 2015.2'!K:K,'TURMAS 2015.2'!X:X,A12)</f>
        <v>0</v>
      </c>
      <c r="N12" s="201">
        <f t="shared" ref="N12:N75" si="0">K12+M12</f>
        <v>4</v>
      </c>
      <c r="O12" s="214"/>
      <c r="P12" s="152" t="s">
        <v>3640</v>
      </c>
      <c r="Q12" s="152">
        <v>0.3</v>
      </c>
      <c r="R12" s="152">
        <v>0.7</v>
      </c>
      <c r="S12" s="152">
        <v>1</v>
      </c>
    </row>
    <row r="13" spans="1:19" s="69" customFormat="1" ht="16.5" customHeight="1">
      <c r="A13" s="211">
        <v>2</v>
      </c>
      <c r="B13" s="212" t="s">
        <v>3641</v>
      </c>
      <c r="C13" s="211">
        <v>2556391</v>
      </c>
      <c r="D13" s="212" t="s">
        <v>3642</v>
      </c>
      <c r="E13" s="152" t="s">
        <v>3643</v>
      </c>
      <c r="F13" s="152" t="s">
        <v>3624</v>
      </c>
      <c r="G13" s="178" t="s">
        <v>3639</v>
      </c>
      <c r="H13" s="213" t="s">
        <v>3639</v>
      </c>
      <c r="I13" s="213" t="s">
        <v>3639</v>
      </c>
      <c r="J13" s="201">
        <f>COUNTIFS('TURMAS 2015.2'!U:U,A13)</f>
        <v>0</v>
      </c>
      <c r="K13" s="201">
        <f>SUMIFS('TURMAS 2015.2'!J:J,'TURMAS 2015.2'!U:U,A13)</f>
        <v>0</v>
      </c>
      <c r="L13" s="201">
        <f>COUNTIF('TURMAS 2015.2'!X:X,A13)</f>
        <v>0</v>
      </c>
      <c r="M13" s="201">
        <f>SUMIFS('TURMAS 2015.2'!K:K,'TURMAS 2015.2'!X:X,A13)</f>
        <v>0</v>
      </c>
      <c r="N13" s="201">
        <f t="shared" si="0"/>
        <v>0</v>
      </c>
      <c r="O13" s="214"/>
      <c r="P13" s="152">
        <v>0</v>
      </c>
      <c r="Q13" s="152">
        <v>0</v>
      </c>
      <c r="R13" s="152">
        <v>1</v>
      </c>
      <c r="S13" s="152">
        <v>2</v>
      </c>
    </row>
    <row r="14" spans="1:19" s="69" customFormat="1" ht="16.5" customHeight="1">
      <c r="A14" s="211">
        <v>3</v>
      </c>
      <c r="B14" s="212" t="s">
        <v>3644</v>
      </c>
      <c r="C14" s="211">
        <v>1771847</v>
      </c>
      <c r="D14" s="212" t="s">
        <v>3617</v>
      </c>
      <c r="E14" s="152" t="s">
        <v>3618</v>
      </c>
      <c r="F14" s="152" t="s">
        <v>3624</v>
      </c>
      <c r="G14" s="178" t="s">
        <v>3639</v>
      </c>
      <c r="H14" s="213" t="s">
        <v>3639</v>
      </c>
      <c r="I14" s="213" t="s">
        <v>3639</v>
      </c>
      <c r="J14" s="201">
        <f>COUNTIFS('TURMAS 2015.2'!U:U,A14)</f>
        <v>2</v>
      </c>
      <c r="K14" s="201">
        <f>SUMIFS('TURMAS 2015.2'!J:J,'TURMAS 2015.2'!U:U,A14)</f>
        <v>8</v>
      </c>
      <c r="L14" s="201">
        <f>COUNTIF('TURMAS 2015.2'!X:X,A14)</f>
        <v>0</v>
      </c>
      <c r="M14" s="201">
        <f>SUMIFS('TURMAS 2015.2'!K:K,'TURMAS 2015.2'!X:X,A14)</f>
        <v>0</v>
      </c>
      <c r="N14" s="201">
        <f t="shared" si="0"/>
        <v>8</v>
      </c>
      <c r="O14" s="214"/>
      <c r="P14" s="152">
        <v>0</v>
      </c>
      <c r="Q14" s="152">
        <v>0</v>
      </c>
      <c r="R14" s="152">
        <v>1</v>
      </c>
      <c r="S14" s="152">
        <v>3</v>
      </c>
    </row>
    <row r="15" spans="1:19" s="69" customFormat="1" ht="16.5" customHeight="1">
      <c r="A15" s="211">
        <v>4</v>
      </c>
      <c r="B15" s="212" t="s">
        <v>3645</v>
      </c>
      <c r="C15" s="211">
        <v>1372715</v>
      </c>
      <c r="D15" s="212" t="s">
        <v>3617</v>
      </c>
      <c r="E15" s="152" t="s">
        <v>3618</v>
      </c>
      <c r="F15" s="152" t="s">
        <v>3624</v>
      </c>
      <c r="G15" s="178" t="s">
        <v>3639</v>
      </c>
      <c r="H15" s="213" t="s">
        <v>3639</v>
      </c>
      <c r="I15" s="213" t="s">
        <v>3639</v>
      </c>
      <c r="J15" s="201">
        <f>COUNTIFS('TURMAS 2015.2'!U:U,A15)</f>
        <v>1</v>
      </c>
      <c r="K15" s="201">
        <f>SUMIFS('TURMAS 2015.2'!J:J,'TURMAS 2015.2'!U:U,A15)</f>
        <v>3</v>
      </c>
      <c r="L15" s="201">
        <f>COUNTIF('TURMAS 2015.2'!X:X,A15)</f>
        <v>0</v>
      </c>
      <c r="M15" s="201">
        <f>SUMIFS('TURMAS 2015.2'!K:K,'TURMAS 2015.2'!X:X,A15)</f>
        <v>0</v>
      </c>
      <c r="N15" s="201">
        <f t="shared" si="0"/>
        <v>3</v>
      </c>
      <c r="O15" s="214"/>
      <c r="P15" s="152">
        <v>0</v>
      </c>
      <c r="Q15" s="152">
        <v>0</v>
      </c>
      <c r="R15" s="152">
        <v>1</v>
      </c>
      <c r="S15" s="152">
        <v>4</v>
      </c>
    </row>
    <row r="16" spans="1:19" s="52" customFormat="1" ht="16.5" customHeight="1">
      <c r="A16" s="211">
        <v>5</v>
      </c>
      <c r="B16" s="212" t="s">
        <v>3646</v>
      </c>
      <c r="C16" s="211">
        <v>1676378</v>
      </c>
      <c r="D16" s="212" t="s">
        <v>3647</v>
      </c>
      <c r="E16" s="152" t="s">
        <v>3643</v>
      </c>
      <c r="F16" s="152" t="s">
        <v>3624</v>
      </c>
      <c r="G16" s="178" t="s">
        <v>3639</v>
      </c>
      <c r="H16" s="213" t="s">
        <v>3639</v>
      </c>
      <c r="I16" s="213" t="s">
        <v>3639</v>
      </c>
      <c r="J16" s="201">
        <f>COUNTIFS('TURMAS 2015.2'!U:U,A16)</f>
        <v>2</v>
      </c>
      <c r="K16" s="201">
        <f>SUMIFS('TURMAS 2015.2'!J:J,'TURMAS 2015.2'!U:U,A16)</f>
        <v>6</v>
      </c>
      <c r="L16" s="201">
        <f>COUNTIF('TURMAS 2015.2'!X:X,A16)</f>
        <v>2</v>
      </c>
      <c r="M16" s="201">
        <f>SUMIFS('TURMAS 2015.2'!K:K,'TURMAS 2015.2'!X:X,A16)</f>
        <v>2</v>
      </c>
      <c r="N16" s="201">
        <f t="shared" si="0"/>
        <v>8</v>
      </c>
      <c r="O16" s="214"/>
      <c r="P16" s="152" t="s">
        <v>3648</v>
      </c>
      <c r="Q16" s="152">
        <v>0.3</v>
      </c>
      <c r="R16" s="152">
        <v>0.7</v>
      </c>
      <c r="S16" s="152">
        <v>5</v>
      </c>
    </row>
    <row r="17" spans="1:19" s="52" customFormat="1" ht="16.5" customHeight="1">
      <c r="A17" s="211">
        <v>6</v>
      </c>
      <c r="B17" s="203" t="s">
        <v>3649</v>
      </c>
      <c r="C17" s="202">
        <v>1671291</v>
      </c>
      <c r="D17" s="203" t="s">
        <v>3635</v>
      </c>
      <c r="E17" s="149" t="s">
        <v>3618</v>
      </c>
      <c r="F17" s="152" t="s">
        <v>3624</v>
      </c>
      <c r="G17" s="179"/>
      <c r="H17" s="214"/>
      <c r="I17" s="214"/>
      <c r="J17" s="201">
        <f>COUNTIFS('TURMAS 2015.2'!U:U,A17)</f>
        <v>1</v>
      </c>
      <c r="K17" s="201">
        <f>SUMIFS('TURMAS 2015.2'!J:J,'TURMAS 2015.2'!U:U,A17)</f>
        <v>4</v>
      </c>
      <c r="L17" s="201">
        <f>COUNTIF('TURMAS 2015.2'!X:X,A17)</f>
        <v>2</v>
      </c>
      <c r="M17" s="201">
        <f>SUMIFS('TURMAS 2015.2'!K:K,'TURMAS 2015.2'!X:X,A17)</f>
        <v>2</v>
      </c>
      <c r="N17" s="201">
        <f t="shared" si="0"/>
        <v>6</v>
      </c>
      <c r="O17" s="214"/>
      <c r="P17" s="149">
        <v>0</v>
      </c>
      <c r="Q17" s="149">
        <v>0</v>
      </c>
      <c r="R17" s="149">
        <v>1</v>
      </c>
      <c r="S17" s="152">
        <v>6</v>
      </c>
    </row>
    <row r="18" spans="1:19" s="52" customFormat="1" ht="16.5" customHeight="1">
      <c r="A18" s="211">
        <v>7</v>
      </c>
      <c r="B18" s="212" t="s">
        <v>3650</v>
      </c>
      <c r="C18" s="211">
        <v>1768953</v>
      </c>
      <c r="D18" s="212" t="s">
        <v>3610</v>
      </c>
      <c r="E18" s="152" t="s">
        <v>3618</v>
      </c>
      <c r="F18" s="152" t="s">
        <v>3624</v>
      </c>
      <c r="G18" s="178" t="s">
        <v>3639</v>
      </c>
      <c r="H18" s="213" t="s">
        <v>3639</v>
      </c>
      <c r="I18" s="213" t="s">
        <v>3639</v>
      </c>
      <c r="J18" s="201">
        <f>COUNTIFS('TURMAS 2015.2'!U:U,A18)</f>
        <v>1</v>
      </c>
      <c r="K18" s="201">
        <f>SUMIFS('TURMAS 2015.2'!J:J,'TURMAS 2015.2'!U:U,A18)</f>
        <v>3</v>
      </c>
      <c r="L18" s="201">
        <f>COUNTIF('TURMAS 2015.2'!X:X,A18)</f>
        <v>2</v>
      </c>
      <c r="M18" s="201">
        <f>SUMIFS('TURMAS 2015.2'!K:K,'TURMAS 2015.2'!X:X,A18)</f>
        <v>2</v>
      </c>
      <c r="N18" s="201">
        <f t="shared" si="0"/>
        <v>5</v>
      </c>
      <c r="O18" s="214"/>
      <c r="P18" s="152">
        <v>0</v>
      </c>
      <c r="Q18" s="152">
        <v>0</v>
      </c>
      <c r="R18" s="152">
        <v>1</v>
      </c>
      <c r="S18" s="152">
        <v>7</v>
      </c>
    </row>
    <row r="19" spans="1:19" s="52" customFormat="1" ht="16.5" customHeight="1">
      <c r="A19" s="211">
        <v>8</v>
      </c>
      <c r="B19" s="212" t="s">
        <v>3651</v>
      </c>
      <c r="C19" s="211">
        <v>1669195</v>
      </c>
      <c r="D19" s="212" t="s">
        <v>3647</v>
      </c>
      <c r="E19" s="152" t="s">
        <v>3618</v>
      </c>
      <c r="F19" s="152" t="s">
        <v>3624</v>
      </c>
      <c r="G19" s="178" t="s">
        <v>3639</v>
      </c>
      <c r="H19" s="213" t="s">
        <v>3639</v>
      </c>
      <c r="I19" s="213" t="s">
        <v>3639</v>
      </c>
      <c r="J19" s="201">
        <f>COUNTIFS('TURMAS 2015.2'!U:U,A19)</f>
        <v>3</v>
      </c>
      <c r="K19" s="201">
        <f>SUMIFS('TURMAS 2015.2'!J:J,'TURMAS 2015.2'!U:U,A19)</f>
        <v>5</v>
      </c>
      <c r="L19" s="201">
        <f>COUNTIF('TURMAS 2015.2'!X:X,A19)</f>
        <v>3</v>
      </c>
      <c r="M19" s="201">
        <f>SUMIFS('TURMAS 2015.2'!K:K,'TURMAS 2015.2'!X:X,A19)</f>
        <v>6</v>
      </c>
      <c r="N19" s="201">
        <f t="shared" si="0"/>
        <v>11</v>
      </c>
      <c r="O19" s="214"/>
      <c r="P19" s="152">
        <v>0</v>
      </c>
      <c r="Q19" s="152">
        <v>0</v>
      </c>
      <c r="R19" s="152">
        <v>1</v>
      </c>
      <c r="S19" s="152">
        <v>8</v>
      </c>
    </row>
    <row r="20" spans="1:19" s="52" customFormat="1" ht="16.5" customHeight="1">
      <c r="A20" s="211">
        <v>9</v>
      </c>
      <c r="B20" s="212" t="s">
        <v>3652</v>
      </c>
      <c r="C20" s="211">
        <v>2129291</v>
      </c>
      <c r="D20" s="212" t="s">
        <v>3653</v>
      </c>
      <c r="E20" s="152" t="s">
        <v>3618</v>
      </c>
      <c r="F20" s="152" t="s">
        <v>3624</v>
      </c>
      <c r="G20" s="178" t="s">
        <v>3639</v>
      </c>
      <c r="H20" s="213" t="s">
        <v>3639</v>
      </c>
      <c r="I20" s="213" t="s">
        <v>3639</v>
      </c>
      <c r="J20" s="201">
        <f>COUNTIFS('TURMAS 2015.2'!U:U,A20)</f>
        <v>2</v>
      </c>
      <c r="K20" s="201">
        <f>SUMIFS('TURMAS 2015.2'!J:J,'TURMAS 2015.2'!U:U,A20)</f>
        <v>8</v>
      </c>
      <c r="L20" s="201">
        <f>COUNTIF('TURMAS 2015.2'!X:X,A20)</f>
        <v>0</v>
      </c>
      <c r="M20" s="201">
        <f>SUMIFS('TURMAS 2015.2'!K:K,'TURMAS 2015.2'!X:X,A20)</f>
        <v>0</v>
      </c>
      <c r="N20" s="201">
        <f t="shared" si="0"/>
        <v>8</v>
      </c>
      <c r="O20" s="214"/>
      <c r="P20" s="152">
        <v>0</v>
      </c>
      <c r="Q20" s="152">
        <v>0</v>
      </c>
      <c r="R20" s="152">
        <v>1</v>
      </c>
      <c r="S20" s="152">
        <v>9</v>
      </c>
    </row>
    <row r="21" spans="1:19" s="52" customFormat="1" ht="16.5" customHeight="1">
      <c r="A21" s="211">
        <v>10</v>
      </c>
      <c r="B21" s="212" t="s">
        <v>3654</v>
      </c>
      <c r="C21" s="211">
        <v>1848397</v>
      </c>
      <c r="D21" s="212" t="s">
        <v>3635</v>
      </c>
      <c r="E21" s="152" t="s">
        <v>3643</v>
      </c>
      <c r="F21" s="152" t="s">
        <v>3624</v>
      </c>
      <c r="G21" s="178" t="s">
        <v>3639</v>
      </c>
      <c r="H21" s="213" t="s">
        <v>3639</v>
      </c>
      <c r="I21" s="213" t="s">
        <v>3639</v>
      </c>
      <c r="J21" s="201">
        <f>COUNTIFS('TURMAS 2015.2'!U:U,A21)</f>
        <v>1</v>
      </c>
      <c r="K21" s="201">
        <f>SUMIFS('TURMAS 2015.2'!J:J,'TURMAS 2015.2'!U:U,A21)</f>
        <v>3</v>
      </c>
      <c r="L21" s="201">
        <f>COUNTIF('TURMAS 2015.2'!X:X,A21)</f>
        <v>1</v>
      </c>
      <c r="M21" s="201">
        <f>SUMIFS('TURMAS 2015.2'!K:K,'TURMAS 2015.2'!X:X,A21)</f>
        <v>2</v>
      </c>
      <c r="N21" s="201">
        <f t="shared" si="0"/>
        <v>5</v>
      </c>
      <c r="O21" s="214"/>
      <c r="P21" s="152">
        <v>0</v>
      </c>
      <c r="Q21" s="152">
        <v>0</v>
      </c>
      <c r="R21" s="152">
        <v>1</v>
      </c>
      <c r="S21" s="152">
        <v>10</v>
      </c>
    </row>
    <row r="22" spans="1:19" s="52" customFormat="1" ht="16.5" customHeight="1">
      <c r="A22" s="211">
        <v>11</v>
      </c>
      <c r="B22" s="212" t="s">
        <v>3655</v>
      </c>
      <c r="C22" s="211">
        <v>1912339</v>
      </c>
      <c r="D22" s="212" t="s">
        <v>3617</v>
      </c>
      <c r="E22" s="152" t="s">
        <v>3618</v>
      </c>
      <c r="F22" s="152" t="s">
        <v>3624</v>
      </c>
      <c r="G22" s="178" t="s">
        <v>3639</v>
      </c>
      <c r="H22" s="213" t="s">
        <v>3639</v>
      </c>
      <c r="I22" s="213" t="s">
        <v>3639</v>
      </c>
      <c r="J22" s="201">
        <f>COUNTIFS('TURMAS 2015.2'!U:U,A22)</f>
        <v>0</v>
      </c>
      <c r="K22" s="201">
        <f>SUMIFS('TURMAS 2015.2'!J:J,'TURMAS 2015.2'!U:U,A22)</f>
        <v>0</v>
      </c>
      <c r="L22" s="201">
        <f>COUNTIF('TURMAS 2015.2'!X:X,A22)</f>
        <v>0</v>
      </c>
      <c r="M22" s="201">
        <f>SUMIFS('TURMAS 2015.2'!K:K,'TURMAS 2015.2'!X:X,A22)</f>
        <v>0</v>
      </c>
      <c r="N22" s="201">
        <f t="shared" si="0"/>
        <v>0</v>
      </c>
      <c r="O22" s="214"/>
      <c r="P22" s="152" t="s">
        <v>3656</v>
      </c>
      <c r="Q22" s="152">
        <v>0.3</v>
      </c>
      <c r="R22" s="152">
        <v>0.7</v>
      </c>
      <c r="S22" s="152">
        <v>11</v>
      </c>
    </row>
    <row r="23" spans="1:19" s="52" customFormat="1" ht="16.5" customHeight="1">
      <c r="A23" s="211">
        <v>12</v>
      </c>
      <c r="B23" s="212" t="s">
        <v>3657</v>
      </c>
      <c r="C23" s="211">
        <v>1893637</v>
      </c>
      <c r="D23" s="212" t="s">
        <v>3635</v>
      </c>
      <c r="E23" s="152" t="s">
        <v>3618</v>
      </c>
      <c r="F23" s="152" t="s">
        <v>3624</v>
      </c>
      <c r="G23" s="178" t="s">
        <v>3639</v>
      </c>
      <c r="H23" s="213" t="s">
        <v>3639</v>
      </c>
      <c r="I23" s="213" t="s">
        <v>3639</v>
      </c>
      <c r="J23" s="201">
        <f>COUNTIFS('TURMAS 2015.2'!U:U,A23)</f>
        <v>2</v>
      </c>
      <c r="K23" s="201">
        <f>SUMIFS('TURMAS 2015.2'!J:J,'TURMAS 2015.2'!U:U,A23)</f>
        <v>7</v>
      </c>
      <c r="L23" s="201">
        <f>COUNTIF('TURMAS 2015.2'!X:X,A23)</f>
        <v>2</v>
      </c>
      <c r="M23" s="201">
        <f>SUMIFS('TURMAS 2015.2'!K:K,'TURMAS 2015.2'!X:X,A23)</f>
        <v>1</v>
      </c>
      <c r="N23" s="201">
        <f t="shared" si="0"/>
        <v>8</v>
      </c>
      <c r="O23" s="214"/>
      <c r="P23" s="152">
        <v>0</v>
      </c>
      <c r="Q23" s="152">
        <v>0</v>
      </c>
      <c r="R23" s="152">
        <v>1</v>
      </c>
      <c r="S23" s="152">
        <v>12</v>
      </c>
    </row>
    <row r="24" spans="1:19" s="52" customFormat="1" ht="16.5" customHeight="1">
      <c r="A24" s="211">
        <v>13</v>
      </c>
      <c r="B24" s="212" t="s">
        <v>3658</v>
      </c>
      <c r="C24" s="211">
        <v>1837745</v>
      </c>
      <c r="D24" s="212" t="s">
        <v>3635</v>
      </c>
      <c r="E24" s="152" t="s">
        <v>3611</v>
      </c>
      <c r="F24" s="152" t="s">
        <v>3624</v>
      </c>
      <c r="G24" s="178" t="s">
        <v>3639</v>
      </c>
      <c r="H24" s="213" t="s">
        <v>3639</v>
      </c>
      <c r="I24" s="213" t="s">
        <v>3639</v>
      </c>
      <c r="J24" s="201">
        <f>COUNTIFS('TURMAS 2015.2'!U:U,A24)</f>
        <v>1</v>
      </c>
      <c r="K24" s="201">
        <f>SUMIFS('TURMAS 2015.2'!J:J,'TURMAS 2015.2'!U:U,A24)</f>
        <v>3</v>
      </c>
      <c r="L24" s="201">
        <f>COUNTIF('TURMAS 2015.2'!X:X,A24)</f>
        <v>1</v>
      </c>
      <c r="M24" s="201">
        <f>SUMIFS('TURMAS 2015.2'!K:K,'TURMAS 2015.2'!X:X,A24)</f>
        <v>0</v>
      </c>
      <c r="N24" s="201">
        <f t="shared" si="0"/>
        <v>3</v>
      </c>
      <c r="O24" s="214"/>
      <c r="P24" s="152" t="s">
        <v>3659</v>
      </c>
      <c r="Q24" s="152">
        <v>0.5</v>
      </c>
      <c r="R24" s="152">
        <v>0.5</v>
      </c>
      <c r="S24" s="152">
        <v>13</v>
      </c>
    </row>
    <row r="25" spans="1:19" s="52" customFormat="1" ht="16.5" customHeight="1">
      <c r="A25" s="211">
        <v>14</v>
      </c>
      <c r="B25" s="215" t="s">
        <v>3660</v>
      </c>
      <c r="C25" s="211">
        <v>1732855</v>
      </c>
      <c r="D25" s="211"/>
      <c r="E25" s="152" t="s">
        <v>3618</v>
      </c>
      <c r="F25" s="152" t="s">
        <v>3624</v>
      </c>
      <c r="G25" s="178"/>
      <c r="H25" s="213"/>
      <c r="I25" s="213"/>
      <c r="J25" s="201">
        <f>COUNTIFS('TURMAS 2015.2'!U:U,A25)</f>
        <v>0</v>
      </c>
      <c r="K25" s="201">
        <f>SUMIFS('TURMAS 2015.2'!J:J,'TURMAS 2015.2'!U:U,A25)</f>
        <v>0</v>
      </c>
      <c r="L25" s="201">
        <f>COUNTIF('TURMAS 2015.2'!X:X,A25)</f>
        <v>0</v>
      </c>
      <c r="M25" s="201">
        <f>SUMIFS('TURMAS 2015.2'!K:K,'TURMAS 2015.2'!X:X,A25)</f>
        <v>0</v>
      </c>
      <c r="N25" s="201">
        <f t="shared" si="0"/>
        <v>0</v>
      </c>
      <c r="O25" s="214"/>
      <c r="P25" s="152"/>
      <c r="Q25" s="152"/>
      <c r="R25" s="152"/>
      <c r="S25" s="152">
        <v>14</v>
      </c>
    </row>
    <row r="26" spans="1:19" s="52" customFormat="1" ht="16.5" customHeight="1">
      <c r="A26" s="211">
        <v>15</v>
      </c>
      <c r="B26" s="212" t="s">
        <v>3661</v>
      </c>
      <c r="C26" s="211">
        <v>1544374</v>
      </c>
      <c r="D26" s="212" t="s">
        <v>3647</v>
      </c>
      <c r="E26" s="152" t="s">
        <v>3643</v>
      </c>
      <c r="F26" s="152" t="s">
        <v>3624</v>
      </c>
      <c r="G26" s="178" t="s">
        <v>3639</v>
      </c>
      <c r="H26" s="213" t="s">
        <v>3639</v>
      </c>
      <c r="I26" s="213" t="s">
        <v>3639</v>
      </c>
      <c r="J26" s="201">
        <f>COUNTIFS('TURMAS 2015.2'!U:U,A26)</f>
        <v>1</v>
      </c>
      <c r="K26" s="201">
        <f>SUMIFS('TURMAS 2015.2'!J:J,'TURMAS 2015.2'!U:U,A26)</f>
        <v>4</v>
      </c>
      <c r="L26" s="201">
        <f>COUNTIF('TURMAS 2015.2'!X:X,A26)</f>
        <v>0</v>
      </c>
      <c r="M26" s="201">
        <f>SUMIFS('TURMAS 2015.2'!K:K,'TURMAS 2015.2'!X:X,A26)</f>
        <v>0</v>
      </c>
      <c r="N26" s="201">
        <f t="shared" si="0"/>
        <v>4</v>
      </c>
      <c r="O26" s="214"/>
      <c r="P26" s="152">
        <v>0</v>
      </c>
      <c r="Q26" s="152">
        <v>0</v>
      </c>
      <c r="R26" s="152">
        <v>1</v>
      </c>
      <c r="S26" s="152">
        <v>15</v>
      </c>
    </row>
    <row r="27" spans="1:19" s="52" customFormat="1" ht="16.5" customHeight="1">
      <c r="A27" s="211">
        <v>16</v>
      </c>
      <c r="B27" s="212" t="s">
        <v>3662</v>
      </c>
      <c r="C27" s="211">
        <v>1822283</v>
      </c>
      <c r="D27" s="212" t="s">
        <v>3635</v>
      </c>
      <c r="E27" s="152" t="s">
        <v>3611</v>
      </c>
      <c r="F27" s="152" t="s">
        <v>3624</v>
      </c>
      <c r="G27" s="178" t="s">
        <v>3639</v>
      </c>
      <c r="H27" s="213" t="s">
        <v>3639</v>
      </c>
      <c r="I27" s="213" t="s">
        <v>3639</v>
      </c>
      <c r="J27" s="201">
        <f>COUNTIFS('TURMAS 2015.2'!U:U,A27)</f>
        <v>3</v>
      </c>
      <c r="K27" s="201">
        <f>SUMIFS('TURMAS 2015.2'!J:J,'TURMAS 2015.2'!U:U,A27)</f>
        <v>12</v>
      </c>
      <c r="L27" s="201">
        <f>COUNTIF('TURMAS 2015.2'!X:X,A27)</f>
        <v>0</v>
      </c>
      <c r="M27" s="201">
        <f>SUMIFS('TURMAS 2015.2'!K:K,'TURMAS 2015.2'!X:X,A27)</f>
        <v>0</v>
      </c>
      <c r="N27" s="201">
        <f t="shared" si="0"/>
        <v>12</v>
      </c>
      <c r="O27" s="214"/>
      <c r="P27" s="152">
        <v>0</v>
      </c>
      <c r="Q27" s="152">
        <v>0</v>
      </c>
      <c r="R27" s="152">
        <v>1</v>
      </c>
      <c r="S27" s="152">
        <v>16</v>
      </c>
    </row>
    <row r="28" spans="1:19" s="52" customFormat="1" ht="16.5" customHeight="1">
      <c r="A28" s="211">
        <v>17</v>
      </c>
      <c r="B28" s="212" t="s">
        <v>3663</v>
      </c>
      <c r="C28" s="211">
        <v>1914234</v>
      </c>
      <c r="D28" s="212" t="s">
        <v>3635</v>
      </c>
      <c r="E28" s="152" t="s">
        <v>3618</v>
      </c>
      <c r="F28" s="152" t="s">
        <v>3624</v>
      </c>
      <c r="G28" s="178" t="s">
        <v>3639</v>
      </c>
      <c r="H28" s="213" t="s">
        <v>3639</v>
      </c>
      <c r="I28" s="213" t="s">
        <v>3639</v>
      </c>
      <c r="J28" s="201">
        <f>COUNTIFS('TURMAS 2015.2'!U:U,A28)</f>
        <v>2</v>
      </c>
      <c r="K28" s="201">
        <f>SUMIFS('TURMAS 2015.2'!J:J,'TURMAS 2015.2'!U:U,A28)</f>
        <v>2</v>
      </c>
      <c r="L28" s="201">
        <f>COUNTIF('TURMAS 2015.2'!X:X,A28)</f>
        <v>2</v>
      </c>
      <c r="M28" s="201">
        <f>SUMIFS('TURMAS 2015.2'!K:K,'TURMAS 2015.2'!X:X,A28)</f>
        <v>6</v>
      </c>
      <c r="N28" s="201">
        <f t="shared" si="0"/>
        <v>8</v>
      </c>
      <c r="O28" s="214"/>
      <c r="P28" s="152">
        <v>0</v>
      </c>
      <c r="Q28" s="152">
        <v>0</v>
      </c>
      <c r="R28" s="152">
        <v>1</v>
      </c>
      <c r="S28" s="152">
        <v>17</v>
      </c>
    </row>
    <row r="29" spans="1:19" s="52" customFormat="1" ht="16.5" customHeight="1">
      <c r="A29" s="211">
        <v>18</v>
      </c>
      <c r="B29" s="212" t="s">
        <v>3664</v>
      </c>
      <c r="C29" s="211">
        <v>1676367</v>
      </c>
      <c r="D29" s="212" t="s">
        <v>3610</v>
      </c>
      <c r="E29" s="152" t="s">
        <v>3611</v>
      </c>
      <c r="F29" s="152" t="s">
        <v>3624</v>
      </c>
      <c r="G29" s="178" t="s">
        <v>3639</v>
      </c>
      <c r="H29" s="213" t="s">
        <v>3639</v>
      </c>
      <c r="I29" s="213" t="s">
        <v>3639</v>
      </c>
      <c r="J29" s="201">
        <f>COUNTIFS('TURMAS 2015.2'!U:U,A29)</f>
        <v>0</v>
      </c>
      <c r="K29" s="201">
        <f>SUMIFS('TURMAS 2015.2'!J:J,'TURMAS 2015.2'!U:U,A29)</f>
        <v>0</v>
      </c>
      <c r="L29" s="201">
        <f>COUNTIF('TURMAS 2015.2'!X:X,A29)</f>
        <v>0</v>
      </c>
      <c r="M29" s="201">
        <f>SUMIFS('TURMAS 2015.2'!K:K,'TURMAS 2015.2'!X:X,A29)</f>
        <v>0</v>
      </c>
      <c r="N29" s="201">
        <f t="shared" si="0"/>
        <v>0</v>
      </c>
      <c r="O29" s="214"/>
      <c r="P29" s="152" t="s">
        <v>3665</v>
      </c>
      <c r="Q29" s="152">
        <v>0.7</v>
      </c>
      <c r="R29" s="152">
        <v>0.30000000000000004</v>
      </c>
      <c r="S29" s="152">
        <v>18</v>
      </c>
    </row>
    <row r="30" spans="1:19" s="52" customFormat="1" ht="16.5" customHeight="1">
      <c r="A30" s="211">
        <v>19</v>
      </c>
      <c r="B30" s="212" t="s">
        <v>3666</v>
      </c>
      <c r="C30" s="211">
        <v>2604128</v>
      </c>
      <c r="D30" s="212" t="s">
        <v>3610</v>
      </c>
      <c r="E30" s="152" t="s">
        <v>3618</v>
      </c>
      <c r="F30" s="152" t="s">
        <v>3624</v>
      </c>
      <c r="G30" s="178" t="s">
        <v>3639</v>
      </c>
      <c r="H30" s="213" t="s">
        <v>3639</v>
      </c>
      <c r="I30" s="213" t="s">
        <v>3639</v>
      </c>
      <c r="J30" s="201">
        <f>COUNTIFS('TURMAS 2015.2'!U:U,A30)</f>
        <v>0</v>
      </c>
      <c r="K30" s="201">
        <f>SUMIFS('TURMAS 2015.2'!J:J,'TURMAS 2015.2'!U:U,A30)</f>
        <v>0</v>
      </c>
      <c r="L30" s="201">
        <f>COUNTIF('TURMAS 2015.2'!X:X,A30)</f>
        <v>0</v>
      </c>
      <c r="M30" s="201">
        <f>SUMIFS('TURMAS 2015.2'!K:K,'TURMAS 2015.2'!X:X,A30)</f>
        <v>0</v>
      </c>
      <c r="N30" s="201">
        <f t="shared" si="0"/>
        <v>0</v>
      </c>
      <c r="O30" s="214"/>
      <c r="P30" s="152">
        <v>0</v>
      </c>
      <c r="Q30" s="152">
        <v>0</v>
      </c>
      <c r="R30" s="152">
        <v>1</v>
      </c>
      <c r="S30" s="152">
        <v>19</v>
      </c>
    </row>
    <row r="31" spans="1:19" s="52" customFormat="1" ht="16.5" customHeight="1">
      <c r="A31" s="211">
        <v>20</v>
      </c>
      <c r="B31" s="212" t="s">
        <v>3667</v>
      </c>
      <c r="C31" s="211">
        <v>1948426</v>
      </c>
      <c r="D31" s="212" t="s">
        <v>3635</v>
      </c>
      <c r="E31" s="152" t="s">
        <v>3611</v>
      </c>
      <c r="F31" s="152" t="s">
        <v>3624</v>
      </c>
      <c r="G31" s="178" t="s">
        <v>3639</v>
      </c>
      <c r="H31" s="213" t="s">
        <v>3639</v>
      </c>
      <c r="I31" s="213" t="s">
        <v>3639</v>
      </c>
      <c r="J31" s="201">
        <f>COUNTIFS('TURMAS 2015.2'!U:U,A31)</f>
        <v>1</v>
      </c>
      <c r="K31" s="201">
        <f>SUMIFS('TURMAS 2015.2'!J:J,'TURMAS 2015.2'!U:U,A31)</f>
        <v>4</v>
      </c>
      <c r="L31" s="201">
        <f>COUNTIF('TURMAS 2015.2'!X:X,A31)</f>
        <v>1</v>
      </c>
      <c r="M31" s="201">
        <f>SUMIFS('TURMAS 2015.2'!K:K,'TURMAS 2015.2'!X:X,A31)</f>
        <v>0</v>
      </c>
      <c r="N31" s="201">
        <f t="shared" si="0"/>
        <v>4</v>
      </c>
      <c r="O31" s="214"/>
      <c r="P31" s="152">
        <v>0</v>
      </c>
      <c r="Q31" s="152">
        <v>0</v>
      </c>
      <c r="R31" s="152">
        <v>1</v>
      </c>
      <c r="S31" s="152">
        <v>20</v>
      </c>
    </row>
    <row r="32" spans="1:19" s="52" customFormat="1" ht="16.5" customHeight="1">
      <c r="A32" s="211">
        <v>21</v>
      </c>
      <c r="B32" s="215" t="s">
        <v>3668</v>
      </c>
      <c r="C32" s="211">
        <v>2604256</v>
      </c>
      <c r="D32" s="211"/>
      <c r="E32" s="152" t="s">
        <v>3643</v>
      </c>
      <c r="F32" s="152" t="s">
        <v>3624</v>
      </c>
      <c r="G32" s="178"/>
      <c r="H32" s="213"/>
      <c r="I32" s="213"/>
      <c r="J32" s="201">
        <f>COUNTIFS('TURMAS 2015.2'!U:U,A32)</f>
        <v>0</v>
      </c>
      <c r="K32" s="201">
        <f>SUMIFS('TURMAS 2015.2'!J:J,'TURMAS 2015.2'!U:U,A32)</f>
        <v>0</v>
      </c>
      <c r="L32" s="201">
        <f>COUNTIF('TURMAS 2015.2'!X:X,A32)</f>
        <v>0</v>
      </c>
      <c r="M32" s="201">
        <f>SUMIFS('TURMAS 2015.2'!K:K,'TURMAS 2015.2'!X:X,A32)</f>
        <v>0</v>
      </c>
      <c r="N32" s="201">
        <f t="shared" si="0"/>
        <v>0</v>
      </c>
      <c r="O32" s="214"/>
      <c r="P32" s="152"/>
      <c r="Q32" s="152"/>
      <c r="R32" s="152"/>
      <c r="S32" s="152">
        <v>21</v>
      </c>
    </row>
    <row r="33" spans="1:19" s="52" customFormat="1" ht="16.5" customHeight="1">
      <c r="A33" s="211">
        <v>22</v>
      </c>
      <c r="B33" s="212" t="s">
        <v>3669</v>
      </c>
      <c r="C33" s="211">
        <v>1909336</v>
      </c>
      <c r="D33" s="212" t="s">
        <v>3635</v>
      </c>
      <c r="E33" s="152" t="s">
        <v>3643</v>
      </c>
      <c r="F33" s="152" t="s">
        <v>3624</v>
      </c>
      <c r="G33" s="178" t="s">
        <v>3639</v>
      </c>
      <c r="H33" s="213" t="s">
        <v>3639</v>
      </c>
      <c r="I33" s="213" t="s">
        <v>3639</v>
      </c>
      <c r="J33" s="201">
        <f>COUNTIFS('TURMAS 2015.2'!U:U,A33)</f>
        <v>2</v>
      </c>
      <c r="K33" s="201">
        <f>SUMIFS('TURMAS 2015.2'!J:J,'TURMAS 2015.2'!U:U,A33)</f>
        <v>4</v>
      </c>
      <c r="L33" s="201">
        <f>COUNTIF('TURMAS 2015.2'!X:X,A33)</f>
        <v>2</v>
      </c>
      <c r="M33" s="201">
        <f>SUMIFS('TURMAS 2015.2'!K:K,'TURMAS 2015.2'!X:X,A33)</f>
        <v>8</v>
      </c>
      <c r="N33" s="201">
        <f t="shared" si="0"/>
        <v>12</v>
      </c>
      <c r="O33" s="214"/>
      <c r="P33" s="152">
        <v>0</v>
      </c>
      <c r="Q33" s="152">
        <v>0</v>
      </c>
      <c r="R33" s="152">
        <v>1</v>
      </c>
      <c r="S33" s="152">
        <v>22</v>
      </c>
    </row>
    <row r="34" spans="1:19" s="52" customFormat="1" ht="16.5" customHeight="1">
      <c r="A34" s="211">
        <v>23</v>
      </c>
      <c r="B34" s="212" t="s">
        <v>3670</v>
      </c>
      <c r="C34" s="211">
        <v>1762422</v>
      </c>
      <c r="D34" s="212" t="s">
        <v>3610</v>
      </c>
      <c r="E34" s="152" t="s">
        <v>3611</v>
      </c>
      <c r="F34" s="152" t="s">
        <v>3624</v>
      </c>
      <c r="G34" s="178" t="s">
        <v>3639</v>
      </c>
      <c r="H34" s="213" t="s">
        <v>3639</v>
      </c>
      <c r="I34" s="213" t="s">
        <v>3639</v>
      </c>
      <c r="J34" s="201">
        <f>COUNTIFS('TURMAS 2015.2'!U:U,A34)</f>
        <v>2</v>
      </c>
      <c r="K34" s="201">
        <f>SUMIFS('TURMAS 2015.2'!J:J,'TURMAS 2015.2'!U:U,A34)</f>
        <v>6</v>
      </c>
      <c r="L34" s="201">
        <f>COUNTIF('TURMAS 2015.2'!X:X,A34)</f>
        <v>3</v>
      </c>
      <c r="M34" s="201">
        <f>SUMIFS('TURMAS 2015.2'!K:K,'TURMAS 2015.2'!X:X,A34)</f>
        <v>10</v>
      </c>
      <c r="N34" s="201">
        <f t="shared" si="0"/>
        <v>16</v>
      </c>
      <c r="O34" s="214"/>
      <c r="P34" s="152" t="s">
        <v>3671</v>
      </c>
      <c r="Q34" s="152">
        <v>0.5</v>
      </c>
      <c r="R34" s="152">
        <v>0.5</v>
      </c>
      <c r="S34" s="152">
        <v>23</v>
      </c>
    </row>
    <row r="35" spans="1:19" s="56" customFormat="1" ht="16.5" customHeight="1">
      <c r="A35" s="211">
        <v>24</v>
      </c>
      <c r="B35" s="212" t="s">
        <v>3672</v>
      </c>
      <c r="C35" s="211">
        <v>2604704</v>
      </c>
      <c r="D35" s="212" t="s">
        <v>3647</v>
      </c>
      <c r="E35" s="152" t="s">
        <v>3643</v>
      </c>
      <c r="F35" s="152" t="s">
        <v>3624</v>
      </c>
      <c r="G35" s="178" t="s">
        <v>3639</v>
      </c>
      <c r="H35" s="213" t="s">
        <v>3639</v>
      </c>
      <c r="I35" s="213" t="s">
        <v>3639</v>
      </c>
      <c r="J35" s="201">
        <f>COUNTIFS('TURMAS 2015.2'!U:U,A35)</f>
        <v>2</v>
      </c>
      <c r="K35" s="201">
        <f>SUMIFS('TURMAS 2015.2'!J:J,'TURMAS 2015.2'!U:U,A35)</f>
        <v>6</v>
      </c>
      <c r="L35" s="201">
        <f>COUNTIF('TURMAS 2015.2'!X:X,A35)</f>
        <v>1</v>
      </c>
      <c r="M35" s="201">
        <f>SUMIFS('TURMAS 2015.2'!K:K,'TURMAS 2015.2'!X:X,A35)</f>
        <v>3</v>
      </c>
      <c r="N35" s="201">
        <f t="shared" si="0"/>
        <v>9</v>
      </c>
      <c r="O35" s="214"/>
      <c r="P35" s="152">
        <v>0</v>
      </c>
      <c r="Q35" s="152">
        <v>0</v>
      </c>
      <c r="R35" s="152">
        <v>1</v>
      </c>
      <c r="S35" s="152">
        <v>24</v>
      </c>
    </row>
    <row r="36" spans="1:19" s="52" customFormat="1" ht="16.5" customHeight="1">
      <c r="A36" s="211">
        <v>25</v>
      </c>
      <c r="B36" s="212" t="s">
        <v>3673</v>
      </c>
      <c r="C36" s="211">
        <v>1907748</v>
      </c>
      <c r="D36" s="212" t="s">
        <v>3635</v>
      </c>
      <c r="E36" s="152" t="s">
        <v>3618</v>
      </c>
      <c r="F36" s="152" t="s">
        <v>3624</v>
      </c>
      <c r="G36" s="178" t="s">
        <v>3639</v>
      </c>
      <c r="H36" s="213" t="s">
        <v>3639</v>
      </c>
      <c r="I36" s="213" t="s">
        <v>3639</v>
      </c>
      <c r="J36" s="201">
        <f>COUNTIFS('TURMAS 2015.2'!U:U,A36)</f>
        <v>0</v>
      </c>
      <c r="K36" s="201">
        <f>SUMIFS('TURMAS 2015.2'!J:J,'TURMAS 2015.2'!U:U,A36)</f>
        <v>0</v>
      </c>
      <c r="L36" s="201">
        <f>COUNTIF('TURMAS 2015.2'!X:X,A36)</f>
        <v>0</v>
      </c>
      <c r="M36" s="201">
        <f>SUMIFS('TURMAS 2015.2'!K:K,'TURMAS 2015.2'!X:X,A36)</f>
        <v>0</v>
      </c>
      <c r="N36" s="201">
        <f t="shared" si="0"/>
        <v>0</v>
      </c>
      <c r="O36" s="214"/>
      <c r="P36" s="152" t="s">
        <v>3674</v>
      </c>
      <c r="Q36" s="152">
        <v>0.5</v>
      </c>
      <c r="R36" s="152">
        <v>0.5</v>
      </c>
      <c r="S36" s="152">
        <v>25</v>
      </c>
    </row>
    <row r="37" spans="1:19" s="52" customFormat="1" ht="16.5" customHeight="1">
      <c r="A37" s="211">
        <v>26</v>
      </c>
      <c r="B37" s="212" t="s">
        <v>3675</v>
      </c>
      <c r="C37" s="211">
        <v>1544363</v>
      </c>
      <c r="D37" s="212" t="s">
        <v>3647</v>
      </c>
      <c r="E37" s="152" t="s">
        <v>3618</v>
      </c>
      <c r="F37" s="152" t="s">
        <v>3624</v>
      </c>
      <c r="G37" s="178" t="s">
        <v>3639</v>
      </c>
      <c r="H37" s="213" t="s">
        <v>3639</v>
      </c>
      <c r="I37" s="213" t="s">
        <v>3639</v>
      </c>
      <c r="J37" s="201">
        <f>COUNTIFS('TURMAS 2015.2'!U:U,A37)</f>
        <v>1</v>
      </c>
      <c r="K37" s="201">
        <f>SUMIFS('TURMAS 2015.2'!J:J,'TURMAS 2015.2'!U:U,A37)</f>
        <v>3</v>
      </c>
      <c r="L37" s="201">
        <f>COUNTIF('TURMAS 2015.2'!X:X,A37)</f>
        <v>1</v>
      </c>
      <c r="M37" s="201">
        <f>SUMIFS('TURMAS 2015.2'!K:K,'TURMAS 2015.2'!X:X,A37)</f>
        <v>1</v>
      </c>
      <c r="N37" s="201">
        <f t="shared" si="0"/>
        <v>4</v>
      </c>
      <c r="O37" s="214"/>
      <c r="P37" s="152">
        <v>0</v>
      </c>
      <c r="Q37" s="152">
        <v>0</v>
      </c>
      <c r="R37" s="152">
        <v>1</v>
      </c>
      <c r="S37" s="152">
        <v>26</v>
      </c>
    </row>
    <row r="38" spans="1:19" s="52" customFormat="1" ht="16.5" customHeight="1">
      <c r="A38" s="211">
        <v>27</v>
      </c>
      <c r="B38" s="212" t="s">
        <v>3676</v>
      </c>
      <c r="C38" s="211">
        <v>1544392</v>
      </c>
      <c r="D38" s="212" t="s">
        <v>3621</v>
      </c>
      <c r="E38" s="152" t="s">
        <v>3618</v>
      </c>
      <c r="F38" s="152" t="s">
        <v>3624</v>
      </c>
      <c r="G38" s="178" t="s">
        <v>3639</v>
      </c>
      <c r="H38" s="213" t="s">
        <v>3639</v>
      </c>
      <c r="I38" s="213" t="s">
        <v>3639</v>
      </c>
      <c r="J38" s="201">
        <f>COUNTIFS('TURMAS 2015.2'!U:U,A38)</f>
        <v>0</v>
      </c>
      <c r="K38" s="201">
        <f>SUMIFS('TURMAS 2015.2'!J:J,'TURMAS 2015.2'!U:U,A38)</f>
        <v>0</v>
      </c>
      <c r="L38" s="201">
        <f>COUNTIF('TURMAS 2015.2'!X:X,A38)</f>
        <v>0</v>
      </c>
      <c r="M38" s="201">
        <f>SUMIFS('TURMAS 2015.2'!K:K,'TURMAS 2015.2'!X:X,A38)</f>
        <v>0</v>
      </c>
      <c r="N38" s="201">
        <f t="shared" si="0"/>
        <v>0</v>
      </c>
      <c r="O38" s="214"/>
      <c r="P38" s="152">
        <v>0</v>
      </c>
      <c r="Q38" s="152">
        <v>0</v>
      </c>
      <c r="R38" s="152">
        <v>1</v>
      </c>
      <c r="S38" s="152">
        <v>27</v>
      </c>
    </row>
    <row r="39" spans="1:19" s="52" customFormat="1" ht="16.5" customHeight="1">
      <c r="A39" s="211">
        <v>28</v>
      </c>
      <c r="B39" s="212" t="s">
        <v>3677</v>
      </c>
      <c r="C39" s="211">
        <v>1671280</v>
      </c>
      <c r="D39" s="212" t="s">
        <v>3610</v>
      </c>
      <c r="E39" s="152" t="s">
        <v>3618</v>
      </c>
      <c r="F39" s="152" t="s">
        <v>3624</v>
      </c>
      <c r="G39" s="178" t="s">
        <v>3639</v>
      </c>
      <c r="H39" s="213" t="s">
        <v>3639</v>
      </c>
      <c r="I39" s="213" t="s">
        <v>3639</v>
      </c>
      <c r="J39" s="201">
        <f>COUNTIFS('TURMAS 2015.2'!U:U,A39)</f>
        <v>1</v>
      </c>
      <c r="K39" s="201">
        <f>SUMIFS('TURMAS 2015.2'!J:J,'TURMAS 2015.2'!U:U,A39)</f>
        <v>2</v>
      </c>
      <c r="L39" s="201">
        <f>COUNTIF('TURMAS 2015.2'!X:X,A39)</f>
        <v>1</v>
      </c>
      <c r="M39" s="201">
        <f>SUMIFS('TURMAS 2015.2'!K:K,'TURMAS 2015.2'!X:X,A39)</f>
        <v>2</v>
      </c>
      <c r="N39" s="201">
        <f t="shared" si="0"/>
        <v>4</v>
      </c>
      <c r="O39" s="214"/>
      <c r="P39" s="152">
        <v>0</v>
      </c>
      <c r="Q39" s="152">
        <v>0</v>
      </c>
      <c r="R39" s="152">
        <v>1</v>
      </c>
      <c r="S39" s="152">
        <v>28</v>
      </c>
    </row>
    <row r="40" spans="1:19" s="52" customFormat="1" ht="16.5" customHeight="1">
      <c r="A40" s="211">
        <v>29</v>
      </c>
      <c r="B40" s="212" t="s">
        <v>3678</v>
      </c>
      <c r="C40" s="211">
        <v>1600860</v>
      </c>
      <c r="D40" s="212" t="s">
        <v>3647</v>
      </c>
      <c r="E40" s="152" t="s">
        <v>3643</v>
      </c>
      <c r="F40" s="152" t="s">
        <v>3624</v>
      </c>
      <c r="G40" s="178" t="s">
        <v>3639</v>
      </c>
      <c r="H40" s="213" t="s">
        <v>3639</v>
      </c>
      <c r="I40" s="213" t="s">
        <v>3639</v>
      </c>
      <c r="J40" s="201">
        <f>COUNTIFS('TURMAS 2015.2'!U:U,A40)</f>
        <v>1</v>
      </c>
      <c r="K40" s="201">
        <f>SUMIFS('TURMAS 2015.2'!J:J,'TURMAS 2015.2'!U:U,A40)</f>
        <v>0</v>
      </c>
      <c r="L40" s="201">
        <f>COUNTIF('TURMAS 2015.2'!X:X,A40)</f>
        <v>5</v>
      </c>
      <c r="M40" s="201">
        <f>SUMIFS('TURMAS 2015.2'!K:K,'TURMAS 2015.2'!X:X,A40)</f>
        <v>10</v>
      </c>
      <c r="N40" s="201">
        <f t="shared" si="0"/>
        <v>10</v>
      </c>
      <c r="O40" s="214"/>
      <c r="P40" s="152">
        <v>0</v>
      </c>
      <c r="Q40" s="152">
        <v>0</v>
      </c>
      <c r="R40" s="152">
        <v>1</v>
      </c>
      <c r="S40" s="152">
        <v>29</v>
      </c>
    </row>
    <row r="41" spans="1:19" s="52" customFormat="1" ht="16.5" customHeight="1">
      <c r="A41" s="211">
        <v>30</v>
      </c>
      <c r="B41" s="212" t="s">
        <v>3679</v>
      </c>
      <c r="C41" s="211">
        <v>2616823</v>
      </c>
      <c r="D41" s="212" t="s">
        <v>3610</v>
      </c>
      <c r="E41" s="152" t="s">
        <v>3643</v>
      </c>
      <c r="F41" s="152" t="s">
        <v>3624</v>
      </c>
      <c r="G41" s="178" t="s">
        <v>3639</v>
      </c>
      <c r="H41" s="213" t="s">
        <v>3639</v>
      </c>
      <c r="I41" s="213" t="s">
        <v>3639</v>
      </c>
      <c r="J41" s="201">
        <f>COUNTIFS('TURMAS 2015.2'!U:U,A41)</f>
        <v>1</v>
      </c>
      <c r="K41" s="201">
        <f>SUMIFS('TURMAS 2015.2'!J:J,'TURMAS 2015.2'!U:U,A41)</f>
        <v>4</v>
      </c>
      <c r="L41" s="201">
        <f>COUNTIF('TURMAS 2015.2'!X:X,A41)</f>
        <v>0</v>
      </c>
      <c r="M41" s="201">
        <f>SUMIFS('TURMAS 2015.2'!K:K,'TURMAS 2015.2'!X:X,A41)</f>
        <v>0</v>
      </c>
      <c r="N41" s="201">
        <f t="shared" si="0"/>
        <v>4</v>
      </c>
      <c r="O41" s="214"/>
      <c r="P41" s="152" t="s">
        <v>3680</v>
      </c>
      <c r="Q41" s="152">
        <v>0.5</v>
      </c>
      <c r="R41" s="152">
        <v>0.5</v>
      </c>
      <c r="S41" s="152">
        <v>30</v>
      </c>
    </row>
    <row r="42" spans="1:19" s="52" customFormat="1" ht="16.5" customHeight="1">
      <c r="A42" s="211">
        <v>31</v>
      </c>
      <c r="B42" s="212" t="s">
        <v>3681</v>
      </c>
      <c r="C42" s="211">
        <v>1763478</v>
      </c>
      <c r="D42" s="212" t="s">
        <v>3617</v>
      </c>
      <c r="E42" s="152" t="s">
        <v>3618</v>
      </c>
      <c r="F42" s="152" t="s">
        <v>3624</v>
      </c>
      <c r="G42" s="178" t="s">
        <v>3639</v>
      </c>
      <c r="H42" s="213" t="s">
        <v>3639</v>
      </c>
      <c r="I42" s="213" t="s">
        <v>3639</v>
      </c>
      <c r="J42" s="201">
        <f>COUNTIFS('TURMAS 2015.2'!U:U,A42)</f>
        <v>2</v>
      </c>
      <c r="K42" s="201">
        <f>SUMIFS('TURMAS 2015.2'!J:J,'TURMAS 2015.2'!U:U,A42)</f>
        <v>5</v>
      </c>
      <c r="L42" s="201">
        <f>COUNTIF('TURMAS 2015.2'!X:X,A42)</f>
        <v>2</v>
      </c>
      <c r="M42" s="201">
        <f>SUMIFS('TURMAS 2015.2'!K:K,'TURMAS 2015.2'!X:X,A42)</f>
        <v>3</v>
      </c>
      <c r="N42" s="201">
        <f t="shared" si="0"/>
        <v>8</v>
      </c>
      <c r="O42" s="214"/>
      <c r="P42" s="152">
        <v>0</v>
      </c>
      <c r="Q42" s="152">
        <v>0</v>
      </c>
      <c r="R42" s="152">
        <v>1</v>
      </c>
      <c r="S42" s="152">
        <v>31</v>
      </c>
    </row>
    <row r="43" spans="1:19" s="52" customFormat="1" ht="16.5" customHeight="1">
      <c r="A43" s="211">
        <v>32</v>
      </c>
      <c r="B43" s="212" t="s">
        <v>3682</v>
      </c>
      <c r="C43" s="211">
        <v>1912342</v>
      </c>
      <c r="D43" s="212" t="s">
        <v>3635</v>
      </c>
      <c r="E43" s="152" t="s">
        <v>3611</v>
      </c>
      <c r="F43" s="152" t="s">
        <v>3624</v>
      </c>
      <c r="G43" s="178" t="s">
        <v>3639</v>
      </c>
      <c r="H43" s="213" t="s">
        <v>3639</v>
      </c>
      <c r="I43" s="213" t="s">
        <v>3639</v>
      </c>
      <c r="J43" s="201">
        <f>COUNTIFS('TURMAS 2015.2'!U:U,A43)</f>
        <v>2</v>
      </c>
      <c r="K43" s="201">
        <f>SUMIFS('TURMAS 2015.2'!J:J,'TURMAS 2015.2'!U:U,A43)</f>
        <v>8</v>
      </c>
      <c r="L43" s="201">
        <f>COUNTIF('TURMAS 2015.2'!X:X,A43)</f>
        <v>0</v>
      </c>
      <c r="M43" s="201">
        <f>SUMIFS('TURMAS 2015.2'!K:K,'TURMAS 2015.2'!X:X,A43)</f>
        <v>0</v>
      </c>
      <c r="N43" s="201">
        <f t="shared" si="0"/>
        <v>8</v>
      </c>
      <c r="O43" s="214"/>
      <c r="P43" s="152">
        <v>0</v>
      </c>
      <c r="Q43" s="152">
        <v>0</v>
      </c>
      <c r="R43" s="152">
        <v>1</v>
      </c>
      <c r="S43" s="152">
        <v>32</v>
      </c>
    </row>
    <row r="44" spans="1:19" s="52" customFormat="1" ht="16.5" customHeight="1">
      <c r="A44" s="211">
        <v>33</v>
      </c>
      <c r="B44" s="212" t="s">
        <v>3683</v>
      </c>
      <c r="C44" s="211">
        <v>1732829</v>
      </c>
      <c r="D44" s="212" t="s">
        <v>3610</v>
      </c>
      <c r="E44" s="152" t="s">
        <v>3618</v>
      </c>
      <c r="F44" s="152" t="s">
        <v>3624</v>
      </c>
      <c r="G44" s="178" t="s">
        <v>3639</v>
      </c>
      <c r="H44" s="213" t="s">
        <v>3639</v>
      </c>
      <c r="I44" s="213" t="s">
        <v>3639</v>
      </c>
      <c r="J44" s="201">
        <f>COUNTIFS('TURMAS 2015.2'!U:U,A44)</f>
        <v>0</v>
      </c>
      <c r="K44" s="201">
        <f>SUMIFS('TURMAS 2015.2'!J:J,'TURMAS 2015.2'!U:U,A44)</f>
        <v>0</v>
      </c>
      <c r="L44" s="201">
        <f>COUNTIF('TURMAS 2015.2'!X:X,A44)</f>
        <v>0</v>
      </c>
      <c r="M44" s="201">
        <f>SUMIFS('TURMAS 2015.2'!K:K,'TURMAS 2015.2'!X:X,A44)</f>
        <v>0</v>
      </c>
      <c r="N44" s="201">
        <f t="shared" si="0"/>
        <v>0</v>
      </c>
      <c r="O44" s="214"/>
      <c r="P44" s="152">
        <v>0</v>
      </c>
      <c r="Q44" s="152">
        <v>0</v>
      </c>
      <c r="R44" s="152">
        <v>1</v>
      </c>
      <c r="S44" s="152">
        <v>33</v>
      </c>
    </row>
    <row r="45" spans="1:19" s="52" customFormat="1" ht="16.5" customHeight="1">
      <c r="A45" s="211">
        <v>34</v>
      </c>
      <c r="B45" s="212" t="s">
        <v>3684</v>
      </c>
      <c r="C45" s="211">
        <v>1672728</v>
      </c>
      <c r="D45" s="212" t="s">
        <v>3610</v>
      </c>
      <c r="E45" s="152" t="s">
        <v>3643</v>
      </c>
      <c r="F45" s="152" t="s">
        <v>3624</v>
      </c>
      <c r="G45" s="178" t="s">
        <v>3639</v>
      </c>
      <c r="H45" s="213" t="s">
        <v>3639</v>
      </c>
      <c r="I45" s="213" t="s">
        <v>3639</v>
      </c>
      <c r="J45" s="201">
        <f>COUNTIFS('TURMAS 2015.2'!U:U,A45)</f>
        <v>1</v>
      </c>
      <c r="K45" s="201">
        <f>SUMIFS('TURMAS 2015.2'!J:J,'TURMAS 2015.2'!U:U,A45)</f>
        <v>2</v>
      </c>
      <c r="L45" s="201">
        <f>COUNTIF('TURMAS 2015.2'!X:X,A45)</f>
        <v>1</v>
      </c>
      <c r="M45" s="201">
        <f>SUMIFS('TURMAS 2015.2'!K:K,'TURMAS 2015.2'!X:X,A45)</f>
        <v>2</v>
      </c>
      <c r="N45" s="201">
        <f t="shared" si="0"/>
        <v>4</v>
      </c>
      <c r="O45" s="214"/>
      <c r="P45" s="152">
        <v>0</v>
      </c>
      <c r="Q45" s="152">
        <v>0</v>
      </c>
      <c r="R45" s="152">
        <v>1</v>
      </c>
      <c r="S45" s="152">
        <v>34</v>
      </c>
    </row>
    <row r="46" spans="1:19" s="52" customFormat="1" ht="16.5" customHeight="1">
      <c r="A46" s="211">
        <v>35</v>
      </c>
      <c r="B46" s="212" t="s">
        <v>3685</v>
      </c>
      <c r="C46" s="211">
        <v>1968865</v>
      </c>
      <c r="D46" s="212" t="s">
        <v>3617</v>
      </c>
      <c r="E46" s="152" t="s">
        <v>3618</v>
      </c>
      <c r="F46" s="152" t="s">
        <v>3624</v>
      </c>
      <c r="G46" s="178" t="s">
        <v>3639</v>
      </c>
      <c r="H46" s="213" t="s">
        <v>3639</v>
      </c>
      <c r="I46" s="213" t="s">
        <v>3639</v>
      </c>
      <c r="J46" s="201">
        <f>COUNTIFS('TURMAS 2015.2'!U:U,A46)</f>
        <v>3</v>
      </c>
      <c r="K46" s="201">
        <f>SUMIFS('TURMAS 2015.2'!J:J,'TURMAS 2015.2'!U:U,A46)</f>
        <v>10</v>
      </c>
      <c r="L46" s="201">
        <f>COUNTIF('TURMAS 2015.2'!X:X,A46)</f>
        <v>1</v>
      </c>
      <c r="M46" s="201">
        <f>SUMIFS('TURMAS 2015.2'!K:K,'TURMAS 2015.2'!X:X,A46)</f>
        <v>3</v>
      </c>
      <c r="N46" s="201">
        <f t="shared" si="0"/>
        <v>13</v>
      </c>
      <c r="O46" s="214"/>
      <c r="P46" s="152">
        <v>0</v>
      </c>
      <c r="Q46" s="152">
        <v>0</v>
      </c>
      <c r="R46" s="152">
        <v>1</v>
      </c>
      <c r="S46" s="152">
        <v>35</v>
      </c>
    </row>
    <row r="47" spans="1:19" s="52" customFormat="1" ht="16.5" customHeight="1">
      <c r="A47" s="211">
        <v>36</v>
      </c>
      <c r="B47" s="212" t="s">
        <v>3686</v>
      </c>
      <c r="C47" s="211">
        <v>1545588</v>
      </c>
      <c r="D47" s="212" t="s">
        <v>3621</v>
      </c>
      <c r="E47" s="152" t="s">
        <v>3618</v>
      </c>
      <c r="F47" s="152" t="s">
        <v>3624</v>
      </c>
      <c r="G47" s="178" t="s">
        <v>3639</v>
      </c>
      <c r="H47" s="213" t="s">
        <v>3639</v>
      </c>
      <c r="I47" s="213" t="s">
        <v>3639</v>
      </c>
      <c r="J47" s="201">
        <f>COUNTIFS('TURMAS 2015.2'!U:U,A47)</f>
        <v>0</v>
      </c>
      <c r="K47" s="201">
        <f>SUMIFS('TURMAS 2015.2'!J:J,'TURMAS 2015.2'!U:U,A47)</f>
        <v>0</v>
      </c>
      <c r="L47" s="201">
        <f>COUNTIF('TURMAS 2015.2'!X:X,A47)</f>
        <v>0</v>
      </c>
      <c r="M47" s="201">
        <f>SUMIFS('TURMAS 2015.2'!K:K,'TURMAS 2015.2'!X:X,A47)</f>
        <v>0</v>
      </c>
      <c r="N47" s="201">
        <f t="shared" si="0"/>
        <v>0</v>
      </c>
      <c r="O47" s="214"/>
      <c r="P47" s="152">
        <v>0</v>
      </c>
      <c r="Q47" s="152">
        <v>0</v>
      </c>
      <c r="R47" s="152">
        <v>1</v>
      </c>
      <c r="S47" s="152">
        <v>36</v>
      </c>
    </row>
    <row r="48" spans="1:19" s="52" customFormat="1" ht="16.5" customHeight="1">
      <c r="A48" s="211">
        <v>37</v>
      </c>
      <c r="B48" s="212" t="s">
        <v>3687</v>
      </c>
      <c r="C48" s="211">
        <v>1648855</v>
      </c>
      <c r="D48" s="212" t="s">
        <v>3647</v>
      </c>
      <c r="E48" s="152" t="s">
        <v>3618</v>
      </c>
      <c r="F48" s="152" t="s">
        <v>3624</v>
      </c>
      <c r="G48" s="178" t="s">
        <v>3639</v>
      </c>
      <c r="H48" s="213" t="s">
        <v>3639</v>
      </c>
      <c r="I48" s="213" t="s">
        <v>3639</v>
      </c>
      <c r="J48" s="201">
        <f>COUNTIFS('TURMAS 2015.2'!U:U,A48)</f>
        <v>0</v>
      </c>
      <c r="K48" s="201">
        <f>SUMIFS('TURMAS 2015.2'!J:J,'TURMAS 2015.2'!U:U,A48)</f>
        <v>0</v>
      </c>
      <c r="L48" s="201">
        <f>COUNTIF('TURMAS 2015.2'!X:X,A48)</f>
        <v>0</v>
      </c>
      <c r="M48" s="201">
        <f>SUMIFS('TURMAS 2015.2'!K:K,'TURMAS 2015.2'!X:X,A48)</f>
        <v>0</v>
      </c>
      <c r="N48" s="201">
        <f t="shared" si="0"/>
        <v>0</v>
      </c>
      <c r="O48" s="214"/>
      <c r="P48" s="152">
        <v>0</v>
      </c>
      <c r="Q48" s="152">
        <v>0</v>
      </c>
      <c r="R48" s="152">
        <v>1</v>
      </c>
      <c r="S48" s="152">
        <v>37</v>
      </c>
    </row>
    <row r="49" spans="1:19" s="52" customFormat="1" ht="16.5" customHeight="1">
      <c r="A49" s="211">
        <v>38</v>
      </c>
      <c r="B49" s="212" t="s">
        <v>3688</v>
      </c>
      <c r="C49" s="211">
        <v>1676360</v>
      </c>
      <c r="D49" s="212" t="s">
        <v>3610</v>
      </c>
      <c r="E49" s="152" t="s">
        <v>3643</v>
      </c>
      <c r="F49" s="152" t="s">
        <v>3624</v>
      </c>
      <c r="G49" s="178" t="s">
        <v>3639</v>
      </c>
      <c r="H49" s="213" t="s">
        <v>3639</v>
      </c>
      <c r="I49" s="213" t="s">
        <v>3639</v>
      </c>
      <c r="J49" s="201">
        <f>COUNTIFS('TURMAS 2015.2'!U:U,A49)</f>
        <v>0</v>
      </c>
      <c r="K49" s="201">
        <f>SUMIFS('TURMAS 2015.2'!J:J,'TURMAS 2015.2'!U:U,A49)</f>
        <v>0</v>
      </c>
      <c r="L49" s="201">
        <f>COUNTIF('TURMAS 2015.2'!X:X,A49)</f>
        <v>0</v>
      </c>
      <c r="M49" s="201">
        <f>SUMIFS('TURMAS 2015.2'!K:K,'TURMAS 2015.2'!X:X,A49)</f>
        <v>0</v>
      </c>
      <c r="N49" s="201">
        <f t="shared" si="0"/>
        <v>0</v>
      </c>
      <c r="O49" s="214"/>
      <c r="P49" s="152">
        <v>0</v>
      </c>
      <c r="Q49" s="152">
        <v>0</v>
      </c>
      <c r="R49" s="152">
        <v>1</v>
      </c>
      <c r="S49" s="152">
        <v>38</v>
      </c>
    </row>
    <row r="50" spans="1:19" s="52" customFormat="1" ht="16.5" customHeight="1">
      <c r="A50" s="211">
        <v>39</v>
      </c>
      <c r="B50" s="212" t="s">
        <v>3689</v>
      </c>
      <c r="C50" s="211">
        <v>1544951</v>
      </c>
      <c r="D50" s="212" t="s">
        <v>3647</v>
      </c>
      <c r="E50" s="152" t="s">
        <v>3643</v>
      </c>
      <c r="F50" s="152" t="s">
        <v>3624</v>
      </c>
      <c r="G50" s="178" t="s">
        <v>3639</v>
      </c>
      <c r="H50" s="213" t="s">
        <v>3639</v>
      </c>
      <c r="I50" s="213" t="s">
        <v>3639</v>
      </c>
      <c r="J50" s="201">
        <f>COUNTIFS('TURMAS 2015.2'!U:U,A50)</f>
        <v>0</v>
      </c>
      <c r="K50" s="201">
        <f>SUMIFS('TURMAS 2015.2'!J:J,'TURMAS 2015.2'!U:U,A50)</f>
        <v>0</v>
      </c>
      <c r="L50" s="201">
        <f>COUNTIF('TURMAS 2015.2'!X:X,A50)</f>
        <v>0</v>
      </c>
      <c r="M50" s="201">
        <f>SUMIFS('TURMAS 2015.2'!K:K,'TURMAS 2015.2'!X:X,A50)</f>
        <v>0</v>
      </c>
      <c r="N50" s="201">
        <f t="shared" si="0"/>
        <v>0</v>
      </c>
      <c r="O50" s="214"/>
      <c r="P50" s="152">
        <v>0</v>
      </c>
      <c r="Q50" s="152">
        <v>0</v>
      </c>
      <c r="R50" s="152">
        <v>1</v>
      </c>
      <c r="S50" s="152">
        <v>39</v>
      </c>
    </row>
    <row r="51" spans="1:19" s="52" customFormat="1" ht="16.5" customHeight="1">
      <c r="A51" s="211">
        <v>40</v>
      </c>
      <c r="B51" s="212" t="s">
        <v>3690</v>
      </c>
      <c r="C51" s="211">
        <v>1718113</v>
      </c>
      <c r="D51" s="212" t="s">
        <v>3610</v>
      </c>
      <c r="E51" s="152" t="s">
        <v>3618</v>
      </c>
      <c r="F51" s="152" t="s">
        <v>3624</v>
      </c>
      <c r="G51" s="178" t="s">
        <v>3639</v>
      </c>
      <c r="H51" s="213" t="s">
        <v>3639</v>
      </c>
      <c r="I51" s="213" t="s">
        <v>3639</v>
      </c>
      <c r="J51" s="201">
        <f>COUNTIFS('TURMAS 2015.2'!U:U,A51)</f>
        <v>0</v>
      </c>
      <c r="K51" s="201">
        <f>SUMIFS('TURMAS 2015.2'!J:J,'TURMAS 2015.2'!U:U,A51)</f>
        <v>0</v>
      </c>
      <c r="L51" s="201">
        <f>COUNTIF('TURMAS 2015.2'!X:X,A51)</f>
        <v>1</v>
      </c>
      <c r="M51" s="201">
        <f>SUMIFS('TURMAS 2015.2'!K:K,'TURMAS 2015.2'!X:X,A51)</f>
        <v>3</v>
      </c>
      <c r="N51" s="201">
        <f t="shared" si="0"/>
        <v>3</v>
      </c>
      <c r="O51" s="214"/>
      <c r="P51" s="152" t="s">
        <v>3691</v>
      </c>
      <c r="Q51" s="152">
        <v>0.3</v>
      </c>
      <c r="R51" s="152">
        <v>0.7</v>
      </c>
      <c r="S51" s="152">
        <v>40</v>
      </c>
    </row>
    <row r="52" spans="1:19" s="52" customFormat="1" ht="16.5" customHeight="1">
      <c r="A52" s="211">
        <v>41</v>
      </c>
      <c r="B52" s="212" t="s">
        <v>3692</v>
      </c>
      <c r="C52" s="211">
        <v>1760509</v>
      </c>
      <c r="D52" s="212" t="s">
        <v>3635</v>
      </c>
      <c r="E52" s="152" t="s">
        <v>3618</v>
      </c>
      <c r="F52" s="152" t="s">
        <v>3624</v>
      </c>
      <c r="G52" s="178" t="s">
        <v>3639</v>
      </c>
      <c r="H52" s="213" t="s">
        <v>3639</v>
      </c>
      <c r="I52" s="213" t="s">
        <v>3639</v>
      </c>
      <c r="J52" s="201">
        <f>COUNTIFS('TURMAS 2015.2'!U:U,A52)</f>
        <v>1</v>
      </c>
      <c r="K52" s="201">
        <f>SUMIFS('TURMAS 2015.2'!J:J,'TURMAS 2015.2'!U:U,A52)</f>
        <v>0</v>
      </c>
      <c r="L52" s="201">
        <f>COUNTIF('TURMAS 2015.2'!X:X,A52)</f>
        <v>0</v>
      </c>
      <c r="M52" s="201">
        <f>SUMIFS('TURMAS 2015.2'!K:K,'TURMAS 2015.2'!X:X,A52)</f>
        <v>0</v>
      </c>
      <c r="N52" s="201">
        <f t="shared" si="0"/>
        <v>0</v>
      </c>
      <c r="O52" s="214"/>
      <c r="P52" s="152" t="s">
        <v>3693</v>
      </c>
      <c r="Q52" s="152">
        <v>1</v>
      </c>
      <c r="R52" s="152">
        <v>0</v>
      </c>
      <c r="S52" s="152">
        <v>41</v>
      </c>
    </row>
    <row r="53" spans="1:19" s="52" customFormat="1" ht="16.5" customHeight="1">
      <c r="A53" s="211">
        <v>42</v>
      </c>
      <c r="B53" s="212" t="s">
        <v>3694</v>
      </c>
      <c r="C53" s="211">
        <v>1765448</v>
      </c>
      <c r="D53" s="212" t="s">
        <v>3635</v>
      </c>
      <c r="E53" s="152" t="s">
        <v>3643</v>
      </c>
      <c r="F53" s="152" t="s">
        <v>3624</v>
      </c>
      <c r="G53" s="178" t="s">
        <v>3639</v>
      </c>
      <c r="H53" s="213" t="s">
        <v>3639</v>
      </c>
      <c r="I53" s="213" t="s">
        <v>3639</v>
      </c>
      <c r="J53" s="201">
        <f>COUNTIFS('TURMAS 2015.2'!U:U,A53)</f>
        <v>2</v>
      </c>
      <c r="K53" s="201">
        <f>SUMIFS('TURMAS 2015.2'!J:J,'TURMAS 2015.2'!U:U,A53)</f>
        <v>6</v>
      </c>
      <c r="L53" s="201">
        <f>COUNTIF('TURMAS 2015.2'!X:X,A53)</f>
        <v>0</v>
      </c>
      <c r="M53" s="201">
        <f>SUMIFS('TURMAS 2015.2'!K:K,'TURMAS 2015.2'!X:X,A53)</f>
        <v>0</v>
      </c>
      <c r="N53" s="201">
        <f t="shared" si="0"/>
        <v>6</v>
      </c>
      <c r="O53" s="214"/>
      <c r="P53" s="152">
        <v>0</v>
      </c>
      <c r="Q53" s="152">
        <v>0</v>
      </c>
      <c r="R53" s="152">
        <v>1</v>
      </c>
      <c r="S53" s="152">
        <v>42</v>
      </c>
    </row>
    <row r="54" spans="1:19" s="52" customFormat="1" ht="16.5" customHeight="1">
      <c r="A54" s="211">
        <v>43</v>
      </c>
      <c r="B54" s="212" t="s">
        <v>3695</v>
      </c>
      <c r="C54" s="211">
        <v>1950793</v>
      </c>
      <c r="D54" s="212" t="s">
        <v>3617</v>
      </c>
      <c r="E54" s="152" t="s">
        <v>3643</v>
      </c>
      <c r="F54" s="152" t="s">
        <v>3624</v>
      </c>
      <c r="G54" s="178" t="s">
        <v>3639</v>
      </c>
      <c r="H54" s="213" t="s">
        <v>3639</v>
      </c>
      <c r="I54" s="213" t="s">
        <v>3639</v>
      </c>
      <c r="J54" s="201">
        <f>COUNTIFS('TURMAS 2015.2'!U:U,A54)</f>
        <v>0</v>
      </c>
      <c r="K54" s="201">
        <f>SUMIFS('TURMAS 2015.2'!J:J,'TURMAS 2015.2'!U:U,A54)</f>
        <v>0</v>
      </c>
      <c r="L54" s="201">
        <f>COUNTIF('TURMAS 2015.2'!X:X,A54)</f>
        <v>0</v>
      </c>
      <c r="M54" s="201">
        <f>SUMIFS('TURMAS 2015.2'!K:K,'TURMAS 2015.2'!X:X,A54)</f>
        <v>0</v>
      </c>
      <c r="N54" s="201">
        <f t="shared" si="0"/>
        <v>0</v>
      </c>
      <c r="O54" s="214"/>
      <c r="P54" s="152">
        <v>0</v>
      </c>
      <c r="Q54" s="152">
        <v>0</v>
      </c>
      <c r="R54" s="152">
        <v>1</v>
      </c>
      <c r="S54" s="152">
        <v>43</v>
      </c>
    </row>
    <row r="55" spans="1:19" s="52" customFormat="1" ht="16.5" customHeight="1">
      <c r="A55" s="211">
        <v>44</v>
      </c>
      <c r="B55" s="212" t="s">
        <v>3696</v>
      </c>
      <c r="C55" s="211">
        <v>1544379</v>
      </c>
      <c r="D55" s="212" t="s">
        <v>3621</v>
      </c>
      <c r="E55" s="152" t="s">
        <v>3643</v>
      </c>
      <c r="F55" s="152" t="s">
        <v>3624</v>
      </c>
      <c r="G55" s="178" t="s">
        <v>3639</v>
      </c>
      <c r="H55" s="213" t="s">
        <v>3639</v>
      </c>
      <c r="I55" s="213" t="s">
        <v>3639</v>
      </c>
      <c r="J55" s="201">
        <f>COUNTIFS('TURMAS 2015.2'!U:U,A55)</f>
        <v>0</v>
      </c>
      <c r="K55" s="201">
        <f>SUMIFS('TURMAS 2015.2'!J:J,'TURMAS 2015.2'!U:U,A55)</f>
        <v>0</v>
      </c>
      <c r="L55" s="201">
        <f>COUNTIF('TURMAS 2015.2'!X:X,A55)</f>
        <v>1</v>
      </c>
      <c r="M55" s="201">
        <f>SUMIFS('TURMAS 2015.2'!K:K,'TURMAS 2015.2'!X:X,A55)</f>
        <v>3</v>
      </c>
      <c r="N55" s="201">
        <f t="shared" si="0"/>
        <v>3</v>
      </c>
      <c r="O55" s="214"/>
      <c r="P55" s="152">
        <v>0</v>
      </c>
      <c r="Q55" s="152">
        <v>0</v>
      </c>
      <c r="R55" s="152">
        <v>1</v>
      </c>
      <c r="S55" s="152">
        <v>44</v>
      </c>
    </row>
    <row r="56" spans="1:19" s="52" customFormat="1" ht="16.5" customHeight="1">
      <c r="A56" s="211">
        <v>45</v>
      </c>
      <c r="B56" s="212" t="s">
        <v>3697</v>
      </c>
      <c r="C56" s="211">
        <v>1662011</v>
      </c>
      <c r="D56" s="212" t="s">
        <v>3647</v>
      </c>
      <c r="E56" s="152" t="s">
        <v>3643</v>
      </c>
      <c r="F56" s="152" t="s">
        <v>3624</v>
      </c>
      <c r="G56" s="178" t="s">
        <v>3639</v>
      </c>
      <c r="H56" s="213" t="s">
        <v>3639</v>
      </c>
      <c r="I56" s="213" t="s">
        <v>3639</v>
      </c>
      <c r="J56" s="201">
        <f>COUNTIFS('TURMAS 2015.2'!U:U,A56)</f>
        <v>2</v>
      </c>
      <c r="K56" s="201">
        <f>SUMIFS('TURMAS 2015.2'!J:J,'TURMAS 2015.2'!U:U,A56)</f>
        <v>3</v>
      </c>
      <c r="L56" s="201">
        <f>COUNTIF('TURMAS 2015.2'!X:X,A56)</f>
        <v>1</v>
      </c>
      <c r="M56" s="201">
        <f>SUMIFS('TURMAS 2015.2'!K:K,'TURMAS 2015.2'!X:X,A56)</f>
        <v>4</v>
      </c>
      <c r="N56" s="201">
        <f t="shared" si="0"/>
        <v>7</v>
      </c>
      <c r="O56" s="214"/>
      <c r="P56" s="152">
        <v>0</v>
      </c>
      <c r="Q56" s="152">
        <v>0</v>
      </c>
      <c r="R56" s="152">
        <v>1</v>
      </c>
      <c r="S56" s="152">
        <v>45</v>
      </c>
    </row>
    <row r="57" spans="1:19" s="52" customFormat="1" ht="16.5" customHeight="1">
      <c r="A57" s="211">
        <v>46</v>
      </c>
      <c r="B57" s="212" t="s">
        <v>3698</v>
      </c>
      <c r="C57" s="211">
        <v>1604330</v>
      </c>
      <c r="D57" s="212" t="s">
        <v>3647</v>
      </c>
      <c r="E57" s="152" t="s">
        <v>3618</v>
      </c>
      <c r="F57" s="152" t="s">
        <v>3624</v>
      </c>
      <c r="G57" s="178" t="s">
        <v>3639</v>
      </c>
      <c r="H57" s="213" t="s">
        <v>3639</v>
      </c>
      <c r="I57" s="213" t="s">
        <v>3639</v>
      </c>
      <c r="J57" s="201">
        <f>COUNTIFS('TURMAS 2015.2'!U:U,A57)</f>
        <v>2</v>
      </c>
      <c r="K57" s="201">
        <f>SUMIFS('TURMAS 2015.2'!J:J,'TURMAS 2015.2'!U:U,A57)</f>
        <v>7</v>
      </c>
      <c r="L57" s="201">
        <f>COUNTIF('TURMAS 2015.2'!X:X,A57)</f>
        <v>1</v>
      </c>
      <c r="M57" s="201">
        <f>SUMIFS('TURMAS 2015.2'!K:K,'TURMAS 2015.2'!X:X,A57)</f>
        <v>2</v>
      </c>
      <c r="N57" s="201">
        <f t="shared" si="0"/>
        <v>9</v>
      </c>
      <c r="O57" s="214"/>
      <c r="P57" s="152" t="s">
        <v>3699</v>
      </c>
      <c r="Q57" s="152">
        <v>0.5</v>
      </c>
      <c r="R57" s="152">
        <v>0.5</v>
      </c>
      <c r="S57" s="152">
        <v>46</v>
      </c>
    </row>
    <row r="58" spans="1:19" s="52" customFormat="1" ht="16.5" customHeight="1">
      <c r="A58" s="211">
        <v>47</v>
      </c>
      <c r="B58" s="212" t="s">
        <v>3700</v>
      </c>
      <c r="C58" s="211">
        <v>1672970</v>
      </c>
      <c r="D58" s="212" t="s">
        <v>3610</v>
      </c>
      <c r="E58" s="152" t="s">
        <v>3611</v>
      </c>
      <c r="F58" s="152" t="s">
        <v>3624</v>
      </c>
      <c r="G58" s="178" t="s">
        <v>3639</v>
      </c>
      <c r="H58" s="213" t="s">
        <v>3639</v>
      </c>
      <c r="I58" s="213" t="s">
        <v>3639</v>
      </c>
      <c r="J58" s="201">
        <f>COUNTIFS('TURMAS 2015.2'!U:U,A58)</f>
        <v>2</v>
      </c>
      <c r="K58" s="201">
        <f>SUMIFS('TURMAS 2015.2'!J:J,'TURMAS 2015.2'!U:U,A58)</f>
        <v>3</v>
      </c>
      <c r="L58" s="201">
        <f>COUNTIF('TURMAS 2015.2'!X:X,A58)</f>
        <v>4</v>
      </c>
      <c r="M58" s="201">
        <f>SUMIFS('TURMAS 2015.2'!K:K,'TURMAS 2015.2'!X:X,A58)</f>
        <v>9</v>
      </c>
      <c r="N58" s="201">
        <f t="shared" si="0"/>
        <v>12</v>
      </c>
      <c r="O58" s="214"/>
      <c r="P58" s="152">
        <v>0</v>
      </c>
      <c r="Q58" s="152">
        <v>0</v>
      </c>
      <c r="R58" s="152">
        <v>1</v>
      </c>
      <c r="S58" s="152">
        <v>47</v>
      </c>
    </row>
    <row r="59" spans="1:19" s="52" customFormat="1" ht="16.5" customHeight="1">
      <c r="A59" s="211">
        <v>48</v>
      </c>
      <c r="B59" s="212" t="s">
        <v>3701</v>
      </c>
      <c r="C59" s="211">
        <v>1939597</v>
      </c>
      <c r="D59" s="212" t="s">
        <v>3617</v>
      </c>
      <c r="E59" s="152" t="s">
        <v>3643</v>
      </c>
      <c r="F59" s="152" t="s">
        <v>3624</v>
      </c>
      <c r="G59" s="178" t="s">
        <v>3639</v>
      </c>
      <c r="H59" s="213" t="s">
        <v>3639</v>
      </c>
      <c r="I59" s="213" t="s">
        <v>3639</v>
      </c>
      <c r="J59" s="201">
        <f>COUNTIFS('TURMAS 2015.2'!U:U,A59)</f>
        <v>5</v>
      </c>
      <c r="K59" s="201">
        <f>SUMIFS('TURMAS 2015.2'!J:J,'TURMAS 2015.2'!U:U,A59)</f>
        <v>6</v>
      </c>
      <c r="L59" s="201">
        <f>COUNTIF('TURMAS 2015.2'!X:X,A59)</f>
        <v>3</v>
      </c>
      <c r="M59" s="201">
        <f>SUMIFS('TURMAS 2015.2'!K:K,'TURMAS 2015.2'!X:X,A59)</f>
        <v>6</v>
      </c>
      <c r="N59" s="201">
        <f t="shared" si="0"/>
        <v>12</v>
      </c>
      <c r="O59" s="214"/>
      <c r="P59" s="152">
        <v>0</v>
      </c>
      <c r="Q59" s="152">
        <v>0</v>
      </c>
      <c r="R59" s="152">
        <v>1</v>
      </c>
      <c r="S59" s="152">
        <v>48</v>
      </c>
    </row>
    <row r="60" spans="1:19" s="52" customFormat="1" ht="16.5" customHeight="1">
      <c r="A60" s="211">
        <v>49</v>
      </c>
      <c r="B60" s="212" t="s">
        <v>3702</v>
      </c>
      <c r="C60" s="211">
        <v>2127195</v>
      </c>
      <c r="D60" s="212" t="s">
        <v>3653</v>
      </c>
      <c r="E60" s="152" t="s">
        <v>3611</v>
      </c>
      <c r="F60" s="152" t="s">
        <v>3624</v>
      </c>
      <c r="G60" s="178" t="s">
        <v>3639</v>
      </c>
      <c r="H60" s="213" t="s">
        <v>3639</v>
      </c>
      <c r="I60" s="213" t="s">
        <v>3639</v>
      </c>
      <c r="J60" s="201">
        <f>COUNTIFS('TURMAS 2015.2'!U:U,A60)</f>
        <v>2</v>
      </c>
      <c r="K60" s="201">
        <f>SUMIFS('TURMAS 2015.2'!J:J,'TURMAS 2015.2'!U:U,A60)</f>
        <v>6</v>
      </c>
      <c r="L60" s="201">
        <f>COUNTIF('TURMAS 2015.2'!X:X,A60)</f>
        <v>4</v>
      </c>
      <c r="M60" s="201">
        <f>SUMIFS('TURMAS 2015.2'!K:K,'TURMAS 2015.2'!X:X,A60)</f>
        <v>8</v>
      </c>
      <c r="N60" s="201">
        <f t="shared" si="0"/>
        <v>14</v>
      </c>
      <c r="O60" s="214"/>
      <c r="P60" s="152">
        <v>0</v>
      </c>
      <c r="Q60" s="152">
        <v>0</v>
      </c>
      <c r="R60" s="152">
        <v>1</v>
      </c>
      <c r="S60" s="152">
        <v>49</v>
      </c>
    </row>
    <row r="61" spans="1:19" s="52" customFormat="1" ht="16.5" customHeight="1">
      <c r="A61" s="211">
        <v>50</v>
      </c>
      <c r="B61" s="215" t="s">
        <v>3703</v>
      </c>
      <c r="C61" s="211">
        <v>90000015</v>
      </c>
      <c r="D61" s="211"/>
      <c r="E61" s="152" t="s">
        <v>3618</v>
      </c>
      <c r="F61" s="152" t="s">
        <v>3624</v>
      </c>
      <c r="G61" s="178"/>
      <c r="H61" s="213"/>
      <c r="I61" s="213"/>
      <c r="J61" s="201">
        <f>COUNTIFS('TURMAS 2015.2'!U:U,A61)</f>
        <v>0</v>
      </c>
      <c r="K61" s="201">
        <f>SUMIFS('TURMAS 2015.2'!J:J,'TURMAS 2015.2'!U:U,A61)</f>
        <v>0</v>
      </c>
      <c r="L61" s="201">
        <f>COUNTIF('TURMAS 2015.2'!X:X,A61)</f>
        <v>0</v>
      </c>
      <c r="M61" s="201">
        <f>SUMIFS('TURMAS 2015.2'!K:K,'TURMAS 2015.2'!X:X,A61)</f>
        <v>0</v>
      </c>
      <c r="N61" s="201">
        <f t="shared" si="0"/>
        <v>0</v>
      </c>
      <c r="O61" s="214"/>
      <c r="P61" s="152"/>
      <c r="Q61" s="152"/>
      <c r="R61" s="152"/>
      <c r="S61" s="152">
        <v>50</v>
      </c>
    </row>
    <row r="62" spans="1:19" s="52" customFormat="1" ht="16.5" customHeight="1">
      <c r="A62" s="211">
        <v>51</v>
      </c>
      <c r="B62" s="212" t="s">
        <v>3704</v>
      </c>
      <c r="C62" s="211">
        <v>1955999</v>
      </c>
      <c r="D62" s="212" t="s">
        <v>3635</v>
      </c>
      <c r="E62" s="152" t="s">
        <v>3611</v>
      </c>
      <c r="F62" s="152" t="s">
        <v>3624</v>
      </c>
      <c r="G62" s="178" t="s">
        <v>3639</v>
      </c>
      <c r="H62" s="213" t="s">
        <v>3639</v>
      </c>
      <c r="I62" s="213" t="s">
        <v>3639</v>
      </c>
      <c r="J62" s="201">
        <f>COUNTIFS('TURMAS 2015.2'!U:U,A62)</f>
        <v>1</v>
      </c>
      <c r="K62" s="201">
        <f>SUMIFS('TURMAS 2015.2'!J:J,'TURMAS 2015.2'!U:U,A62)</f>
        <v>4</v>
      </c>
      <c r="L62" s="201">
        <f>COUNTIF('TURMAS 2015.2'!X:X,A62)</f>
        <v>4</v>
      </c>
      <c r="M62" s="201">
        <f>SUMIFS('TURMAS 2015.2'!K:K,'TURMAS 2015.2'!X:X,A62)</f>
        <v>6</v>
      </c>
      <c r="N62" s="201">
        <f t="shared" si="0"/>
        <v>10</v>
      </c>
      <c r="O62" s="214"/>
      <c r="P62" s="152">
        <v>0</v>
      </c>
      <c r="Q62" s="152">
        <v>0</v>
      </c>
      <c r="R62" s="152">
        <v>1</v>
      </c>
      <c r="S62" s="152">
        <v>51</v>
      </c>
    </row>
    <row r="63" spans="1:19" s="52" customFormat="1" ht="16.5" customHeight="1">
      <c r="A63" s="211">
        <v>52</v>
      </c>
      <c r="B63" s="215" t="s">
        <v>3705</v>
      </c>
      <c r="C63" s="211">
        <v>2211564</v>
      </c>
      <c r="D63" s="211"/>
      <c r="E63" s="152" t="s">
        <v>3643</v>
      </c>
      <c r="F63" s="152" t="s">
        <v>3624</v>
      </c>
      <c r="G63" s="178"/>
      <c r="H63" s="213"/>
      <c r="I63" s="213"/>
      <c r="J63" s="201">
        <f>COUNTIFS('TURMAS 2015.2'!U:U,A63)</f>
        <v>3</v>
      </c>
      <c r="K63" s="201">
        <f>SUMIFS('TURMAS 2015.2'!J:J,'TURMAS 2015.2'!U:U,A63)</f>
        <v>3</v>
      </c>
      <c r="L63" s="201">
        <f>COUNTIF('TURMAS 2015.2'!X:X,A63)</f>
        <v>2</v>
      </c>
      <c r="M63" s="201">
        <f>SUMIFS('TURMAS 2015.2'!K:K,'TURMAS 2015.2'!X:X,A63)</f>
        <v>4</v>
      </c>
      <c r="N63" s="201">
        <f t="shared" si="0"/>
        <v>7</v>
      </c>
      <c r="O63" s="214"/>
      <c r="P63" s="152"/>
      <c r="Q63" s="152"/>
      <c r="R63" s="152"/>
      <c r="S63" s="152">
        <v>52</v>
      </c>
    </row>
    <row r="64" spans="1:19" s="52" customFormat="1" ht="16.5" customHeight="1">
      <c r="A64" s="211">
        <v>53</v>
      </c>
      <c r="B64" s="212" t="s">
        <v>3706</v>
      </c>
      <c r="C64" s="211">
        <v>1544401</v>
      </c>
      <c r="D64" s="212" t="s">
        <v>3621</v>
      </c>
      <c r="E64" s="152" t="s">
        <v>3611</v>
      </c>
      <c r="F64" s="152" t="s">
        <v>3624</v>
      </c>
      <c r="G64" s="178" t="s">
        <v>3639</v>
      </c>
      <c r="H64" s="213" t="s">
        <v>3639</v>
      </c>
      <c r="I64" s="213" t="s">
        <v>3639</v>
      </c>
      <c r="J64" s="201">
        <f>COUNTIFS('TURMAS 2015.2'!U:U,A64)</f>
        <v>2</v>
      </c>
      <c r="K64" s="201">
        <f>SUMIFS('TURMAS 2015.2'!J:J,'TURMAS 2015.2'!U:U,A64)</f>
        <v>8</v>
      </c>
      <c r="L64" s="201">
        <f>COUNTIF('TURMAS 2015.2'!X:X,A64)</f>
        <v>0</v>
      </c>
      <c r="M64" s="201">
        <f>SUMIFS('TURMAS 2015.2'!K:K,'TURMAS 2015.2'!X:X,A64)</f>
        <v>0</v>
      </c>
      <c r="N64" s="201">
        <f t="shared" si="0"/>
        <v>8</v>
      </c>
      <c r="O64" s="214"/>
      <c r="P64" s="152" t="s">
        <v>3707</v>
      </c>
      <c r="Q64" s="152">
        <v>0.3</v>
      </c>
      <c r="R64" s="152">
        <v>0.7</v>
      </c>
      <c r="S64" s="152">
        <v>53</v>
      </c>
    </row>
    <row r="65" spans="1:19" s="52" customFormat="1" ht="16.5" customHeight="1">
      <c r="A65" s="211">
        <v>54</v>
      </c>
      <c r="B65" s="212" t="s">
        <v>3708</v>
      </c>
      <c r="C65" s="211">
        <v>1671688</v>
      </c>
      <c r="D65" s="212" t="s">
        <v>3647</v>
      </c>
      <c r="E65" s="152" t="s">
        <v>3643</v>
      </c>
      <c r="F65" s="152" t="s">
        <v>3624</v>
      </c>
      <c r="G65" s="178" t="s">
        <v>3639</v>
      </c>
      <c r="H65" s="213" t="s">
        <v>3639</v>
      </c>
      <c r="I65" s="213" t="s">
        <v>3639</v>
      </c>
      <c r="J65" s="201">
        <f>COUNTIFS('TURMAS 2015.2'!U:U,A65)</f>
        <v>2</v>
      </c>
      <c r="K65" s="201">
        <f>SUMIFS('TURMAS 2015.2'!J:J,'TURMAS 2015.2'!U:U,A65)</f>
        <v>6</v>
      </c>
      <c r="L65" s="201">
        <f>COUNTIF('TURMAS 2015.2'!X:X,A65)</f>
        <v>2</v>
      </c>
      <c r="M65" s="201">
        <f>SUMIFS('TURMAS 2015.2'!K:K,'TURMAS 2015.2'!X:X,A65)</f>
        <v>4</v>
      </c>
      <c r="N65" s="201">
        <f t="shared" si="0"/>
        <v>10</v>
      </c>
      <c r="O65" s="214"/>
      <c r="P65" s="152">
        <v>0</v>
      </c>
      <c r="Q65" s="152">
        <v>0</v>
      </c>
      <c r="R65" s="152">
        <v>1</v>
      </c>
      <c r="S65" s="152">
        <v>54</v>
      </c>
    </row>
    <row r="66" spans="1:19" s="52" customFormat="1" ht="16.5" customHeight="1">
      <c r="A66" s="211">
        <v>55</v>
      </c>
      <c r="B66" s="212" t="s">
        <v>3709</v>
      </c>
      <c r="C66" s="211">
        <v>2125782</v>
      </c>
      <c r="D66" s="212" t="s">
        <v>3653</v>
      </c>
      <c r="E66" s="152" t="s">
        <v>3618</v>
      </c>
      <c r="F66" s="152" t="s">
        <v>3624</v>
      </c>
      <c r="G66" s="178" t="s">
        <v>3639</v>
      </c>
      <c r="H66" s="213" t="s">
        <v>3639</v>
      </c>
      <c r="I66" s="213" t="s">
        <v>3639</v>
      </c>
      <c r="J66" s="201">
        <f>COUNTIFS('TURMAS 2015.2'!U:U,A66)</f>
        <v>1</v>
      </c>
      <c r="K66" s="201">
        <f>SUMIFS('TURMAS 2015.2'!J:J,'TURMAS 2015.2'!U:U,A66)</f>
        <v>4</v>
      </c>
      <c r="L66" s="201">
        <f>COUNTIF('TURMAS 2015.2'!X:X,A66)</f>
        <v>1</v>
      </c>
      <c r="M66" s="201">
        <f>SUMIFS('TURMAS 2015.2'!K:K,'TURMAS 2015.2'!X:X,A66)</f>
        <v>2</v>
      </c>
      <c r="N66" s="201">
        <f t="shared" si="0"/>
        <v>6</v>
      </c>
      <c r="O66" s="214"/>
      <c r="P66" s="152">
        <v>0</v>
      </c>
      <c r="Q66" s="152">
        <v>0</v>
      </c>
      <c r="R66" s="152">
        <v>1</v>
      </c>
      <c r="S66" s="152">
        <v>55</v>
      </c>
    </row>
    <row r="67" spans="1:19" s="52" customFormat="1" ht="16.5" customHeight="1">
      <c r="A67" s="211">
        <v>56</v>
      </c>
      <c r="B67" s="212" t="s">
        <v>3710</v>
      </c>
      <c r="C67" s="211">
        <v>1809834</v>
      </c>
      <c r="D67" s="212" t="s">
        <v>3610</v>
      </c>
      <c r="E67" s="152" t="s">
        <v>3618</v>
      </c>
      <c r="F67" s="152" t="s">
        <v>3624</v>
      </c>
      <c r="G67" s="178" t="s">
        <v>3639</v>
      </c>
      <c r="H67" s="213" t="s">
        <v>3639</v>
      </c>
      <c r="I67" s="213" t="s">
        <v>3639</v>
      </c>
      <c r="J67" s="201">
        <f>COUNTIFS('TURMAS 2015.2'!U:U,A67)</f>
        <v>1</v>
      </c>
      <c r="K67" s="201">
        <f>SUMIFS('TURMAS 2015.2'!J:J,'TURMAS 2015.2'!U:U,A67)</f>
        <v>3</v>
      </c>
      <c r="L67" s="201">
        <f>COUNTIF('TURMAS 2015.2'!X:X,A67)</f>
        <v>1</v>
      </c>
      <c r="M67" s="201">
        <f>SUMIFS('TURMAS 2015.2'!K:K,'TURMAS 2015.2'!X:X,A67)</f>
        <v>1</v>
      </c>
      <c r="N67" s="201">
        <f t="shared" si="0"/>
        <v>4</v>
      </c>
      <c r="O67" s="214"/>
      <c r="P67" s="152" t="s">
        <v>3711</v>
      </c>
      <c r="Q67" s="152">
        <v>0.5</v>
      </c>
      <c r="R67" s="152">
        <v>0.5</v>
      </c>
      <c r="S67" s="152">
        <v>56</v>
      </c>
    </row>
    <row r="68" spans="1:19" s="52" customFormat="1" ht="16.5" customHeight="1">
      <c r="A68" s="211">
        <v>57</v>
      </c>
      <c r="B68" s="212" t="s">
        <v>3712</v>
      </c>
      <c r="C68" s="211">
        <v>1763479</v>
      </c>
      <c r="D68" s="212" t="s">
        <v>3610</v>
      </c>
      <c r="E68" s="152" t="s">
        <v>3643</v>
      </c>
      <c r="F68" s="152" t="s">
        <v>3624</v>
      </c>
      <c r="G68" s="178" t="s">
        <v>3639</v>
      </c>
      <c r="H68" s="213" t="s">
        <v>3639</v>
      </c>
      <c r="I68" s="213" t="s">
        <v>3639</v>
      </c>
      <c r="J68" s="201">
        <f>COUNTIFS('TURMAS 2015.2'!U:U,A68)</f>
        <v>1</v>
      </c>
      <c r="K68" s="201">
        <f>SUMIFS('TURMAS 2015.2'!J:J,'TURMAS 2015.2'!U:U,A68)</f>
        <v>3</v>
      </c>
      <c r="L68" s="201">
        <f>COUNTIF('TURMAS 2015.2'!X:X,A68)</f>
        <v>1</v>
      </c>
      <c r="M68" s="201">
        <f>SUMIFS('TURMAS 2015.2'!K:K,'TURMAS 2015.2'!X:X,A68)</f>
        <v>2</v>
      </c>
      <c r="N68" s="201">
        <f t="shared" si="0"/>
        <v>5</v>
      </c>
      <c r="O68" s="214"/>
      <c r="P68" s="152">
        <v>0</v>
      </c>
      <c r="Q68" s="152">
        <v>0</v>
      </c>
      <c r="R68" s="152">
        <v>1</v>
      </c>
      <c r="S68" s="152">
        <v>57</v>
      </c>
    </row>
    <row r="69" spans="1:19" s="52" customFormat="1" ht="16.5" customHeight="1">
      <c r="A69" s="211">
        <v>58</v>
      </c>
      <c r="B69" s="212" t="s">
        <v>3713</v>
      </c>
      <c r="C69" s="211">
        <v>1766035</v>
      </c>
      <c r="D69" s="212" t="s">
        <v>3610</v>
      </c>
      <c r="E69" s="152" t="s">
        <v>3618</v>
      </c>
      <c r="F69" s="152" t="s">
        <v>3624</v>
      </c>
      <c r="G69" s="178" t="s">
        <v>3639</v>
      </c>
      <c r="H69" s="213" t="s">
        <v>3639</v>
      </c>
      <c r="I69" s="213" t="s">
        <v>3639</v>
      </c>
      <c r="J69" s="201">
        <f>COUNTIFS('TURMAS 2015.2'!U:U,A69)</f>
        <v>2</v>
      </c>
      <c r="K69" s="201">
        <f>SUMIFS('TURMAS 2015.2'!J:J,'TURMAS 2015.2'!U:U,A69)</f>
        <v>6</v>
      </c>
      <c r="L69" s="201">
        <f>COUNTIF('TURMAS 2015.2'!X:X,A69)</f>
        <v>0</v>
      </c>
      <c r="M69" s="201">
        <f>SUMIFS('TURMAS 2015.2'!K:K,'TURMAS 2015.2'!X:X,A69)</f>
        <v>0</v>
      </c>
      <c r="N69" s="201">
        <f t="shared" si="0"/>
        <v>6</v>
      </c>
      <c r="O69" s="214"/>
      <c r="P69" s="152">
        <v>0</v>
      </c>
      <c r="Q69" s="152">
        <v>0</v>
      </c>
      <c r="R69" s="152">
        <v>1</v>
      </c>
      <c r="S69" s="152">
        <v>58</v>
      </c>
    </row>
    <row r="70" spans="1:19" s="52" customFormat="1" ht="16.5" customHeight="1">
      <c r="A70" s="211">
        <v>59</v>
      </c>
      <c r="B70" s="215" t="s">
        <v>3714</v>
      </c>
      <c r="C70" s="211">
        <v>800000012</v>
      </c>
      <c r="D70" s="211"/>
      <c r="E70" s="152" t="s">
        <v>3643</v>
      </c>
      <c r="F70" s="152" t="s">
        <v>3624</v>
      </c>
      <c r="G70" s="178"/>
      <c r="H70" s="213"/>
      <c r="I70" s="213"/>
      <c r="J70" s="201">
        <f>COUNTIFS('TURMAS 2015.2'!U:U,A70)</f>
        <v>0</v>
      </c>
      <c r="K70" s="201">
        <f>SUMIFS('TURMAS 2015.2'!J:J,'TURMAS 2015.2'!U:U,A70)</f>
        <v>0</v>
      </c>
      <c r="L70" s="201">
        <f>COUNTIF('TURMAS 2015.2'!X:X,A70)</f>
        <v>0</v>
      </c>
      <c r="M70" s="201">
        <f>SUMIFS('TURMAS 2015.2'!K:K,'TURMAS 2015.2'!X:X,A70)</f>
        <v>0</v>
      </c>
      <c r="N70" s="201">
        <f t="shared" si="0"/>
        <v>0</v>
      </c>
      <c r="O70" s="214"/>
      <c r="P70" s="152"/>
      <c r="Q70" s="152"/>
      <c r="R70" s="152"/>
      <c r="S70" s="152">
        <v>59</v>
      </c>
    </row>
    <row r="71" spans="1:19" s="52" customFormat="1" ht="16.5" customHeight="1">
      <c r="A71" s="211">
        <v>60</v>
      </c>
      <c r="B71" s="212" t="s">
        <v>3715</v>
      </c>
      <c r="C71" s="211">
        <v>1716236</v>
      </c>
      <c r="D71" s="212" t="s">
        <v>3653</v>
      </c>
      <c r="E71" s="152" t="s">
        <v>3618</v>
      </c>
      <c r="F71" s="152" t="s">
        <v>3624</v>
      </c>
      <c r="G71" s="178" t="s">
        <v>3639</v>
      </c>
      <c r="H71" s="213" t="s">
        <v>3639</v>
      </c>
      <c r="I71" s="213" t="s">
        <v>3639</v>
      </c>
      <c r="J71" s="201">
        <f>COUNTIFS('TURMAS 2015.2'!U:U,A71)</f>
        <v>1</v>
      </c>
      <c r="K71" s="201">
        <f>SUMIFS('TURMAS 2015.2'!J:J,'TURMAS 2015.2'!U:U,A71)</f>
        <v>3</v>
      </c>
      <c r="L71" s="201">
        <f>COUNTIF('TURMAS 2015.2'!X:X,A71)</f>
        <v>0</v>
      </c>
      <c r="M71" s="201">
        <f>SUMIFS('TURMAS 2015.2'!K:K,'TURMAS 2015.2'!X:X,A71)</f>
        <v>0</v>
      </c>
      <c r="N71" s="201">
        <f t="shared" si="0"/>
        <v>3</v>
      </c>
      <c r="O71" s="214"/>
      <c r="P71" s="152">
        <v>0</v>
      </c>
      <c r="Q71" s="152">
        <v>0</v>
      </c>
      <c r="R71" s="152">
        <v>1</v>
      </c>
      <c r="S71" s="152">
        <v>60</v>
      </c>
    </row>
    <row r="72" spans="1:19" s="52" customFormat="1" ht="16.5" customHeight="1">
      <c r="A72" s="211">
        <v>61</v>
      </c>
      <c r="B72" s="212" t="s">
        <v>3716</v>
      </c>
      <c r="C72" s="211">
        <v>1850090</v>
      </c>
      <c r="D72" s="212" t="s">
        <v>3635</v>
      </c>
      <c r="E72" s="152" t="s">
        <v>3618</v>
      </c>
      <c r="F72" s="152" t="s">
        <v>3624</v>
      </c>
      <c r="G72" s="178" t="s">
        <v>3639</v>
      </c>
      <c r="H72" s="213" t="s">
        <v>3639</v>
      </c>
      <c r="I72" s="213" t="s">
        <v>3639</v>
      </c>
      <c r="J72" s="201">
        <f>COUNTIFS('TURMAS 2015.2'!U:U,A72)</f>
        <v>2</v>
      </c>
      <c r="K72" s="201">
        <f>SUMIFS('TURMAS 2015.2'!J:J,'TURMAS 2015.2'!U:U,A72)</f>
        <v>6</v>
      </c>
      <c r="L72" s="201">
        <f>COUNTIF('TURMAS 2015.2'!X:X,A72)</f>
        <v>0</v>
      </c>
      <c r="M72" s="201">
        <f>SUMIFS('TURMAS 2015.2'!K:K,'TURMAS 2015.2'!X:X,A72)</f>
        <v>0</v>
      </c>
      <c r="N72" s="201">
        <f t="shared" si="0"/>
        <v>6</v>
      </c>
      <c r="O72" s="214"/>
      <c r="P72" s="152">
        <v>0</v>
      </c>
      <c r="Q72" s="152">
        <v>0</v>
      </c>
      <c r="R72" s="152">
        <v>1</v>
      </c>
      <c r="S72" s="152">
        <v>61</v>
      </c>
    </row>
    <row r="73" spans="1:19" s="52" customFormat="1" ht="16.5" customHeight="1">
      <c r="A73" s="211">
        <v>62</v>
      </c>
      <c r="B73" s="212" t="s">
        <v>3717</v>
      </c>
      <c r="C73" s="211">
        <v>1762424</v>
      </c>
      <c r="D73" s="212" t="s">
        <v>3610</v>
      </c>
      <c r="E73" s="152" t="s">
        <v>3618</v>
      </c>
      <c r="F73" s="152" t="s">
        <v>3624</v>
      </c>
      <c r="G73" s="178" t="s">
        <v>3639</v>
      </c>
      <c r="H73" s="213" t="s">
        <v>3639</v>
      </c>
      <c r="I73" s="213" t="s">
        <v>3639</v>
      </c>
      <c r="J73" s="201">
        <f>COUNTIFS('TURMAS 2015.2'!U:U,A73)</f>
        <v>0</v>
      </c>
      <c r="K73" s="201">
        <f>SUMIFS('TURMAS 2015.2'!J:J,'TURMAS 2015.2'!U:U,A73)</f>
        <v>0</v>
      </c>
      <c r="L73" s="201">
        <f>COUNTIF('TURMAS 2015.2'!X:X,A73)</f>
        <v>0</v>
      </c>
      <c r="M73" s="201">
        <f>SUMIFS('TURMAS 2015.2'!K:K,'TURMAS 2015.2'!X:X,A73)</f>
        <v>0</v>
      </c>
      <c r="N73" s="201">
        <f t="shared" si="0"/>
        <v>0</v>
      </c>
      <c r="O73" s="214"/>
      <c r="P73" s="152" t="s">
        <v>3718</v>
      </c>
      <c r="Q73" s="152">
        <v>1</v>
      </c>
      <c r="R73" s="152">
        <v>0</v>
      </c>
      <c r="S73" s="152">
        <v>62</v>
      </c>
    </row>
    <row r="74" spans="1:19" s="52" customFormat="1" ht="16.5" customHeight="1">
      <c r="A74" s="211">
        <v>63</v>
      </c>
      <c r="B74" s="212" t="s">
        <v>3719</v>
      </c>
      <c r="C74" s="211">
        <v>2946001</v>
      </c>
      <c r="D74" s="212" t="s">
        <v>3653</v>
      </c>
      <c r="E74" s="152" t="s">
        <v>3643</v>
      </c>
      <c r="F74" s="152" t="s">
        <v>3624</v>
      </c>
      <c r="G74" s="178" t="s">
        <v>3639</v>
      </c>
      <c r="H74" s="213" t="s">
        <v>3639</v>
      </c>
      <c r="I74" s="213" t="s">
        <v>3639</v>
      </c>
      <c r="J74" s="201">
        <f>COUNTIFS('TURMAS 2015.2'!U:U,A74)</f>
        <v>0</v>
      </c>
      <c r="K74" s="201">
        <f>SUMIFS('TURMAS 2015.2'!J:J,'TURMAS 2015.2'!U:U,A74)</f>
        <v>0</v>
      </c>
      <c r="L74" s="201">
        <f>COUNTIF('TURMAS 2015.2'!X:X,A74)</f>
        <v>0</v>
      </c>
      <c r="M74" s="201">
        <f>SUMIFS('TURMAS 2015.2'!K:K,'TURMAS 2015.2'!X:X,A74)</f>
        <v>0</v>
      </c>
      <c r="N74" s="201">
        <f t="shared" si="0"/>
        <v>0</v>
      </c>
      <c r="O74" s="214"/>
      <c r="P74" s="152">
        <v>0</v>
      </c>
      <c r="Q74" s="152">
        <v>0</v>
      </c>
      <c r="R74" s="152">
        <v>1</v>
      </c>
      <c r="S74" s="152">
        <v>63</v>
      </c>
    </row>
    <row r="75" spans="1:19" s="52" customFormat="1" ht="16.5" customHeight="1">
      <c r="A75" s="211">
        <v>64</v>
      </c>
      <c r="B75" s="215" t="s">
        <v>3719</v>
      </c>
      <c r="C75" s="211">
        <v>1946001</v>
      </c>
      <c r="D75" s="211"/>
      <c r="E75" s="152" t="s">
        <v>3643</v>
      </c>
      <c r="F75" s="152" t="s">
        <v>3624</v>
      </c>
      <c r="G75" s="178"/>
      <c r="H75" s="213"/>
      <c r="I75" s="213"/>
      <c r="J75" s="201">
        <f>COUNTIFS('TURMAS 2015.2'!U:U,A75)</f>
        <v>0</v>
      </c>
      <c r="K75" s="201">
        <f>SUMIFS('TURMAS 2015.2'!J:J,'TURMAS 2015.2'!U:U,A75)</f>
        <v>0</v>
      </c>
      <c r="L75" s="201">
        <f>COUNTIF('TURMAS 2015.2'!X:X,A75)</f>
        <v>0</v>
      </c>
      <c r="M75" s="201">
        <f>SUMIFS('TURMAS 2015.2'!K:K,'TURMAS 2015.2'!X:X,A75)</f>
        <v>0</v>
      </c>
      <c r="N75" s="201">
        <f t="shared" si="0"/>
        <v>0</v>
      </c>
      <c r="O75" s="214"/>
      <c r="P75" s="152"/>
      <c r="Q75" s="152"/>
      <c r="R75" s="152"/>
      <c r="S75" s="152">
        <v>64</v>
      </c>
    </row>
    <row r="76" spans="1:19" s="52" customFormat="1" ht="16.5" customHeight="1">
      <c r="A76" s="211">
        <v>65</v>
      </c>
      <c r="B76" s="212" t="s">
        <v>3720</v>
      </c>
      <c r="C76" s="211">
        <v>199419</v>
      </c>
      <c r="D76" s="212" t="s">
        <v>3642</v>
      </c>
      <c r="E76" s="152" t="s">
        <v>3611</v>
      </c>
      <c r="F76" s="152" t="s">
        <v>3624</v>
      </c>
      <c r="G76" s="178" t="s">
        <v>3639</v>
      </c>
      <c r="H76" s="213" t="s">
        <v>3639</v>
      </c>
      <c r="I76" s="213" t="s">
        <v>3639</v>
      </c>
      <c r="J76" s="201">
        <f>COUNTIFS('TURMAS 2015.2'!U:U,A76)</f>
        <v>1</v>
      </c>
      <c r="K76" s="201">
        <f>SUMIFS('TURMAS 2015.2'!J:J,'TURMAS 2015.2'!U:U,A76)</f>
        <v>6</v>
      </c>
      <c r="L76" s="201">
        <f>COUNTIF('TURMAS 2015.2'!X:X,A76)</f>
        <v>0</v>
      </c>
      <c r="M76" s="201">
        <f>SUMIFS('TURMAS 2015.2'!K:K,'TURMAS 2015.2'!X:X,A76)</f>
        <v>0</v>
      </c>
      <c r="N76" s="201">
        <f t="shared" ref="N76:N139" si="1">K76+M76</f>
        <v>6</v>
      </c>
      <c r="O76" s="214"/>
      <c r="P76" s="152">
        <v>0</v>
      </c>
      <c r="Q76" s="152">
        <v>0</v>
      </c>
      <c r="R76" s="152">
        <v>1</v>
      </c>
      <c r="S76" s="152">
        <v>65</v>
      </c>
    </row>
    <row r="77" spans="1:19" s="52" customFormat="1" ht="16.5" customHeight="1">
      <c r="A77" s="211">
        <v>66</v>
      </c>
      <c r="B77" s="212" t="s">
        <v>3721</v>
      </c>
      <c r="C77" s="211">
        <v>1985515</v>
      </c>
      <c r="D77" s="212" t="s">
        <v>3617</v>
      </c>
      <c r="E77" s="152" t="s">
        <v>3618</v>
      </c>
      <c r="F77" s="152" t="s">
        <v>3624</v>
      </c>
      <c r="G77" s="178" t="s">
        <v>3639</v>
      </c>
      <c r="H77" s="213" t="s">
        <v>3639</v>
      </c>
      <c r="I77" s="213" t="s">
        <v>3639</v>
      </c>
      <c r="J77" s="201">
        <f>COUNTIFS('TURMAS 2015.2'!U:U,A77)</f>
        <v>2</v>
      </c>
      <c r="K77" s="201">
        <f>SUMIFS('TURMAS 2015.2'!J:J,'TURMAS 2015.2'!U:U,A77)</f>
        <v>4</v>
      </c>
      <c r="L77" s="201">
        <f>COUNTIF('TURMAS 2015.2'!X:X,A77)</f>
        <v>0</v>
      </c>
      <c r="M77" s="201">
        <f>SUMIFS('TURMAS 2015.2'!K:K,'TURMAS 2015.2'!X:X,A77)</f>
        <v>0</v>
      </c>
      <c r="N77" s="201">
        <f t="shared" si="1"/>
        <v>4</v>
      </c>
      <c r="O77" s="214"/>
      <c r="P77" s="152">
        <v>0</v>
      </c>
      <c r="Q77" s="152">
        <v>0</v>
      </c>
      <c r="R77" s="152">
        <v>1</v>
      </c>
      <c r="S77" s="152">
        <v>66</v>
      </c>
    </row>
    <row r="78" spans="1:19" s="52" customFormat="1" ht="16.5" customHeight="1">
      <c r="A78" s="211">
        <v>67</v>
      </c>
      <c r="B78" s="212" t="s">
        <v>3722</v>
      </c>
      <c r="C78" s="211">
        <v>1671274</v>
      </c>
      <c r="D78" s="212" t="s">
        <v>3610</v>
      </c>
      <c r="E78" s="152" t="s">
        <v>3618</v>
      </c>
      <c r="F78" s="152" t="s">
        <v>3624</v>
      </c>
      <c r="G78" s="178" t="s">
        <v>3639</v>
      </c>
      <c r="H78" s="213" t="s">
        <v>3639</v>
      </c>
      <c r="I78" s="213" t="s">
        <v>3639</v>
      </c>
      <c r="J78" s="201">
        <f>COUNTIFS('TURMAS 2015.2'!U:U,A78)</f>
        <v>1</v>
      </c>
      <c r="K78" s="201">
        <f>SUMIFS('TURMAS 2015.2'!J:J,'TURMAS 2015.2'!U:U,A78)</f>
        <v>4</v>
      </c>
      <c r="L78" s="201">
        <f>COUNTIF('TURMAS 2015.2'!X:X,A78)</f>
        <v>1</v>
      </c>
      <c r="M78" s="201">
        <f>SUMIFS('TURMAS 2015.2'!K:K,'TURMAS 2015.2'!X:X,A78)</f>
        <v>4</v>
      </c>
      <c r="N78" s="201">
        <f t="shared" si="1"/>
        <v>8</v>
      </c>
      <c r="O78" s="214"/>
      <c r="P78" s="152">
        <v>0</v>
      </c>
      <c r="Q78" s="152">
        <v>0</v>
      </c>
      <c r="R78" s="152">
        <v>1</v>
      </c>
      <c r="S78" s="152">
        <v>67</v>
      </c>
    </row>
    <row r="79" spans="1:19" s="52" customFormat="1" ht="16.5" customHeight="1">
      <c r="A79" s="211">
        <v>68</v>
      </c>
      <c r="B79" s="212" t="s">
        <v>3723</v>
      </c>
      <c r="C79" s="211">
        <v>2121552</v>
      </c>
      <c r="D79" s="212" t="s">
        <v>3653</v>
      </c>
      <c r="E79" s="152" t="s">
        <v>3618</v>
      </c>
      <c r="F79" s="152" t="s">
        <v>3624</v>
      </c>
      <c r="G79" s="178" t="s">
        <v>3639</v>
      </c>
      <c r="H79" s="213" t="s">
        <v>3639</v>
      </c>
      <c r="I79" s="213" t="s">
        <v>3639</v>
      </c>
      <c r="J79" s="201">
        <f>COUNTIFS('TURMAS 2015.2'!U:U,A79)</f>
        <v>3</v>
      </c>
      <c r="K79" s="201">
        <f>SUMIFS('TURMAS 2015.2'!J:J,'TURMAS 2015.2'!U:U,A79)</f>
        <v>11</v>
      </c>
      <c r="L79" s="201">
        <f>COUNTIF('TURMAS 2015.2'!X:X,A79)</f>
        <v>0</v>
      </c>
      <c r="M79" s="201">
        <f>SUMIFS('TURMAS 2015.2'!K:K,'TURMAS 2015.2'!X:X,A79)</f>
        <v>0</v>
      </c>
      <c r="N79" s="201">
        <f t="shared" si="1"/>
        <v>11</v>
      </c>
      <c r="O79" s="214"/>
      <c r="P79" s="152">
        <v>0</v>
      </c>
      <c r="Q79" s="152">
        <v>0</v>
      </c>
      <c r="R79" s="152">
        <v>1</v>
      </c>
      <c r="S79" s="152">
        <v>68</v>
      </c>
    </row>
    <row r="80" spans="1:19" s="52" customFormat="1" ht="16.5" customHeight="1">
      <c r="A80" s="211">
        <v>69</v>
      </c>
      <c r="B80" s="212" t="s">
        <v>3724</v>
      </c>
      <c r="C80" s="211">
        <v>1676356</v>
      </c>
      <c r="D80" s="212" t="s">
        <v>3610</v>
      </c>
      <c r="E80" s="152" t="s">
        <v>3643</v>
      </c>
      <c r="F80" s="152" t="s">
        <v>3624</v>
      </c>
      <c r="G80" s="178" t="s">
        <v>3639</v>
      </c>
      <c r="H80" s="213" t="s">
        <v>3639</v>
      </c>
      <c r="I80" s="213" t="s">
        <v>3639</v>
      </c>
      <c r="J80" s="201">
        <f>COUNTIFS('TURMAS 2015.2'!U:U,A80)</f>
        <v>2</v>
      </c>
      <c r="K80" s="201">
        <f>SUMIFS('TURMAS 2015.2'!J:J,'TURMAS 2015.2'!U:U,A80)</f>
        <v>6</v>
      </c>
      <c r="L80" s="201">
        <f>COUNTIF('TURMAS 2015.2'!X:X,A80)</f>
        <v>0</v>
      </c>
      <c r="M80" s="201">
        <f>SUMIFS('TURMAS 2015.2'!K:K,'TURMAS 2015.2'!X:X,A80)</f>
        <v>0</v>
      </c>
      <c r="N80" s="201">
        <f t="shared" si="1"/>
        <v>6</v>
      </c>
      <c r="O80" s="214"/>
      <c r="P80" s="152">
        <v>0</v>
      </c>
      <c r="Q80" s="152">
        <v>0</v>
      </c>
      <c r="R80" s="152">
        <v>1</v>
      </c>
      <c r="S80" s="152">
        <v>69</v>
      </c>
    </row>
    <row r="81" spans="1:19" s="52" customFormat="1" ht="16.5" customHeight="1">
      <c r="A81" s="211">
        <v>70</v>
      </c>
      <c r="B81" s="212" t="s">
        <v>3725</v>
      </c>
      <c r="C81" s="211">
        <v>149735</v>
      </c>
      <c r="D81" s="212" t="s">
        <v>3617</v>
      </c>
      <c r="E81" s="152" t="s">
        <v>3611</v>
      </c>
      <c r="F81" s="152" t="s">
        <v>3624</v>
      </c>
      <c r="G81" s="178" t="s">
        <v>3639</v>
      </c>
      <c r="H81" s="213" t="s">
        <v>3639</v>
      </c>
      <c r="I81" s="213" t="s">
        <v>3639</v>
      </c>
      <c r="J81" s="201">
        <f>COUNTIFS('TURMAS 2015.2'!U:U,A81)</f>
        <v>2</v>
      </c>
      <c r="K81" s="201">
        <f>SUMIFS('TURMAS 2015.2'!J:J,'TURMAS 2015.2'!U:U,A81)</f>
        <v>8</v>
      </c>
      <c r="L81" s="201">
        <f>COUNTIF('TURMAS 2015.2'!X:X,A81)</f>
        <v>2</v>
      </c>
      <c r="M81" s="201">
        <f>SUMIFS('TURMAS 2015.2'!K:K,'TURMAS 2015.2'!X:X,A81)</f>
        <v>0</v>
      </c>
      <c r="N81" s="201">
        <f t="shared" si="1"/>
        <v>8</v>
      </c>
      <c r="O81" s="214"/>
      <c r="P81" s="152">
        <v>0</v>
      </c>
      <c r="Q81" s="152">
        <v>0</v>
      </c>
      <c r="R81" s="152">
        <v>1</v>
      </c>
      <c r="S81" s="152">
        <v>70</v>
      </c>
    </row>
    <row r="82" spans="1:19" s="52" customFormat="1" ht="16.5" customHeight="1">
      <c r="A82" s="211">
        <v>71</v>
      </c>
      <c r="B82" s="212" t="s">
        <v>3726</v>
      </c>
      <c r="C82" s="211">
        <v>1544395</v>
      </c>
      <c r="D82" s="212" t="s">
        <v>3610</v>
      </c>
      <c r="E82" s="152" t="s">
        <v>3618</v>
      </c>
      <c r="F82" s="152" t="s">
        <v>3624</v>
      </c>
      <c r="G82" s="178" t="s">
        <v>3639</v>
      </c>
      <c r="H82" s="213" t="s">
        <v>3639</v>
      </c>
      <c r="I82" s="213" t="s">
        <v>3639</v>
      </c>
      <c r="J82" s="201">
        <f>COUNTIFS('TURMAS 2015.2'!U:U,A82)</f>
        <v>1</v>
      </c>
      <c r="K82" s="201">
        <f>SUMIFS('TURMAS 2015.2'!J:J,'TURMAS 2015.2'!U:U,A82)</f>
        <v>4</v>
      </c>
      <c r="L82" s="201">
        <f>COUNTIF('TURMAS 2015.2'!X:X,A82)</f>
        <v>0</v>
      </c>
      <c r="M82" s="201">
        <f>SUMIFS('TURMAS 2015.2'!K:K,'TURMAS 2015.2'!X:X,A82)</f>
        <v>0</v>
      </c>
      <c r="N82" s="201">
        <f t="shared" si="1"/>
        <v>4</v>
      </c>
      <c r="O82" s="214"/>
      <c r="P82" s="152" t="s">
        <v>3727</v>
      </c>
      <c r="Q82" s="152">
        <v>0.5</v>
      </c>
      <c r="R82" s="152">
        <v>0.5</v>
      </c>
      <c r="S82" s="152">
        <v>71</v>
      </c>
    </row>
    <row r="83" spans="1:19" s="52" customFormat="1" ht="16.5" customHeight="1">
      <c r="A83" s="211">
        <v>72</v>
      </c>
      <c r="B83" s="212" t="s">
        <v>3728</v>
      </c>
      <c r="C83" s="211">
        <v>1544353</v>
      </c>
      <c r="D83" s="212" t="s">
        <v>3610</v>
      </c>
      <c r="E83" s="152" t="s">
        <v>3611</v>
      </c>
      <c r="F83" s="152" t="s">
        <v>3624</v>
      </c>
      <c r="G83" s="178" t="s">
        <v>3639</v>
      </c>
      <c r="H83" s="213" t="s">
        <v>3639</v>
      </c>
      <c r="I83" s="213" t="s">
        <v>3639</v>
      </c>
      <c r="J83" s="201">
        <f>COUNTIFS('TURMAS 2015.2'!U:U,A83)</f>
        <v>1</v>
      </c>
      <c r="K83" s="201">
        <f>SUMIFS('TURMAS 2015.2'!J:J,'TURMAS 2015.2'!U:U,A83)</f>
        <v>4</v>
      </c>
      <c r="L83" s="201">
        <f>COUNTIF('TURMAS 2015.2'!X:X,A83)</f>
        <v>0</v>
      </c>
      <c r="M83" s="201">
        <f>SUMIFS('TURMAS 2015.2'!K:K,'TURMAS 2015.2'!X:X,A83)</f>
        <v>0</v>
      </c>
      <c r="N83" s="201">
        <f t="shared" si="1"/>
        <v>4</v>
      </c>
      <c r="O83" s="214"/>
      <c r="P83" s="152">
        <v>0</v>
      </c>
      <c r="Q83" s="152">
        <v>0</v>
      </c>
      <c r="R83" s="152">
        <v>1</v>
      </c>
      <c r="S83" s="152">
        <v>72</v>
      </c>
    </row>
    <row r="84" spans="1:19" s="52" customFormat="1" ht="16.5" customHeight="1">
      <c r="A84" s="211">
        <v>73</v>
      </c>
      <c r="B84" s="212" t="s">
        <v>3729</v>
      </c>
      <c r="C84" s="211">
        <v>1600878</v>
      </c>
      <c r="D84" s="212" t="s">
        <v>3610</v>
      </c>
      <c r="E84" s="152" t="s">
        <v>3643</v>
      </c>
      <c r="F84" s="152" t="s">
        <v>3624</v>
      </c>
      <c r="G84" s="178" t="s">
        <v>3639</v>
      </c>
      <c r="H84" s="213" t="s">
        <v>3639</v>
      </c>
      <c r="I84" s="213" t="s">
        <v>3639</v>
      </c>
      <c r="J84" s="201">
        <f>COUNTIFS('TURMAS 2015.2'!U:U,A84)</f>
        <v>2</v>
      </c>
      <c r="K84" s="201">
        <f>SUMIFS('TURMAS 2015.2'!J:J,'TURMAS 2015.2'!U:U,A84)</f>
        <v>6</v>
      </c>
      <c r="L84" s="201">
        <f>COUNTIF('TURMAS 2015.2'!X:X,A84)</f>
        <v>0</v>
      </c>
      <c r="M84" s="201">
        <f>SUMIFS('TURMAS 2015.2'!K:K,'TURMAS 2015.2'!X:X,A84)</f>
        <v>0</v>
      </c>
      <c r="N84" s="201">
        <f t="shared" si="1"/>
        <v>6</v>
      </c>
      <c r="O84" s="214"/>
      <c r="P84" s="152">
        <v>0</v>
      </c>
      <c r="Q84" s="152">
        <v>0</v>
      </c>
      <c r="R84" s="152">
        <v>1</v>
      </c>
      <c r="S84" s="152">
        <v>73</v>
      </c>
    </row>
    <row r="85" spans="1:19" s="52" customFormat="1" ht="16.5" customHeight="1">
      <c r="A85" s="211">
        <v>74</v>
      </c>
      <c r="B85" s="212" t="s">
        <v>3730</v>
      </c>
      <c r="C85" s="211">
        <v>1909951</v>
      </c>
      <c r="D85" s="212" t="s">
        <v>3635</v>
      </c>
      <c r="E85" s="152" t="s">
        <v>3643</v>
      </c>
      <c r="F85" s="152" t="s">
        <v>3624</v>
      </c>
      <c r="G85" s="178" t="s">
        <v>3639</v>
      </c>
      <c r="H85" s="213" t="s">
        <v>3639</v>
      </c>
      <c r="I85" s="213" t="s">
        <v>3639</v>
      </c>
      <c r="J85" s="201">
        <f>COUNTIFS('TURMAS 2015.2'!U:U,A85)</f>
        <v>2</v>
      </c>
      <c r="K85" s="201">
        <f>SUMIFS('TURMAS 2015.2'!J:J,'TURMAS 2015.2'!U:U,A85)</f>
        <v>8</v>
      </c>
      <c r="L85" s="201">
        <f>COUNTIF('TURMAS 2015.2'!X:X,A85)</f>
        <v>0</v>
      </c>
      <c r="M85" s="201">
        <f>SUMIFS('TURMAS 2015.2'!K:K,'TURMAS 2015.2'!X:X,A85)</f>
        <v>0</v>
      </c>
      <c r="N85" s="201">
        <f t="shared" si="1"/>
        <v>8</v>
      </c>
      <c r="O85" s="214"/>
      <c r="P85" s="152">
        <v>0</v>
      </c>
      <c r="Q85" s="152">
        <v>0</v>
      </c>
      <c r="R85" s="152">
        <v>1</v>
      </c>
      <c r="S85" s="152">
        <v>74</v>
      </c>
    </row>
    <row r="86" spans="1:19" s="52" customFormat="1" ht="16.5" customHeight="1">
      <c r="A86" s="211">
        <v>75</v>
      </c>
      <c r="B86" s="212" t="s">
        <v>3731</v>
      </c>
      <c r="C86" s="211">
        <v>1688193</v>
      </c>
      <c r="D86" s="212" t="s">
        <v>3610</v>
      </c>
      <c r="E86" s="152" t="s">
        <v>3618</v>
      </c>
      <c r="F86" s="152" t="s">
        <v>3624</v>
      </c>
      <c r="G86" s="178" t="s">
        <v>3639</v>
      </c>
      <c r="H86" s="213" t="s">
        <v>3639</v>
      </c>
      <c r="I86" s="213" t="s">
        <v>3639</v>
      </c>
      <c r="J86" s="201">
        <f>COUNTIFS('TURMAS 2015.2'!U:U,A86)</f>
        <v>0</v>
      </c>
      <c r="K86" s="201">
        <f>SUMIFS('TURMAS 2015.2'!J:J,'TURMAS 2015.2'!U:U,A86)</f>
        <v>0</v>
      </c>
      <c r="L86" s="201">
        <f>COUNTIF('TURMAS 2015.2'!X:X,A86)</f>
        <v>0</v>
      </c>
      <c r="M86" s="201">
        <f>SUMIFS('TURMAS 2015.2'!K:K,'TURMAS 2015.2'!X:X,A86)</f>
        <v>0</v>
      </c>
      <c r="N86" s="201">
        <f t="shared" si="1"/>
        <v>0</v>
      </c>
      <c r="O86" s="214"/>
      <c r="P86" s="152">
        <v>0</v>
      </c>
      <c r="Q86" s="152">
        <v>0</v>
      </c>
      <c r="R86" s="152">
        <v>1</v>
      </c>
      <c r="S86" s="152">
        <v>75</v>
      </c>
    </row>
    <row r="87" spans="1:19" s="52" customFormat="1" ht="16.5" customHeight="1">
      <c r="A87" s="211">
        <v>76</v>
      </c>
      <c r="B87" s="215" t="s">
        <v>3732</v>
      </c>
      <c r="C87" s="211">
        <v>1365498</v>
      </c>
      <c r="D87" s="211"/>
      <c r="E87" s="152" t="s">
        <v>3618</v>
      </c>
      <c r="F87" s="152" t="s">
        <v>3624</v>
      </c>
      <c r="G87" s="178"/>
      <c r="H87" s="213"/>
      <c r="I87" s="213"/>
      <c r="J87" s="201">
        <f>COUNTIFS('TURMAS 2015.2'!U:U,A87)</f>
        <v>0</v>
      </c>
      <c r="K87" s="201">
        <f>SUMIFS('TURMAS 2015.2'!J:J,'TURMAS 2015.2'!U:U,A87)</f>
        <v>0</v>
      </c>
      <c r="L87" s="201">
        <f>COUNTIF('TURMAS 2015.2'!X:X,A87)</f>
        <v>0</v>
      </c>
      <c r="M87" s="201">
        <f>SUMIFS('TURMAS 2015.2'!K:K,'TURMAS 2015.2'!X:X,A87)</f>
        <v>0</v>
      </c>
      <c r="N87" s="201">
        <f t="shared" si="1"/>
        <v>0</v>
      </c>
      <c r="O87" s="214"/>
      <c r="P87" s="152"/>
      <c r="Q87" s="152"/>
      <c r="R87" s="152"/>
      <c r="S87" s="152">
        <v>76</v>
      </c>
    </row>
    <row r="88" spans="1:19" s="52" customFormat="1" ht="16.5" customHeight="1">
      <c r="A88" s="211">
        <v>77</v>
      </c>
      <c r="B88" s="212" t="s">
        <v>3733</v>
      </c>
      <c r="C88" s="211">
        <v>1660201</v>
      </c>
      <c r="D88" s="212" t="s">
        <v>3653</v>
      </c>
      <c r="E88" s="152" t="s">
        <v>3643</v>
      </c>
      <c r="F88" s="152" t="s">
        <v>3624</v>
      </c>
      <c r="G88" s="178" t="s">
        <v>3639</v>
      </c>
      <c r="H88" s="213" t="s">
        <v>3639</v>
      </c>
      <c r="I88" s="213" t="s">
        <v>3639</v>
      </c>
      <c r="J88" s="201">
        <f>COUNTIFS('TURMAS 2015.2'!U:U,A88)</f>
        <v>3</v>
      </c>
      <c r="K88" s="201">
        <f>SUMIFS('TURMAS 2015.2'!J:J,'TURMAS 2015.2'!U:U,A88)</f>
        <v>8</v>
      </c>
      <c r="L88" s="201">
        <f>COUNTIF('TURMAS 2015.2'!X:X,A88)</f>
        <v>0</v>
      </c>
      <c r="M88" s="201">
        <f>SUMIFS('TURMAS 2015.2'!K:K,'TURMAS 2015.2'!X:X,A88)</f>
        <v>0</v>
      </c>
      <c r="N88" s="201">
        <f t="shared" si="1"/>
        <v>8</v>
      </c>
      <c r="O88" s="214"/>
      <c r="P88" s="152">
        <v>0</v>
      </c>
      <c r="Q88" s="152">
        <v>0</v>
      </c>
      <c r="R88" s="152">
        <v>1</v>
      </c>
      <c r="S88" s="152">
        <v>77</v>
      </c>
    </row>
    <row r="89" spans="1:19" s="52" customFormat="1" ht="16.5" customHeight="1">
      <c r="A89" s="211">
        <v>78</v>
      </c>
      <c r="B89" s="212" t="s">
        <v>3734</v>
      </c>
      <c r="C89" s="211">
        <v>2082333</v>
      </c>
      <c r="D89" s="212" t="s">
        <v>3735</v>
      </c>
      <c r="E89" s="152" t="s">
        <v>3611</v>
      </c>
      <c r="F89" s="152" t="s">
        <v>3624</v>
      </c>
      <c r="G89" s="178" t="s">
        <v>3639</v>
      </c>
      <c r="H89" s="213" t="s">
        <v>3639</v>
      </c>
      <c r="I89" s="213" t="s">
        <v>3639</v>
      </c>
      <c r="J89" s="201">
        <f>COUNTIFS('TURMAS 2015.2'!U:U,A89)</f>
        <v>0</v>
      </c>
      <c r="K89" s="201">
        <f>SUMIFS('TURMAS 2015.2'!J:J,'TURMAS 2015.2'!U:U,A89)</f>
        <v>0</v>
      </c>
      <c r="L89" s="201">
        <f>COUNTIF('TURMAS 2015.2'!X:X,A89)</f>
        <v>0</v>
      </c>
      <c r="M89" s="201">
        <f>SUMIFS('TURMAS 2015.2'!K:K,'TURMAS 2015.2'!X:X,A89)</f>
        <v>0</v>
      </c>
      <c r="N89" s="201">
        <f t="shared" si="1"/>
        <v>0</v>
      </c>
      <c r="O89" s="214"/>
      <c r="P89" s="152">
        <v>0</v>
      </c>
      <c r="Q89" s="152">
        <v>0</v>
      </c>
      <c r="R89" s="152">
        <v>1</v>
      </c>
      <c r="S89" s="152">
        <v>78</v>
      </c>
    </row>
    <row r="90" spans="1:19" s="56" customFormat="1" ht="16.5" customHeight="1">
      <c r="A90" s="211">
        <v>79</v>
      </c>
      <c r="B90" s="212" t="s">
        <v>3736</v>
      </c>
      <c r="C90" s="211">
        <v>2046361</v>
      </c>
      <c r="D90" s="212" t="s">
        <v>3653</v>
      </c>
      <c r="E90" s="152" t="s">
        <v>3643</v>
      </c>
      <c r="F90" s="152" t="s">
        <v>3624</v>
      </c>
      <c r="G90" s="178" t="s">
        <v>3639</v>
      </c>
      <c r="H90" s="213" t="s">
        <v>3639</v>
      </c>
      <c r="I90" s="213" t="s">
        <v>3639</v>
      </c>
      <c r="J90" s="201">
        <f>COUNTIFS('TURMAS 2015.2'!U:U,A90)</f>
        <v>2</v>
      </c>
      <c r="K90" s="201">
        <f>SUMIFS('TURMAS 2015.2'!J:J,'TURMAS 2015.2'!U:U,A90)</f>
        <v>4</v>
      </c>
      <c r="L90" s="201">
        <f>COUNTIF('TURMAS 2015.2'!X:X,A90)</f>
        <v>0</v>
      </c>
      <c r="M90" s="201">
        <f>SUMIFS('TURMAS 2015.2'!K:K,'TURMAS 2015.2'!X:X,A90)</f>
        <v>0</v>
      </c>
      <c r="N90" s="201">
        <f t="shared" si="1"/>
        <v>4</v>
      </c>
      <c r="O90" s="214"/>
      <c r="P90" s="152">
        <v>0</v>
      </c>
      <c r="Q90" s="152">
        <v>0</v>
      </c>
      <c r="R90" s="152">
        <v>1</v>
      </c>
      <c r="S90" s="152">
        <v>79</v>
      </c>
    </row>
    <row r="91" spans="1:19" s="52" customFormat="1" ht="16.5" customHeight="1">
      <c r="A91" s="211">
        <v>80</v>
      </c>
      <c r="B91" s="212" t="s">
        <v>3737</v>
      </c>
      <c r="C91" s="211">
        <v>2923651</v>
      </c>
      <c r="D91" s="212" t="s">
        <v>3653</v>
      </c>
      <c r="E91" s="152" t="s">
        <v>3643</v>
      </c>
      <c r="F91" s="152" t="s">
        <v>3624</v>
      </c>
      <c r="G91" s="178" t="s">
        <v>3639</v>
      </c>
      <c r="H91" s="213" t="s">
        <v>3639</v>
      </c>
      <c r="I91" s="213" t="s">
        <v>3639</v>
      </c>
      <c r="J91" s="201">
        <f>COUNTIFS('TURMAS 2015.2'!U:U,A91)</f>
        <v>2</v>
      </c>
      <c r="K91" s="201">
        <f>SUMIFS('TURMAS 2015.2'!J:J,'TURMAS 2015.2'!U:U,A91)</f>
        <v>8</v>
      </c>
      <c r="L91" s="201">
        <f>COUNTIF('TURMAS 2015.2'!X:X,A91)</f>
        <v>0</v>
      </c>
      <c r="M91" s="201">
        <f>SUMIFS('TURMAS 2015.2'!K:K,'TURMAS 2015.2'!X:X,A91)</f>
        <v>0</v>
      </c>
      <c r="N91" s="201">
        <f t="shared" si="1"/>
        <v>8</v>
      </c>
      <c r="O91" s="214"/>
      <c r="P91" s="152">
        <v>0</v>
      </c>
      <c r="Q91" s="152">
        <v>0</v>
      </c>
      <c r="R91" s="152">
        <v>1</v>
      </c>
      <c r="S91" s="152">
        <v>80</v>
      </c>
    </row>
    <row r="92" spans="1:19" s="52" customFormat="1" ht="16.5" customHeight="1">
      <c r="A92" s="211">
        <v>81</v>
      </c>
      <c r="B92" s="212" t="s">
        <v>3738</v>
      </c>
      <c r="C92" s="211">
        <v>1891496</v>
      </c>
      <c r="D92" s="212" t="s">
        <v>3635</v>
      </c>
      <c r="E92" s="152" t="s">
        <v>3618</v>
      </c>
      <c r="F92" s="152" t="s">
        <v>3624</v>
      </c>
      <c r="G92" s="178" t="s">
        <v>3639</v>
      </c>
      <c r="H92" s="213" t="s">
        <v>3639</v>
      </c>
      <c r="I92" s="213" t="s">
        <v>3639</v>
      </c>
      <c r="J92" s="201">
        <f>COUNTIFS('TURMAS 2015.2'!U:U,A92)</f>
        <v>2</v>
      </c>
      <c r="K92" s="201">
        <f>SUMIFS('TURMAS 2015.2'!J:J,'TURMAS 2015.2'!U:U,A92)</f>
        <v>8</v>
      </c>
      <c r="L92" s="201">
        <f>COUNTIF('TURMAS 2015.2'!X:X,A92)</f>
        <v>0</v>
      </c>
      <c r="M92" s="201">
        <f>SUMIFS('TURMAS 2015.2'!K:K,'TURMAS 2015.2'!X:X,A92)</f>
        <v>0</v>
      </c>
      <c r="N92" s="201">
        <f t="shared" si="1"/>
        <v>8</v>
      </c>
      <c r="O92" s="214"/>
      <c r="P92" s="152" t="s">
        <v>3739</v>
      </c>
      <c r="Q92" s="152">
        <v>0.5</v>
      </c>
      <c r="R92" s="152">
        <v>0.5</v>
      </c>
      <c r="S92" s="152">
        <v>81</v>
      </c>
    </row>
    <row r="93" spans="1:19" s="52" customFormat="1" ht="16.5" customHeight="1">
      <c r="A93" s="211">
        <v>82</v>
      </c>
      <c r="B93" s="212" t="s">
        <v>3740</v>
      </c>
      <c r="C93" s="211">
        <v>1654772</v>
      </c>
      <c r="D93" s="212" t="s">
        <v>3610</v>
      </c>
      <c r="E93" s="152" t="s">
        <v>3643</v>
      </c>
      <c r="F93" s="152" t="s">
        <v>3624</v>
      </c>
      <c r="G93" s="178" t="s">
        <v>3639</v>
      </c>
      <c r="H93" s="213" t="s">
        <v>3639</v>
      </c>
      <c r="I93" s="213" t="s">
        <v>3639</v>
      </c>
      <c r="J93" s="201">
        <f>COUNTIFS('TURMAS 2015.2'!U:U,A93)</f>
        <v>0</v>
      </c>
      <c r="K93" s="201">
        <f>SUMIFS('TURMAS 2015.2'!J:J,'TURMAS 2015.2'!U:U,A93)</f>
        <v>0</v>
      </c>
      <c r="L93" s="201">
        <f>COUNTIF('TURMAS 2015.2'!X:X,A93)</f>
        <v>0</v>
      </c>
      <c r="M93" s="201">
        <f>SUMIFS('TURMAS 2015.2'!K:K,'TURMAS 2015.2'!X:X,A93)</f>
        <v>0</v>
      </c>
      <c r="N93" s="201">
        <f t="shared" si="1"/>
        <v>0</v>
      </c>
      <c r="O93" s="214"/>
      <c r="P93" s="152">
        <v>0</v>
      </c>
      <c r="Q93" s="152">
        <v>0</v>
      </c>
      <c r="R93" s="152">
        <v>1</v>
      </c>
      <c r="S93" s="152">
        <v>82</v>
      </c>
    </row>
    <row r="94" spans="1:19" s="52" customFormat="1" ht="16.5" customHeight="1">
      <c r="A94" s="211">
        <v>83</v>
      </c>
      <c r="B94" s="212" t="s">
        <v>3741</v>
      </c>
      <c r="C94" s="211">
        <v>1771857</v>
      </c>
      <c r="D94" s="212" t="s">
        <v>3610</v>
      </c>
      <c r="E94" s="152" t="s">
        <v>3643</v>
      </c>
      <c r="F94" s="152" t="s">
        <v>3624</v>
      </c>
      <c r="G94" s="178" t="s">
        <v>3639</v>
      </c>
      <c r="H94" s="213" t="s">
        <v>3639</v>
      </c>
      <c r="I94" s="213" t="s">
        <v>3639</v>
      </c>
      <c r="J94" s="201">
        <f>COUNTIFS('TURMAS 2015.2'!U:U,A94)</f>
        <v>0</v>
      </c>
      <c r="K94" s="201">
        <f>SUMIFS('TURMAS 2015.2'!J:J,'TURMAS 2015.2'!U:U,A94)</f>
        <v>0</v>
      </c>
      <c r="L94" s="201">
        <f>COUNTIF('TURMAS 2015.2'!X:X,A94)</f>
        <v>4</v>
      </c>
      <c r="M94" s="201">
        <f>SUMIFS('TURMAS 2015.2'!K:K,'TURMAS 2015.2'!X:X,A94)</f>
        <v>12</v>
      </c>
      <c r="N94" s="201">
        <f t="shared" si="1"/>
        <v>12</v>
      </c>
      <c r="O94" s="214"/>
      <c r="P94" s="152" t="s">
        <v>3742</v>
      </c>
      <c r="Q94" s="152">
        <v>0.5</v>
      </c>
      <c r="R94" s="152">
        <v>0.5</v>
      </c>
      <c r="S94" s="152">
        <v>83</v>
      </c>
    </row>
    <row r="95" spans="1:19" s="52" customFormat="1" ht="16.5" customHeight="1">
      <c r="A95" s="211">
        <v>84</v>
      </c>
      <c r="B95" s="212" t="s">
        <v>3743</v>
      </c>
      <c r="C95" s="211">
        <v>1842782</v>
      </c>
      <c r="D95" s="212" t="s">
        <v>3642</v>
      </c>
      <c r="E95" s="152" t="s">
        <v>3618</v>
      </c>
      <c r="F95" s="152" t="s">
        <v>3624</v>
      </c>
      <c r="G95" s="178" t="s">
        <v>3639</v>
      </c>
      <c r="H95" s="213" t="s">
        <v>3639</v>
      </c>
      <c r="I95" s="213" t="s">
        <v>3639</v>
      </c>
      <c r="J95" s="201">
        <f>COUNTIFS('TURMAS 2015.2'!U:U,A95)</f>
        <v>2</v>
      </c>
      <c r="K95" s="201">
        <f>SUMIFS('TURMAS 2015.2'!J:J,'TURMAS 2015.2'!U:U,A95)</f>
        <v>3</v>
      </c>
      <c r="L95" s="201">
        <f>COUNTIF('TURMAS 2015.2'!X:X,A95)</f>
        <v>1</v>
      </c>
      <c r="M95" s="201">
        <f>SUMIFS('TURMAS 2015.2'!K:K,'TURMAS 2015.2'!X:X,A95)</f>
        <v>2</v>
      </c>
      <c r="N95" s="201">
        <f t="shared" si="1"/>
        <v>5</v>
      </c>
      <c r="O95" s="214"/>
      <c r="P95" s="152">
        <v>0</v>
      </c>
      <c r="Q95" s="152">
        <v>0</v>
      </c>
      <c r="R95" s="152">
        <v>1</v>
      </c>
      <c r="S95" s="152">
        <v>84</v>
      </c>
    </row>
    <row r="96" spans="1:19" s="52" customFormat="1" ht="16.5" customHeight="1">
      <c r="A96" s="211">
        <v>85</v>
      </c>
      <c r="B96" s="212" t="s">
        <v>3744</v>
      </c>
      <c r="C96" s="211">
        <v>1196309</v>
      </c>
      <c r="D96" s="212" t="s">
        <v>3621</v>
      </c>
      <c r="E96" s="152" t="s">
        <v>3611</v>
      </c>
      <c r="F96" s="152" t="s">
        <v>3624</v>
      </c>
      <c r="G96" s="178" t="s">
        <v>3639</v>
      </c>
      <c r="H96" s="213" t="s">
        <v>3639</v>
      </c>
      <c r="I96" s="213" t="s">
        <v>3639</v>
      </c>
      <c r="J96" s="201">
        <f>COUNTIFS('TURMAS 2015.2'!U:U,A96)</f>
        <v>1</v>
      </c>
      <c r="K96" s="201">
        <f>SUMIFS('TURMAS 2015.2'!J:J,'TURMAS 2015.2'!U:U,A96)</f>
        <v>3</v>
      </c>
      <c r="L96" s="201">
        <f>COUNTIF('TURMAS 2015.2'!X:X,A96)</f>
        <v>1</v>
      </c>
      <c r="M96" s="201">
        <f>SUMIFS('TURMAS 2015.2'!K:K,'TURMAS 2015.2'!X:X,A96)</f>
        <v>1</v>
      </c>
      <c r="N96" s="201">
        <f t="shared" si="1"/>
        <v>4</v>
      </c>
      <c r="O96" s="214"/>
      <c r="P96" s="152" t="s">
        <v>3745</v>
      </c>
      <c r="Q96" s="152">
        <v>1</v>
      </c>
      <c r="R96" s="152">
        <v>0</v>
      </c>
      <c r="S96" s="152">
        <v>85</v>
      </c>
    </row>
    <row r="97" spans="1:19" s="52" customFormat="1" ht="16.5" customHeight="1">
      <c r="A97" s="211">
        <v>86</v>
      </c>
      <c r="B97" s="212" t="s">
        <v>3746</v>
      </c>
      <c r="C97" s="211">
        <v>1564754</v>
      </c>
      <c r="D97" s="212" t="s">
        <v>3635</v>
      </c>
      <c r="E97" s="152" t="s">
        <v>3618</v>
      </c>
      <c r="F97" s="152" t="s">
        <v>3624</v>
      </c>
      <c r="G97" s="178" t="s">
        <v>3639</v>
      </c>
      <c r="H97" s="213" t="s">
        <v>3639</v>
      </c>
      <c r="I97" s="213" t="s">
        <v>3639</v>
      </c>
      <c r="J97" s="201">
        <f>COUNTIFS('TURMAS 2015.2'!U:U,A97)</f>
        <v>3</v>
      </c>
      <c r="K97" s="201">
        <f>SUMIFS('TURMAS 2015.2'!J:J,'TURMAS 2015.2'!U:U,A97)</f>
        <v>11</v>
      </c>
      <c r="L97" s="201">
        <f>COUNTIF('TURMAS 2015.2'!X:X,A97)</f>
        <v>3</v>
      </c>
      <c r="M97" s="201">
        <f>SUMIFS('TURMAS 2015.2'!K:K,'TURMAS 2015.2'!X:X,A97)</f>
        <v>5</v>
      </c>
      <c r="N97" s="201">
        <f t="shared" si="1"/>
        <v>16</v>
      </c>
      <c r="O97" s="214"/>
      <c r="P97" s="152">
        <v>0</v>
      </c>
      <c r="Q97" s="152">
        <v>0</v>
      </c>
      <c r="R97" s="152">
        <v>1</v>
      </c>
      <c r="S97" s="152">
        <v>86</v>
      </c>
    </row>
    <row r="98" spans="1:19" s="52" customFormat="1" ht="16.5" customHeight="1">
      <c r="A98" s="211">
        <v>87</v>
      </c>
      <c r="B98" s="212" t="s">
        <v>3747</v>
      </c>
      <c r="C98" s="211">
        <v>1849928</v>
      </c>
      <c r="D98" s="212" t="s">
        <v>3617</v>
      </c>
      <c r="E98" s="152" t="s">
        <v>3611</v>
      </c>
      <c r="F98" s="152" t="s">
        <v>3624</v>
      </c>
      <c r="G98" s="178" t="s">
        <v>3639</v>
      </c>
      <c r="H98" s="213" t="s">
        <v>3639</v>
      </c>
      <c r="I98" s="213" t="s">
        <v>3639</v>
      </c>
      <c r="J98" s="201">
        <f>COUNTIFS('TURMAS 2015.2'!U:U,A98)</f>
        <v>2</v>
      </c>
      <c r="K98" s="201">
        <f>SUMIFS('TURMAS 2015.2'!J:J,'TURMAS 2015.2'!U:U,A98)</f>
        <v>6</v>
      </c>
      <c r="L98" s="201">
        <f>COUNTIF('TURMAS 2015.2'!X:X,A98)</f>
        <v>0</v>
      </c>
      <c r="M98" s="201">
        <f>SUMIFS('TURMAS 2015.2'!K:K,'TURMAS 2015.2'!X:X,A98)</f>
        <v>0</v>
      </c>
      <c r="N98" s="201">
        <f t="shared" si="1"/>
        <v>6</v>
      </c>
      <c r="O98" s="214"/>
      <c r="P98" s="152">
        <v>0</v>
      </c>
      <c r="Q98" s="152">
        <v>0</v>
      </c>
      <c r="R98" s="152">
        <v>1</v>
      </c>
      <c r="S98" s="152">
        <v>87</v>
      </c>
    </row>
    <row r="99" spans="1:19" s="52" customFormat="1" ht="16.5" customHeight="1">
      <c r="A99" s="211">
        <v>88</v>
      </c>
      <c r="B99" s="212" t="s">
        <v>3748</v>
      </c>
      <c r="C99" s="211">
        <v>1762419</v>
      </c>
      <c r="D99" s="212" t="s">
        <v>3610</v>
      </c>
      <c r="E99" s="152" t="s">
        <v>3618</v>
      </c>
      <c r="F99" s="152" t="s">
        <v>3624</v>
      </c>
      <c r="G99" s="178" t="s">
        <v>3639</v>
      </c>
      <c r="H99" s="213" t="s">
        <v>3639</v>
      </c>
      <c r="I99" s="213" t="s">
        <v>3639</v>
      </c>
      <c r="J99" s="201">
        <f>COUNTIFS('TURMAS 2015.2'!U:U,A99)</f>
        <v>0</v>
      </c>
      <c r="K99" s="201">
        <f>SUMIFS('TURMAS 2015.2'!J:J,'TURMAS 2015.2'!U:U,A99)</f>
        <v>0</v>
      </c>
      <c r="L99" s="201">
        <f>COUNTIF('TURMAS 2015.2'!X:X,A99)</f>
        <v>0</v>
      </c>
      <c r="M99" s="201">
        <f>SUMIFS('TURMAS 2015.2'!K:K,'TURMAS 2015.2'!X:X,A99)</f>
        <v>0</v>
      </c>
      <c r="N99" s="201">
        <f t="shared" si="1"/>
        <v>0</v>
      </c>
      <c r="O99" s="214"/>
      <c r="P99" s="152">
        <v>0</v>
      </c>
      <c r="Q99" s="152">
        <v>0</v>
      </c>
      <c r="R99" s="152">
        <v>1</v>
      </c>
      <c r="S99" s="152">
        <v>88</v>
      </c>
    </row>
    <row r="100" spans="1:19" s="52" customFormat="1" ht="16.5" customHeight="1">
      <c r="A100" s="211">
        <v>89</v>
      </c>
      <c r="B100" s="212" t="s">
        <v>3749</v>
      </c>
      <c r="C100" s="211">
        <v>1766464</v>
      </c>
      <c r="D100" s="212" t="s">
        <v>3610</v>
      </c>
      <c r="E100" s="152" t="s">
        <v>3618</v>
      </c>
      <c r="F100" s="152" t="s">
        <v>3624</v>
      </c>
      <c r="G100" s="178" t="s">
        <v>3639</v>
      </c>
      <c r="H100" s="213" t="s">
        <v>3639</v>
      </c>
      <c r="I100" s="213" t="s">
        <v>3639</v>
      </c>
      <c r="J100" s="201">
        <f>COUNTIFS('TURMAS 2015.2'!U:U,A100)</f>
        <v>0</v>
      </c>
      <c r="K100" s="201">
        <f>SUMIFS('TURMAS 2015.2'!J:J,'TURMAS 2015.2'!U:U,A100)</f>
        <v>0</v>
      </c>
      <c r="L100" s="201">
        <f>COUNTIF('TURMAS 2015.2'!X:X,A100)</f>
        <v>0</v>
      </c>
      <c r="M100" s="201">
        <f>SUMIFS('TURMAS 2015.2'!K:K,'TURMAS 2015.2'!X:X,A100)</f>
        <v>0</v>
      </c>
      <c r="N100" s="201">
        <f t="shared" si="1"/>
        <v>0</v>
      </c>
      <c r="O100" s="214"/>
      <c r="P100" s="152">
        <v>0</v>
      </c>
      <c r="Q100" s="152">
        <v>0</v>
      </c>
      <c r="R100" s="152">
        <v>1</v>
      </c>
      <c r="S100" s="152">
        <v>89</v>
      </c>
    </row>
    <row r="101" spans="1:19" s="52" customFormat="1" ht="16.5" customHeight="1">
      <c r="A101" s="211">
        <v>90</v>
      </c>
      <c r="B101" s="212" t="s">
        <v>3750</v>
      </c>
      <c r="C101" s="211">
        <v>1123978</v>
      </c>
      <c r="D101" s="212" t="s">
        <v>3751</v>
      </c>
      <c r="E101" s="152" t="s">
        <v>3643</v>
      </c>
      <c r="F101" s="152" t="s">
        <v>3624</v>
      </c>
      <c r="G101" s="178" t="s">
        <v>3639</v>
      </c>
      <c r="H101" s="213" t="s">
        <v>3639</v>
      </c>
      <c r="I101" s="213" t="s">
        <v>3639</v>
      </c>
      <c r="J101" s="201">
        <f>COUNTIFS('TURMAS 2015.2'!U:U,A101)</f>
        <v>0</v>
      </c>
      <c r="K101" s="201">
        <f>SUMIFS('TURMAS 2015.2'!J:J,'TURMAS 2015.2'!U:U,A101)</f>
        <v>0</v>
      </c>
      <c r="L101" s="201">
        <f>COUNTIF('TURMAS 2015.2'!X:X,A101)</f>
        <v>3</v>
      </c>
      <c r="M101" s="201">
        <f>SUMIFS('TURMAS 2015.2'!K:K,'TURMAS 2015.2'!X:X,A101)</f>
        <v>8</v>
      </c>
      <c r="N101" s="201">
        <f t="shared" si="1"/>
        <v>8</v>
      </c>
      <c r="O101" s="214"/>
      <c r="P101" s="152">
        <v>0</v>
      </c>
      <c r="Q101" s="152">
        <v>0</v>
      </c>
      <c r="R101" s="152">
        <v>1</v>
      </c>
      <c r="S101" s="152">
        <v>90</v>
      </c>
    </row>
    <row r="102" spans="1:19" s="52" customFormat="1" ht="16.5" customHeight="1">
      <c r="A102" s="211">
        <v>91</v>
      </c>
      <c r="B102" s="212" t="s">
        <v>3752</v>
      </c>
      <c r="C102" s="211">
        <v>1646041</v>
      </c>
      <c r="D102" s="212" t="s">
        <v>3610</v>
      </c>
      <c r="E102" s="152" t="s">
        <v>3618</v>
      </c>
      <c r="F102" s="152" t="s">
        <v>3624</v>
      </c>
      <c r="G102" s="178" t="s">
        <v>3639</v>
      </c>
      <c r="H102" s="213" t="s">
        <v>3639</v>
      </c>
      <c r="I102" s="213" t="s">
        <v>3639</v>
      </c>
      <c r="J102" s="201">
        <f>COUNTIFS('TURMAS 2015.2'!U:U,A102)</f>
        <v>0</v>
      </c>
      <c r="K102" s="201">
        <f>SUMIFS('TURMAS 2015.2'!J:J,'TURMAS 2015.2'!U:U,A102)</f>
        <v>0</v>
      </c>
      <c r="L102" s="201">
        <f>COUNTIF('TURMAS 2015.2'!X:X,A102)</f>
        <v>0</v>
      </c>
      <c r="M102" s="201">
        <f>SUMIFS('TURMAS 2015.2'!K:K,'TURMAS 2015.2'!X:X,A102)</f>
        <v>0</v>
      </c>
      <c r="N102" s="201">
        <f t="shared" si="1"/>
        <v>0</v>
      </c>
      <c r="O102" s="214"/>
      <c r="P102" s="152">
        <v>0</v>
      </c>
      <c r="Q102" s="152">
        <v>0</v>
      </c>
      <c r="R102" s="152">
        <v>1</v>
      </c>
      <c r="S102" s="152">
        <v>91</v>
      </c>
    </row>
    <row r="103" spans="1:19" s="52" customFormat="1" ht="16.5" customHeight="1">
      <c r="A103" s="211">
        <v>92</v>
      </c>
      <c r="B103" s="215" t="s">
        <v>3753</v>
      </c>
      <c r="C103" s="211">
        <v>2187270</v>
      </c>
      <c r="D103" s="211"/>
      <c r="E103" s="152" t="s">
        <v>3618</v>
      </c>
      <c r="F103" s="152" t="s">
        <v>3624</v>
      </c>
      <c r="G103" s="178"/>
      <c r="H103" s="213"/>
      <c r="I103" s="213"/>
      <c r="J103" s="201">
        <f>COUNTIFS('TURMAS 2015.2'!U:U,A103)</f>
        <v>1</v>
      </c>
      <c r="K103" s="201">
        <f>SUMIFS('TURMAS 2015.2'!J:J,'TURMAS 2015.2'!U:U,A103)</f>
        <v>4</v>
      </c>
      <c r="L103" s="201">
        <f>COUNTIF('TURMAS 2015.2'!X:X,A103)</f>
        <v>0</v>
      </c>
      <c r="M103" s="201">
        <f>SUMIFS('TURMAS 2015.2'!K:K,'TURMAS 2015.2'!X:X,A103)</f>
        <v>0</v>
      </c>
      <c r="N103" s="201">
        <f t="shared" si="1"/>
        <v>4</v>
      </c>
      <c r="O103" s="214"/>
      <c r="P103" s="152"/>
      <c r="Q103" s="152"/>
      <c r="R103" s="152"/>
      <c r="S103" s="152">
        <v>92</v>
      </c>
    </row>
    <row r="104" spans="1:19" s="52" customFormat="1" ht="16.5" customHeight="1">
      <c r="A104" s="211">
        <v>93</v>
      </c>
      <c r="B104" s="212" t="s">
        <v>3754</v>
      </c>
      <c r="C104" s="211">
        <v>2133215</v>
      </c>
      <c r="D104" s="212" t="s">
        <v>3653</v>
      </c>
      <c r="E104" s="152" t="s">
        <v>3618</v>
      </c>
      <c r="F104" s="152" t="s">
        <v>3624</v>
      </c>
      <c r="G104" s="178" t="s">
        <v>3639</v>
      </c>
      <c r="H104" s="213" t="s">
        <v>3639</v>
      </c>
      <c r="I104" s="213" t="s">
        <v>3639</v>
      </c>
      <c r="J104" s="201">
        <f>COUNTIFS('TURMAS 2015.2'!U:U,A104)</f>
        <v>1</v>
      </c>
      <c r="K104" s="201">
        <f>SUMIFS('TURMAS 2015.2'!J:J,'TURMAS 2015.2'!U:U,A104)</f>
        <v>3</v>
      </c>
      <c r="L104" s="201">
        <f>COUNTIF('TURMAS 2015.2'!X:X,A104)</f>
        <v>0</v>
      </c>
      <c r="M104" s="201">
        <f>SUMIFS('TURMAS 2015.2'!K:K,'TURMAS 2015.2'!X:X,A104)</f>
        <v>0</v>
      </c>
      <c r="N104" s="201">
        <f t="shared" si="1"/>
        <v>3</v>
      </c>
      <c r="O104" s="214"/>
      <c r="P104" s="152">
        <v>0</v>
      </c>
      <c r="Q104" s="152">
        <v>0</v>
      </c>
      <c r="R104" s="152">
        <v>1</v>
      </c>
      <c r="S104" s="152">
        <v>93</v>
      </c>
    </row>
    <row r="105" spans="1:19" s="52" customFormat="1" ht="16.5" customHeight="1">
      <c r="A105" s="211">
        <v>94</v>
      </c>
      <c r="B105" s="212" t="s">
        <v>3755</v>
      </c>
      <c r="C105" s="211">
        <v>1677691</v>
      </c>
      <c r="D105" s="212" t="s">
        <v>3610</v>
      </c>
      <c r="E105" s="152" t="s">
        <v>3611</v>
      </c>
      <c r="F105" s="152" t="s">
        <v>3624</v>
      </c>
      <c r="G105" s="178" t="s">
        <v>3639</v>
      </c>
      <c r="H105" s="213" t="s">
        <v>3639</v>
      </c>
      <c r="I105" s="213" t="s">
        <v>3639</v>
      </c>
      <c r="J105" s="201">
        <f>COUNTIFS('TURMAS 2015.2'!U:U,A105)</f>
        <v>1</v>
      </c>
      <c r="K105" s="201">
        <f>SUMIFS('TURMAS 2015.2'!J:J,'TURMAS 2015.2'!U:U,A105)</f>
        <v>4</v>
      </c>
      <c r="L105" s="201">
        <f>COUNTIF('TURMAS 2015.2'!X:X,A105)</f>
        <v>0</v>
      </c>
      <c r="M105" s="201">
        <f>SUMIFS('TURMAS 2015.2'!K:K,'TURMAS 2015.2'!X:X,A105)</f>
        <v>0</v>
      </c>
      <c r="N105" s="201">
        <f t="shared" si="1"/>
        <v>4</v>
      </c>
      <c r="O105" s="214"/>
      <c r="P105" s="152">
        <v>0</v>
      </c>
      <c r="Q105" s="152">
        <v>0</v>
      </c>
      <c r="R105" s="152">
        <v>1</v>
      </c>
      <c r="S105" s="152">
        <v>94</v>
      </c>
    </row>
    <row r="106" spans="1:19" s="52" customFormat="1" ht="16.5" customHeight="1">
      <c r="A106" s="211">
        <v>95</v>
      </c>
      <c r="B106" s="212" t="s">
        <v>3756</v>
      </c>
      <c r="C106" s="211">
        <v>1957564</v>
      </c>
      <c r="D106" s="212" t="s">
        <v>3635</v>
      </c>
      <c r="E106" s="152" t="s">
        <v>3618</v>
      </c>
      <c r="F106" s="152" t="s">
        <v>3624</v>
      </c>
      <c r="G106" s="178" t="s">
        <v>3639</v>
      </c>
      <c r="H106" s="213" t="s">
        <v>3639</v>
      </c>
      <c r="I106" s="213" t="s">
        <v>3639</v>
      </c>
      <c r="J106" s="201">
        <f>COUNTIFS('TURMAS 2015.2'!U:U,A106)</f>
        <v>0</v>
      </c>
      <c r="K106" s="201">
        <f>SUMIFS('TURMAS 2015.2'!J:J,'TURMAS 2015.2'!U:U,A106)</f>
        <v>0</v>
      </c>
      <c r="L106" s="201">
        <f>COUNTIF('TURMAS 2015.2'!X:X,A106)</f>
        <v>0</v>
      </c>
      <c r="M106" s="201">
        <f>SUMIFS('TURMAS 2015.2'!K:K,'TURMAS 2015.2'!X:X,A106)</f>
        <v>0</v>
      </c>
      <c r="N106" s="201">
        <f t="shared" si="1"/>
        <v>0</v>
      </c>
      <c r="O106" s="214"/>
      <c r="P106" s="152">
        <v>0</v>
      </c>
      <c r="Q106" s="152">
        <v>0</v>
      </c>
      <c r="R106" s="152">
        <v>1</v>
      </c>
      <c r="S106" s="152">
        <v>95</v>
      </c>
    </row>
    <row r="107" spans="1:19" s="52" customFormat="1" ht="16.5" customHeight="1">
      <c r="A107" s="211">
        <v>96</v>
      </c>
      <c r="B107" s="212" t="s">
        <v>3757</v>
      </c>
      <c r="C107" s="211">
        <v>1770888</v>
      </c>
      <c r="D107" s="212" t="s">
        <v>3610</v>
      </c>
      <c r="E107" s="152" t="s">
        <v>3643</v>
      </c>
      <c r="F107" s="152" t="s">
        <v>3624</v>
      </c>
      <c r="G107" s="178" t="s">
        <v>3639</v>
      </c>
      <c r="H107" s="213" t="s">
        <v>3639</v>
      </c>
      <c r="I107" s="213" t="s">
        <v>3639</v>
      </c>
      <c r="J107" s="201">
        <f>COUNTIFS('TURMAS 2015.2'!U:U,A107)</f>
        <v>0</v>
      </c>
      <c r="K107" s="201">
        <f>SUMIFS('TURMAS 2015.2'!J:J,'TURMAS 2015.2'!U:U,A107)</f>
        <v>0</v>
      </c>
      <c r="L107" s="201">
        <f>COUNTIF('TURMAS 2015.2'!X:X,A107)</f>
        <v>0</v>
      </c>
      <c r="M107" s="201">
        <f>SUMIFS('TURMAS 2015.2'!K:K,'TURMAS 2015.2'!X:X,A107)</f>
        <v>0</v>
      </c>
      <c r="N107" s="201">
        <f t="shared" si="1"/>
        <v>0</v>
      </c>
      <c r="O107" s="214"/>
      <c r="P107" s="152">
        <v>0</v>
      </c>
      <c r="Q107" s="152">
        <v>0</v>
      </c>
      <c r="R107" s="152">
        <v>1</v>
      </c>
      <c r="S107" s="152">
        <v>96</v>
      </c>
    </row>
    <row r="108" spans="1:19" s="52" customFormat="1" ht="16.5" customHeight="1">
      <c r="A108" s="211">
        <v>97</v>
      </c>
      <c r="B108" s="212" t="s">
        <v>3758</v>
      </c>
      <c r="C108" s="211">
        <v>1545367</v>
      </c>
      <c r="D108" s="212" t="s">
        <v>3621</v>
      </c>
      <c r="E108" s="152" t="s">
        <v>3618</v>
      </c>
      <c r="F108" s="152" t="s">
        <v>3624</v>
      </c>
      <c r="G108" s="178" t="s">
        <v>3639</v>
      </c>
      <c r="H108" s="213" t="s">
        <v>3639</v>
      </c>
      <c r="I108" s="213" t="s">
        <v>3639</v>
      </c>
      <c r="J108" s="201">
        <f>COUNTIFS('TURMAS 2015.2'!U:U,A108)</f>
        <v>0</v>
      </c>
      <c r="K108" s="201">
        <f>SUMIFS('TURMAS 2015.2'!J:J,'TURMAS 2015.2'!U:U,A108)</f>
        <v>0</v>
      </c>
      <c r="L108" s="201">
        <f>COUNTIF('TURMAS 2015.2'!X:X,A108)</f>
        <v>0</v>
      </c>
      <c r="M108" s="201">
        <f>SUMIFS('TURMAS 2015.2'!K:K,'TURMAS 2015.2'!X:X,A108)</f>
        <v>0</v>
      </c>
      <c r="N108" s="201">
        <f t="shared" si="1"/>
        <v>0</v>
      </c>
      <c r="O108" s="214"/>
      <c r="P108" s="152">
        <v>0</v>
      </c>
      <c r="Q108" s="152">
        <v>0</v>
      </c>
      <c r="R108" s="152">
        <v>1</v>
      </c>
      <c r="S108" s="152">
        <v>97</v>
      </c>
    </row>
    <row r="109" spans="1:19" s="52" customFormat="1" ht="16.5" customHeight="1">
      <c r="A109" s="211">
        <v>98</v>
      </c>
      <c r="B109" s="215" t="s">
        <v>3759</v>
      </c>
      <c r="C109" s="211">
        <v>90000016</v>
      </c>
      <c r="D109" s="211"/>
      <c r="E109" s="152" t="s">
        <v>3618</v>
      </c>
      <c r="F109" s="152" t="s">
        <v>3624</v>
      </c>
      <c r="G109" s="178"/>
      <c r="H109" s="213"/>
      <c r="I109" s="213"/>
      <c r="J109" s="201">
        <f>COUNTIFS('TURMAS 2015.2'!U:U,A109)</f>
        <v>0</v>
      </c>
      <c r="K109" s="201">
        <f>SUMIFS('TURMAS 2015.2'!J:J,'TURMAS 2015.2'!U:U,A109)</f>
        <v>0</v>
      </c>
      <c r="L109" s="201">
        <f>COUNTIF('TURMAS 2015.2'!X:X,A109)</f>
        <v>0</v>
      </c>
      <c r="M109" s="201">
        <f>SUMIFS('TURMAS 2015.2'!K:K,'TURMAS 2015.2'!X:X,A109)</f>
        <v>0</v>
      </c>
      <c r="N109" s="201">
        <f t="shared" si="1"/>
        <v>0</v>
      </c>
      <c r="O109" s="214"/>
      <c r="P109" s="152"/>
      <c r="Q109" s="152"/>
      <c r="R109" s="152"/>
      <c r="S109" s="152">
        <v>98</v>
      </c>
    </row>
    <row r="110" spans="1:19" s="52" customFormat="1" ht="16.5" customHeight="1">
      <c r="A110" s="211">
        <v>99</v>
      </c>
      <c r="B110" s="212" t="s">
        <v>3760</v>
      </c>
      <c r="C110" s="211">
        <v>1676326</v>
      </c>
      <c r="D110" s="212" t="s">
        <v>3610</v>
      </c>
      <c r="E110" s="152" t="s">
        <v>3643</v>
      </c>
      <c r="F110" s="152" t="s">
        <v>3624</v>
      </c>
      <c r="G110" s="178" t="s">
        <v>3639</v>
      </c>
      <c r="H110" s="213" t="s">
        <v>3639</v>
      </c>
      <c r="I110" s="213" t="s">
        <v>3639</v>
      </c>
      <c r="J110" s="201">
        <f>COUNTIFS('TURMAS 2015.2'!U:U,A110)</f>
        <v>2</v>
      </c>
      <c r="K110" s="201">
        <f>SUMIFS('TURMAS 2015.2'!J:J,'TURMAS 2015.2'!U:U,A110)</f>
        <v>5</v>
      </c>
      <c r="L110" s="201">
        <f>COUNTIF('TURMAS 2015.2'!X:X,A110)</f>
        <v>0</v>
      </c>
      <c r="M110" s="201">
        <f>SUMIFS('TURMAS 2015.2'!K:K,'TURMAS 2015.2'!X:X,A110)</f>
        <v>0</v>
      </c>
      <c r="N110" s="201">
        <f t="shared" si="1"/>
        <v>5</v>
      </c>
      <c r="O110" s="214"/>
      <c r="P110" s="152">
        <v>0</v>
      </c>
      <c r="Q110" s="152">
        <v>0</v>
      </c>
      <c r="R110" s="152">
        <v>1</v>
      </c>
      <c r="S110" s="152">
        <v>99</v>
      </c>
    </row>
    <row r="111" spans="1:19" s="52" customFormat="1" ht="16.5" customHeight="1">
      <c r="A111" s="211">
        <v>100</v>
      </c>
      <c r="B111" s="212" t="s">
        <v>3761</v>
      </c>
      <c r="C111" s="211">
        <v>1764675</v>
      </c>
      <c r="D111" s="212" t="s">
        <v>3610</v>
      </c>
      <c r="E111" s="152" t="s">
        <v>3618</v>
      </c>
      <c r="F111" s="152" t="s">
        <v>3624</v>
      </c>
      <c r="G111" s="178" t="s">
        <v>3639</v>
      </c>
      <c r="H111" s="213" t="s">
        <v>3639</v>
      </c>
      <c r="I111" s="213" t="s">
        <v>3639</v>
      </c>
      <c r="J111" s="201">
        <f>COUNTIFS('TURMAS 2015.2'!U:U,A111)</f>
        <v>1</v>
      </c>
      <c r="K111" s="201">
        <f>SUMIFS('TURMAS 2015.2'!J:J,'TURMAS 2015.2'!U:U,A111)</f>
        <v>4</v>
      </c>
      <c r="L111" s="201">
        <f>COUNTIF('TURMAS 2015.2'!X:X,A111)</f>
        <v>0</v>
      </c>
      <c r="M111" s="201">
        <f>SUMIFS('TURMAS 2015.2'!K:K,'TURMAS 2015.2'!X:X,A111)</f>
        <v>0</v>
      </c>
      <c r="N111" s="201">
        <f t="shared" si="1"/>
        <v>4</v>
      </c>
      <c r="O111" s="214"/>
      <c r="P111" s="152">
        <v>0</v>
      </c>
      <c r="Q111" s="152">
        <v>0</v>
      </c>
      <c r="R111" s="152">
        <v>1</v>
      </c>
      <c r="S111" s="152">
        <v>100</v>
      </c>
    </row>
    <row r="112" spans="1:19" s="52" customFormat="1" ht="16.5" customHeight="1">
      <c r="A112" s="211">
        <v>101</v>
      </c>
      <c r="B112" s="212" t="s">
        <v>3762</v>
      </c>
      <c r="C112" s="211">
        <v>1764396</v>
      </c>
      <c r="D112" s="212" t="s">
        <v>3635</v>
      </c>
      <c r="E112" s="152" t="s">
        <v>3618</v>
      </c>
      <c r="F112" s="152" t="s">
        <v>3624</v>
      </c>
      <c r="G112" s="178" t="s">
        <v>3639</v>
      </c>
      <c r="H112" s="213" t="s">
        <v>3639</v>
      </c>
      <c r="I112" s="213" t="s">
        <v>3639</v>
      </c>
      <c r="J112" s="201">
        <f>COUNTIFS('TURMAS 2015.2'!U:U,A112)</f>
        <v>1</v>
      </c>
      <c r="K112" s="201">
        <f>SUMIFS('TURMAS 2015.2'!J:J,'TURMAS 2015.2'!U:U,A112)</f>
        <v>3</v>
      </c>
      <c r="L112" s="201">
        <f>COUNTIF('TURMAS 2015.2'!X:X,A112)</f>
        <v>1</v>
      </c>
      <c r="M112" s="201">
        <f>SUMIFS('TURMAS 2015.2'!K:K,'TURMAS 2015.2'!X:X,A112)</f>
        <v>1</v>
      </c>
      <c r="N112" s="201">
        <f t="shared" si="1"/>
        <v>4</v>
      </c>
      <c r="O112" s="214"/>
      <c r="P112" s="152">
        <v>0</v>
      </c>
      <c r="Q112" s="152">
        <v>0</v>
      </c>
      <c r="R112" s="152">
        <v>1</v>
      </c>
      <c r="S112" s="152">
        <v>101</v>
      </c>
    </row>
    <row r="113" spans="1:19" s="52" customFormat="1" ht="16.5" customHeight="1">
      <c r="A113" s="211">
        <v>102</v>
      </c>
      <c r="B113" s="212" t="s">
        <v>3763</v>
      </c>
      <c r="C113" s="211">
        <v>1908726</v>
      </c>
      <c r="D113" s="212" t="s">
        <v>3635</v>
      </c>
      <c r="E113" s="152" t="s">
        <v>3643</v>
      </c>
      <c r="F113" s="152" t="s">
        <v>3624</v>
      </c>
      <c r="G113" s="178" t="s">
        <v>3639</v>
      </c>
      <c r="H113" s="213" t="s">
        <v>3639</v>
      </c>
      <c r="I113" s="213" t="s">
        <v>3639</v>
      </c>
      <c r="J113" s="201">
        <f>COUNTIFS('TURMAS 2015.2'!U:U,A113)</f>
        <v>0</v>
      </c>
      <c r="K113" s="201">
        <f>SUMIFS('TURMAS 2015.2'!J:J,'TURMAS 2015.2'!U:U,A113)</f>
        <v>0</v>
      </c>
      <c r="L113" s="201">
        <f>COUNTIF('TURMAS 2015.2'!X:X,A113)</f>
        <v>0</v>
      </c>
      <c r="M113" s="201">
        <f>SUMIFS('TURMAS 2015.2'!K:K,'TURMAS 2015.2'!X:X,A113)</f>
        <v>0</v>
      </c>
      <c r="N113" s="201">
        <f t="shared" si="1"/>
        <v>0</v>
      </c>
      <c r="O113" s="214"/>
      <c r="P113" s="152">
        <v>0</v>
      </c>
      <c r="Q113" s="152">
        <v>0</v>
      </c>
      <c r="R113" s="152">
        <v>1</v>
      </c>
      <c r="S113" s="152">
        <v>102</v>
      </c>
    </row>
    <row r="114" spans="1:19" s="52" customFormat="1" ht="16.5" customHeight="1">
      <c r="A114" s="211">
        <v>103</v>
      </c>
      <c r="B114" s="212" t="s">
        <v>3764</v>
      </c>
      <c r="C114" s="211">
        <v>1604134</v>
      </c>
      <c r="D114" s="212" t="s">
        <v>3647</v>
      </c>
      <c r="E114" s="152" t="s">
        <v>3618</v>
      </c>
      <c r="F114" s="152" t="s">
        <v>3624</v>
      </c>
      <c r="G114" s="178" t="s">
        <v>3639</v>
      </c>
      <c r="H114" s="213" t="s">
        <v>3639</v>
      </c>
      <c r="I114" s="213" t="s">
        <v>3639</v>
      </c>
      <c r="J114" s="201">
        <f>COUNTIFS('TURMAS 2015.2'!U:U,A114)</f>
        <v>1</v>
      </c>
      <c r="K114" s="201">
        <f>SUMIFS('TURMAS 2015.2'!J:J,'TURMAS 2015.2'!U:U,A114)</f>
        <v>1</v>
      </c>
      <c r="L114" s="201">
        <f>COUNTIF('TURMAS 2015.2'!X:X,A114)</f>
        <v>1</v>
      </c>
      <c r="M114" s="201">
        <f>SUMIFS('TURMAS 2015.2'!K:K,'TURMAS 2015.2'!X:X,A114)</f>
        <v>3</v>
      </c>
      <c r="N114" s="201">
        <f t="shared" si="1"/>
        <v>4</v>
      </c>
      <c r="O114" s="214"/>
      <c r="P114" s="152">
        <v>0</v>
      </c>
      <c r="Q114" s="152">
        <v>0</v>
      </c>
      <c r="R114" s="152">
        <v>1</v>
      </c>
      <c r="S114" s="152">
        <v>103</v>
      </c>
    </row>
    <row r="115" spans="1:19" s="52" customFormat="1" ht="16.5" customHeight="1">
      <c r="A115" s="211">
        <v>104</v>
      </c>
      <c r="B115" s="212" t="s">
        <v>3765</v>
      </c>
      <c r="C115" s="211">
        <v>1802146</v>
      </c>
      <c r="D115" s="212" t="s">
        <v>3617</v>
      </c>
      <c r="E115" s="152" t="s">
        <v>3618</v>
      </c>
      <c r="F115" s="152" t="s">
        <v>3624</v>
      </c>
      <c r="G115" s="178" t="s">
        <v>3639</v>
      </c>
      <c r="H115" s="213" t="s">
        <v>3639</v>
      </c>
      <c r="I115" s="213" t="s">
        <v>3639</v>
      </c>
      <c r="J115" s="201">
        <f>COUNTIFS('TURMAS 2015.2'!U:U,A115)</f>
        <v>2</v>
      </c>
      <c r="K115" s="201">
        <f>SUMIFS('TURMAS 2015.2'!J:J,'TURMAS 2015.2'!U:U,A115)</f>
        <v>6</v>
      </c>
      <c r="L115" s="201">
        <f>COUNTIF('TURMAS 2015.2'!X:X,A115)</f>
        <v>1</v>
      </c>
      <c r="M115" s="201">
        <f>SUMIFS('TURMAS 2015.2'!K:K,'TURMAS 2015.2'!X:X,A115)</f>
        <v>1</v>
      </c>
      <c r="N115" s="201">
        <f t="shared" si="1"/>
        <v>7</v>
      </c>
      <c r="O115" s="214"/>
      <c r="P115" s="152">
        <v>0</v>
      </c>
      <c r="Q115" s="152">
        <v>0</v>
      </c>
      <c r="R115" s="152">
        <v>1</v>
      </c>
      <c r="S115" s="152">
        <v>104</v>
      </c>
    </row>
    <row r="116" spans="1:19" s="52" customFormat="1" ht="16.5" customHeight="1">
      <c r="A116" s="211">
        <v>105</v>
      </c>
      <c r="B116" s="212" t="s">
        <v>3766</v>
      </c>
      <c r="C116" s="211">
        <v>1766030</v>
      </c>
      <c r="D116" s="212" t="s">
        <v>3610</v>
      </c>
      <c r="E116" s="152" t="s">
        <v>3618</v>
      </c>
      <c r="F116" s="152" t="s">
        <v>3624</v>
      </c>
      <c r="G116" s="178" t="s">
        <v>3639</v>
      </c>
      <c r="H116" s="213" t="s">
        <v>3639</v>
      </c>
      <c r="I116" s="213" t="s">
        <v>3639</v>
      </c>
      <c r="J116" s="201">
        <f>COUNTIFS('TURMAS 2015.2'!U:U,A116)</f>
        <v>2</v>
      </c>
      <c r="K116" s="201">
        <f>SUMIFS('TURMAS 2015.2'!J:J,'TURMAS 2015.2'!U:U,A116)</f>
        <v>6</v>
      </c>
      <c r="L116" s="201">
        <f>COUNTIF('TURMAS 2015.2'!X:X,A116)</f>
        <v>0</v>
      </c>
      <c r="M116" s="201">
        <f>SUMIFS('TURMAS 2015.2'!K:K,'TURMAS 2015.2'!X:X,A116)</f>
        <v>0</v>
      </c>
      <c r="N116" s="201">
        <f t="shared" si="1"/>
        <v>6</v>
      </c>
      <c r="O116" s="214"/>
      <c r="P116" s="152">
        <v>0</v>
      </c>
      <c r="Q116" s="152">
        <v>0</v>
      </c>
      <c r="R116" s="152">
        <v>1</v>
      </c>
      <c r="S116" s="152">
        <v>105</v>
      </c>
    </row>
    <row r="117" spans="1:19" s="52" customFormat="1" ht="16.5" customHeight="1">
      <c r="A117" s="211">
        <v>106</v>
      </c>
      <c r="B117" s="212" t="s">
        <v>3767</v>
      </c>
      <c r="C117" s="211">
        <v>1671577</v>
      </c>
      <c r="D117" s="212" t="s">
        <v>3635</v>
      </c>
      <c r="E117" s="152" t="s">
        <v>3618</v>
      </c>
      <c r="F117" s="152" t="s">
        <v>3624</v>
      </c>
      <c r="G117" s="178" t="s">
        <v>3639</v>
      </c>
      <c r="H117" s="213" t="s">
        <v>3639</v>
      </c>
      <c r="I117" s="213" t="s">
        <v>3639</v>
      </c>
      <c r="J117" s="201">
        <f>COUNTIFS('TURMAS 2015.2'!U:U,A117)</f>
        <v>2</v>
      </c>
      <c r="K117" s="201">
        <f>SUMIFS('TURMAS 2015.2'!J:J,'TURMAS 2015.2'!U:U,A117)</f>
        <v>2</v>
      </c>
      <c r="L117" s="201">
        <f>COUNTIF('TURMAS 2015.2'!X:X,A117)</f>
        <v>2</v>
      </c>
      <c r="M117" s="201">
        <f>SUMIFS('TURMAS 2015.2'!K:K,'TURMAS 2015.2'!X:X,A117)</f>
        <v>6</v>
      </c>
      <c r="N117" s="201">
        <f t="shared" si="1"/>
        <v>8</v>
      </c>
      <c r="O117" s="214"/>
      <c r="P117" s="152">
        <v>0</v>
      </c>
      <c r="Q117" s="152">
        <v>0</v>
      </c>
      <c r="R117" s="152">
        <v>1</v>
      </c>
      <c r="S117" s="152">
        <v>106</v>
      </c>
    </row>
    <row r="118" spans="1:19" s="52" customFormat="1" ht="16.5" customHeight="1">
      <c r="A118" s="211">
        <v>107</v>
      </c>
      <c r="B118" s="212" t="s">
        <v>3768</v>
      </c>
      <c r="C118" s="211">
        <v>2139904</v>
      </c>
      <c r="D118" s="212" t="s">
        <v>3653</v>
      </c>
      <c r="E118" s="152" t="s">
        <v>3611</v>
      </c>
      <c r="F118" s="152" t="s">
        <v>3624</v>
      </c>
      <c r="G118" s="178" t="s">
        <v>3639</v>
      </c>
      <c r="H118" s="213" t="s">
        <v>3639</v>
      </c>
      <c r="I118" s="213" t="s">
        <v>3639</v>
      </c>
      <c r="J118" s="201">
        <f>COUNTIFS('TURMAS 2015.2'!U:U,A118)</f>
        <v>1</v>
      </c>
      <c r="K118" s="201">
        <f>SUMIFS('TURMAS 2015.2'!J:J,'TURMAS 2015.2'!U:U,A118)</f>
        <v>4</v>
      </c>
      <c r="L118" s="201">
        <f>COUNTIF('TURMAS 2015.2'!X:X,A118)</f>
        <v>1</v>
      </c>
      <c r="M118" s="201">
        <f>SUMIFS('TURMAS 2015.2'!K:K,'TURMAS 2015.2'!X:X,A118)</f>
        <v>0</v>
      </c>
      <c r="N118" s="201">
        <f t="shared" si="1"/>
        <v>4</v>
      </c>
      <c r="O118" s="214"/>
      <c r="P118" s="152">
        <v>0</v>
      </c>
      <c r="Q118" s="152">
        <v>0</v>
      </c>
      <c r="R118" s="152">
        <v>1</v>
      </c>
      <c r="S118" s="152">
        <v>107</v>
      </c>
    </row>
    <row r="119" spans="1:19" s="52" customFormat="1" ht="16.5" customHeight="1">
      <c r="A119" s="211">
        <v>108</v>
      </c>
      <c r="B119" s="212" t="s">
        <v>3769</v>
      </c>
      <c r="C119" s="211">
        <v>1671282</v>
      </c>
      <c r="D119" s="212" t="s">
        <v>3610</v>
      </c>
      <c r="E119" s="152" t="s">
        <v>3618</v>
      </c>
      <c r="F119" s="152" t="s">
        <v>3624</v>
      </c>
      <c r="G119" s="178" t="s">
        <v>3639</v>
      </c>
      <c r="H119" s="213" t="s">
        <v>3639</v>
      </c>
      <c r="I119" s="213" t="s">
        <v>3639</v>
      </c>
      <c r="J119" s="201">
        <f>COUNTIFS('TURMAS 2015.2'!U:U,A119)</f>
        <v>2</v>
      </c>
      <c r="K119" s="201">
        <f>SUMIFS('TURMAS 2015.2'!J:J,'TURMAS 2015.2'!U:U,A119)</f>
        <v>6</v>
      </c>
      <c r="L119" s="201">
        <f>COUNTIF('TURMAS 2015.2'!X:X,A119)</f>
        <v>2</v>
      </c>
      <c r="M119" s="201">
        <f>SUMIFS('TURMAS 2015.2'!K:K,'TURMAS 2015.2'!X:X,A119)</f>
        <v>2</v>
      </c>
      <c r="N119" s="201">
        <f t="shared" si="1"/>
        <v>8</v>
      </c>
      <c r="O119" s="214"/>
      <c r="P119" s="152">
        <v>0</v>
      </c>
      <c r="Q119" s="152">
        <v>0</v>
      </c>
      <c r="R119" s="152">
        <v>1</v>
      </c>
      <c r="S119" s="152">
        <v>108</v>
      </c>
    </row>
    <row r="120" spans="1:19" s="52" customFormat="1" ht="16.5" customHeight="1">
      <c r="A120" s="211">
        <v>109</v>
      </c>
      <c r="B120" s="212" t="s">
        <v>3770</v>
      </c>
      <c r="C120" s="211">
        <v>1545036</v>
      </c>
      <c r="D120" s="212" t="s">
        <v>3647</v>
      </c>
      <c r="E120" s="152" t="s">
        <v>3618</v>
      </c>
      <c r="F120" s="152" t="s">
        <v>3624</v>
      </c>
      <c r="G120" s="178" t="s">
        <v>3639</v>
      </c>
      <c r="H120" s="213" t="s">
        <v>3639</v>
      </c>
      <c r="I120" s="213" t="s">
        <v>3639</v>
      </c>
      <c r="J120" s="201">
        <f>COUNTIFS('TURMAS 2015.2'!U:U,A120)</f>
        <v>0</v>
      </c>
      <c r="K120" s="201">
        <f>SUMIFS('TURMAS 2015.2'!J:J,'TURMAS 2015.2'!U:U,A120)</f>
        <v>0</v>
      </c>
      <c r="L120" s="201">
        <f>COUNTIF('TURMAS 2015.2'!X:X,A120)</f>
        <v>0</v>
      </c>
      <c r="M120" s="201">
        <f>SUMIFS('TURMAS 2015.2'!K:K,'TURMAS 2015.2'!X:X,A120)</f>
        <v>0</v>
      </c>
      <c r="N120" s="201">
        <f t="shared" si="1"/>
        <v>0</v>
      </c>
      <c r="O120" s="214"/>
      <c r="P120" s="152" t="s">
        <v>3771</v>
      </c>
      <c r="Q120" s="152">
        <v>0.3</v>
      </c>
      <c r="R120" s="152">
        <v>0.7</v>
      </c>
      <c r="S120" s="152">
        <v>109</v>
      </c>
    </row>
    <row r="121" spans="1:19" s="52" customFormat="1" ht="16.5" customHeight="1">
      <c r="A121" s="211">
        <v>110</v>
      </c>
      <c r="B121" s="212" t="s">
        <v>3772</v>
      </c>
      <c r="C121" s="211">
        <v>2616839</v>
      </c>
      <c r="D121" s="212" t="s">
        <v>3635</v>
      </c>
      <c r="E121" s="152" t="s">
        <v>3611</v>
      </c>
      <c r="F121" s="152" t="s">
        <v>3624</v>
      </c>
      <c r="G121" s="178" t="s">
        <v>3639</v>
      </c>
      <c r="H121" s="213" t="s">
        <v>3639</v>
      </c>
      <c r="I121" s="213" t="s">
        <v>3639</v>
      </c>
      <c r="J121" s="201">
        <f>COUNTIFS('TURMAS 2015.2'!U:U,A121)</f>
        <v>2</v>
      </c>
      <c r="K121" s="201">
        <f>SUMIFS('TURMAS 2015.2'!J:J,'TURMAS 2015.2'!U:U,A121)</f>
        <v>4</v>
      </c>
      <c r="L121" s="201">
        <f>COUNTIF('TURMAS 2015.2'!X:X,A121)</f>
        <v>3</v>
      </c>
      <c r="M121" s="201">
        <f>SUMIFS('TURMAS 2015.2'!K:K,'TURMAS 2015.2'!X:X,A121)</f>
        <v>8</v>
      </c>
      <c r="N121" s="201">
        <f t="shared" si="1"/>
        <v>12</v>
      </c>
      <c r="O121" s="214"/>
      <c r="P121" s="152">
        <v>0</v>
      </c>
      <c r="Q121" s="152">
        <v>0</v>
      </c>
      <c r="R121" s="152">
        <v>1</v>
      </c>
      <c r="S121" s="152">
        <v>110</v>
      </c>
    </row>
    <row r="122" spans="1:19" s="52" customFormat="1" ht="16.5" customHeight="1">
      <c r="A122" s="211">
        <v>111</v>
      </c>
      <c r="B122" s="212" t="s">
        <v>3773</v>
      </c>
      <c r="C122" s="211">
        <v>1604159</v>
      </c>
      <c r="D122" s="212" t="s">
        <v>3647</v>
      </c>
      <c r="E122" s="152" t="s">
        <v>3611</v>
      </c>
      <c r="F122" s="152" t="s">
        <v>3624</v>
      </c>
      <c r="G122" s="178" t="s">
        <v>3639</v>
      </c>
      <c r="H122" s="213" t="s">
        <v>3639</v>
      </c>
      <c r="I122" s="213" t="s">
        <v>3639</v>
      </c>
      <c r="J122" s="201">
        <f>COUNTIFS('TURMAS 2015.2'!U:U,A122)</f>
        <v>4</v>
      </c>
      <c r="K122" s="201">
        <f>SUMIFS('TURMAS 2015.2'!J:J,'TURMAS 2015.2'!U:U,A122)</f>
        <v>14</v>
      </c>
      <c r="L122" s="201">
        <f>COUNTIF('TURMAS 2015.2'!X:X,A122)</f>
        <v>2</v>
      </c>
      <c r="M122" s="201">
        <f>SUMIFS('TURMAS 2015.2'!K:K,'TURMAS 2015.2'!X:X,A122)</f>
        <v>2</v>
      </c>
      <c r="N122" s="201">
        <f t="shared" si="1"/>
        <v>16</v>
      </c>
      <c r="O122" s="214"/>
      <c r="P122" s="152">
        <v>0</v>
      </c>
      <c r="Q122" s="152">
        <v>0</v>
      </c>
      <c r="R122" s="152">
        <v>1</v>
      </c>
      <c r="S122" s="152">
        <v>111</v>
      </c>
    </row>
    <row r="123" spans="1:19" s="52" customFormat="1" ht="16.5" customHeight="1">
      <c r="A123" s="211">
        <v>112</v>
      </c>
      <c r="B123" s="212" t="s">
        <v>3774</v>
      </c>
      <c r="C123" s="211">
        <v>2123345</v>
      </c>
      <c r="D123" s="212" t="s">
        <v>3653</v>
      </c>
      <c r="E123" s="152" t="s">
        <v>3611</v>
      </c>
      <c r="F123" s="152" t="s">
        <v>3624</v>
      </c>
      <c r="G123" s="178" t="s">
        <v>3639</v>
      </c>
      <c r="H123" s="213" t="s">
        <v>3639</v>
      </c>
      <c r="I123" s="213" t="s">
        <v>3639</v>
      </c>
      <c r="J123" s="201">
        <f>COUNTIFS('TURMAS 2015.2'!U:U,A123)</f>
        <v>0</v>
      </c>
      <c r="K123" s="201">
        <f>SUMIFS('TURMAS 2015.2'!J:J,'TURMAS 2015.2'!U:U,A123)</f>
        <v>0</v>
      </c>
      <c r="L123" s="201">
        <f>COUNTIF('TURMAS 2015.2'!X:X,A123)</f>
        <v>3</v>
      </c>
      <c r="M123" s="201">
        <f>SUMIFS('TURMAS 2015.2'!K:K,'TURMAS 2015.2'!X:X,A123)</f>
        <v>6</v>
      </c>
      <c r="N123" s="201">
        <f t="shared" si="1"/>
        <v>6</v>
      </c>
      <c r="O123" s="214"/>
      <c r="P123" s="152">
        <v>0</v>
      </c>
      <c r="Q123" s="152">
        <v>0</v>
      </c>
      <c r="R123" s="152">
        <v>1</v>
      </c>
      <c r="S123" s="152">
        <v>112</v>
      </c>
    </row>
    <row r="124" spans="1:19" s="52" customFormat="1" ht="16.5" customHeight="1">
      <c r="A124" s="211">
        <v>113</v>
      </c>
      <c r="B124" s="212" t="s">
        <v>3775</v>
      </c>
      <c r="C124" s="211">
        <v>1902470</v>
      </c>
      <c r="D124" s="212" t="s">
        <v>3635</v>
      </c>
      <c r="E124" s="152" t="s">
        <v>3643</v>
      </c>
      <c r="F124" s="152" t="s">
        <v>3624</v>
      </c>
      <c r="G124" s="178" t="s">
        <v>3639</v>
      </c>
      <c r="H124" s="213" t="s">
        <v>3639</v>
      </c>
      <c r="I124" s="213" t="s">
        <v>3639</v>
      </c>
      <c r="J124" s="201">
        <f>COUNTIFS('TURMAS 2015.2'!U:U,A124)</f>
        <v>0</v>
      </c>
      <c r="K124" s="201">
        <f>SUMIFS('TURMAS 2015.2'!J:J,'TURMAS 2015.2'!U:U,A124)</f>
        <v>0</v>
      </c>
      <c r="L124" s="201">
        <f>COUNTIF('TURMAS 2015.2'!X:X,A124)</f>
        <v>0</v>
      </c>
      <c r="M124" s="201">
        <f>SUMIFS('TURMAS 2015.2'!K:K,'TURMAS 2015.2'!X:X,A124)</f>
        <v>0</v>
      </c>
      <c r="N124" s="201">
        <f t="shared" si="1"/>
        <v>0</v>
      </c>
      <c r="O124" s="214"/>
      <c r="P124" s="152"/>
      <c r="Q124" s="152">
        <v>0</v>
      </c>
      <c r="R124" s="152">
        <v>1</v>
      </c>
      <c r="S124" s="152">
        <v>113</v>
      </c>
    </row>
    <row r="125" spans="1:19" s="52" customFormat="1" ht="16.5" customHeight="1">
      <c r="A125" s="211">
        <v>114</v>
      </c>
      <c r="B125" s="212" t="s">
        <v>3776</v>
      </c>
      <c r="C125" s="211">
        <v>1676274</v>
      </c>
      <c r="D125" s="212" t="s">
        <v>3610</v>
      </c>
      <c r="E125" s="152" t="s">
        <v>3611</v>
      </c>
      <c r="F125" s="152" t="s">
        <v>3624</v>
      </c>
      <c r="G125" s="178" t="s">
        <v>3639</v>
      </c>
      <c r="H125" s="213" t="s">
        <v>3639</v>
      </c>
      <c r="I125" s="213" t="s">
        <v>3639</v>
      </c>
      <c r="J125" s="201">
        <f>COUNTIFS('TURMAS 2015.2'!U:U,A125)</f>
        <v>3</v>
      </c>
      <c r="K125" s="201">
        <f>SUMIFS('TURMAS 2015.2'!J:J,'TURMAS 2015.2'!U:U,A125)</f>
        <v>7</v>
      </c>
      <c r="L125" s="201">
        <f>COUNTIF('TURMAS 2015.2'!X:X,A125)</f>
        <v>0</v>
      </c>
      <c r="M125" s="201">
        <f>SUMIFS('TURMAS 2015.2'!K:K,'TURMAS 2015.2'!X:X,A125)</f>
        <v>0</v>
      </c>
      <c r="N125" s="201">
        <f t="shared" si="1"/>
        <v>7</v>
      </c>
      <c r="O125" s="214"/>
      <c r="P125" s="152">
        <v>0</v>
      </c>
      <c r="Q125" s="152">
        <v>0</v>
      </c>
      <c r="R125" s="152">
        <v>1</v>
      </c>
      <c r="S125" s="152">
        <v>114</v>
      </c>
    </row>
    <row r="126" spans="1:19" s="52" customFormat="1" ht="16.5" customHeight="1">
      <c r="A126" s="211">
        <v>115</v>
      </c>
      <c r="B126" s="212" t="s">
        <v>3777</v>
      </c>
      <c r="C126" s="211">
        <v>1762425</v>
      </c>
      <c r="D126" s="212" t="s">
        <v>3610</v>
      </c>
      <c r="E126" s="152" t="s">
        <v>3618</v>
      </c>
      <c r="F126" s="152" t="s">
        <v>3624</v>
      </c>
      <c r="G126" s="178" t="s">
        <v>3639</v>
      </c>
      <c r="H126" s="213" t="s">
        <v>3639</v>
      </c>
      <c r="I126" s="213" t="s">
        <v>3639</v>
      </c>
      <c r="J126" s="201">
        <f>COUNTIFS('TURMAS 2015.2'!U:U,A126)</f>
        <v>2</v>
      </c>
      <c r="K126" s="201">
        <f>SUMIFS('TURMAS 2015.2'!J:J,'TURMAS 2015.2'!U:U,A126)</f>
        <v>6</v>
      </c>
      <c r="L126" s="201">
        <f>COUNTIF('TURMAS 2015.2'!X:X,A126)</f>
        <v>2</v>
      </c>
      <c r="M126" s="201">
        <f>SUMIFS('TURMAS 2015.2'!K:K,'TURMAS 2015.2'!X:X,A126)</f>
        <v>2</v>
      </c>
      <c r="N126" s="201">
        <f t="shared" si="1"/>
        <v>8</v>
      </c>
      <c r="O126" s="214"/>
      <c r="P126" s="152">
        <v>0</v>
      </c>
      <c r="Q126" s="152">
        <v>0</v>
      </c>
      <c r="R126" s="152">
        <v>1</v>
      </c>
      <c r="S126" s="152">
        <v>115</v>
      </c>
    </row>
    <row r="127" spans="1:19" s="52" customFormat="1" ht="16.5" customHeight="1">
      <c r="A127" s="211">
        <v>116</v>
      </c>
      <c r="B127" s="212" t="s">
        <v>3778</v>
      </c>
      <c r="C127" s="211">
        <v>1744239</v>
      </c>
      <c r="D127" s="212" t="s">
        <v>3635</v>
      </c>
      <c r="E127" s="152" t="s">
        <v>3618</v>
      </c>
      <c r="F127" s="152" t="s">
        <v>3624</v>
      </c>
      <c r="G127" s="178" t="s">
        <v>3639</v>
      </c>
      <c r="H127" s="213" t="s">
        <v>3639</v>
      </c>
      <c r="I127" s="213" t="s">
        <v>3639</v>
      </c>
      <c r="J127" s="201">
        <f>COUNTIFS('TURMAS 2015.2'!U:U,A127)</f>
        <v>1</v>
      </c>
      <c r="K127" s="201">
        <f>SUMIFS('TURMAS 2015.2'!J:J,'TURMAS 2015.2'!U:U,A127)</f>
        <v>4</v>
      </c>
      <c r="L127" s="201">
        <f>COUNTIF('TURMAS 2015.2'!X:X,A127)</f>
        <v>1</v>
      </c>
      <c r="M127" s="201">
        <f>SUMIFS('TURMAS 2015.2'!K:K,'TURMAS 2015.2'!X:X,A127)</f>
        <v>0</v>
      </c>
      <c r="N127" s="201">
        <f t="shared" si="1"/>
        <v>4</v>
      </c>
      <c r="O127" s="214"/>
      <c r="P127" s="152" t="s">
        <v>3779</v>
      </c>
      <c r="Q127" s="152">
        <v>0.5</v>
      </c>
      <c r="R127" s="152">
        <v>0.5</v>
      </c>
      <c r="S127" s="152">
        <v>116</v>
      </c>
    </row>
    <row r="128" spans="1:19" s="52" customFormat="1" ht="16.5" customHeight="1">
      <c r="A128" s="211">
        <v>117</v>
      </c>
      <c r="B128" s="212" t="s">
        <v>3780</v>
      </c>
      <c r="C128" s="211">
        <v>2072337</v>
      </c>
      <c r="D128" s="212" t="s">
        <v>3653</v>
      </c>
      <c r="E128" s="152" t="s">
        <v>3618</v>
      </c>
      <c r="F128" s="152" t="s">
        <v>3624</v>
      </c>
      <c r="G128" s="178" t="s">
        <v>3639</v>
      </c>
      <c r="H128" s="213" t="s">
        <v>3639</v>
      </c>
      <c r="I128" s="213" t="s">
        <v>3639</v>
      </c>
      <c r="J128" s="201">
        <f>COUNTIFS('TURMAS 2015.2'!U:U,A128)</f>
        <v>1</v>
      </c>
      <c r="K128" s="201">
        <f>SUMIFS('TURMAS 2015.2'!J:J,'TURMAS 2015.2'!U:U,A128)</f>
        <v>4</v>
      </c>
      <c r="L128" s="201">
        <f>COUNTIF('TURMAS 2015.2'!X:X,A128)</f>
        <v>0</v>
      </c>
      <c r="M128" s="201">
        <f>SUMIFS('TURMAS 2015.2'!K:K,'TURMAS 2015.2'!X:X,A128)</f>
        <v>0</v>
      </c>
      <c r="N128" s="201">
        <f t="shared" si="1"/>
        <v>4</v>
      </c>
      <c r="O128" s="214"/>
      <c r="P128" s="152">
        <v>0</v>
      </c>
      <c r="Q128" s="152">
        <v>0</v>
      </c>
      <c r="R128" s="152">
        <v>1</v>
      </c>
      <c r="S128" s="152">
        <v>117</v>
      </c>
    </row>
    <row r="129" spans="1:19" s="52" customFormat="1" ht="16.5" customHeight="1">
      <c r="A129" s="211">
        <v>118</v>
      </c>
      <c r="B129" s="212" t="s">
        <v>3781</v>
      </c>
      <c r="C129" s="211">
        <v>2669171</v>
      </c>
      <c r="D129" s="212" t="s">
        <v>3642</v>
      </c>
      <c r="E129" s="152" t="s">
        <v>3618</v>
      </c>
      <c r="F129" s="152" t="s">
        <v>3624</v>
      </c>
      <c r="G129" s="178" t="s">
        <v>3639</v>
      </c>
      <c r="H129" s="213" t="s">
        <v>3639</v>
      </c>
      <c r="I129" s="213" t="s">
        <v>3639</v>
      </c>
      <c r="J129" s="201">
        <f>COUNTIFS('TURMAS 2015.2'!U:U,A129)</f>
        <v>1</v>
      </c>
      <c r="K129" s="201">
        <f>SUMIFS('TURMAS 2015.2'!J:J,'TURMAS 2015.2'!U:U,A129)</f>
        <v>4</v>
      </c>
      <c r="L129" s="201">
        <f>COUNTIF('TURMAS 2015.2'!X:X,A129)</f>
        <v>1</v>
      </c>
      <c r="M129" s="201">
        <f>SUMIFS('TURMAS 2015.2'!K:K,'TURMAS 2015.2'!X:X,A129)</f>
        <v>0</v>
      </c>
      <c r="N129" s="201">
        <f t="shared" si="1"/>
        <v>4</v>
      </c>
      <c r="O129" s="214"/>
      <c r="P129" s="152" t="s">
        <v>3782</v>
      </c>
      <c r="Q129" s="152">
        <v>1</v>
      </c>
      <c r="R129" s="152">
        <v>0</v>
      </c>
      <c r="S129" s="152">
        <v>118</v>
      </c>
    </row>
    <row r="130" spans="1:19" s="52" customFormat="1" ht="16.5" customHeight="1">
      <c r="A130" s="211">
        <v>119</v>
      </c>
      <c r="B130" s="212" t="s">
        <v>3783</v>
      </c>
      <c r="C130" s="211">
        <v>1762430</v>
      </c>
      <c r="D130" s="212" t="s">
        <v>3610</v>
      </c>
      <c r="E130" s="152" t="s">
        <v>3643</v>
      </c>
      <c r="F130" s="152" t="s">
        <v>3624</v>
      </c>
      <c r="G130" s="178" t="s">
        <v>3639</v>
      </c>
      <c r="H130" s="213" t="s">
        <v>3639</v>
      </c>
      <c r="I130" s="213" t="s">
        <v>3639</v>
      </c>
      <c r="J130" s="201">
        <f>COUNTIFS('TURMAS 2015.2'!U:U,A130)</f>
        <v>2</v>
      </c>
      <c r="K130" s="201">
        <f>SUMIFS('TURMAS 2015.2'!J:J,'TURMAS 2015.2'!U:U,A130)</f>
        <v>6</v>
      </c>
      <c r="L130" s="201">
        <f>COUNTIF('TURMAS 2015.2'!X:X,A130)</f>
        <v>2</v>
      </c>
      <c r="M130" s="201">
        <f>SUMIFS('TURMAS 2015.2'!K:K,'TURMAS 2015.2'!X:X,A130)</f>
        <v>4</v>
      </c>
      <c r="N130" s="201">
        <f t="shared" si="1"/>
        <v>10</v>
      </c>
      <c r="O130" s="214"/>
      <c r="P130" s="152">
        <v>0</v>
      </c>
      <c r="Q130" s="152">
        <v>0</v>
      </c>
      <c r="R130" s="152">
        <v>1</v>
      </c>
      <c r="S130" s="152">
        <v>119</v>
      </c>
    </row>
    <row r="131" spans="1:19" s="52" customFormat="1" ht="16.5" customHeight="1">
      <c r="A131" s="211">
        <v>120</v>
      </c>
      <c r="B131" s="212" t="s">
        <v>3784</v>
      </c>
      <c r="C131" s="211">
        <v>1669152</v>
      </c>
      <c r="D131" s="212" t="s">
        <v>3610</v>
      </c>
      <c r="E131" s="152" t="s">
        <v>3643</v>
      </c>
      <c r="F131" s="152" t="s">
        <v>3624</v>
      </c>
      <c r="G131" s="178" t="s">
        <v>3639</v>
      </c>
      <c r="H131" s="213" t="s">
        <v>3639</v>
      </c>
      <c r="I131" s="213" t="s">
        <v>3639</v>
      </c>
      <c r="J131" s="201">
        <f>COUNTIFS('TURMAS 2015.2'!U:U,A131)</f>
        <v>0</v>
      </c>
      <c r="K131" s="201">
        <f>SUMIFS('TURMAS 2015.2'!J:J,'TURMAS 2015.2'!U:U,A131)</f>
        <v>0</v>
      </c>
      <c r="L131" s="201">
        <f>COUNTIF('TURMAS 2015.2'!X:X,A131)</f>
        <v>0</v>
      </c>
      <c r="M131" s="201">
        <f>SUMIFS('TURMAS 2015.2'!K:K,'TURMAS 2015.2'!X:X,A131)</f>
        <v>0</v>
      </c>
      <c r="N131" s="201">
        <f t="shared" si="1"/>
        <v>0</v>
      </c>
      <c r="O131" s="214"/>
      <c r="P131" s="152">
        <v>0</v>
      </c>
      <c r="Q131" s="152">
        <v>0</v>
      </c>
      <c r="R131" s="152">
        <v>1</v>
      </c>
      <c r="S131" s="152">
        <v>120</v>
      </c>
    </row>
    <row r="132" spans="1:19" s="52" customFormat="1" ht="16.5" customHeight="1">
      <c r="A132" s="211">
        <v>121</v>
      </c>
      <c r="B132" s="212" t="s">
        <v>3785</v>
      </c>
      <c r="C132" s="211">
        <v>1574165</v>
      </c>
      <c r="D132" s="212" t="s">
        <v>3617</v>
      </c>
      <c r="E132" s="152" t="s">
        <v>3611</v>
      </c>
      <c r="F132" s="152" t="s">
        <v>3624</v>
      </c>
      <c r="G132" s="178" t="s">
        <v>3639</v>
      </c>
      <c r="H132" s="213" t="s">
        <v>3639</v>
      </c>
      <c r="I132" s="213" t="s">
        <v>3639</v>
      </c>
      <c r="J132" s="201">
        <f>COUNTIFS('TURMAS 2015.2'!U:U,A132)</f>
        <v>2</v>
      </c>
      <c r="K132" s="201">
        <f>SUMIFS('TURMAS 2015.2'!J:J,'TURMAS 2015.2'!U:U,A132)</f>
        <v>6</v>
      </c>
      <c r="L132" s="201">
        <f>COUNTIF('TURMAS 2015.2'!X:X,A132)</f>
        <v>0</v>
      </c>
      <c r="M132" s="201">
        <f>SUMIFS('TURMAS 2015.2'!K:K,'TURMAS 2015.2'!X:X,A132)</f>
        <v>0</v>
      </c>
      <c r="N132" s="201">
        <f t="shared" si="1"/>
        <v>6</v>
      </c>
      <c r="O132" s="214"/>
      <c r="P132" s="152">
        <v>0</v>
      </c>
      <c r="Q132" s="152">
        <v>0</v>
      </c>
      <c r="R132" s="152">
        <v>1</v>
      </c>
      <c r="S132" s="152">
        <v>121</v>
      </c>
    </row>
    <row r="133" spans="1:19" s="52" customFormat="1" ht="16.5" customHeight="1">
      <c r="A133" s="211">
        <v>122</v>
      </c>
      <c r="B133" s="212" t="s">
        <v>3786</v>
      </c>
      <c r="C133" s="211">
        <v>1760938</v>
      </c>
      <c r="D133" s="212" t="s">
        <v>3610</v>
      </c>
      <c r="E133" s="152" t="s">
        <v>3611</v>
      </c>
      <c r="F133" s="152" t="s">
        <v>3624</v>
      </c>
      <c r="G133" s="178" t="s">
        <v>3639</v>
      </c>
      <c r="H133" s="213" t="s">
        <v>3639</v>
      </c>
      <c r="I133" s="213" t="s">
        <v>3639</v>
      </c>
      <c r="J133" s="201">
        <f>COUNTIFS('TURMAS 2015.2'!U:U,A133)</f>
        <v>0</v>
      </c>
      <c r="K133" s="201">
        <f>SUMIFS('TURMAS 2015.2'!J:J,'TURMAS 2015.2'!U:U,A133)</f>
        <v>0</v>
      </c>
      <c r="L133" s="201">
        <f>COUNTIF('TURMAS 2015.2'!X:X,A133)</f>
        <v>4</v>
      </c>
      <c r="M133" s="201">
        <f>SUMIFS('TURMAS 2015.2'!K:K,'TURMAS 2015.2'!X:X,A133)</f>
        <v>8</v>
      </c>
      <c r="N133" s="201">
        <f t="shared" si="1"/>
        <v>8</v>
      </c>
      <c r="O133" s="214"/>
      <c r="P133" s="152">
        <v>0</v>
      </c>
      <c r="Q133" s="152">
        <v>0</v>
      </c>
      <c r="R133" s="152">
        <v>1</v>
      </c>
      <c r="S133" s="152">
        <v>122</v>
      </c>
    </row>
    <row r="134" spans="1:19" s="52" customFormat="1" ht="16.5" customHeight="1">
      <c r="A134" s="211">
        <v>123</v>
      </c>
      <c r="B134" s="212" t="s">
        <v>3787</v>
      </c>
      <c r="C134" s="211">
        <v>1802167</v>
      </c>
      <c r="D134" s="212" t="s">
        <v>3610</v>
      </c>
      <c r="E134" s="152" t="s">
        <v>3643</v>
      </c>
      <c r="F134" s="152" t="s">
        <v>3624</v>
      </c>
      <c r="G134" s="178" t="s">
        <v>3639</v>
      </c>
      <c r="H134" s="213" t="s">
        <v>3639</v>
      </c>
      <c r="I134" s="213" t="s">
        <v>3639</v>
      </c>
      <c r="J134" s="201">
        <f>COUNTIFS('TURMAS 2015.2'!U:U,A134)</f>
        <v>0</v>
      </c>
      <c r="K134" s="201">
        <f>SUMIFS('TURMAS 2015.2'!J:J,'TURMAS 2015.2'!U:U,A134)</f>
        <v>0</v>
      </c>
      <c r="L134" s="201">
        <f>COUNTIF('TURMAS 2015.2'!X:X,A134)</f>
        <v>0</v>
      </c>
      <c r="M134" s="201">
        <f>SUMIFS('TURMAS 2015.2'!K:K,'TURMAS 2015.2'!X:X,A134)</f>
        <v>0</v>
      </c>
      <c r="N134" s="201">
        <f t="shared" si="1"/>
        <v>0</v>
      </c>
      <c r="O134" s="214"/>
      <c r="P134" s="152" t="s">
        <v>3788</v>
      </c>
      <c r="Q134" s="152">
        <v>1</v>
      </c>
      <c r="R134" s="152">
        <v>0</v>
      </c>
      <c r="S134" s="152">
        <v>123</v>
      </c>
    </row>
    <row r="135" spans="1:19" s="52" customFormat="1" ht="16.5" customHeight="1">
      <c r="A135" s="211">
        <v>124</v>
      </c>
      <c r="B135" s="212" t="s">
        <v>3789</v>
      </c>
      <c r="C135" s="211">
        <v>1986755</v>
      </c>
      <c r="D135" s="212" t="s">
        <v>3617</v>
      </c>
      <c r="E135" s="152" t="s">
        <v>3618</v>
      </c>
      <c r="F135" s="152" t="s">
        <v>3624</v>
      </c>
      <c r="G135" s="178" t="s">
        <v>3639</v>
      </c>
      <c r="H135" s="213" t="s">
        <v>3639</v>
      </c>
      <c r="I135" s="213" t="s">
        <v>3639</v>
      </c>
      <c r="J135" s="201">
        <f>COUNTIFS('TURMAS 2015.2'!U:U,A135)</f>
        <v>0</v>
      </c>
      <c r="K135" s="201">
        <f>SUMIFS('TURMAS 2015.2'!J:J,'TURMAS 2015.2'!U:U,A135)</f>
        <v>0</v>
      </c>
      <c r="L135" s="201">
        <f>COUNTIF('TURMAS 2015.2'!X:X,A135)</f>
        <v>0</v>
      </c>
      <c r="M135" s="201">
        <f>SUMIFS('TURMAS 2015.2'!K:K,'TURMAS 2015.2'!X:X,A135)</f>
        <v>0</v>
      </c>
      <c r="N135" s="201">
        <f t="shared" si="1"/>
        <v>0</v>
      </c>
      <c r="O135" s="214"/>
      <c r="P135" s="152">
        <v>0</v>
      </c>
      <c r="Q135" s="152">
        <v>0</v>
      </c>
      <c r="R135" s="152">
        <v>1</v>
      </c>
      <c r="S135" s="152">
        <v>124</v>
      </c>
    </row>
    <row r="136" spans="1:19" s="52" customFormat="1" ht="16.5" customHeight="1">
      <c r="A136" s="211">
        <v>125</v>
      </c>
      <c r="B136" s="212" t="s">
        <v>3790</v>
      </c>
      <c r="C136" s="211">
        <v>1545089</v>
      </c>
      <c r="D136" s="212" t="s">
        <v>3647</v>
      </c>
      <c r="E136" s="152" t="s">
        <v>3618</v>
      </c>
      <c r="F136" s="152" t="s">
        <v>3624</v>
      </c>
      <c r="G136" s="178" t="s">
        <v>3639</v>
      </c>
      <c r="H136" s="213" t="s">
        <v>3639</v>
      </c>
      <c r="I136" s="213" t="s">
        <v>3639</v>
      </c>
      <c r="J136" s="201">
        <f>COUNTIFS('TURMAS 2015.2'!U:U,A136)</f>
        <v>0</v>
      </c>
      <c r="K136" s="201">
        <f>SUMIFS('TURMAS 2015.2'!J:J,'TURMAS 2015.2'!U:U,A136)</f>
        <v>0</v>
      </c>
      <c r="L136" s="201">
        <f>COUNTIF('TURMAS 2015.2'!X:X,A136)</f>
        <v>2</v>
      </c>
      <c r="M136" s="201">
        <f>SUMIFS('TURMAS 2015.2'!K:K,'TURMAS 2015.2'!X:X,A136)</f>
        <v>6</v>
      </c>
      <c r="N136" s="201">
        <f t="shared" si="1"/>
        <v>6</v>
      </c>
      <c r="O136" s="214"/>
      <c r="P136" s="152">
        <v>0</v>
      </c>
      <c r="Q136" s="152">
        <v>0</v>
      </c>
      <c r="R136" s="152">
        <v>1</v>
      </c>
      <c r="S136" s="152">
        <v>125</v>
      </c>
    </row>
    <row r="137" spans="1:19" s="52" customFormat="1" ht="16.5" customHeight="1">
      <c r="A137" s="211">
        <v>126</v>
      </c>
      <c r="B137" s="212" t="s">
        <v>3791</v>
      </c>
      <c r="C137" s="211">
        <v>1675708</v>
      </c>
      <c r="D137" s="212" t="s">
        <v>3610</v>
      </c>
      <c r="E137" s="152" t="s">
        <v>3643</v>
      </c>
      <c r="F137" s="152" t="s">
        <v>3624</v>
      </c>
      <c r="G137" s="178" t="s">
        <v>3639</v>
      </c>
      <c r="H137" s="213" t="s">
        <v>3639</v>
      </c>
      <c r="I137" s="213" t="s">
        <v>3639</v>
      </c>
      <c r="J137" s="201">
        <f>COUNTIFS('TURMAS 2015.2'!U:U,A137)</f>
        <v>1</v>
      </c>
      <c r="K137" s="201">
        <f>SUMIFS('TURMAS 2015.2'!J:J,'TURMAS 2015.2'!U:U,A137)</f>
        <v>4</v>
      </c>
      <c r="L137" s="201">
        <f>COUNTIF('TURMAS 2015.2'!X:X,A137)</f>
        <v>0</v>
      </c>
      <c r="M137" s="201">
        <f>SUMIFS('TURMAS 2015.2'!K:K,'TURMAS 2015.2'!X:X,A137)</f>
        <v>0</v>
      </c>
      <c r="N137" s="201">
        <f t="shared" si="1"/>
        <v>4</v>
      </c>
      <c r="O137" s="214"/>
      <c r="P137" s="152" t="s">
        <v>3792</v>
      </c>
      <c r="Q137" s="152">
        <v>0.5</v>
      </c>
      <c r="R137" s="152">
        <v>0.5</v>
      </c>
      <c r="S137" s="152">
        <v>126</v>
      </c>
    </row>
    <row r="138" spans="1:19" s="56" customFormat="1" ht="16.5" customHeight="1">
      <c r="A138" s="211">
        <v>127</v>
      </c>
      <c r="B138" s="212" t="s">
        <v>3793</v>
      </c>
      <c r="C138" s="211">
        <v>1831780</v>
      </c>
      <c r="D138" s="212" t="s">
        <v>3635</v>
      </c>
      <c r="E138" s="152" t="s">
        <v>3643</v>
      </c>
      <c r="F138" s="152" t="s">
        <v>3624</v>
      </c>
      <c r="G138" s="178" t="s">
        <v>3639</v>
      </c>
      <c r="H138" s="213" t="s">
        <v>3639</v>
      </c>
      <c r="I138" s="213" t="s">
        <v>3639</v>
      </c>
      <c r="J138" s="201">
        <f>COUNTIFS('TURMAS 2015.2'!U:U,A138)</f>
        <v>0</v>
      </c>
      <c r="K138" s="201">
        <f>SUMIFS('TURMAS 2015.2'!J:J,'TURMAS 2015.2'!U:U,A138)</f>
        <v>0</v>
      </c>
      <c r="L138" s="201">
        <f>COUNTIF('TURMAS 2015.2'!X:X,A138)</f>
        <v>0</v>
      </c>
      <c r="M138" s="201">
        <f>SUMIFS('TURMAS 2015.2'!K:K,'TURMAS 2015.2'!X:X,A138)</f>
        <v>0</v>
      </c>
      <c r="N138" s="201">
        <f t="shared" si="1"/>
        <v>0</v>
      </c>
      <c r="O138" s="214"/>
      <c r="P138" s="152">
        <v>0</v>
      </c>
      <c r="Q138" s="152">
        <v>0</v>
      </c>
      <c r="R138" s="152">
        <v>1</v>
      </c>
      <c r="S138" s="152">
        <v>127</v>
      </c>
    </row>
    <row r="139" spans="1:19" s="52" customFormat="1" ht="16.5" customHeight="1">
      <c r="A139" s="211">
        <v>128</v>
      </c>
      <c r="B139" s="212" t="s">
        <v>3794</v>
      </c>
      <c r="C139" s="211">
        <v>2147580</v>
      </c>
      <c r="D139" s="212" t="s">
        <v>3735</v>
      </c>
      <c r="E139" s="152" t="s">
        <v>3618</v>
      </c>
      <c r="F139" s="152" t="s">
        <v>3624</v>
      </c>
      <c r="G139" s="178" t="s">
        <v>3639</v>
      </c>
      <c r="H139" s="213" t="s">
        <v>3639</v>
      </c>
      <c r="I139" s="213" t="s">
        <v>3639</v>
      </c>
      <c r="J139" s="201">
        <f>COUNTIFS('TURMAS 2015.2'!U:U,A139)</f>
        <v>2</v>
      </c>
      <c r="K139" s="201">
        <f>SUMIFS('TURMAS 2015.2'!J:J,'TURMAS 2015.2'!U:U,A139)</f>
        <v>8</v>
      </c>
      <c r="L139" s="201">
        <f>COUNTIF('TURMAS 2015.2'!X:X,A139)</f>
        <v>0</v>
      </c>
      <c r="M139" s="201">
        <f>SUMIFS('TURMAS 2015.2'!K:K,'TURMAS 2015.2'!X:X,A139)</f>
        <v>0</v>
      </c>
      <c r="N139" s="201">
        <f t="shared" si="1"/>
        <v>8</v>
      </c>
      <c r="O139" s="214"/>
      <c r="P139" s="152">
        <v>0</v>
      </c>
      <c r="Q139" s="152">
        <v>0</v>
      </c>
      <c r="R139" s="152">
        <v>1</v>
      </c>
      <c r="S139" s="152">
        <v>128</v>
      </c>
    </row>
    <row r="140" spans="1:19" s="52" customFormat="1" ht="16.5" customHeight="1">
      <c r="A140" s="211">
        <v>129</v>
      </c>
      <c r="B140" s="212" t="s">
        <v>3795</v>
      </c>
      <c r="C140" s="211">
        <v>1761120</v>
      </c>
      <c r="D140" s="212" t="s">
        <v>3610</v>
      </c>
      <c r="E140" s="152" t="s">
        <v>3618</v>
      </c>
      <c r="F140" s="152" t="s">
        <v>3624</v>
      </c>
      <c r="G140" s="178" t="s">
        <v>3639</v>
      </c>
      <c r="H140" s="213" t="s">
        <v>3639</v>
      </c>
      <c r="I140" s="213" t="s">
        <v>3639</v>
      </c>
      <c r="J140" s="201">
        <f>COUNTIFS('TURMAS 2015.2'!U:U,A140)</f>
        <v>1</v>
      </c>
      <c r="K140" s="201">
        <f>SUMIFS('TURMAS 2015.2'!J:J,'TURMAS 2015.2'!U:U,A140)</f>
        <v>3</v>
      </c>
      <c r="L140" s="201">
        <f>COUNTIF('TURMAS 2015.2'!X:X,A140)</f>
        <v>0</v>
      </c>
      <c r="M140" s="201">
        <f>SUMIFS('TURMAS 2015.2'!K:K,'TURMAS 2015.2'!X:X,A140)</f>
        <v>0</v>
      </c>
      <c r="N140" s="201">
        <f t="shared" ref="N140:N203" si="2">K140+M140</f>
        <v>3</v>
      </c>
      <c r="O140" s="214"/>
      <c r="P140" s="152" t="s">
        <v>3796</v>
      </c>
      <c r="Q140" s="152">
        <v>0.3</v>
      </c>
      <c r="R140" s="152">
        <v>0.7</v>
      </c>
      <c r="S140" s="152">
        <v>129</v>
      </c>
    </row>
    <row r="141" spans="1:19" s="52" customFormat="1" ht="16.5" customHeight="1">
      <c r="A141" s="211">
        <v>130</v>
      </c>
      <c r="B141" s="212" t="s">
        <v>3797</v>
      </c>
      <c r="C141" s="211">
        <v>1543679</v>
      </c>
      <c r="D141" s="212" t="s">
        <v>3635</v>
      </c>
      <c r="E141" s="152" t="s">
        <v>3618</v>
      </c>
      <c r="F141" s="152" t="s">
        <v>3624</v>
      </c>
      <c r="G141" s="178" t="s">
        <v>3639</v>
      </c>
      <c r="H141" s="213" t="s">
        <v>3639</v>
      </c>
      <c r="I141" s="213" t="s">
        <v>3639</v>
      </c>
      <c r="J141" s="201">
        <f>COUNTIFS('TURMAS 2015.2'!U:U,A141)</f>
        <v>0</v>
      </c>
      <c r="K141" s="201">
        <f>SUMIFS('TURMAS 2015.2'!J:J,'TURMAS 2015.2'!U:U,A141)</f>
        <v>0</v>
      </c>
      <c r="L141" s="201">
        <f>COUNTIF('TURMAS 2015.2'!X:X,A141)</f>
        <v>0</v>
      </c>
      <c r="M141" s="201">
        <f>SUMIFS('TURMAS 2015.2'!K:K,'TURMAS 2015.2'!X:X,A141)</f>
        <v>0</v>
      </c>
      <c r="N141" s="201">
        <f t="shared" si="2"/>
        <v>0</v>
      </c>
      <c r="O141" s="214"/>
      <c r="P141" s="152">
        <v>0</v>
      </c>
      <c r="Q141" s="152">
        <v>0</v>
      </c>
      <c r="R141" s="152">
        <v>1</v>
      </c>
      <c r="S141" s="152">
        <v>130</v>
      </c>
    </row>
    <row r="142" spans="1:19" s="56" customFormat="1" ht="16.5" customHeight="1">
      <c r="A142" s="211">
        <v>131</v>
      </c>
      <c r="B142" s="212" t="s">
        <v>3798</v>
      </c>
      <c r="C142" s="211">
        <v>1722875</v>
      </c>
      <c r="D142" s="212" t="s">
        <v>3610</v>
      </c>
      <c r="E142" s="152" t="s">
        <v>3611</v>
      </c>
      <c r="F142" s="152" t="s">
        <v>3624</v>
      </c>
      <c r="G142" s="178" t="s">
        <v>3639</v>
      </c>
      <c r="H142" s="213" t="s">
        <v>3639</v>
      </c>
      <c r="I142" s="213" t="s">
        <v>3639</v>
      </c>
      <c r="J142" s="201">
        <f>COUNTIFS('TURMAS 2015.2'!U:U,A142)</f>
        <v>2</v>
      </c>
      <c r="K142" s="201">
        <f>SUMIFS('TURMAS 2015.2'!J:J,'TURMAS 2015.2'!U:U,A142)</f>
        <v>3</v>
      </c>
      <c r="L142" s="201">
        <f>COUNTIF('TURMAS 2015.2'!X:X,A142)</f>
        <v>3</v>
      </c>
      <c r="M142" s="201">
        <f>SUMIFS('TURMAS 2015.2'!K:K,'TURMAS 2015.2'!X:X,A142)</f>
        <v>6</v>
      </c>
      <c r="N142" s="201">
        <f t="shared" si="2"/>
        <v>9</v>
      </c>
      <c r="O142" s="214"/>
      <c r="P142" s="152">
        <v>0</v>
      </c>
      <c r="Q142" s="152">
        <v>0</v>
      </c>
      <c r="R142" s="152">
        <v>1</v>
      </c>
      <c r="S142" s="152">
        <v>131</v>
      </c>
    </row>
    <row r="143" spans="1:19" s="52" customFormat="1" ht="16.5" customHeight="1">
      <c r="A143" s="211">
        <v>132</v>
      </c>
      <c r="B143" s="212" t="s">
        <v>3799</v>
      </c>
      <c r="C143" s="211">
        <v>1918407</v>
      </c>
      <c r="D143" s="212" t="s">
        <v>3617</v>
      </c>
      <c r="E143" s="152" t="s">
        <v>3611</v>
      </c>
      <c r="F143" s="152" t="s">
        <v>3624</v>
      </c>
      <c r="G143" s="178" t="s">
        <v>3639</v>
      </c>
      <c r="H143" s="213" t="s">
        <v>3639</v>
      </c>
      <c r="I143" s="213" t="s">
        <v>3639</v>
      </c>
      <c r="J143" s="201">
        <f>COUNTIFS('TURMAS 2015.2'!U:U,A143)</f>
        <v>2</v>
      </c>
      <c r="K143" s="201">
        <f>SUMIFS('TURMAS 2015.2'!J:J,'TURMAS 2015.2'!U:U,A143)</f>
        <v>6</v>
      </c>
      <c r="L143" s="201">
        <f>COUNTIF('TURMAS 2015.2'!X:X,A143)</f>
        <v>3</v>
      </c>
      <c r="M143" s="201">
        <f>SUMIFS('TURMAS 2015.2'!K:K,'TURMAS 2015.2'!X:X,A143)</f>
        <v>4</v>
      </c>
      <c r="N143" s="201">
        <f t="shared" si="2"/>
        <v>10</v>
      </c>
      <c r="O143" s="214"/>
      <c r="P143" s="152">
        <v>0</v>
      </c>
      <c r="Q143" s="152">
        <v>0</v>
      </c>
      <c r="R143" s="152">
        <v>1</v>
      </c>
      <c r="S143" s="152">
        <v>132</v>
      </c>
    </row>
    <row r="144" spans="1:19" s="52" customFormat="1" ht="16.5" customHeight="1">
      <c r="A144" s="211">
        <v>133</v>
      </c>
      <c r="B144" s="212" t="s">
        <v>3800</v>
      </c>
      <c r="C144" s="211">
        <v>1760422</v>
      </c>
      <c r="D144" s="212" t="s">
        <v>3610</v>
      </c>
      <c r="E144" s="152" t="s">
        <v>3618</v>
      </c>
      <c r="F144" s="152" t="s">
        <v>3624</v>
      </c>
      <c r="G144" s="178" t="s">
        <v>3639</v>
      </c>
      <c r="H144" s="213" t="s">
        <v>3639</v>
      </c>
      <c r="I144" s="213" t="s">
        <v>3639</v>
      </c>
      <c r="J144" s="201">
        <f>COUNTIFS('TURMAS 2015.2'!U:U,A144)</f>
        <v>0</v>
      </c>
      <c r="K144" s="201">
        <f>SUMIFS('TURMAS 2015.2'!J:J,'TURMAS 2015.2'!U:U,A144)</f>
        <v>0</v>
      </c>
      <c r="L144" s="201">
        <f>COUNTIF('TURMAS 2015.2'!X:X,A144)</f>
        <v>0</v>
      </c>
      <c r="M144" s="201">
        <f>SUMIFS('TURMAS 2015.2'!K:K,'TURMAS 2015.2'!X:X,A144)</f>
        <v>0</v>
      </c>
      <c r="N144" s="201">
        <f t="shared" si="2"/>
        <v>0</v>
      </c>
      <c r="O144" s="214"/>
      <c r="P144" s="152">
        <v>0</v>
      </c>
      <c r="Q144" s="152">
        <v>0</v>
      </c>
      <c r="R144" s="152">
        <v>1</v>
      </c>
      <c r="S144" s="152">
        <v>133</v>
      </c>
    </row>
    <row r="145" spans="1:19" s="52" customFormat="1" ht="16.5" customHeight="1">
      <c r="A145" s="211">
        <v>134</v>
      </c>
      <c r="B145" s="215" t="s">
        <v>3801</v>
      </c>
      <c r="C145" s="211">
        <v>2211523</v>
      </c>
      <c r="D145" s="211"/>
      <c r="E145" s="152" t="s">
        <v>3618</v>
      </c>
      <c r="F145" s="152" t="s">
        <v>3624</v>
      </c>
      <c r="G145" s="178"/>
      <c r="H145" s="213"/>
      <c r="I145" s="213"/>
      <c r="J145" s="201">
        <f>COUNTIFS('TURMAS 2015.2'!U:U,A145)</f>
        <v>6</v>
      </c>
      <c r="K145" s="201">
        <f>SUMIFS('TURMAS 2015.2'!J:J,'TURMAS 2015.2'!U:U,A145)</f>
        <v>16</v>
      </c>
      <c r="L145" s="201">
        <f>COUNTIF('TURMAS 2015.2'!X:X,A145)</f>
        <v>0</v>
      </c>
      <c r="M145" s="201">
        <f>SUMIFS('TURMAS 2015.2'!K:K,'TURMAS 2015.2'!X:X,A145)</f>
        <v>0</v>
      </c>
      <c r="N145" s="201">
        <f t="shared" si="2"/>
        <v>16</v>
      </c>
      <c r="O145" s="214"/>
      <c r="P145" s="152"/>
      <c r="Q145" s="152"/>
      <c r="R145" s="152"/>
      <c r="S145" s="152">
        <v>134</v>
      </c>
    </row>
    <row r="146" spans="1:19" s="52" customFormat="1" ht="16.5" customHeight="1">
      <c r="A146" s="211">
        <v>135</v>
      </c>
      <c r="B146" s="212" t="s">
        <v>3802</v>
      </c>
      <c r="C146" s="211">
        <v>1961116</v>
      </c>
      <c r="D146" s="212" t="s">
        <v>3635</v>
      </c>
      <c r="E146" s="152" t="s">
        <v>3618</v>
      </c>
      <c r="F146" s="152" t="s">
        <v>3624</v>
      </c>
      <c r="G146" s="178" t="s">
        <v>3639</v>
      </c>
      <c r="H146" s="213" t="s">
        <v>3639</v>
      </c>
      <c r="I146" s="213" t="s">
        <v>3639</v>
      </c>
      <c r="J146" s="201">
        <f>COUNTIFS('TURMAS 2015.2'!U:U,A146)</f>
        <v>4</v>
      </c>
      <c r="K146" s="201">
        <f>SUMIFS('TURMAS 2015.2'!J:J,'TURMAS 2015.2'!U:U,A146)</f>
        <v>12</v>
      </c>
      <c r="L146" s="201">
        <f>COUNTIF('TURMAS 2015.2'!X:X,A146)</f>
        <v>4</v>
      </c>
      <c r="M146" s="201">
        <f>SUMIFS('TURMAS 2015.2'!K:K,'TURMAS 2015.2'!X:X,A146)</f>
        <v>4</v>
      </c>
      <c r="N146" s="201">
        <f t="shared" si="2"/>
        <v>16</v>
      </c>
      <c r="O146" s="214"/>
      <c r="P146" s="152">
        <v>0</v>
      </c>
      <c r="Q146" s="152">
        <v>0</v>
      </c>
      <c r="R146" s="152">
        <v>1</v>
      </c>
      <c r="S146" s="152">
        <v>135</v>
      </c>
    </row>
    <row r="147" spans="1:19" s="52" customFormat="1" ht="16.5" customHeight="1">
      <c r="A147" s="211">
        <v>136</v>
      </c>
      <c r="B147" s="212" t="s">
        <v>3803</v>
      </c>
      <c r="C147" s="211">
        <v>1760996</v>
      </c>
      <c r="D147" s="212" t="s">
        <v>3642</v>
      </c>
      <c r="E147" s="152" t="s">
        <v>3618</v>
      </c>
      <c r="F147" s="152" t="s">
        <v>3624</v>
      </c>
      <c r="G147" s="178" t="s">
        <v>3639</v>
      </c>
      <c r="H147" s="213" t="s">
        <v>3639</v>
      </c>
      <c r="I147" s="213" t="s">
        <v>3639</v>
      </c>
      <c r="J147" s="201">
        <f>COUNTIFS('TURMAS 2015.2'!U:U,A147)</f>
        <v>0</v>
      </c>
      <c r="K147" s="201">
        <f>SUMIFS('TURMAS 2015.2'!J:J,'TURMAS 2015.2'!U:U,A147)</f>
        <v>0</v>
      </c>
      <c r="L147" s="201">
        <f>COUNTIF('TURMAS 2015.2'!X:X,A147)</f>
        <v>0</v>
      </c>
      <c r="M147" s="201">
        <f>SUMIFS('TURMAS 2015.2'!K:K,'TURMAS 2015.2'!X:X,A147)</f>
        <v>0</v>
      </c>
      <c r="N147" s="201">
        <f t="shared" si="2"/>
        <v>0</v>
      </c>
      <c r="O147" s="214"/>
      <c r="P147" s="152">
        <v>0</v>
      </c>
      <c r="Q147" s="152">
        <v>0</v>
      </c>
      <c r="R147" s="152">
        <v>1</v>
      </c>
      <c r="S147" s="152">
        <v>136</v>
      </c>
    </row>
    <row r="148" spans="1:19" s="52" customFormat="1" ht="16.5" customHeight="1">
      <c r="A148" s="211">
        <v>137</v>
      </c>
      <c r="B148" s="212" t="s">
        <v>3804</v>
      </c>
      <c r="C148" s="211">
        <v>1768304</v>
      </c>
      <c r="D148" s="212" t="s">
        <v>3610</v>
      </c>
      <c r="E148" s="152" t="s">
        <v>3643</v>
      </c>
      <c r="F148" s="152" t="s">
        <v>3624</v>
      </c>
      <c r="G148" s="178" t="s">
        <v>3639</v>
      </c>
      <c r="H148" s="213" t="s">
        <v>3639</v>
      </c>
      <c r="I148" s="213" t="s">
        <v>3639</v>
      </c>
      <c r="J148" s="201">
        <f>COUNTIFS('TURMAS 2015.2'!U:U,A148)</f>
        <v>3</v>
      </c>
      <c r="K148" s="201">
        <f>SUMIFS('TURMAS 2015.2'!J:J,'TURMAS 2015.2'!U:U,A148)</f>
        <v>6</v>
      </c>
      <c r="L148" s="201">
        <f>COUNTIF('TURMAS 2015.2'!X:X,A148)</f>
        <v>0</v>
      </c>
      <c r="M148" s="201">
        <f>SUMIFS('TURMAS 2015.2'!K:K,'TURMAS 2015.2'!X:X,A148)</f>
        <v>0</v>
      </c>
      <c r="N148" s="201">
        <f t="shared" si="2"/>
        <v>6</v>
      </c>
      <c r="O148" s="214"/>
      <c r="P148" s="152">
        <v>0</v>
      </c>
      <c r="Q148" s="152">
        <v>0</v>
      </c>
      <c r="R148" s="152">
        <v>1</v>
      </c>
      <c r="S148" s="152">
        <v>137</v>
      </c>
    </row>
    <row r="149" spans="1:19" s="52" customFormat="1" ht="16.5" customHeight="1">
      <c r="A149" s="211">
        <v>138</v>
      </c>
      <c r="B149" s="212" t="s">
        <v>3805</v>
      </c>
      <c r="C149" s="211">
        <v>2976815</v>
      </c>
      <c r="D149" s="212" t="s">
        <v>3653</v>
      </c>
      <c r="E149" s="152" t="s">
        <v>3611</v>
      </c>
      <c r="F149" s="152" t="s">
        <v>3624</v>
      </c>
      <c r="G149" s="178" t="s">
        <v>3639</v>
      </c>
      <c r="H149" s="213" t="s">
        <v>3639</v>
      </c>
      <c r="I149" s="213" t="s">
        <v>3639</v>
      </c>
      <c r="J149" s="201">
        <f>COUNTIFS('TURMAS 2015.2'!U:U,A149)</f>
        <v>2</v>
      </c>
      <c r="K149" s="201">
        <f>SUMIFS('TURMAS 2015.2'!J:J,'TURMAS 2015.2'!U:U,A149)</f>
        <v>6</v>
      </c>
      <c r="L149" s="201">
        <f>COUNTIF('TURMAS 2015.2'!X:X,A149)</f>
        <v>4</v>
      </c>
      <c r="M149" s="201">
        <f>SUMIFS('TURMAS 2015.2'!K:K,'TURMAS 2015.2'!X:X,A149)</f>
        <v>6</v>
      </c>
      <c r="N149" s="201">
        <f t="shared" si="2"/>
        <v>12</v>
      </c>
      <c r="O149" s="214"/>
      <c r="P149" s="152">
        <v>0</v>
      </c>
      <c r="Q149" s="152">
        <v>0</v>
      </c>
      <c r="R149" s="152">
        <v>1</v>
      </c>
      <c r="S149" s="152">
        <v>138</v>
      </c>
    </row>
    <row r="150" spans="1:19" s="52" customFormat="1" ht="16.5" customHeight="1">
      <c r="A150" s="211">
        <v>139</v>
      </c>
      <c r="B150" s="212" t="s">
        <v>3806</v>
      </c>
      <c r="C150" s="211">
        <v>1671275</v>
      </c>
      <c r="D150" s="212" t="s">
        <v>3610</v>
      </c>
      <c r="E150" s="152" t="s">
        <v>3618</v>
      </c>
      <c r="F150" s="152" t="s">
        <v>3624</v>
      </c>
      <c r="G150" s="178" t="s">
        <v>3639</v>
      </c>
      <c r="H150" s="213" t="s">
        <v>3639</v>
      </c>
      <c r="I150" s="213" t="s">
        <v>3639</v>
      </c>
      <c r="J150" s="201">
        <f>COUNTIFS('TURMAS 2015.2'!U:U,A150)</f>
        <v>0</v>
      </c>
      <c r="K150" s="201">
        <f>SUMIFS('TURMAS 2015.2'!J:J,'TURMAS 2015.2'!U:U,A150)</f>
        <v>0</v>
      </c>
      <c r="L150" s="201">
        <f>COUNTIF('TURMAS 2015.2'!X:X,A150)</f>
        <v>0</v>
      </c>
      <c r="M150" s="201">
        <f>SUMIFS('TURMAS 2015.2'!K:K,'TURMAS 2015.2'!X:X,A150)</f>
        <v>0</v>
      </c>
      <c r="N150" s="201">
        <f t="shared" si="2"/>
        <v>0</v>
      </c>
      <c r="O150" s="214"/>
      <c r="P150" s="152">
        <v>0</v>
      </c>
      <c r="Q150" s="152">
        <v>0</v>
      </c>
      <c r="R150" s="152">
        <v>1</v>
      </c>
      <c r="S150" s="152">
        <v>139</v>
      </c>
    </row>
    <row r="151" spans="1:19" s="52" customFormat="1" ht="16.5" customHeight="1">
      <c r="A151" s="211">
        <v>140</v>
      </c>
      <c r="B151" s="212" t="s">
        <v>3807</v>
      </c>
      <c r="C151" s="211">
        <v>1671346</v>
      </c>
      <c r="D151" s="212" t="s">
        <v>3635</v>
      </c>
      <c r="E151" s="152" t="s">
        <v>3618</v>
      </c>
      <c r="F151" s="152" t="s">
        <v>3624</v>
      </c>
      <c r="G151" s="178" t="s">
        <v>3639</v>
      </c>
      <c r="H151" s="213" t="s">
        <v>3639</v>
      </c>
      <c r="I151" s="213" t="s">
        <v>3639</v>
      </c>
      <c r="J151" s="201">
        <f>COUNTIFS('TURMAS 2015.2'!U:U,A151)</f>
        <v>0</v>
      </c>
      <c r="K151" s="201">
        <f>SUMIFS('TURMAS 2015.2'!J:J,'TURMAS 2015.2'!U:U,A151)</f>
        <v>0</v>
      </c>
      <c r="L151" s="201">
        <f>COUNTIF('TURMAS 2015.2'!X:X,A151)</f>
        <v>0</v>
      </c>
      <c r="M151" s="201">
        <f>SUMIFS('TURMAS 2015.2'!K:K,'TURMAS 2015.2'!X:X,A151)</f>
        <v>0</v>
      </c>
      <c r="N151" s="201">
        <f t="shared" si="2"/>
        <v>0</v>
      </c>
      <c r="O151" s="214"/>
      <c r="P151" s="152">
        <v>0</v>
      </c>
      <c r="Q151" s="152">
        <v>0</v>
      </c>
      <c r="R151" s="152">
        <v>1</v>
      </c>
      <c r="S151" s="152">
        <v>140</v>
      </c>
    </row>
    <row r="152" spans="1:19" s="52" customFormat="1" ht="16.5" customHeight="1">
      <c r="A152" s="211">
        <v>141</v>
      </c>
      <c r="B152" s="212" t="s">
        <v>3808</v>
      </c>
      <c r="C152" s="211">
        <v>1946319</v>
      </c>
      <c r="D152" s="212" t="s">
        <v>3635</v>
      </c>
      <c r="E152" s="152" t="s">
        <v>3618</v>
      </c>
      <c r="F152" s="152" t="s">
        <v>3624</v>
      </c>
      <c r="G152" s="178" t="s">
        <v>3639</v>
      </c>
      <c r="H152" s="213" t="s">
        <v>3639</v>
      </c>
      <c r="I152" s="213" t="s">
        <v>3639</v>
      </c>
      <c r="J152" s="201">
        <f>COUNTIFS('TURMAS 2015.2'!U:U,A152)</f>
        <v>2</v>
      </c>
      <c r="K152" s="201">
        <f>SUMIFS('TURMAS 2015.2'!J:J,'TURMAS 2015.2'!U:U,A152)</f>
        <v>12</v>
      </c>
      <c r="L152" s="201">
        <f>COUNTIF('TURMAS 2015.2'!X:X,A152)</f>
        <v>0</v>
      </c>
      <c r="M152" s="201">
        <f>SUMIFS('TURMAS 2015.2'!K:K,'TURMAS 2015.2'!X:X,A152)</f>
        <v>0</v>
      </c>
      <c r="N152" s="201">
        <f t="shared" si="2"/>
        <v>12</v>
      </c>
      <c r="O152" s="214"/>
      <c r="P152" s="152">
        <v>0</v>
      </c>
      <c r="Q152" s="152">
        <v>0</v>
      </c>
      <c r="R152" s="152">
        <v>1</v>
      </c>
      <c r="S152" s="152">
        <v>141</v>
      </c>
    </row>
    <row r="153" spans="1:19" s="69" customFormat="1" ht="16.5" customHeight="1">
      <c r="A153" s="211">
        <v>142</v>
      </c>
      <c r="B153" s="212" t="s">
        <v>3809</v>
      </c>
      <c r="C153" s="211">
        <v>2145401</v>
      </c>
      <c r="D153" s="212" t="s">
        <v>3653</v>
      </c>
      <c r="E153" s="152" t="s">
        <v>3643</v>
      </c>
      <c r="F153" s="152" t="s">
        <v>3624</v>
      </c>
      <c r="G153" s="178" t="s">
        <v>3639</v>
      </c>
      <c r="H153" s="213" t="s">
        <v>3639</v>
      </c>
      <c r="I153" s="213" t="s">
        <v>3639</v>
      </c>
      <c r="J153" s="201">
        <f>COUNTIFS('TURMAS 2015.2'!U:U,A153)</f>
        <v>0</v>
      </c>
      <c r="K153" s="201">
        <f>SUMIFS('TURMAS 2015.2'!J:J,'TURMAS 2015.2'!U:U,A153)</f>
        <v>0</v>
      </c>
      <c r="L153" s="201">
        <f>COUNTIF('TURMAS 2015.2'!X:X,A153)</f>
        <v>0</v>
      </c>
      <c r="M153" s="201">
        <f>SUMIFS('TURMAS 2015.2'!K:K,'TURMAS 2015.2'!X:X,A153)</f>
        <v>0</v>
      </c>
      <c r="N153" s="201">
        <f t="shared" si="2"/>
        <v>0</v>
      </c>
      <c r="O153" s="214"/>
      <c r="P153" s="152">
        <v>0</v>
      </c>
      <c r="Q153" s="152">
        <v>0</v>
      </c>
      <c r="R153" s="152">
        <v>1</v>
      </c>
      <c r="S153" s="152">
        <v>142</v>
      </c>
    </row>
    <row r="154" spans="1:19" s="52" customFormat="1" ht="16.5" customHeight="1">
      <c r="A154" s="211">
        <v>143</v>
      </c>
      <c r="B154" s="212" t="s">
        <v>3810</v>
      </c>
      <c r="C154" s="211">
        <v>2123689</v>
      </c>
      <c r="D154" s="212" t="s">
        <v>3653</v>
      </c>
      <c r="E154" s="152" t="s">
        <v>3611</v>
      </c>
      <c r="F154" s="152" t="s">
        <v>3624</v>
      </c>
      <c r="G154" s="178" t="s">
        <v>3639</v>
      </c>
      <c r="H154" s="213" t="s">
        <v>3639</v>
      </c>
      <c r="I154" s="213" t="s">
        <v>3639</v>
      </c>
      <c r="J154" s="201">
        <f>COUNTIFS('TURMAS 2015.2'!U:U,A154)</f>
        <v>0</v>
      </c>
      <c r="K154" s="201">
        <f>SUMIFS('TURMAS 2015.2'!J:J,'TURMAS 2015.2'!U:U,A154)</f>
        <v>0</v>
      </c>
      <c r="L154" s="201">
        <f>COUNTIF('TURMAS 2015.2'!X:X,A154)</f>
        <v>0</v>
      </c>
      <c r="M154" s="201">
        <f>SUMIFS('TURMAS 2015.2'!K:K,'TURMAS 2015.2'!X:X,A154)</f>
        <v>0</v>
      </c>
      <c r="N154" s="201">
        <f t="shared" si="2"/>
        <v>0</v>
      </c>
      <c r="O154" s="214"/>
      <c r="P154" s="152">
        <v>0</v>
      </c>
      <c r="Q154" s="152">
        <v>0</v>
      </c>
      <c r="R154" s="152">
        <v>1</v>
      </c>
      <c r="S154" s="152">
        <v>143</v>
      </c>
    </row>
    <row r="155" spans="1:19" s="52" customFormat="1" ht="16.5" customHeight="1">
      <c r="A155" s="211">
        <v>144</v>
      </c>
      <c r="B155" s="212" t="s">
        <v>3811</v>
      </c>
      <c r="C155" s="211">
        <v>1724820</v>
      </c>
      <c r="D155" s="212" t="s">
        <v>3642</v>
      </c>
      <c r="E155" s="152" t="s">
        <v>3611</v>
      </c>
      <c r="F155" s="152" t="s">
        <v>3624</v>
      </c>
      <c r="G155" s="178" t="s">
        <v>3639</v>
      </c>
      <c r="H155" s="213" t="s">
        <v>3639</v>
      </c>
      <c r="I155" s="213" t="s">
        <v>3639</v>
      </c>
      <c r="J155" s="201">
        <f>COUNTIFS('TURMAS 2015.2'!U:U,A155)</f>
        <v>0</v>
      </c>
      <c r="K155" s="201">
        <f>SUMIFS('TURMAS 2015.2'!J:J,'TURMAS 2015.2'!U:U,A155)</f>
        <v>0</v>
      </c>
      <c r="L155" s="201">
        <f>COUNTIF('TURMAS 2015.2'!X:X,A155)</f>
        <v>0</v>
      </c>
      <c r="M155" s="201">
        <f>SUMIFS('TURMAS 2015.2'!K:K,'TURMAS 2015.2'!X:X,A155)</f>
        <v>0</v>
      </c>
      <c r="N155" s="201">
        <f t="shared" si="2"/>
        <v>0</v>
      </c>
      <c r="O155" s="214"/>
      <c r="P155" s="152">
        <v>0</v>
      </c>
      <c r="Q155" s="152">
        <v>0</v>
      </c>
      <c r="R155" s="152">
        <v>1</v>
      </c>
      <c r="S155" s="152">
        <v>144</v>
      </c>
    </row>
    <row r="156" spans="1:19" s="52" customFormat="1" ht="16.5" customHeight="1">
      <c r="A156" s="211">
        <v>145</v>
      </c>
      <c r="B156" s="212" t="s">
        <v>3812</v>
      </c>
      <c r="C156" s="211">
        <v>1632464</v>
      </c>
      <c r="D156" s="212" t="s">
        <v>3647</v>
      </c>
      <c r="E156" s="152" t="s">
        <v>3618</v>
      </c>
      <c r="F156" s="152" t="s">
        <v>3624</v>
      </c>
      <c r="G156" s="178" t="s">
        <v>3639</v>
      </c>
      <c r="H156" s="213" t="s">
        <v>3639</v>
      </c>
      <c r="I156" s="213" t="s">
        <v>3639</v>
      </c>
      <c r="J156" s="201">
        <f>COUNTIFS('TURMAS 2015.2'!U:U,A156)</f>
        <v>3</v>
      </c>
      <c r="K156" s="201">
        <f>SUMIFS('TURMAS 2015.2'!J:J,'TURMAS 2015.2'!U:U,A156)</f>
        <v>7</v>
      </c>
      <c r="L156" s="201">
        <f>COUNTIF('TURMAS 2015.2'!X:X,A156)</f>
        <v>3</v>
      </c>
      <c r="M156" s="201">
        <f>SUMIFS('TURMAS 2015.2'!K:K,'TURMAS 2015.2'!X:X,A156)</f>
        <v>1</v>
      </c>
      <c r="N156" s="201">
        <f t="shared" si="2"/>
        <v>8</v>
      </c>
      <c r="O156" s="214"/>
      <c r="P156" s="152">
        <v>0</v>
      </c>
      <c r="Q156" s="152">
        <v>0</v>
      </c>
      <c r="R156" s="152">
        <v>1</v>
      </c>
      <c r="S156" s="152">
        <v>145</v>
      </c>
    </row>
    <row r="157" spans="1:19" s="52" customFormat="1" ht="16.5" customHeight="1">
      <c r="A157" s="211">
        <v>146</v>
      </c>
      <c r="B157" s="203" t="s">
        <v>3813</v>
      </c>
      <c r="C157" s="202">
        <v>2604980</v>
      </c>
      <c r="D157" s="203" t="s">
        <v>3647</v>
      </c>
      <c r="E157" s="149" t="s">
        <v>3618</v>
      </c>
      <c r="F157" s="152" t="s">
        <v>3624</v>
      </c>
      <c r="G157" s="179"/>
      <c r="H157" s="214"/>
      <c r="I157" s="214"/>
      <c r="J157" s="201">
        <f>COUNTIFS('TURMAS 2015.2'!U:U,A157)</f>
        <v>3</v>
      </c>
      <c r="K157" s="201">
        <f>SUMIFS('TURMAS 2015.2'!J:J,'TURMAS 2015.2'!U:U,A157)</f>
        <v>8</v>
      </c>
      <c r="L157" s="201">
        <f>COUNTIF('TURMAS 2015.2'!X:X,A157)</f>
        <v>3</v>
      </c>
      <c r="M157" s="201">
        <f>SUMIFS('TURMAS 2015.2'!K:K,'TURMAS 2015.2'!X:X,A157)</f>
        <v>4</v>
      </c>
      <c r="N157" s="201">
        <f t="shared" si="2"/>
        <v>12</v>
      </c>
      <c r="O157" s="214"/>
      <c r="P157" s="149">
        <v>0</v>
      </c>
      <c r="Q157" s="149">
        <v>0</v>
      </c>
      <c r="R157" s="149">
        <v>1</v>
      </c>
      <c r="S157" s="152">
        <v>146</v>
      </c>
    </row>
    <row r="158" spans="1:19" s="52" customFormat="1" ht="16.5" customHeight="1">
      <c r="A158" s="211">
        <v>147</v>
      </c>
      <c r="B158" s="212" t="s">
        <v>3814</v>
      </c>
      <c r="C158" s="211">
        <v>1671333</v>
      </c>
      <c r="D158" s="212" t="s">
        <v>3647</v>
      </c>
      <c r="E158" s="152" t="s">
        <v>3618</v>
      </c>
      <c r="F158" s="152" t="s">
        <v>3624</v>
      </c>
      <c r="G158" s="178" t="s">
        <v>3639</v>
      </c>
      <c r="H158" s="213" t="s">
        <v>3639</v>
      </c>
      <c r="I158" s="213" t="s">
        <v>3639</v>
      </c>
      <c r="J158" s="201">
        <f>COUNTIFS('TURMAS 2015.2'!U:U,A158)</f>
        <v>0</v>
      </c>
      <c r="K158" s="201">
        <f>SUMIFS('TURMAS 2015.2'!J:J,'TURMAS 2015.2'!U:U,A158)</f>
        <v>0</v>
      </c>
      <c r="L158" s="201">
        <f>COUNTIF('TURMAS 2015.2'!X:X,A158)</f>
        <v>0</v>
      </c>
      <c r="M158" s="201">
        <f>SUMIFS('TURMAS 2015.2'!K:K,'TURMAS 2015.2'!X:X,A158)</f>
        <v>0</v>
      </c>
      <c r="N158" s="201">
        <f t="shared" si="2"/>
        <v>0</v>
      </c>
      <c r="O158" s="214"/>
      <c r="P158" s="152" t="s">
        <v>3815</v>
      </c>
      <c r="Q158" s="152">
        <v>0.3</v>
      </c>
      <c r="R158" s="152">
        <v>0.7</v>
      </c>
      <c r="S158" s="152">
        <v>147</v>
      </c>
    </row>
    <row r="159" spans="1:19" s="52" customFormat="1" ht="16.5" customHeight="1">
      <c r="A159" s="211">
        <v>148</v>
      </c>
      <c r="B159" s="212" t="s">
        <v>3816</v>
      </c>
      <c r="C159" s="211">
        <v>1545749</v>
      </c>
      <c r="D159" s="212" t="s">
        <v>3610</v>
      </c>
      <c r="E159" s="152" t="s">
        <v>3611</v>
      </c>
      <c r="F159" s="152" t="s">
        <v>3624</v>
      </c>
      <c r="G159" s="178" t="s">
        <v>3639</v>
      </c>
      <c r="H159" s="213" t="s">
        <v>3639</v>
      </c>
      <c r="I159" s="213" t="s">
        <v>3639</v>
      </c>
      <c r="J159" s="201">
        <f>COUNTIFS('TURMAS 2015.2'!U:U,A159)</f>
        <v>2</v>
      </c>
      <c r="K159" s="201">
        <f>SUMIFS('TURMAS 2015.2'!J:J,'TURMAS 2015.2'!U:U,A159)</f>
        <v>12</v>
      </c>
      <c r="L159" s="201">
        <f>COUNTIF('TURMAS 2015.2'!X:X,A159)</f>
        <v>0</v>
      </c>
      <c r="M159" s="201">
        <f>SUMIFS('TURMAS 2015.2'!K:K,'TURMAS 2015.2'!X:X,A159)</f>
        <v>0</v>
      </c>
      <c r="N159" s="201">
        <f t="shared" si="2"/>
        <v>12</v>
      </c>
      <c r="O159" s="214"/>
      <c r="P159" s="152">
        <v>0</v>
      </c>
      <c r="Q159" s="152">
        <v>0</v>
      </c>
      <c r="R159" s="152">
        <v>1</v>
      </c>
      <c r="S159" s="152">
        <v>148</v>
      </c>
    </row>
    <row r="160" spans="1:19" s="52" customFormat="1" ht="16.5" customHeight="1">
      <c r="A160" s="211">
        <v>149</v>
      </c>
      <c r="B160" s="212" t="s">
        <v>3817</v>
      </c>
      <c r="C160" s="211">
        <v>1672965</v>
      </c>
      <c r="D160" s="212" t="s">
        <v>3610</v>
      </c>
      <c r="E160" s="152" t="s">
        <v>3611</v>
      </c>
      <c r="F160" s="152" t="s">
        <v>3624</v>
      </c>
      <c r="G160" s="178" t="s">
        <v>3639</v>
      </c>
      <c r="H160" s="213" t="s">
        <v>3639</v>
      </c>
      <c r="I160" s="213" t="s">
        <v>3639</v>
      </c>
      <c r="J160" s="201">
        <f>COUNTIFS('TURMAS 2015.2'!U:U,A160)</f>
        <v>0</v>
      </c>
      <c r="K160" s="201">
        <f>SUMIFS('TURMAS 2015.2'!J:J,'TURMAS 2015.2'!U:U,A160)</f>
        <v>0</v>
      </c>
      <c r="L160" s="201">
        <f>COUNTIF('TURMAS 2015.2'!X:X,A160)</f>
        <v>1</v>
      </c>
      <c r="M160" s="201">
        <f>SUMIFS('TURMAS 2015.2'!K:K,'TURMAS 2015.2'!X:X,A160)</f>
        <v>2</v>
      </c>
      <c r="N160" s="201">
        <f t="shared" si="2"/>
        <v>2</v>
      </c>
      <c r="O160" s="214"/>
      <c r="P160" s="152" t="s">
        <v>3818</v>
      </c>
      <c r="Q160" s="152">
        <v>1</v>
      </c>
      <c r="R160" s="152">
        <v>0</v>
      </c>
      <c r="S160" s="152">
        <v>149</v>
      </c>
    </row>
    <row r="161" spans="1:19" ht="16.5" customHeight="1">
      <c r="A161" s="211">
        <v>150</v>
      </c>
      <c r="B161" s="203" t="s">
        <v>3819</v>
      </c>
      <c r="C161" s="202">
        <v>1574072</v>
      </c>
      <c r="D161" s="203" t="s">
        <v>3647</v>
      </c>
      <c r="E161" s="149" t="s">
        <v>3611</v>
      </c>
      <c r="F161" s="152" t="s">
        <v>3624</v>
      </c>
      <c r="G161" s="179"/>
      <c r="H161" s="214"/>
      <c r="I161" s="214"/>
      <c r="J161" s="201">
        <f>COUNTIFS('TURMAS 2015.2'!U:U,A161)</f>
        <v>4</v>
      </c>
      <c r="K161" s="201">
        <f>SUMIFS('TURMAS 2015.2'!J:J,'TURMAS 2015.2'!U:U,A161)</f>
        <v>16</v>
      </c>
      <c r="L161" s="201">
        <f>COUNTIF('TURMAS 2015.2'!X:X,A161)</f>
        <v>0</v>
      </c>
      <c r="M161" s="201">
        <f>SUMIFS('TURMAS 2015.2'!K:K,'TURMAS 2015.2'!X:X,A161)</f>
        <v>0</v>
      </c>
      <c r="N161" s="201">
        <f t="shared" si="2"/>
        <v>16</v>
      </c>
      <c r="O161" s="214"/>
      <c r="P161" s="149">
        <v>0</v>
      </c>
      <c r="Q161" s="149">
        <v>0</v>
      </c>
      <c r="R161" s="149">
        <v>1</v>
      </c>
      <c r="S161" s="152">
        <v>150</v>
      </c>
    </row>
    <row r="162" spans="1:19" s="52" customFormat="1" ht="16.5" customHeight="1">
      <c r="A162" s="211">
        <v>151</v>
      </c>
      <c r="B162" s="212" t="s">
        <v>3820</v>
      </c>
      <c r="C162" s="211">
        <v>1544422</v>
      </c>
      <c r="D162" s="212" t="s">
        <v>3621</v>
      </c>
      <c r="E162" s="152" t="s">
        <v>3643</v>
      </c>
      <c r="F162" s="152" t="s">
        <v>3624</v>
      </c>
      <c r="G162" s="178" t="s">
        <v>3639</v>
      </c>
      <c r="H162" s="213" t="s">
        <v>3639</v>
      </c>
      <c r="I162" s="213" t="s">
        <v>3639</v>
      </c>
      <c r="J162" s="201">
        <f>COUNTIFS('TURMAS 2015.2'!U:U,A162)</f>
        <v>3</v>
      </c>
      <c r="K162" s="201">
        <f>SUMIFS('TURMAS 2015.2'!J:J,'TURMAS 2015.2'!U:U,A162)</f>
        <v>3</v>
      </c>
      <c r="L162" s="201">
        <f>COUNTIF('TURMAS 2015.2'!X:X,A162)</f>
        <v>3</v>
      </c>
      <c r="M162" s="201">
        <f>SUMIFS('TURMAS 2015.2'!K:K,'TURMAS 2015.2'!X:X,A162)</f>
        <v>6</v>
      </c>
      <c r="N162" s="201">
        <f t="shared" si="2"/>
        <v>9</v>
      </c>
      <c r="O162" s="214"/>
      <c r="P162" s="152">
        <v>0</v>
      </c>
      <c r="Q162" s="152">
        <v>0</v>
      </c>
      <c r="R162" s="152">
        <v>1</v>
      </c>
      <c r="S162" s="152">
        <v>151</v>
      </c>
    </row>
    <row r="163" spans="1:19" s="52" customFormat="1" ht="16.5" customHeight="1">
      <c r="A163" s="211">
        <v>152</v>
      </c>
      <c r="B163" s="212" t="s">
        <v>3821</v>
      </c>
      <c r="C163" s="211">
        <v>1761038</v>
      </c>
      <c r="D163" s="212" t="s">
        <v>3635</v>
      </c>
      <c r="E163" s="152" t="s">
        <v>3618</v>
      </c>
      <c r="F163" s="152" t="s">
        <v>3624</v>
      </c>
      <c r="G163" s="178" t="s">
        <v>3639</v>
      </c>
      <c r="H163" s="213" t="s">
        <v>3639</v>
      </c>
      <c r="I163" s="213" t="s">
        <v>3639</v>
      </c>
      <c r="J163" s="201">
        <f>COUNTIFS('TURMAS 2015.2'!U:U,A163)</f>
        <v>1</v>
      </c>
      <c r="K163" s="201">
        <f>SUMIFS('TURMAS 2015.2'!J:J,'TURMAS 2015.2'!U:U,A163)</f>
        <v>3</v>
      </c>
      <c r="L163" s="201">
        <f>COUNTIF('TURMAS 2015.2'!X:X,A163)</f>
        <v>2</v>
      </c>
      <c r="M163" s="201">
        <f>SUMIFS('TURMAS 2015.2'!K:K,'TURMAS 2015.2'!X:X,A163)</f>
        <v>4</v>
      </c>
      <c r="N163" s="201">
        <f t="shared" si="2"/>
        <v>7</v>
      </c>
      <c r="O163" s="214"/>
      <c r="P163" s="152">
        <v>0</v>
      </c>
      <c r="Q163" s="152">
        <v>0</v>
      </c>
      <c r="R163" s="152">
        <v>1</v>
      </c>
      <c r="S163" s="152">
        <v>152</v>
      </c>
    </row>
    <row r="164" spans="1:19" s="52" customFormat="1" ht="16.5" customHeight="1">
      <c r="A164" s="211">
        <v>153</v>
      </c>
      <c r="B164" s="212" t="s">
        <v>3822</v>
      </c>
      <c r="C164" s="211">
        <v>1544390</v>
      </c>
      <c r="D164" s="212" t="s">
        <v>3647</v>
      </c>
      <c r="E164" s="152" t="s">
        <v>3611</v>
      </c>
      <c r="F164" s="152" t="s">
        <v>3624</v>
      </c>
      <c r="G164" s="178" t="s">
        <v>3639</v>
      </c>
      <c r="H164" s="213" t="s">
        <v>3639</v>
      </c>
      <c r="I164" s="213" t="s">
        <v>3639</v>
      </c>
      <c r="J164" s="201">
        <f>COUNTIFS('TURMAS 2015.2'!U:U,A164)</f>
        <v>2</v>
      </c>
      <c r="K164" s="201">
        <f>SUMIFS('TURMAS 2015.2'!J:J,'TURMAS 2015.2'!U:U,A164)</f>
        <v>8</v>
      </c>
      <c r="L164" s="201">
        <f>COUNTIF('TURMAS 2015.2'!X:X,A164)</f>
        <v>0</v>
      </c>
      <c r="M164" s="201">
        <f>SUMIFS('TURMAS 2015.2'!K:K,'TURMAS 2015.2'!X:X,A164)</f>
        <v>0</v>
      </c>
      <c r="N164" s="201">
        <f t="shared" si="2"/>
        <v>8</v>
      </c>
      <c r="O164" s="214"/>
      <c r="P164" s="152">
        <v>0</v>
      </c>
      <c r="Q164" s="152">
        <v>0</v>
      </c>
      <c r="R164" s="152">
        <v>1</v>
      </c>
      <c r="S164" s="152">
        <v>153</v>
      </c>
    </row>
    <row r="165" spans="1:19" s="56" customFormat="1" ht="16.5" customHeight="1">
      <c r="A165" s="211">
        <v>154</v>
      </c>
      <c r="B165" s="212" t="s">
        <v>3823</v>
      </c>
      <c r="C165" s="211">
        <v>1500112</v>
      </c>
      <c r="D165" s="212" t="s">
        <v>3621</v>
      </c>
      <c r="E165" s="152" t="s">
        <v>3643</v>
      </c>
      <c r="F165" s="152" t="s">
        <v>3624</v>
      </c>
      <c r="G165" s="178" t="s">
        <v>3639</v>
      </c>
      <c r="H165" s="213" t="s">
        <v>3639</v>
      </c>
      <c r="I165" s="213" t="s">
        <v>3639</v>
      </c>
      <c r="J165" s="201">
        <f>COUNTIFS('TURMAS 2015.2'!U:U,A165)</f>
        <v>1</v>
      </c>
      <c r="K165" s="201">
        <f>SUMIFS('TURMAS 2015.2'!J:J,'TURMAS 2015.2'!U:U,A165)</f>
        <v>3</v>
      </c>
      <c r="L165" s="201">
        <f>COUNTIF('TURMAS 2015.2'!X:X,A165)</f>
        <v>0</v>
      </c>
      <c r="M165" s="201">
        <f>SUMIFS('TURMAS 2015.2'!K:K,'TURMAS 2015.2'!X:X,A165)</f>
        <v>0</v>
      </c>
      <c r="N165" s="201">
        <f t="shared" si="2"/>
        <v>3</v>
      </c>
      <c r="O165" s="214"/>
      <c r="P165" s="152" t="s">
        <v>3824</v>
      </c>
      <c r="Q165" s="152">
        <v>0.5</v>
      </c>
      <c r="R165" s="152">
        <v>0.5</v>
      </c>
      <c r="S165" s="152">
        <v>154</v>
      </c>
    </row>
    <row r="166" spans="1:19" s="52" customFormat="1" ht="16.5" customHeight="1">
      <c r="A166" s="211">
        <v>155</v>
      </c>
      <c r="B166" s="212" t="s">
        <v>3825</v>
      </c>
      <c r="C166" s="211">
        <v>1073159</v>
      </c>
      <c r="D166" s="212" t="s">
        <v>3653</v>
      </c>
      <c r="E166" s="152" t="s">
        <v>3618</v>
      </c>
      <c r="F166" s="152" t="s">
        <v>3624</v>
      </c>
      <c r="G166" s="178" t="s">
        <v>3639</v>
      </c>
      <c r="H166" s="213" t="s">
        <v>3639</v>
      </c>
      <c r="I166" s="213" t="s">
        <v>3639</v>
      </c>
      <c r="J166" s="201">
        <f>COUNTIFS('TURMAS 2015.2'!U:U,A166)</f>
        <v>1</v>
      </c>
      <c r="K166" s="201">
        <f>SUMIFS('TURMAS 2015.2'!J:J,'TURMAS 2015.2'!U:U,A166)</f>
        <v>2</v>
      </c>
      <c r="L166" s="201">
        <f>COUNTIF('TURMAS 2015.2'!X:X,A166)</f>
        <v>1</v>
      </c>
      <c r="M166" s="201">
        <f>SUMIFS('TURMAS 2015.2'!K:K,'TURMAS 2015.2'!X:X,A166)</f>
        <v>2</v>
      </c>
      <c r="N166" s="201">
        <f t="shared" si="2"/>
        <v>4</v>
      </c>
      <c r="O166" s="214"/>
      <c r="P166" s="152">
        <v>0</v>
      </c>
      <c r="Q166" s="152">
        <v>0</v>
      </c>
      <c r="R166" s="152">
        <v>1</v>
      </c>
      <c r="S166" s="152">
        <v>155</v>
      </c>
    </row>
    <row r="167" spans="1:19" s="52" customFormat="1" ht="16.5" customHeight="1">
      <c r="A167" s="211">
        <v>156</v>
      </c>
      <c r="B167" s="212" t="s">
        <v>3826</v>
      </c>
      <c r="C167" s="211">
        <v>1675617</v>
      </c>
      <c r="D167" s="212" t="s">
        <v>3610</v>
      </c>
      <c r="E167" s="152" t="s">
        <v>3643</v>
      </c>
      <c r="F167" s="152" t="s">
        <v>3624</v>
      </c>
      <c r="G167" s="178" t="s">
        <v>3639</v>
      </c>
      <c r="H167" s="213" t="s">
        <v>3639</v>
      </c>
      <c r="I167" s="213" t="s">
        <v>3639</v>
      </c>
      <c r="J167" s="201">
        <f>COUNTIFS('TURMAS 2015.2'!U:U,A167)</f>
        <v>6</v>
      </c>
      <c r="K167" s="201">
        <f>SUMIFS('TURMAS 2015.2'!J:J,'TURMAS 2015.2'!U:U,A167)</f>
        <v>6</v>
      </c>
      <c r="L167" s="201">
        <f>COUNTIF('TURMAS 2015.2'!X:X,A167)</f>
        <v>3</v>
      </c>
      <c r="M167" s="201">
        <f>SUMIFS('TURMAS 2015.2'!K:K,'TURMAS 2015.2'!X:X,A167)</f>
        <v>6</v>
      </c>
      <c r="N167" s="201">
        <f t="shared" si="2"/>
        <v>12</v>
      </c>
      <c r="O167" s="214"/>
      <c r="P167" s="152">
        <v>0</v>
      </c>
      <c r="Q167" s="152">
        <v>0</v>
      </c>
      <c r="R167" s="152">
        <v>1</v>
      </c>
      <c r="S167" s="152">
        <v>156</v>
      </c>
    </row>
    <row r="168" spans="1:19" s="52" customFormat="1" ht="16.5" customHeight="1">
      <c r="A168" s="211">
        <v>157</v>
      </c>
      <c r="B168" s="212" t="s">
        <v>3827</v>
      </c>
      <c r="C168" s="211">
        <v>1995535</v>
      </c>
      <c r="D168" s="212" t="s">
        <v>3617</v>
      </c>
      <c r="E168" s="152" t="s">
        <v>3618</v>
      </c>
      <c r="F168" s="152" t="s">
        <v>3624</v>
      </c>
      <c r="G168" s="178" t="s">
        <v>3639</v>
      </c>
      <c r="H168" s="213" t="s">
        <v>3639</v>
      </c>
      <c r="I168" s="213" t="s">
        <v>3639</v>
      </c>
      <c r="J168" s="201">
        <f>COUNTIFS('TURMAS 2015.2'!U:U,A168)</f>
        <v>2</v>
      </c>
      <c r="K168" s="201">
        <f>SUMIFS('TURMAS 2015.2'!J:J,'TURMAS 2015.2'!U:U,A168)</f>
        <v>7</v>
      </c>
      <c r="L168" s="201">
        <f>COUNTIF('TURMAS 2015.2'!X:X,A168)</f>
        <v>0</v>
      </c>
      <c r="M168" s="201">
        <f>SUMIFS('TURMAS 2015.2'!K:K,'TURMAS 2015.2'!X:X,A168)</f>
        <v>0</v>
      </c>
      <c r="N168" s="201">
        <f t="shared" si="2"/>
        <v>7</v>
      </c>
      <c r="O168" s="214"/>
      <c r="P168" s="152">
        <v>0</v>
      </c>
      <c r="Q168" s="152">
        <v>0</v>
      </c>
      <c r="R168" s="152">
        <v>1</v>
      </c>
      <c r="S168" s="152">
        <v>157</v>
      </c>
    </row>
    <row r="169" spans="1:19" s="52" customFormat="1" ht="16.5" customHeight="1">
      <c r="A169" s="211">
        <v>158</v>
      </c>
      <c r="B169" s="212" t="s">
        <v>3828</v>
      </c>
      <c r="C169" s="211">
        <v>1545914</v>
      </c>
      <c r="D169" s="212" t="s">
        <v>3621</v>
      </c>
      <c r="E169" s="152" t="s">
        <v>3643</v>
      </c>
      <c r="F169" s="152" t="s">
        <v>3624</v>
      </c>
      <c r="G169" s="178" t="s">
        <v>3639</v>
      </c>
      <c r="H169" s="213" t="s">
        <v>3639</v>
      </c>
      <c r="I169" s="213" t="s">
        <v>3639</v>
      </c>
      <c r="J169" s="201">
        <f>COUNTIFS('TURMAS 2015.2'!U:U,A169)</f>
        <v>0</v>
      </c>
      <c r="K169" s="201">
        <f>SUMIFS('TURMAS 2015.2'!J:J,'TURMAS 2015.2'!U:U,A169)</f>
        <v>0</v>
      </c>
      <c r="L169" s="201">
        <f>COUNTIF('TURMAS 2015.2'!X:X,A169)</f>
        <v>0</v>
      </c>
      <c r="M169" s="201">
        <f>SUMIFS('TURMAS 2015.2'!K:K,'TURMAS 2015.2'!X:X,A169)</f>
        <v>0</v>
      </c>
      <c r="N169" s="201">
        <f t="shared" si="2"/>
        <v>0</v>
      </c>
      <c r="O169" s="214"/>
      <c r="P169" s="152">
        <v>0</v>
      </c>
      <c r="Q169" s="152">
        <v>0</v>
      </c>
      <c r="R169" s="152">
        <v>1</v>
      </c>
      <c r="S169" s="152">
        <v>158</v>
      </c>
    </row>
    <row r="170" spans="1:19" s="52" customFormat="1" ht="16.5" customHeight="1">
      <c r="A170" s="211">
        <v>159</v>
      </c>
      <c r="B170" s="212" t="s">
        <v>3829</v>
      </c>
      <c r="C170" s="211">
        <v>2143015</v>
      </c>
      <c r="D170" s="212" t="s">
        <v>3735</v>
      </c>
      <c r="E170" s="152" t="s">
        <v>3643</v>
      </c>
      <c r="F170" s="152" t="s">
        <v>3624</v>
      </c>
      <c r="G170" s="178" t="s">
        <v>3639</v>
      </c>
      <c r="H170" s="213" t="s">
        <v>3639</v>
      </c>
      <c r="I170" s="213" t="s">
        <v>3639</v>
      </c>
      <c r="J170" s="201">
        <f>COUNTIFS('TURMAS 2015.2'!U:U,A170)</f>
        <v>2</v>
      </c>
      <c r="K170" s="201">
        <f>SUMIFS('TURMAS 2015.2'!J:J,'TURMAS 2015.2'!U:U,A170)</f>
        <v>8</v>
      </c>
      <c r="L170" s="201">
        <f>COUNTIF('TURMAS 2015.2'!X:X,A170)</f>
        <v>0</v>
      </c>
      <c r="M170" s="201">
        <f>SUMIFS('TURMAS 2015.2'!K:K,'TURMAS 2015.2'!X:X,A170)</f>
        <v>0</v>
      </c>
      <c r="N170" s="201">
        <f t="shared" si="2"/>
        <v>8</v>
      </c>
      <c r="O170" s="214"/>
      <c r="P170" s="152">
        <v>0</v>
      </c>
      <c r="Q170" s="152">
        <v>0</v>
      </c>
      <c r="R170" s="152">
        <v>1</v>
      </c>
      <c r="S170" s="152">
        <v>159</v>
      </c>
    </row>
    <row r="171" spans="1:19" s="52" customFormat="1" ht="16.5" customHeight="1">
      <c r="A171" s="211">
        <v>160</v>
      </c>
      <c r="B171" s="212" t="s">
        <v>3830</v>
      </c>
      <c r="C171" s="211">
        <v>1763428</v>
      </c>
      <c r="D171" s="212" t="s">
        <v>3610</v>
      </c>
      <c r="E171" s="152" t="s">
        <v>3611</v>
      </c>
      <c r="F171" s="152" t="s">
        <v>3624</v>
      </c>
      <c r="G171" s="178" t="s">
        <v>3639</v>
      </c>
      <c r="H171" s="213" t="s">
        <v>3639</v>
      </c>
      <c r="I171" s="213" t="s">
        <v>3639</v>
      </c>
      <c r="J171" s="201">
        <f>COUNTIFS('TURMAS 2015.2'!U:U,A171)</f>
        <v>0</v>
      </c>
      <c r="K171" s="201">
        <f>SUMIFS('TURMAS 2015.2'!J:J,'TURMAS 2015.2'!U:U,A171)</f>
        <v>0</v>
      </c>
      <c r="L171" s="201">
        <f>COUNTIF('TURMAS 2015.2'!X:X,A171)</f>
        <v>3</v>
      </c>
      <c r="M171" s="201">
        <f>SUMIFS('TURMAS 2015.2'!K:K,'TURMAS 2015.2'!X:X,A171)</f>
        <v>9</v>
      </c>
      <c r="N171" s="201">
        <f t="shared" si="2"/>
        <v>9</v>
      </c>
      <c r="O171" s="214"/>
      <c r="P171" s="152">
        <v>0</v>
      </c>
      <c r="Q171" s="152">
        <v>0</v>
      </c>
      <c r="R171" s="152">
        <v>1</v>
      </c>
      <c r="S171" s="152">
        <v>160</v>
      </c>
    </row>
    <row r="172" spans="1:19" s="52" customFormat="1" ht="16.5" customHeight="1">
      <c r="A172" s="211">
        <v>161</v>
      </c>
      <c r="B172" s="212" t="s">
        <v>3831</v>
      </c>
      <c r="C172" s="211">
        <v>2105733</v>
      </c>
      <c r="D172" s="212" t="s">
        <v>3735</v>
      </c>
      <c r="E172" s="152" t="s">
        <v>3643</v>
      </c>
      <c r="F172" s="152" t="s">
        <v>3624</v>
      </c>
      <c r="G172" s="178" t="s">
        <v>3639</v>
      </c>
      <c r="H172" s="213" t="s">
        <v>3639</v>
      </c>
      <c r="I172" s="213" t="s">
        <v>3639</v>
      </c>
      <c r="J172" s="201">
        <f>COUNTIFS('TURMAS 2015.2'!U:U,A172)</f>
        <v>0</v>
      </c>
      <c r="K172" s="201">
        <f>SUMIFS('TURMAS 2015.2'!J:J,'TURMAS 2015.2'!U:U,A172)</f>
        <v>0</v>
      </c>
      <c r="L172" s="201">
        <f>COUNTIF('TURMAS 2015.2'!X:X,A172)</f>
        <v>0</v>
      </c>
      <c r="M172" s="201">
        <f>SUMIFS('TURMAS 2015.2'!K:K,'TURMAS 2015.2'!X:X,A172)</f>
        <v>0</v>
      </c>
      <c r="N172" s="201">
        <f t="shared" si="2"/>
        <v>0</v>
      </c>
      <c r="O172" s="214"/>
      <c r="P172" s="152">
        <v>0</v>
      </c>
      <c r="Q172" s="152">
        <v>0</v>
      </c>
      <c r="R172" s="152">
        <v>1</v>
      </c>
      <c r="S172" s="152">
        <v>161</v>
      </c>
    </row>
    <row r="173" spans="1:19" s="52" customFormat="1" ht="16.5" customHeight="1">
      <c r="A173" s="211">
        <v>162</v>
      </c>
      <c r="B173" s="212" t="s">
        <v>3832</v>
      </c>
      <c r="C173" s="211">
        <v>1909329</v>
      </c>
      <c r="D173" s="212" t="s">
        <v>3635</v>
      </c>
      <c r="E173" s="152" t="s">
        <v>3618</v>
      </c>
      <c r="F173" s="152" t="s">
        <v>3624</v>
      </c>
      <c r="G173" s="178" t="s">
        <v>3639</v>
      </c>
      <c r="H173" s="213" t="s">
        <v>3639</v>
      </c>
      <c r="I173" s="213" t="s">
        <v>3639</v>
      </c>
      <c r="J173" s="201">
        <f>COUNTIFS('TURMAS 2015.2'!U:U,A173)</f>
        <v>1</v>
      </c>
      <c r="K173" s="201">
        <f>SUMIFS('TURMAS 2015.2'!J:J,'TURMAS 2015.2'!U:U,A173)</f>
        <v>3</v>
      </c>
      <c r="L173" s="201">
        <f>COUNTIF('TURMAS 2015.2'!X:X,A173)</f>
        <v>3</v>
      </c>
      <c r="M173" s="201">
        <f>SUMIFS('TURMAS 2015.2'!K:K,'TURMAS 2015.2'!X:X,A173)</f>
        <v>7</v>
      </c>
      <c r="N173" s="201">
        <f t="shared" si="2"/>
        <v>10</v>
      </c>
      <c r="O173" s="214"/>
      <c r="P173" s="152" t="s">
        <v>3833</v>
      </c>
      <c r="Q173" s="152">
        <v>0.3</v>
      </c>
      <c r="R173" s="152">
        <v>0.7</v>
      </c>
      <c r="S173" s="152">
        <v>162</v>
      </c>
    </row>
    <row r="174" spans="1:19" s="52" customFormat="1" ht="16.5" customHeight="1">
      <c r="A174" s="211">
        <v>163</v>
      </c>
      <c r="B174" s="215" t="s">
        <v>3834</v>
      </c>
      <c r="C174" s="211">
        <v>90000038</v>
      </c>
      <c r="D174" s="211"/>
      <c r="E174" s="152" t="s">
        <v>3643</v>
      </c>
      <c r="F174" s="152" t="s">
        <v>3624</v>
      </c>
      <c r="G174" s="178"/>
      <c r="H174" s="213"/>
      <c r="I174" s="213"/>
      <c r="J174" s="201">
        <f>COUNTIFS('TURMAS 2015.2'!U:U,A174)</f>
        <v>0</v>
      </c>
      <c r="K174" s="201">
        <f>SUMIFS('TURMAS 2015.2'!J:J,'TURMAS 2015.2'!U:U,A174)</f>
        <v>0</v>
      </c>
      <c r="L174" s="201">
        <f>COUNTIF('TURMAS 2015.2'!X:X,A174)</f>
        <v>0</v>
      </c>
      <c r="M174" s="201">
        <f>SUMIFS('TURMAS 2015.2'!K:K,'TURMAS 2015.2'!X:X,A174)</f>
        <v>0</v>
      </c>
      <c r="N174" s="201">
        <f t="shared" si="2"/>
        <v>0</v>
      </c>
      <c r="O174" s="214"/>
      <c r="P174" s="152"/>
      <c r="Q174" s="152"/>
      <c r="R174" s="152"/>
      <c r="S174" s="152">
        <v>163</v>
      </c>
    </row>
    <row r="175" spans="1:19" s="52" customFormat="1" ht="16.5" customHeight="1">
      <c r="A175" s="211">
        <v>164</v>
      </c>
      <c r="B175" s="212" t="s">
        <v>3835</v>
      </c>
      <c r="C175" s="211">
        <v>1760478</v>
      </c>
      <c r="D175" s="212" t="s">
        <v>3610</v>
      </c>
      <c r="E175" s="152" t="s">
        <v>3618</v>
      </c>
      <c r="F175" s="152" t="s">
        <v>3624</v>
      </c>
      <c r="G175" s="178" t="s">
        <v>3639</v>
      </c>
      <c r="H175" s="213" t="s">
        <v>3639</v>
      </c>
      <c r="I175" s="213" t="s">
        <v>3639</v>
      </c>
      <c r="J175" s="201">
        <f>COUNTIFS('TURMAS 2015.2'!U:U,A175)</f>
        <v>0</v>
      </c>
      <c r="K175" s="201">
        <f>SUMIFS('TURMAS 2015.2'!J:J,'TURMAS 2015.2'!U:U,A175)</f>
        <v>0</v>
      </c>
      <c r="L175" s="201">
        <f>COUNTIF('TURMAS 2015.2'!X:X,A175)</f>
        <v>0</v>
      </c>
      <c r="M175" s="201">
        <f>SUMIFS('TURMAS 2015.2'!K:K,'TURMAS 2015.2'!X:X,A175)</f>
        <v>0</v>
      </c>
      <c r="N175" s="201">
        <f t="shared" si="2"/>
        <v>0</v>
      </c>
      <c r="O175" s="214"/>
      <c r="P175" s="152" t="s">
        <v>3836</v>
      </c>
      <c r="Q175" s="152">
        <v>0.5</v>
      </c>
      <c r="R175" s="152">
        <v>0.5</v>
      </c>
      <c r="S175" s="152">
        <v>164</v>
      </c>
    </row>
    <row r="176" spans="1:19" s="52" customFormat="1" ht="16.5" customHeight="1">
      <c r="A176" s="211">
        <v>165</v>
      </c>
      <c r="B176" s="212" t="s">
        <v>3837</v>
      </c>
      <c r="C176" s="211">
        <v>1284172</v>
      </c>
      <c r="D176" s="212" t="s">
        <v>3621</v>
      </c>
      <c r="E176" s="152" t="s">
        <v>3611</v>
      </c>
      <c r="F176" s="152" t="s">
        <v>3624</v>
      </c>
      <c r="G176" s="178" t="s">
        <v>3639</v>
      </c>
      <c r="H176" s="213" t="s">
        <v>3639</v>
      </c>
      <c r="I176" s="213" t="s">
        <v>3639</v>
      </c>
      <c r="J176" s="201">
        <f>COUNTIFS('TURMAS 2015.2'!U:U,A176)</f>
        <v>2</v>
      </c>
      <c r="K176" s="201">
        <f>SUMIFS('TURMAS 2015.2'!J:J,'TURMAS 2015.2'!U:U,A176)</f>
        <v>8</v>
      </c>
      <c r="L176" s="201">
        <f>COUNTIF('TURMAS 2015.2'!X:X,A176)</f>
        <v>0</v>
      </c>
      <c r="M176" s="201">
        <f>SUMIFS('TURMAS 2015.2'!K:K,'TURMAS 2015.2'!X:X,A176)</f>
        <v>0</v>
      </c>
      <c r="N176" s="201">
        <f t="shared" si="2"/>
        <v>8</v>
      </c>
      <c r="O176" s="214"/>
      <c r="P176" s="152">
        <v>0</v>
      </c>
      <c r="Q176" s="152">
        <v>0</v>
      </c>
      <c r="R176" s="152">
        <v>1</v>
      </c>
      <c r="S176" s="152">
        <v>165</v>
      </c>
    </row>
    <row r="177" spans="1:19" s="52" customFormat="1" ht="16.5" customHeight="1">
      <c r="A177" s="211">
        <v>166</v>
      </c>
      <c r="B177" s="215" t="s">
        <v>3838</v>
      </c>
      <c r="C177" s="211">
        <v>2188954</v>
      </c>
      <c r="D177" s="211" t="s">
        <v>3608</v>
      </c>
      <c r="E177" s="152" t="s">
        <v>3618</v>
      </c>
      <c r="F177" s="152" t="s">
        <v>3624</v>
      </c>
      <c r="G177" s="178"/>
      <c r="H177" s="213"/>
      <c r="I177" s="213"/>
      <c r="J177" s="201">
        <f>COUNTIFS('TURMAS 2015.2'!U:U,A177)</f>
        <v>1</v>
      </c>
      <c r="K177" s="201">
        <f>SUMIFS('TURMAS 2015.2'!J:J,'TURMAS 2015.2'!U:U,A177)</f>
        <v>2</v>
      </c>
      <c r="L177" s="201">
        <f>COUNTIF('TURMAS 2015.2'!X:X,A177)</f>
        <v>1</v>
      </c>
      <c r="M177" s="201">
        <f>SUMIFS('TURMAS 2015.2'!K:K,'TURMAS 2015.2'!X:X,A177)</f>
        <v>2</v>
      </c>
      <c r="N177" s="201">
        <f t="shared" si="2"/>
        <v>4</v>
      </c>
      <c r="O177" s="214"/>
      <c r="P177" s="152">
        <v>0</v>
      </c>
      <c r="Q177" s="152">
        <v>0</v>
      </c>
      <c r="R177" s="152">
        <v>1</v>
      </c>
      <c r="S177" s="152">
        <v>166</v>
      </c>
    </row>
    <row r="178" spans="1:19" s="52" customFormat="1" ht="16.5" customHeight="1">
      <c r="A178" s="211">
        <v>167</v>
      </c>
      <c r="B178" s="212" t="s">
        <v>3839</v>
      </c>
      <c r="C178" s="211">
        <v>2073298</v>
      </c>
      <c r="D178" s="212" t="s">
        <v>3653</v>
      </c>
      <c r="E178" s="152" t="s">
        <v>3618</v>
      </c>
      <c r="F178" s="152" t="s">
        <v>3624</v>
      </c>
      <c r="G178" s="178" t="s">
        <v>3639</v>
      </c>
      <c r="H178" s="213" t="s">
        <v>3639</v>
      </c>
      <c r="I178" s="213" t="s">
        <v>3639</v>
      </c>
      <c r="J178" s="201">
        <f>COUNTIFS('TURMAS 2015.2'!U:U,A178)</f>
        <v>1</v>
      </c>
      <c r="K178" s="201">
        <f>SUMIFS('TURMAS 2015.2'!J:J,'TURMAS 2015.2'!U:U,A178)</f>
        <v>3</v>
      </c>
      <c r="L178" s="201">
        <f>COUNTIF('TURMAS 2015.2'!X:X,A178)</f>
        <v>1</v>
      </c>
      <c r="M178" s="201">
        <f>SUMIFS('TURMAS 2015.2'!K:K,'TURMAS 2015.2'!X:X,A178)</f>
        <v>1</v>
      </c>
      <c r="N178" s="201">
        <f t="shared" si="2"/>
        <v>4</v>
      </c>
      <c r="O178" s="214"/>
      <c r="P178" s="152">
        <v>0</v>
      </c>
      <c r="Q178" s="152">
        <v>0</v>
      </c>
      <c r="R178" s="152">
        <v>1</v>
      </c>
      <c r="S178" s="152">
        <v>167</v>
      </c>
    </row>
    <row r="179" spans="1:19" s="52" customFormat="1" ht="16.5" customHeight="1">
      <c r="A179" s="211">
        <v>168</v>
      </c>
      <c r="B179" s="212" t="s">
        <v>3840</v>
      </c>
      <c r="C179" s="211">
        <v>2133170</v>
      </c>
      <c r="D179" s="212" t="s">
        <v>3653</v>
      </c>
      <c r="E179" s="152" t="s">
        <v>3618</v>
      </c>
      <c r="F179" s="152" t="s">
        <v>3624</v>
      </c>
      <c r="G179" s="178" t="s">
        <v>3639</v>
      </c>
      <c r="H179" s="213" t="s">
        <v>3639</v>
      </c>
      <c r="I179" s="213" t="s">
        <v>3639</v>
      </c>
      <c r="J179" s="201">
        <f>COUNTIFS('TURMAS 2015.2'!U:U,A179)</f>
        <v>2</v>
      </c>
      <c r="K179" s="201">
        <f>SUMIFS('TURMAS 2015.2'!J:J,'TURMAS 2015.2'!U:U,A179)</f>
        <v>7</v>
      </c>
      <c r="L179" s="201">
        <f>COUNTIF('TURMAS 2015.2'!X:X,A179)</f>
        <v>1</v>
      </c>
      <c r="M179" s="201">
        <f>SUMIFS('TURMAS 2015.2'!K:K,'TURMAS 2015.2'!X:X,A179)</f>
        <v>1</v>
      </c>
      <c r="N179" s="201">
        <f t="shared" si="2"/>
        <v>8</v>
      </c>
      <c r="O179" s="214"/>
      <c r="P179" s="152">
        <v>0</v>
      </c>
      <c r="Q179" s="152">
        <v>0</v>
      </c>
      <c r="R179" s="152">
        <v>1</v>
      </c>
      <c r="S179" s="152">
        <v>168</v>
      </c>
    </row>
    <row r="180" spans="1:19" s="52" customFormat="1" ht="16.5" customHeight="1">
      <c r="A180" s="211">
        <v>169</v>
      </c>
      <c r="B180" s="212" t="s">
        <v>3841</v>
      </c>
      <c r="C180" s="211">
        <v>1768307</v>
      </c>
      <c r="D180" s="212" t="s">
        <v>3610</v>
      </c>
      <c r="E180" s="152" t="s">
        <v>3618</v>
      </c>
      <c r="F180" s="152" t="s">
        <v>3624</v>
      </c>
      <c r="G180" s="178" t="s">
        <v>3639</v>
      </c>
      <c r="H180" s="213" t="s">
        <v>3639</v>
      </c>
      <c r="I180" s="213" t="s">
        <v>3639</v>
      </c>
      <c r="J180" s="201">
        <f>COUNTIFS('TURMAS 2015.2'!U:U,A180)</f>
        <v>3</v>
      </c>
      <c r="K180" s="201">
        <f>SUMIFS('TURMAS 2015.2'!J:J,'TURMAS 2015.2'!U:U,A180)</f>
        <v>12</v>
      </c>
      <c r="L180" s="201">
        <f>COUNTIF('TURMAS 2015.2'!X:X,A180)</f>
        <v>1</v>
      </c>
      <c r="M180" s="201">
        <f>SUMIFS('TURMAS 2015.2'!K:K,'TURMAS 2015.2'!X:X,A180)</f>
        <v>2</v>
      </c>
      <c r="N180" s="201">
        <f t="shared" si="2"/>
        <v>14</v>
      </c>
      <c r="O180" s="214"/>
      <c r="P180" s="152">
        <v>0</v>
      </c>
      <c r="Q180" s="152">
        <v>0</v>
      </c>
      <c r="R180" s="152">
        <v>1</v>
      </c>
      <c r="S180" s="152">
        <v>169</v>
      </c>
    </row>
    <row r="181" spans="1:19" s="52" customFormat="1" ht="16.5" customHeight="1">
      <c r="A181" s="211">
        <v>170</v>
      </c>
      <c r="B181" s="212" t="s">
        <v>3842</v>
      </c>
      <c r="C181" s="211">
        <v>1945047</v>
      </c>
      <c r="D181" s="212" t="s">
        <v>3617</v>
      </c>
      <c r="E181" s="152" t="s">
        <v>3643</v>
      </c>
      <c r="F181" s="152" t="s">
        <v>3624</v>
      </c>
      <c r="G181" s="178" t="s">
        <v>3639</v>
      </c>
      <c r="H181" s="213" t="s">
        <v>3639</v>
      </c>
      <c r="I181" s="213" t="s">
        <v>3639</v>
      </c>
      <c r="J181" s="201">
        <f>COUNTIFS('TURMAS 2015.2'!U:U,A181)</f>
        <v>1</v>
      </c>
      <c r="K181" s="201">
        <f>SUMIFS('TURMAS 2015.2'!J:J,'TURMAS 2015.2'!U:U,A181)</f>
        <v>4</v>
      </c>
      <c r="L181" s="201">
        <f>COUNTIF('TURMAS 2015.2'!X:X,A181)</f>
        <v>0</v>
      </c>
      <c r="M181" s="201">
        <f>SUMIFS('TURMAS 2015.2'!K:K,'TURMAS 2015.2'!X:X,A181)</f>
        <v>0</v>
      </c>
      <c r="N181" s="201">
        <f t="shared" si="2"/>
        <v>4</v>
      </c>
      <c r="O181" s="214"/>
      <c r="P181" s="152">
        <v>0</v>
      </c>
      <c r="Q181" s="152">
        <v>0</v>
      </c>
      <c r="R181" s="152">
        <v>1</v>
      </c>
      <c r="S181" s="152">
        <v>170</v>
      </c>
    </row>
    <row r="182" spans="1:19" s="52" customFormat="1" ht="16.5" customHeight="1">
      <c r="A182" s="211">
        <v>171</v>
      </c>
      <c r="B182" s="212" t="s">
        <v>3843</v>
      </c>
      <c r="C182" s="211">
        <v>2604737</v>
      </c>
      <c r="D182" s="212" t="s">
        <v>3610</v>
      </c>
      <c r="E182" s="152" t="s">
        <v>3618</v>
      </c>
      <c r="F182" s="152" t="s">
        <v>3624</v>
      </c>
      <c r="G182" s="178" t="s">
        <v>3639</v>
      </c>
      <c r="H182" s="213" t="s">
        <v>3639</v>
      </c>
      <c r="I182" s="213" t="s">
        <v>3639</v>
      </c>
      <c r="J182" s="201">
        <f>COUNTIFS('TURMAS 2015.2'!U:U,A182)</f>
        <v>0</v>
      </c>
      <c r="K182" s="201">
        <f>SUMIFS('TURMAS 2015.2'!J:J,'TURMAS 2015.2'!U:U,A182)</f>
        <v>0</v>
      </c>
      <c r="L182" s="201">
        <f>COUNTIF('TURMAS 2015.2'!X:X,A182)</f>
        <v>0</v>
      </c>
      <c r="M182" s="201">
        <f>SUMIFS('TURMAS 2015.2'!K:K,'TURMAS 2015.2'!X:X,A182)</f>
        <v>0</v>
      </c>
      <c r="N182" s="201">
        <f t="shared" si="2"/>
        <v>0</v>
      </c>
      <c r="O182" s="214"/>
      <c r="P182" s="152">
        <v>0</v>
      </c>
      <c r="Q182" s="152">
        <v>0</v>
      </c>
      <c r="R182" s="152">
        <v>1</v>
      </c>
      <c r="S182" s="152">
        <v>171</v>
      </c>
    </row>
    <row r="183" spans="1:19" s="52" customFormat="1" ht="16.5" customHeight="1">
      <c r="A183" s="211">
        <v>172</v>
      </c>
      <c r="B183" s="212" t="s">
        <v>3844</v>
      </c>
      <c r="C183" s="211">
        <v>1054677</v>
      </c>
      <c r="D183" s="212" t="s">
        <v>3653</v>
      </c>
      <c r="E183" s="152" t="s">
        <v>3611</v>
      </c>
      <c r="F183" s="152" t="s">
        <v>3624</v>
      </c>
      <c r="G183" s="178" t="s">
        <v>3639</v>
      </c>
      <c r="H183" s="213" t="s">
        <v>3639</v>
      </c>
      <c r="I183" s="213" t="s">
        <v>3639</v>
      </c>
      <c r="J183" s="201">
        <f>COUNTIFS('TURMAS 2015.2'!U:U,A183)</f>
        <v>0</v>
      </c>
      <c r="K183" s="201">
        <f>SUMIFS('TURMAS 2015.2'!J:J,'TURMAS 2015.2'!U:U,A183)</f>
        <v>0</v>
      </c>
      <c r="L183" s="201">
        <f>COUNTIF('TURMAS 2015.2'!X:X,A183)</f>
        <v>0</v>
      </c>
      <c r="M183" s="201">
        <f>SUMIFS('TURMAS 2015.2'!K:K,'TURMAS 2015.2'!X:X,A183)</f>
        <v>0</v>
      </c>
      <c r="N183" s="201">
        <f t="shared" si="2"/>
        <v>0</v>
      </c>
      <c r="O183" s="214"/>
      <c r="P183" s="152">
        <v>0</v>
      </c>
      <c r="Q183" s="152">
        <v>0</v>
      </c>
      <c r="R183" s="152">
        <v>1</v>
      </c>
      <c r="S183" s="152">
        <v>172</v>
      </c>
    </row>
    <row r="184" spans="1:19" s="52" customFormat="1" ht="16.5" customHeight="1">
      <c r="A184" s="211">
        <v>173</v>
      </c>
      <c r="B184" s="212" t="s">
        <v>3845</v>
      </c>
      <c r="C184" s="211">
        <v>433669</v>
      </c>
      <c r="D184" s="212" t="s">
        <v>3653</v>
      </c>
      <c r="E184" s="152" t="s">
        <v>3618</v>
      </c>
      <c r="F184" s="152" t="s">
        <v>3624</v>
      </c>
      <c r="G184" s="178" t="s">
        <v>3639</v>
      </c>
      <c r="H184" s="213" t="s">
        <v>3639</v>
      </c>
      <c r="I184" s="213" t="s">
        <v>3639</v>
      </c>
      <c r="J184" s="201">
        <f>COUNTIFS('TURMAS 2015.2'!U:U,A184)</f>
        <v>0</v>
      </c>
      <c r="K184" s="201">
        <f>SUMIFS('TURMAS 2015.2'!J:J,'TURMAS 2015.2'!U:U,A184)</f>
        <v>0</v>
      </c>
      <c r="L184" s="201">
        <f>COUNTIF('TURMAS 2015.2'!X:X,A184)</f>
        <v>0</v>
      </c>
      <c r="M184" s="201">
        <f>SUMIFS('TURMAS 2015.2'!K:K,'TURMAS 2015.2'!X:X,A184)</f>
        <v>0</v>
      </c>
      <c r="N184" s="201">
        <f t="shared" si="2"/>
        <v>0</v>
      </c>
      <c r="O184" s="214"/>
      <c r="P184" s="152">
        <v>0</v>
      </c>
      <c r="Q184" s="152">
        <v>0</v>
      </c>
      <c r="R184" s="152">
        <v>1</v>
      </c>
      <c r="S184" s="152">
        <v>173</v>
      </c>
    </row>
    <row r="185" spans="1:19" s="52" customFormat="1" ht="16.5" customHeight="1">
      <c r="A185" s="211">
        <v>174</v>
      </c>
      <c r="B185" s="212" t="s">
        <v>3846</v>
      </c>
      <c r="C185" s="211">
        <v>1649715</v>
      </c>
      <c r="D185" s="212" t="s">
        <v>3610</v>
      </c>
      <c r="E185" s="152" t="s">
        <v>3611</v>
      </c>
      <c r="F185" s="152" t="s">
        <v>3624</v>
      </c>
      <c r="G185" s="178" t="s">
        <v>3639</v>
      </c>
      <c r="H185" s="213" t="s">
        <v>3639</v>
      </c>
      <c r="I185" s="213" t="s">
        <v>3639</v>
      </c>
      <c r="J185" s="201">
        <f>COUNTIFS('TURMAS 2015.2'!U:U,A185)</f>
        <v>2</v>
      </c>
      <c r="K185" s="201">
        <f>SUMIFS('TURMAS 2015.2'!J:J,'TURMAS 2015.2'!U:U,A185)</f>
        <v>8</v>
      </c>
      <c r="L185" s="201">
        <f>COUNTIF('TURMAS 2015.2'!X:X,A185)</f>
        <v>0</v>
      </c>
      <c r="M185" s="201">
        <f>SUMIFS('TURMAS 2015.2'!K:K,'TURMAS 2015.2'!X:X,A185)</f>
        <v>0</v>
      </c>
      <c r="N185" s="201">
        <f t="shared" si="2"/>
        <v>8</v>
      </c>
      <c r="O185" s="214"/>
      <c r="P185" s="152">
        <v>0</v>
      </c>
      <c r="Q185" s="152">
        <v>0</v>
      </c>
      <c r="R185" s="152">
        <v>1</v>
      </c>
      <c r="S185" s="152">
        <v>174</v>
      </c>
    </row>
    <row r="186" spans="1:19" s="52" customFormat="1" ht="16.5" customHeight="1">
      <c r="A186" s="211">
        <v>175</v>
      </c>
      <c r="B186" s="212" t="s">
        <v>3847</v>
      </c>
      <c r="C186" s="211">
        <v>1734908</v>
      </c>
      <c r="D186" s="212" t="s">
        <v>3610</v>
      </c>
      <c r="E186" s="152" t="s">
        <v>3643</v>
      </c>
      <c r="F186" s="152" t="s">
        <v>3624</v>
      </c>
      <c r="G186" s="178" t="s">
        <v>3639</v>
      </c>
      <c r="H186" s="213" t="s">
        <v>3639</v>
      </c>
      <c r="I186" s="213" t="s">
        <v>3639</v>
      </c>
      <c r="J186" s="201">
        <f>COUNTIFS('TURMAS 2015.2'!U:U,A186)</f>
        <v>6</v>
      </c>
      <c r="K186" s="201">
        <f>SUMIFS('TURMAS 2015.2'!J:J,'TURMAS 2015.2'!U:U,A186)</f>
        <v>6</v>
      </c>
      <c r="L186" s="201">
        <f>COUNTIF('TURMAS 2015.2'!X:X,A186)</f>
        <v>3</v>
      </c>
      <c r="M186" s="201">
        <f>SUMIFS('TURMAS 2015.2'!K:K,'TURMAS 2015.2'!X:X,A186)</f>
        <v>6</v>
      </c>
      <c r="N186" s="201">
        <f t="shared" si="2"/>
        <v>12</v>
      </c>
      <c r="O186" s="214"/>
      <c r="P186" s="152" t="s">
        <v>3848</v>
      </c>
      <c r="Q186" s="152">
        <v>0.5</v>
      </c>
      <c r="R186" s="152">
        <v>0.5</v>
      </c>
      <c r="S186" s="152">
        <v>175</v>
      </c>
    </row>
    <row r="187" spans="1:19" s="52" customFormat="1" ht="16.5" customHeight="1">
      <c r="A187" s="211">
        <v>176</v>
      </c>
      <c r="B187" s="212" t="s">
        <v>3849</v>
      </c>
      <c r="C187" s="211">
        <v>2134537</v>
      </c>
      <c r="D187" s="212" t="s">
        <v>3653</v>
      </c>
      <c r="E187" s="152" t="s">
        <v>3611</v>
      </c>
      <c r="F187" s="152" t="s">
        <v>3624</v>
      </c>
      <c r="G187" s="178" t="s">
        <v>3639</v>
      </c>
      <c r="H187" s="213" t="s">
        <v>3639</v>
      </c>
      <c r="I187" s="213" t="s">
        <v>3639</v>
      </c>
      <c r="J187" s="201">
        <f>COUNTIFS('TURMAS 2015.2'!U:U,A187)</f>
        <v>1</v>
      </c>
      <c r="K187" s="201">
        <f>SUMIFS('TURMAS 2015.2'!J:J,'TURMAS 2015.2'!U:U,A187)</f>
        <v>4</v>
      </c>
      <c r="L187" s="201">
        <f>COUNTIF('TURMAS 2015.2'!X:X,A187)</f>
        <v>1</v>
      </c>
      <c r="M187" s="201">
        <f>SUMIFS('TURMAS 2015.2'!K:K,'TURMAS 2015.2'!X:X,A187)</f>
        <v>0</v>
      </c>
      <c r="N187" s="201">
        <f t="shared" si="2"/>
        <v>4</v>
      </c>
      <c r="O187" s="214"/>
      <c r="P187" s="152">
        <v>0</v>
      </c>
      <c r="Q187" s="152">
        <v>0</v>
      </c>
      <c r="R187" s="152">
        <v>1</v>
      </c>
      <c r="S187" s="152">
        <v>176</v>
      </c>
    </row>
    <row r="188" spans="1:19" s="52" customFormat="1" ht="16.5" customHeight="1">
      <c r="A188" s="211">
        <v>177</v>
      </c>
      <c r="B188" s="212" t="s">
        <v>3850</v>
      </c>
      <c r="C188" s="211">
        <v>1932365</v>
      </c>
      <c r="D188" s="212" t="s">
        <v>3635</v>
      </c>
      <c r="E188" s="152" t="s">
        <v>3611</v>
      </c>
      <c r="F188" s="152" t="s">
        <v>3624</v>
      </c>
      <c r="G188" s="178" t="s">
        <v>3639</v>
      </c>
      <c r="H188" s="213" t="s">
        <v>3639</v>
      </c>
      <c r="I188" s="213" t="s">
        <v>3639</v>
      </c>
      <c r="J188" s="201">
        <f>COUNTIFS('TURMAS 2015.2'!U:U,A188)</f>
        <v>2</v>
      </c>
      <c r="K188" s="201">
        <f>SUMIFS('TURMAS 2015.2'!J:J,'TURMAS 2015.2'!U:U,A188)</f>
        <v>6</v>
      </c>
      <c r="L188" s="201">
        <f>COUNTIF('TURMAS 2015.2'!X:X,A188)</f>
        <v>0</v>
      </c>
      <c r="M188" s="201">
        <f>SUMIFS('TURMAS 2015.2'!K:K,'TURMAS 2015.2'!X:X,A188)</f>
        <v>0</v>
      </c>
      <c r="N188" s="201">
        <f t="shared" si="2"/>
        <v>6</v>
      </c>
      <c r="O188" s="214"/>
      <c r="P188" s="152">
        <v>0</v>
      </c>
      <c r="Q188" s="152">
        <v>0</v>
      </c>
      <c r="R188" s="152">
        <v>1</v>
      </c>
      <c r="S188" s="152">
        <v>177</v>
      </c>
    </row>
    <row r="189" spans="1:19" s="52" customFormat="1" ht="16.5" customHeight="1">
      <c r="A189" s="211">
        <v>178</v>
      </c>
      <c r="B189" s="215" t="s">
        <v>3851</v>
      </c>
      <c r="C189" s="211">
        <v>90000087</v>
      </c>
      <c r="D189" s="211"/>
      <c r="E189" s="152" t="s">
        <v>3643</v>
      </c>
      <c r="F189" s="152" t="s">
        <v>3624</v>
      </c>
      <c r="G189" s="178"/>
      <c r="H189" s="213"/>
      <c r="I189" s="213"/>
      <c r="J189" s="201">
        <f>COUNTIFS('TURMAS 2015.2'!U:U,A189)</f>
        <v>0</v>
      </c>
      <c r="K189" s="201">
        <f>SUMIFS('TURMAS 2015.2'!J:J,'TURMAS 2015.2'!U:U,A189)</f>
        <v>0</v>
      </c>
      <c r="L189" s="201">
        <f>COUNTIF('TURMAS 2015.2'!X:X,A189)</f>
        <v>0</v>
      </c>
      <c r="M189" s="201">
        <f>SUMIFS('TURMAS 2015.2'!K:K,'TURMAS 2015.2'!X:X,A189)</f>
        <v>0</v>
      </c>
      <c r="N189" s="201">
        <f t="shared" si="2"/>
        <v>0</v>
      </c>
      <c r="O189" s="214"/>
      <c r="P189" s="152"/>
      <c r="Q189" s="152"/>
      <c r="R189" s="152"/>
      <c r="S189" s="152">
        <v>178</v>
      </c>
    </row>
    <row r="190" spans="1:19" s="52" customFormat="1" ht="16.5" customHeight="1">
      <c r="A190" s="211">
        <v>179</v>
      </c>
      <c r="B190" s="212" t="s">
        <v>3852</v>
      </c>
      <c r="C190" s="211">
        <v>1544367</v>
      </c>
      <c r="D190" s="212" t="s">
        <v>3647</v>
      </c>
      <c r="E190" s="152" t="s">
        <v>3618</v>
      </c>
      <c r="F190" s="152" t="s">
        <v>3624</v>
      </c>
      <c r="G190" s="178" t="s">
        <v>3639</v>
      </c>
      <c r="H190" s="213" t="s">
        <v>3639</v>
      </c>
      <c r="I190" s="213" t="s">
        <v>3639</v>
      </c>
      <c r="J190" s="201">
        <f>COUNTIFS('TURMAS 2015.2'!U:U,A190)</f>
        <v>0</v>
      </c>
      <c r="K190" s="201">
        <f>SUMIFS('TURMAS 2015.2'!J:J,'TURMAS 2015.2'!U:U,A190)</f>
        <v>0</v>
      </c>
      <c r="L190" s="201">
        <f>COUNTIF('TURMAS 2015.2'!X:X,A190)</f>
        <v>0</v>
      </c>
      <c r="M190" s="201">
        <f>SUMIFS('TURMAS 2015.2'!K:K,'TURMAS 2015.2'!X:X,A190)</f>
        <v>0</v>
      </c>
      <c r="N190" s="201">
        <f t="shared" si="2"/>
        <v>0</v>
      </c>
      <c r="O190" s="214"/>
      <c r="P190" s="152">
        <v>0</v>
      </c>
      <c r="Q190" s="152">
        <v>0</v>
      </c>
      <c r="R190" s="152">
        <v>1</v>
      </c>
      <c r="S190" s="152">
        <v>179</v>
      </c>
    </row>
    <row r="191" spans="1:19" s="52" customFormat="1" ht="16.5" customHeight="1">
      <c r="A191" s="211">
        <v>180</v>
      </c>
      <c r="B191" s="212" t="s">
        <v>3853</v>
      </c>
      <c r="C191" s="211">
        <v>1767083</v>
      </c>
      <c r="D191" s="212" t="s">
        <v>3610</v>
      </c>
      <c r="E191" s="152" t="s">
        <v>3643</v>
      </c>
      <c r="F191" s="152" t="s">
        <v>3624</v>
      </c>
      <c r="G191" s="178" t="s">
        <v>3639</v>
      </c>
      <c r="H191" s="213" t="s">
        <v>3639</v>
      </c>
      <c r="I191" s="213" t="s">
        <v>3639</v>
      </c>
      <c r="J191" s="201">
        <f>COUNTIFS('TURMAS 2015.2'!U:U,A191)</f>
        <v>3</v>
      </c>
      <c r="K191" s="201">
        <f>SUMIFS('TURMAS 2015.2'!J:J,'TURMAS 2015.2'!U:U,A191)</f>
        <v>3</v>
      </c>
      <c r="L191" s="201">
        <f>COUNTIF('TURMAS 2015.2'!X:X,A191)</f>
        <v>2</v>
      </c>
      <c r="M191" s="201">
        <f>SUMIFS('TURMAS 2015.2'!K:K,'TURMAS 2015.2'!X:X,A191)</f>
        <v>4</v>
      </c>
      <c r="N191" s="201">
        <f t="shared" si="2"/>
        <v>7</v>
      </c>
      <c r="O191" s="214"/>
      <c r="P191" s="152">
        <v>0</v>
      </c>
      <c r="Q191" s="152">
        <v>0</v>
      </c>
      <c r="R191" s="152">
        <v>1</v>
      </c>
      <c r="S191" s="152">
        <v>180</v>
      </c>
    </row>
    <row r="192" spans="1:19" s="52" customFormat="1" ht="16.5" customHeight="1">
      <c r="A192" s="211">
        <v>181</v>
      </c>
      <c r="B192" s="212" t="s">
        <v>3854</v>
      </c>
      <c r="C192" s="211">
        <v>1734904</v>
      </c>
      <c r="D192" s="212" t="s">
        <v>3635</v>
      </c>
      <c r="E192" s="152" t="s">
        <v>3611</v>
      </c>
      <c r="F192" s="152" t="s">
        <v>3624</v>
      </c>
      <c r="G192" s="178" t="s">
        <v>3639</v>
      </c>
      <c r="H192" s="213" t="s">
        <v>3639</v>
      </c>
      <c r="I192" s="213" t="s">
        <v>3639</v>
      </c>
      <c r="J192" s="201">
        <f>COUNTIFS('TURMAS 2015.2'!U:U,A192)</f>
        <v>0</v>
      </c>
      <c r="K192" s="201">
        <f>SUMIFS('TURMAS 2015.2'!J:J,'TURMAS 2015.2'!U:U,A192)</f>
        <v>0</v>
      </c>
      <c r="L192" s="201">
        <f>COUNTIF('TURMAS 2015.2'!X:X,A192)</f>
        <v>0</v>
      </c>
      <c r="M192" s="201">
        <f>SUMIFS('TURMAS 2015.2'!K:K,'TURMAS 2015.2'!X:X,A192)</f>
        <v>0</v>
      </c>
      <c r="N192" s="201">
        <f t="shared" si="2"/>
        <v>0</v>
      </c>
      <c r="O192" s="214"/>
      <c r="P192" s="152">
        <v>0</v>
      </c>
      <c r="Q192" s="152">
        <v>0</v>
      </c>
      <c r="R192" s="152">
        <v>1</v>
      </c>
      <c r="S192" s="152">
        <v>181</v>
      </c>
    </row>
    <row r="193" spans="1:19" s="52" customFormat="1" ht="16.5" customHeight="1">
      <c r="A193" s="211">
        <v>182</v>
      </c>
      <c r="B193" s="212" t="s">
        <v>3855</v>
      </c>
      <c r="C193" s="211">
        <v>1941387</v>
      </c>
      <c r="D193" s="212" t="s">
        <v>3635</v>
      </c>
      <c r="E193" s="152" t="s">
        <v>3643</v>
      </c>
      <c r="F193" s="152" t="s">
        <v>3624</v>
      </c>
      <c r="G193" s="178" t="s">
        <v>3639</v>
      </c>
      <c r="H193" s="213" t="s">
        <v>3639</v>
      </c>
      <c r="I193" s="213" t="s">
        <v>3639</v>
      </c>
      <c r="J193" s="201">
        <f>COUNTIFS('TURMAS 2015.2'!U:U,A193)</f>
        <v>0</v>
      </c>
      <c r="K193" s="201">
        <f>SUMIFS('TURMAS 2015.2'!J:J,'TURMAS 2015.2'!U:U,A193)</f>
        <v>0</v>
      </c>
      <c r="L193" s="201">
        <f>COUNTIF('TURMAS 2015.2'!X:X,A193)</f>
        <v>0</v>
      </c>
      <c r="M193" s="201">
        <f>SUMIFS('TURMAS 2015.2'!K:K,'TURMAS 2015.2'!X:X,A193)</f>
        <v>0</v>
      </c>
      <c r="N193" s="201">
        <f t="shared" si="2"/>
        <v>0</v>
      </c>
      <c r="O193" s="214"/>
      <c r="P193" s="152">
        <v>0</v>
      </c>
      <c r="Q193" s="152">
        <v>0</v>
      </c>
      <c r="R193" s="152">
        <v>1</v>
      </c>
      <c r="S193" s="152">
        <v>182</v>
      </c>
    </row>
    <row r="194" spans="1:19" s="52" customFormat="1" ht="16.5" customHeight="1">
      <c r="A194" s="211">
        <v>183</v>
      </c>
      <c r="B194" s="212" t="s">
        <v>3856</v>
      </c>
      <c r="C194" s="211">
        <v>2044591</v>
      </c>
      <c r="D194" s="212" t="s">
        <v>3653</v>
      </c>
      <c r="E194" s="152" t="s">
        <v>3643</v>
      </c>
      <c r="F194" s="152" t="s">
        <v>3624</v>
      </c>
      <c r="G194" s="178" t="s">
        <v>3639</v>
      </c>
      <c r="H194" s="213" t="s">
        <v>3639</v>
      </c>
      <c r="I194" s="213" t="s">
        <v>3639</v>
      </c>
      <c r="J194" s="201">
        <f>COUNTIFS('TURMAS 2015.2'!U:U,A194)</f>
        <v>2</v>
      </c>
      <c r="K194" s="201">
        <f>SUMIFS('TURMAS 2015.2'!J:J,'TURMAS 2015.2'!U:U,A194)</f>
        <v>6</v>
      </c>
      <c r="L194" s="201">
        <f>COUNTIF('TURMAS 2015.2'!X:X,A194)</f>
        <v>0</v>
      </c>
      <c r="M194" s="201">
        <f>SUMIFS('TURMAS 2015.2'!K:K,'TURMAS 2015.2'!X:X,A194)</f>
        <v>0</v>
      </c>
      <c r="N194" s="201">
        <f t="shared" si="2"/>
        <v>6</v>
      </c>
      <c r="O194" s="214"/>
      <c r="P194" s="152">
        <v>0</v>
      </c>
      <c r="Q194" s="152">
        <v>0</v>
      </c>
      <c r="R194" s="152">
        <v>1</v>
      </c>
      <c r="S194" s="152">
        <v>183</v>
      </c>
    </row>
    <row r="195" spans="1:19" s="52" customFormat="1" ht="16.5" customHeight="1">
      <c r="A195" s="211">
        <v>184</v>
      </c>
      <c r="B195" s="212" t="s">
        <v>3857</v>
      </c>
      <c r="C195" s="211">
        <v>2081225</v>
      </c>
      <c r="D195" s="212" t="s">
        <v>3653</v>
      </c>
      <c r="E195" s="152" t="s">
        <v>3618</v>
      </c>
      <c r="F195" s="152" t="s">
        <v>3624</v>
      </c>
      <c r="G195" s="178" t="s">
        <v>3639</v>
      </c>
      <c r="H195" s="213" t="s">
        <v>3639</v>
      </c>
      <c r="I195" s="213" t="s">
        <v>3639</v>
      </c>
      <c r="J195" s="201">
        <f>COUNTIFS('TURMAS 2015.2'!U:U,A195)</f>
        <v>0</v>
      </c>
      <c r="K195" s="201">
        <f>SUMIFS('TURMAS 2015.2'!J:J,'TURMAS 2015.2'!U:U,A195)</f>
        <v>0</v>
      </c>
      <c r="L195" s="201">
        <f>COUNTIF('TURMAS 2015.2'!X:X,A195)</f>
        <v>0</v>
      </c>
      <c r="M195" s="201">
        <f>SUMIFS('TURMAS 2015.2'!K:K,'TURMAS 2015.2'!X:X,A195)</f>
        <v>0</v>
      </c>
      <c r="N195" s="201">
        <f t="shared" si="2"/>
        <v>0</v>
      </c>
      <c r="O195" s="214"/>
      <c r="P195" s="152">
        <v>0</v>
      </c>
      <c r="Q195" s="152">
        <v>0</v>
      </c>
      <c r="R195" s="152">
        <v>1</v>
      </c>
      <c r="S195" s="152">
        <v>184</v>
      </c>
    </row>
    <row r="196" spans="1:19" s="52" customFormat="1" ht="16.5" customHeight="1">
      <c r="A196" s="211">
        <v>185</v>
      </c>
      <c r="B196" s="212" t="s">
        <v>3858</v>
      </c>
      <c r="C196" s="211">
        <v>1768959</v>
      </c>
      <c r="D196" s="212" t="s">
        <v>3610</v>
      </c>
      <c r="E196" s="152" t="s">
        <v>3643</v>
      </c>
      <c r="F196" s="152" t="s">
        <v>3624</v>
      </c>
      <c r="G196" s="178" t="s">
        <v>3639</v>
      </c>
      <c r="H196" s="213" t="s">
        <v>3639</v>
      </c>
      <c r="I196" s="213" t="s">
        <v>3639</v>
      </c>
      <c r="J196" s="201">
        <f>COUNTIFS('TURMAS 2015.2'!U:U,A196)</f>
        <v>1</v>
      </c>
      <c r="K196" s="201">
        <f>SUMIFS('TURMAS 2015.2'!J:J,'TURMAS 2015.2'!U:U,A196)</f>
        <v>0</v>
      </c>
      <c r="L196" s="201">
        <f>COUNTIF('TURMAS 2015.2'!X:X,A196)</f>
        <v>1</v>
      </c>
      <c r="M196" s="201">
        <f>SUMIFS('TURMAS 2015.2'!K:K,'TURMAS 2015.2'!X:X,A196)</f>
        <v>6</v>
      </c>
      <c r="N196" s="201">
        <f t="shared" si="2"/>
        <v>6</v>
      </c>
      <c r="O196" s="214"/>
      <c r="P196" s="152" t="s">
        <v>3859</v>
      </c>
      <c r="Q196" s="152">
        <v>0.3</v>
      </c>
      <c r="R196" s="152">
        <v>0.7</v>
      </c>
      <c r="S196" s="152">
        <v>185</v>
      </c>
    </row>
    <row r="197" spans="1:19" s="52" customFormat="1" ht="16.5" customHeight="1">
      <c r="A197" s="211">
        <v>186</v>
      </c>
      <c r="B197" s="212" t="s">
        <v>3860</v>
      </c>
      <c r="C197" s="211">
        <v>1837751</v>
      </c>
      <c r="D197" s="212" t="s">
        <v>3635</v>
      </c>
      <c r="E197" s="152" t="s">
        <v>3643</v>
      </c>
      <c r="F197" s="152" t="s">
        <v>3624</v>
      </c>
      <c r="G197" s="178" t="s">
        <v>3639</v>
      </c>
      <c r="H197" s="213" t="s">
        <v>3639</v>
      </c>
      <c r="I197" s="213" t="s">
        <v>3639</v>
      </c>
      <c r="J197" s="201">
        <f>COUNTIFS('TURMAS 2015.2'!U:U,A197)</f>
        <v>2</v>
      </c>
      <c r="K197" s="201">
        <f>SUMIFS('TURMAS 2015.2'!J:J,'TURMAS 2015.2'!U:U,A197)</f>
        <v>8</v>
      </c>
      <c r="L197" s="201">
        <f>COUNTIF('TURMAS 2015.2'!X:X,A197)</f>
        <v>0</v>
      </c>
      <c r="M197" s="201">
        <f>SUMIFS('TURMAS 2015.2'!K:K,'TURMAS 2015.2'!X:X,A197)</f>
        <v>0</v>
      </c>
      <c r="N197" s="201">
        <f t="shared" si="2"/>
        <v>8</v>
      </c>
      <c r="O197" s="214"/>
      <c r="P197" s="152">
        <v>0</v>
      </c>
      <c r="Q197" s="152">
        <v>0</v>
      </c>
      <c r="R197" s="152">
        <v>1</v>
      </c>
      <c r="S197" s="152">
        <v>186</v>
      </c>
    </row>
    <row r="198" spans="1:19" s="52" customFormat="1" ht="16.5" customHeight="1">
      <c r="A198" s="211">
        <v>187</v>
      </c>
      <c r="B198" s="212" t="s">
        <v>3861</v>
      </c>
      <c r="C198" s="211">
        <v>1746153</v>
      </c>
      <c r="D198" s="212" t="s">
        <v>3610</v>
      </c>
      <c r="E198" s="152" t="s">
        <v>3618</v>
      </c>
      <c r="F198" s="152" t="s">
        <v>3624</v>
      </c>
      <c r="G198" s="178" t="s">
        <v>3639</v>
      </c>
      <c r="H198" s="213" t="s">
        <v>3639</v>
      </c>
      <c r="I198" s="213" t="s">
        <v>3639</v>
      </c>
      <c r="J198" s="201">
        <f>COUNTIFS('TURMAS 2015.2'!U:U,A198)</f>
        <v>2</v>
      </c>
      <c r="K198" s="201">
        <f>SUMIFS('TURMAS 2015.2'!J:J,'TURMAS 2015.2'!U:U,A198)</f>
        <v>5</v>
      </c>
      <c r="L198" s="201">
        <f>COUNTIF('TURMAS 2015.2'!X:X,A198)</f>
        <v>2</v>
      </c>
      <c r="M198" s="201">
        <f>SUMIFS('TURMAS 2015.2'!K:K,'TURMAS 2015.2'!X:X,A198)</f>
        <v>3</v>
      </c>
      <c r="N198" s="201">
        <f t="shared" si="2"/>
        <v>8</v>
      </c>
      <c r="O198" s="214"/>
      <c r="P198" s="152">
        <v>0</v>
      </c>
      <c r="Q198" s="152">
        <v>0</v>
      </c>
      <c r="R198" s="152">
        <v>1</v>
      </c>
      <c r="S198" s="152">
        <v>187</v>
      </c>
    </row>
    <row r="199" spans="1:19" s="52" customFormat="1" ht="16.5" customHeight="1">
      <c r="A199" s="211">
        <v>188</v>
      </c>
      <c r="B199" s="212" t="s">
        <v>3862</v>
      </c>
      <c r="C199" s="211">
        <v>1939561</v>
      </c>
      <c r="D199" s="212" t="s">
        <v>3635</v>
      </c>
      <c r="E199" s="152" t="s">
        <v>3643</v>
      </c>
      <c r="F199" s="152" t="s">
        <v>3624</v>
      </c>
      <c r="G199" s="178" t="s">
        <v>3639</v>
      </c>
      <c r="H199" s="213" t="s">
        <v>3639</v>
      </c>
      <c r="I199" s="213" t="s">
        <v>3639</v>
      </c>
      <c r="J199" s="201">
        <f>COUNTIFS('TURMAS 2015.2'!U:U,A199)</f>
        <v>3</v>
      </c>
      <c r="K199" s="201">
        <f>SUMIFS('TURMAS 2015.2'!J:J,'TURMAS 2015.2'!U:U,A199)</f>
        <v>3</v>
      </c>
      <c r="L199" s="201">
        <f>COUNTIF('TURMAS 2015.2'!X:X,A199)</f>
        <v>1</v>
      </c>
      <c r="M199" s="201">
        <f>SUMIFS('TURMAS 2015.2'!K:K,'TURMAS 2015.2'!X:X,A199)</f>
        <v>2</v>
      </c>
      <c r="N199" s="201">
        <f t="shared" si="2"/>
        <v>5</v>
      </c>
      <c r="O199" s="214"/>
      <c r="P199" s="152">
        <v>0</v>
      </c>
      <c r="Q199" s="152">
        <v>0</v>
      </c>
      <c r="R199" s="152">
        <v>1</v>
      </c>
      <c r="S199" s="152">
        <v>188</v>
      </c>
    </row>
    <row r="200" spans="1:19" s="52" customFormat="1" ht="16.5" customHeight="1">
      <c r="A200" s="211">
        <v>189</v>
      </c>
      <c r="B200" s="212" t="s">
        <v>3863</v>
      </c>
      <c r="C200" s="211">
        <v>1838185</v>
      </c>
      <c r="D200" s="212" t="s">
        <v>3635</v>
      </c>
      <c r="E200" s="152" t="s">
        <v>3643</v>
      </c>
      <c r="F200" s="152" t="s">
        <v>3624</v>
      </c>
      <c r="G200" s="178" t="s">
        <v>3639</v>
      </c>
      <c r="H200" s="213" t="s">
        <v>3639</v>
      </c>
      <c r="I200" s="213" t="s">
        <v>3639</v>
      </c>
      <c r="J200" s="201">
        <f>COUNTIFS('TURMAS 2015.2'!U:U,A200)</f>
        <v>2</v>
      </c>
      <c r="K200" s="201">
        <f>SUMIFS('TURMAS 2015.2'!J:J,'TURMAS 2015.2'!U:U,A200)</f>
        <v>8</v>
      </c>
      <c r="L200" s="201">
        <f>COUNTIF('TURMAS 2015.2'!X:X,A200)</f>
        <v>0</v>
      </c>
      <c r="M200" s="201">
        <f>SUMIFS('TURMAS 2015.2'!K:K,'TURMAS 2015.2'!X:X,A200)</f>
        <v>0</v>
      </c>
      <c r="N200" s="201">
        <f t="shared" si="2"/>
        <v>8</v>
      </c>
      <c r="O200" s="214"/>
      <c r="P200" s="152" t="s">
        <v>3864</v>
      </c>
      <c r="Q200" s="152">
        <v>0.3</v>
      </c>
      <c r="R200" s="152">
        <v>0.7</v>
      </c>
      <c r="S200" s="152">
        <v>189</v>
      </c>
    </row>
    <row r="201" spans="1:19" s="52" customFormat="1" ht="16.5" customHeight="1">
      <c r="A201" s="211">
        <v>190</v>
      </c>
      <c r="B201" s="212" t="s">
        <v>3865</v>
      </c>
      <c r="C201" s="211">
        <v>2139326</v>
      </c>
      <c r="D201" s="212" t="s">
        <v>3653</v>
      </c>
      <c r="E201" s="152" t="s">
        <v>3643</v>
      </c>
      <c r="F201" s="152" t="s">
        <v>3624</v>
      </c>
      <c r="G201" s="178" t="s">
        <v>3639</v>
      </c>
      <c r="H201" s="213" t="s">
        <v>3639</v>
      </c>
      <c r="I201" s="213" t="s">
        <v>3639</v>
      </c>
      <c r="J201" s="201">
        <f>COUNTIFS('TURMAS 2015.2'!U:U,A201)</f>
        <v>2</v>
      </c>
      <c r="K201" s="201">
        <f>SUMIFS('TURMAS 2015.2'!J:J,'TURMAS 2015.2'!U:U,A201)</f>
        <v>6</v>
      </c>
      <c r="L201" s="201">
        <f>COUNTIF('TURMAS 2015.2'!X:X,A201)</f>
        <v>0</v>
      </c>
      <c r="M201" s="201">
        <f>SUMIFS('TURMAS 2015.2'!K:K,'TURMAS 2015.2'!X:X,A201)</f>
        <v>0</v>
      </c>
      <c r="N201" s="201">
        <f t="shared" si="2"/>
        <v>6</v>
      </c>
      <c r="O201" s="214"/>
      <c r="P201" s="152">
        <v>0</v>
      </c>
      <c r="Q201" s="152">
        <v>0</v>
      </c>
      <c r="R201" s="152">
        <v>1</v>
      </c>
      <c r="S201" s="152">
        <v>190</v>
      </c>
    </row>
    <row r="202" spans="1:19" s="52" customFormat="1" ht="16.5" customHeight="1">
      <c r="A202" s="211">
        <v>191</v>
      </c>
      <c r="B202" s="212" t="s">
        <v>3866</v>
      </c>
      <c r="C202" s="211">
        <v>1671814</v>
      </c>
      <c r="D202" s="212" t="s">
        <v>3610</v>
      </c>
      <c r="E202" s="152" t="s">
        <v>3618</v>
      </c>
      <c r="F202" s="152" t="s">
        <v>3624</v>
      </c>
      <c r="G202" s="178" t="s">
        <v>3639</v>
      </c>
      <c r="H202" s="213" t="s">
        <v>3639</v>
      </c>
      <c r="I202" s="213" t="s">
        <v>3639</v>
      </c>
      <c r="J202" s="201">
        <f>COUNTIFS('TURMAS 2015.2'!U:U,A202)</f>
        <v>2</v>
      </c>
      <c r="K202" s="201">
        <f>SUMIFS('TURMAS 2015.2'!J:J,'TURMAS 2015.2'!U:U,A202)</f>
        <v>8</v>
      </c>
      <c r="L202" s="201">
        <f>COUNTIF('TURMAS 2015.2'!X:X,A202)</f>
        <v>0</v>
      </c>
      <c r="M202" s="201">
        <f>SUMIFS('TURMAS 2015.2'!K:K,'TURMAS 2015.2'!X:X,A202)</f>
        <v>0</v>
      </c>
      <c r="N202" s="201">
        <f t="shared" si="2"/>
        <v>8</v>
      </c>
      <c r="O202" s="214"/>
      <c r="P202" s="152">
        <v>0</v>
      </c>
      <c r="Q202" s="152">
        <v>0</v>
      </c>
      <c r="R202" s="152">
        <v>1</v>
      </c>
      <c r="S202" s="152">
        <v>191</v>
      </c>
    </row>
    <row r="203" spans="1:19" s="56" customFormat="1" ht="16.5" customHeight="1">
      <c r="A203" s="211">
        <v>192</v>
      </c>
      <c r="B203" s="212" t="s">
        <v>3867</v>
      </c>
      <c r="C203" s="211">
        <v>1934619</v>
      </c>
      <c r="D203" s="212" t="s">
        <v>3635</v>
      </c>
      <c r="E203" s="152" t="s">
        <v>3618</v>
      </c>
      <c r="F203" s="152" t="s">
        <v>3624</v>
      </c>
      <c r="G203" s="178" t="s">
        <v>3639</v>
      </c>
      <c r="H203" s="213" t="s">
        <v>3639</v>
      </c>
      <c r="I203" s="213" t="s">
        <v>3639</v>
      </c>
      <c r="J203" s="201">
        <f>COUNTIFS('TURMAS 2015.2'!U:U,A203)</f>
        <v>1</v>
      </c>
      <c r="K203" s="201">
        <f>SUMIFS('TURMAS 2015.2'!J:J,'TURMAS 2015.2'!U:U,A203)</f>
        <v>2</v>
      </c>
      <c r="L203" s="201">
        <f>COUNTIF('TURMAS 2015.2'!X:X,A203)</f>
        <v>1</v>
      </c>
      <c r="M203" s="201">
        <f>SUMIFS('TURMAS 2015.2'!K:K,'TURMAS 2015.2'!X:X,A203)</f>
        <v>2</v>
      </c>
      <c r="N203" s="201">
        <f t="shared" si="2"/>
        <v>4</v>
      </c>
      <c r="O203" s="214"/>
      <c r="P203" s="152">
        <v>0</v>
      </c>
      <c r="Q203" s="152">
        <v>0</v>
      </c>
      <c r="R203" s="152">
        <v>1</v>
      </c>
      <c r="S203" s="152">
        <v>192</v>
      </c>
    </row>
    <row r="204" spans="1:19" s="52" customFormat="1" ht="16.5" customHeight="1">
      <c r="A204" s="211">
        <v>193</v>
      </c>
      <c r="B204" s="212" t="s">
        <v>3868</v>
      </c>
      <c r="C204" s="211">
        <v>2123666</v>
      </c>
      <c r="D204" s="212" t="s">
        <v>3653</v>
      </c>
      <c r="E204" s="152" t="s">
        <v>3618</v>
      </c>
      <c r="F204" s="152" t="s">
        <v>3624</v>
      </c>
      <c r="G204" s="178" t="s">
        <v>3639</v>
      </c>
      <c r="H204" s="213" t="s">
        <v>3639</v>
      </c>
      <c r="I204" s="213" t="s">
        <v>3639</v>
      </c>
      <c r="J204" s="201">
        <f>COUNTIFS('TURMAS 2015.2'!U:U,A204)</f>
        <v>1</v>
      </c>
      <c r="K204" s="201">
        <f>SUMIFS('TURMAS 2015.2'!J:J,'TURMAS 2015.2'!U:U,A204)</f>
        <v>3</v>
      </c>
      <c r="L204" s="201">
        <f>COUNTIF('TURMAS 2015.2'!X:X,A204)</f>
        <v>1</v>
      </c>
      <c r="M204" s="201">
        <f>SUMIFS('TURMAS 2015.2'!K:K,'TURMAS 2015.2'!X:X,A204)</f>
        <v>2</v>
      </c>
      <c r="N204" s="201">
        <f t="shared" ref="N204:N267" si="3">K204+M204</f>
        <v>5</v>
      </c>
      <c r="O204" s="214"/>
      <c r="P204" s="152">
        <v>0</v>
      </c>
      <c r="Q204" s="152">
        <v>0</v>
      </c>
      <c r="R204" s="152">
        <v>1</v>
      </c>
      <c r="S204" s="152">
        <v>193</v>
      </c>
    </row>
    <row r="205" spans="1:19" s="52" customFormat="1" ht="16.5" customHeight="1">
      <c r="A205" s="211">
        <v>194</v>
      </c>
      <c r="B205" s="212" t="s">
        <v>3869</v>
      </c>
      <c r="C205" s="211">
        <v>2127212</v>
      </c>
      <c r="D205" s="212" t="s">
        <v>3653</v>
      </c>
      <c r="E205" s="152" t="s">
        <v>3611</v>
      </c>
      <c r="F205" s="152" t="s">
        <v>3624</v>
      </c>
      <c r="G205" s="178" t="s">
        <v>3639</v>
      </c>
      <c r="H205" s="213" t="s">
        <v>3639</v>
      </c>
      <c r="I205" s="213" t="s">
        <v>3639</v>
      </c>
      <c r="J205" s="201">
        <f>COUNTIFS('TURMAS 2015.2'!U:U,A205)</f>
        <v>0</v>
      </c>
      <c r="K205" s="201">
        <f>SUMIFS('TURMAS 2015.2'!J:J,'TURMAS 2015.2'!U:U,A205)</f>
        <v>0</v>
      </c>
      <c r="L205" s="201">
        <f>COUNTIF('TURMAS 2015.2'!X:X,A205)</f>
        <v>3</v>
      </c>
      <c r="M205" s="201">
        <f>SUMIFS('TURMAS 2015.2'!K:K,'TURMAS 2015.2'!X:X,A205)</f>
        <v>4</v>
      </c>
      <c r="N205" s="201">
        <f t="shared" si="3"/>
        <v>4</v>
      </c>
      <c r="O205" s="214"/>
      <c r="P205" s="152">
        <v>0</v>
      </c>
      <c r="Q205" s="152">
        <v>0</v>
      </c>
      <c r="R205" s="152">
        <v>1</v>
      </c>
      <c r="S205" s="152">
        <v>194</v>
      </c>
    </row>
    <row r="206" spans="1:19" s="52" customFormat="1" ht="16.5" customHeight="1">
      <c r="A206" s="211">
        <v>195</v>
      </c>
      <c r="B206" s="212" t="s">
        <v>3870</v>
      </c>
      <c r="C206" s="211">
        <v>1763449</v>
      </c>
      <c r="D206" s="212" t="s">
        <v>3610</v>
      </c>
      <c r="E206" s="152" t="s">
        <v>3643</v>
      </c>
      <c r="F206" s="152" t="s">
        <v>3624</v>
      </c>
      <c r="G206" s="178" t="s">
        <v>3639</v>
      </c>
      <c r="H206" s="213" t="s">
        <v>3639</v>
      </c>
      <c r="I206" s="213" t="s">
        <v>3639</v>
      </c>
      <c r="J206" s="201">
        <f>COUNTIFS('TURMAS 2015.2'!U:U,A206)</f>
        <v>1</v>
      </c>
      <c r="K206" s="201">
        <f>SUMIFS('TURMAS 2015.2'!J:J,'TURMAS 2015.2'!U:U,A206)</f>
        <v>3</v>
      </c>
      <c r="L206" s="201">
        <f>COUNTIF('TURMAS 2015.2'!X:X,A206)</f>
        <v>0</v>
      </c>
      <c r="M206" s="201">
        <f>SUMIFS('TURMAS 2015.2'!K:K,'TURMAS 2015.2'!X:X,A206)</f>
        <v>0</v>
      </c>
      <c r="N206" s="201">
        <f t="shared" si="3"/>
        <v>3</v>
      </c>
      <c r="O206" s="214"/>
      <c r="P206" s="152">
        <v>0</v>
      </c>
      <c r="Q206" s="152">
        <v>0</v>
      </c>
      <c r="R206" s="152">
        <v>1</v>
      </c>
      <c r="S206" s="152">
        <v>195</v>
      </c>
    </row>
    <row r="207" spans="1:19" s="52" customFormat="1" ht="16.5" customHeight="1">
      <c r="A207" s="211">
        <v>196</v>
      </c>
      <c r="B207" s="212" t="s">
        <v>3871</v>
      </c>
      <c r="C207" s="211">
        <v>2090028</v>
      </c>
      <c r="D207" s="212" t="s">
        <v>3653</v>
      </c>
      <c r="E207" s="152" t="s">
        <v>3618</v>
      </c>
      <c r="F207" s="152" t="s">
        <v>3624</v>
      </c>
      <c r="G207" s="178" t="s">
        <v>3639</v>
      </c>
      <c r="H207" s="213" t="s">
        <v>3639</v>
      </c>
      <c r="I207" s="213" t="s">
        <v>3639</v>
      </c>
      <c r="J207" s="201">
        <f>COUNTIFS('TURMAS 2015.2'!U:U,A207)</f>
        <v>1</v>
      </c>
      <c r="K207" s="201">
        <f>SUMIFS('TURMAS 2015.2'!J:J,'TURMAS 2015.2'!U:U,A207)</f>
        <v>4</v>
      </c>
      <c r="L207" s="201">
        <f>COUNTIF('TURMAS 2015.2'!X:X,A207)</f>
        <v>1</v>
      </c>
      <c r="M207" s="201">
        <f>SUMIFS('TURMAS 2015.2'!K:K,'TURMAS 2015.2'!X:X,A207)</f>
        <v>2</v>
      </c>
      <c r="N207" s="201">
        <f t="shared" si="3"/>
        <v>6</v>
      </c>
      <c r="O207" s="214"/>
      <c r="P207" s="152">
        <v>0</v>
      </c>
      <c r="Q207" s="152">
        <v>0</v>
      </c>
      <c r="R207" s="152">
        <v>1</v>
      </c>
      <c r="S207" s="152">
        <v>196</v>
      </c>
    </row>
    <row r="208" spans="1:19" s="52" customFormat="1" ht="16.5" customHeight="1">
      <c r="A208" s="211">
        <v>197</v>
      </c>
      <c r="B208" s="212" t="s">
        <v>3872</v>
      </c>
      <c r="C208" s="211">
        <v>1839786</v>
      </c>
      <c r="D208" s="212" t="s">
        <v>3617</v>
      </c>
      <c r="E208" s="152" t="s">
        <v>3643</v>
      </c>
      <c r="F208" s="152" t="s">
        <v>3624</v>
      </c>
      <c r="G208" s="178" t="s">
        <v>3639</v>
      </c>
      <c r="H208" s="213" t="s">
        <v>3639</v>
      </c>
      <c r="I208" s="213" t="s">
        <v>3639</v>
      </c>
      <c r="J208" s="201">
        <f>COUNTIFS('TURMAS 2015.2'!U:U,A208)</f>
        <v>2</v>
      </c>
      <c r="K208" s="201">
        <f>SUMIFS('TURMAS 2015.2'!J:J,'TURMAS 2015.2'!U:U,A208)</f>
        <v>8</v>
      </c>
      <c r="L208" s="201">
        <f>COUNTIF('TURMAS 2015.2'!X:X,A208)</f>
        <v>0</v>
      </c>
      <c r="M208" s="201">
        <f>SUMIFS('TURMAS 2015.2'!K:K,'TURMAS 2015.2'!X:X,A208)</f>
        <v>0</v>
      </c>
      <c r="N208" s="201">
        <f t="shared" si="3"/>
        <v>8</v>
      </c>
      <c r="O208" s="214"/>
      <c r="P208" s="152" t="s">
        <v>3873</v>
      </c>
      <c r="Q208" s="152">
        <v>0.5</v>
      </c>
      <c r="R208" s="152">
        <v>0.5</v>
      </c>
      <c r="S208" s="152">
        <v>197</v>
      </c>
    </row>
    <row r="209" spans="1:19" s="52" customFormat="1" ht="16.5" customHeight="1">
      <c r="A209" s="211">
        <v>198</v>
      </c>
      <c r="B209" s="212" t="s">
        <v>3874</v>
      </c>
      <c r="C209" s="211">
        <v>2064223</v>
      </c>
      <c r="D209" s="212" t="s">
        <v>3653</v>
      </c>
      <c r="E209" s="152" t="s">
        <v>3618</v>
      </c>
      <c r="F209" s="152" t="s">
        <v>3624</v>
      </c>
      <c r="G209" s="178" t="s">
        <v>3639</v>
      </c>
      <c r="H209" s="213" t="s">
        <v>3639</v>
      </c>
      <c r="I209" s="213" t="s">
        <v>3639</v>
      </c>
      <c r="J209" s="201">
        <f>COUNTIFS('TURMAS 2015.2'!U:U,A209)</f>
        <v>2</v>
      </c>
      <c r="K209" s="201">
        <f>SUMIFS('TURMAS 2015.2'!J:J,'TURMAS 2015.2'!U:U,A209)</f>
        <v>6</v>
      </c>
      <c r="L209" s="201">
        <f>COUNTIF('TURMAS 2015.2'!X:X,A209)</f>
        <v>2</v>
      </c>
      <c r="M209" s="201">
        <f>SUMIFS('TURMAS 2015.2'!K:K,'TURMAS 2015.2'!X:X,A209)</f>
        <v>2</v>
      </c>
      <c r="N209" s="201">
        <f t="shared" si="3"/>
        <v>8</v>
      </c>
      <c r="O209" s="214"/>
      <c r="P209" s="152">
        <v>0</v>
      </c>
      <c r="Q209" s="152">
        <v>0</v>
      </c>
      <c r="R209" s="152">
        <v>1</v>
      </c>
      <c r="S209" s="152">
        <v>198</v>
      </c>
    </row>
    <row r="210" spans="1:19" s="52" customFormat="1" ht="16.5" customHeight="1">
      <c r="A210" s="211">
        <v>199</v>
      </c>
      <c r="B210" s="212" t="s">
        <v>3875</v>
      </c>
      <c r="C210" s="211">
        <v>1760527</v>
      </c>
      <c r="D210" s="212" t="s">
        <v>3610</v>
      </c>
      <c r="E210" s="152" t="s">
        <v>3643</v>
      </c>
      <c r="F210" s="152" t="s">
        <v>3624</v>
      </c>
      <c r="G210" s="178" t="s">
        <v>3639</v>
      </c>
      <c r="H210" s="213" t="s">
        <v>3639</v>
      </c>
      <c r="I210" s="213" t="s">
        <v>3639</v>
      </c>
      <c r="J210" s="201">
        <f>COUNTIFS('TURMAS 2015.2'!U:U,A210)</f>
        <v>5</v>
      </c>
      <c r="K210" s="201">
        <f>SUMIFS('TURMAS 2015.2'!J:J,'TURMAS 2015.2'!U:U,A210)</f>
        <v>0</v>
      </c>
      <c r="L210" s="201">
        <f>COUNTIF('TURMAS 2015.2'!X:X,A210)</f>
        <v>3</v>
      </c>
      <c r="M210" s="201">
        <f>SUMIFS('TURMAS 2015.2'!K:K,'TURMAS 2015.2'!X:X,A210)</f>
        <v>0</v>
      </c>
      <c r="N210" s="201">
        <f t="shared" si="3"/>
        <v>0</v>
      </c>
      <c r="O210" s="214"/>
      <c r="P210" s="152">
        <v>0</v>
      </c>
      <c r="Q210" s="152">
        <v>0</v>
      </c>
      <c r="R210" s="152">
        <v>1</v>
      </c>
      <c r="S210" s="152">
        <v>199</v>
      </c>
    </row>
    <row r="211" spans="1:19" s="52" customFormat="1" ht="16.5" customHeight="1">
      <c r="A211" s="211">
        <v>200</v>
      </c>
      <c r="B211" s="212" t="s">
        <v>3876</v>
      </c>
      <c r="C211" s="211">
        <v>2147567</v>
      </c>
      <c r="D211" s="212" t="s">
        <v>3735</v>
      </c>
      <c r="E211" s="152" t="s">
        <v>3611</v>
      </c>
      <c r="F211" s="152" t="s">
        <v>3624</v>
      </c>
      <c r="G211" s="178" t="s">
        <v>3639</v>
      </c>
      <c r="H211" s="213" t="s">
        <v>3639</v>
      </c>
      <c r="I211" s="213" t="s">
        <v>3639</v>
      </c>
      <c r="J211" s="201">
        <f>COUNTIFS('TURMAS 2015.2'!U:U,A211)</f>
        <v>1</v>
      </c>
      <c r="K211" s="201">
        <f>SUMIFS('TURMAS 2015.2'!J:J,'TURMAS 2015.2'!U:U,A211)</f>
        <v>4</v>
      </c>
      <c r="L211" s="201">
        <f>COUNTIF('TURMAS 2015.2'!X:X,A211)</f>
        <v>1</v>
      </c>
      <c r="M211" s="201">
        <f>SUMIFS('TURMAS 2015.2'!K:K,'TURMAS 2015.2'!X:X,A211)</f>
        <v>2</v>
      </c>
      <c r="N211" s="201">
        <f t="shared" si="3"/>
        <v>6</v>
      </c>
      <c r="O211" s="214"/>
      <c r="P211" s="152">
        <v>0</v>
      </c>
      <c r="Q211" s="152">
        <v>0</v>
      </c>
      <c r="R211" s="152">
        <v>1</v>
      </c>
      <c r="S211" s="152">
        <v>200</v>
      </c>
    </row>
    <row r="212" spans="1:19" s="52" customFormat="1" ht="16.5" customHeight="1">
      <c r="A212" s="211">
        <v>201</v>
      </c>
      <c r="B212" s="215" t="s">
        <v>3877</v>
      </c>
      <c r="C212" s="211">
        <v>1901121</v>
      </c>
      <c r="D212" s="211"/>
      <c r="E212" s="152" t="s">
        <v>3611</v>
      </c>
      <c r="F212" s="152" t="s">
        <v>3624</v>
      </c>
      <c r="G212" s="178"/>
      <c r="H212" s="213"/>
      <c r="I212" s="213"/>
      <c r="J212" s="201">
        <f>COUNTIFS('TURMAS 2015.2'!U:U,A212)</f>
        <v>0</v>
      </c>
      <c r="K212" s="201">
        <f>SUMIFS('TURMAS 2015.2'!J:J,'TURMAS 2015.2'!U:U,A212)</f>
        <v>0</v>
      </c>
      <c r="L212" s="201">
        <f>COUNTIF('TURMAS 2015.2'!X:X,A212)</f>
        <v>0</v>
      </c>
      <c r="M212" s="201">
        <f>SUMIFS('TURMAS 2015.2'!K:K,'TURMAS 2015.2'!X:X,A212)</f>
        <v>0</v>
      </c>
      <c r="N212" s="201">
        <f t="shared" si="3"/>
        <v>0</v>
      </c>
      <c r="O212" s="214"/>
      <c r="P212" s="152"/>
      <c r="Q212" s="152"/>
      <c r="R212" s="152"/>
      <c r="S212" s="152">
        <v>201</v>
      </c>
    </row>
    <row r="213" spans="1:19" s="52" customFormat="1" ht="16.5" customHeight="1">
      <c r="A213" s="211">
        <v>202</v>
      </c>
      <c r="B213" s="212" t="s">
        <v>3878</v>
      </c>
      <c r="C213" s="211">
        <v>1545979</v>
      </c>
      <c r="D213" s="212" t="s">
        <v>3647</v>
      </c>
      <c r="E213" s="152" t="s">
        <v>3618</v>
      </c>
      <c r="F213" s="152" t="s">
        <v>3624</v>
      </c>
      <c r="G213" s="178" t="s">
        <v>3639</v>
      </c>
      <c r="H213" s="213" t="s">
        <v>3639</v>
      </c>
      <c r="I213" s="213" t="s">
        <v>3639</v>
      </c>
      <c r="J213" s="201">
        <f>COUNTIFS('TURMAS 2015.2'!U:U,A213)</f>
        <v>2</v>
      </c>
      <c r="K213" s="201">
        <f>SUMIFS('TURMAS 2015.2'!J:J,'TURMAS 2015.2'!U:U,A213)</f>
        <v>5</v>
      </c>
      <c r="L213" s="201">
        <f>COUNTIF('TURMAS 2015.2'!X:X,A213)</f>
        <v>1</v>
      </c>
      <c r="M213" s="201">
        <f>SUMIFS('TURMAS 2015.2'!K:K,'TURMAS 2015.2'!X:X,A213)</f>
        <v>0</v>
      </c>
      <c r="N213" s="201">
        <f t="shared" si="3"/>
        <v>5</v>
      </c>
      <c r="O213" s="214"/>
      <c r="P213" s="152">
        <v>0</v>
      </c>
      <c r="Q213" s="152">
        <v>0</v>
      </c>
      <c r="R213" s="152">
        <v>1</v>
      </c>
      <c r="S213" s="152">
        <v>202</v>
      </c>
    </row>
    <row r="214" spans="1:19" s="52" customFormat="1" ht="16.5" customHeight="1">
      <c r="A214" s="211">
        <v>203</v>
      </c>
      <c r="B214" s="212" t="s">
        <v>3879</v>
      </c>
      <c r="C214" s="211">
        <v>1600876</v>
      </c>
      <c r="D214" s="212" t="s">
        <v>3647</v>
      </c>
      <c r="E214" s="152" t="s">
        <v>3611</v>
      </c>
      <c r="F214" s="152" t="s">
        <v>3624</v>
      </c>
      <c r="G214" s="178" t="s">
        <v>3639</v>
      </c>
      <c r="H214" s="213" t="s">
        <v>3639</v>
      </c>
      <c r="I214" s="213" t="s">
        <v>3639</v>
      </c>
      <c r="J214" s="201">
        <f>COUNTIFS('TURMAS 2015.2'!U:U,A214)</f>
        <v>0</v>
      </c>
      <c r="K214" s="201">
        <f>SUMIFS('TURMAS 2015.2'!J:J,'TURMAS 2015.2'!U:U,A214)</f>
        <v>0</v>
      </c>
      <c r="L214" s="201">
        <f>COUNTIF('TURMAS 2015.2'!X:X,A214)</f>
        <v>0</v>
      </c>
      <c r="M214" s="201">
        <f>SUMIFS('TURMAS 2015.2'!K:K,'TURMAS 2015.2'!X:X,A214)</f>
        <v>0</v>
      </c>
      <c r="N214" s="201">
        <f t="shared" si="3"/>
        <v>0</v>
      </c>
      <c r="O214" s="214"/>
      <c r="P214" s="152">
        <v>0</v>
      </c>
      <c r="Q214" s="152">
        <v>0</v>
      </c>
      <c r="R214" s="152">
        <v>1</v>
      </c>
      <c r="S214" s="152">
        <v>203</v>
      </c>
    </row>
    <row r="215" spans="1:19" s="52" customFormat="1" ht="16.5" customHeight="1">
      <c r="A215" s="211">
        <v>204</v>
      </c>
      <c r="B215" s="212" t="s">
        <v>3880</v>
      </c>
      <c r="C215" s="211">
        <v>2604186</v>
      </c>
      <c r="D215" s="212" t="s">
        <v>3647</v>
      </c>
      <c r="E215" s="152" t="s">
        <v>3643</v>
      </c>
      <c r="F215" s="152" t="s">
        <v>3624</v>
      </c>
      <c r="G215" s="178" t="s">
        <v>3639</v>
      </c>
      <c r="H215" s="213" t="s">
        <v>3639</v>
      </c>
      <c r="I215" s="213" t="s">
        <v>3639</v>
      </c>
      <c r="J215" s="201">
        <f>COUNTIFS('TURMAS 2015.2'!U:U,A215)</f>
        <v>3</v>
      </c>
      <c r="K215" s="201">
        <f>SUMIFS('TURMAS 2015.2'!J:J,'TURMAS 2015.2'!U:U,A215)</f>
        <v>3</v>
      </c>
      <c r="L215" s="201">
        <f>COUNTIF('TURMAS 2015.2'!X:X,A215)</f>
        <v>3</v>
      </c>
      <c r="M215" s="201">
        <f>SUMIFS('TURMAS 2015.2'!K:K,'TURMAS 2015.2'!X:X,A215)</f>
        <v>6</v>
      </c>
      <c r="N215" s="201">
        <f t="shared" si="3"/>
        <v>9</v>
      </c>
      <c r="O215" s="214"/>
      <c r="P215" s="152">
        <v>0</v>
      </c>
      <c r="Q215" s="152">
        <v>0</v>
      </c>
      <c r="R215" s="152">
        <v>1</v>
      </c>
      <c r="S215" s="152">
        <v>204</v>
      </c>
    </row>
    <row r="216" spans="1:19" s="52" customFormat="1" ht="16.5" customHeight="1">
      <c r="A216" s="211">
        <v>205</v>
      </c>
      <c r="B216" s="212" t="s">
        <v>3881</v>
      </c>
      <c r="C216" s="211">
        <v>1763433</v>
      </c>
      <c r="D216" s="212" t="s">
        <v>3617</v>
      </c>
      <c r="E216" s="152" t="s">
        <v>3611</v>
      </c>
      <c r="F216" s="152" t="s">
        <v>3624</v>
      </c>
      <c r="G216" s="178" t="s">
        <v>3639</v>
      </c>
      <c r="H216" s="213" t="s">
        <v>3639</v>
      </c>
      <c r="I216" s="213" t="s">
        <v>3639</v>
      </c>
      <c r="J216" s="201">
        <f>COUNTIFS('TURMAS 2015.2'!U:U,A216)</f>
        <v>2</v>
      </c>
      <c r="K216" s="201">
        <f>SUMIFS('TURMAS 2015.2'!J:J,'TURMAS 2015.2'!U:U,A216)</f>
        <v>0</v>
      </c>
      <c r="L216" s="201">
        <f>COUNTIF('TURMAS 2015.2'!X:X,A216)</f>
        <v>2</v>
      </c>
      <c r="M216" s="201">
        <f>SUMIFS('TURMAS 2015.2'!K:K,'TURMAS 2015.2'!X:X,A216)</f>
        <v>8</v>
      </c>
      <c r="N216" s="201">
        <f t="shared" si="3"/>
        <v>8</v>
      </c>
      <c r="O216" s="214"/>
      <c r="P216" s="152">
        <v>0</v>
      </c>
      <c r="Q216" s="152">
        <v>0</v>
      </c>
      <c r="R216" s="152">
        <v>1</v>
      </c>
      <c r="S216" s="152">
        <v>205</v>
      </c>
    </row>
    <row r="217" spans="1:19" s="52" customFormat="1" ht="16.5" customHeight="1">
      <c r="A217" s="211">
        <v>206</v>
      </c>
      <c r="B217" s="212" t="s">
        <v>3882</v>
      </c>
      <c r="C217" s="211">
        <v>1672981</v>
      </c>
      <c r="D217" s="212" t="s">
        <v>3617</v>
      </c>
      <c r="E217" s="152" t="s">
        <v>3611</v>
      </c>
      <c r="F217" s="152" t="s">
        <v>3624</v>
      </c>
      <c r="G217" s="178" t="s">
        <v>3639</v>
      </c>
      <c r="H217" s="213" t="s">
        <v>3639</v>
      </c>
      <c r="I217" s="213" t="s">
        <v>3639</v>
      </c>
      <c r="J217" s="201">
        <f>COUNTIFS('TURMAS 2015.2'!U:U,A217)</f>
        <v>0</v>
      </c>
      <c r="K217" s="201">
        <f>SUMIFS('TURMAS 2015.2'!J:J,'TURMAS 2015.2'!U:U,A217)</f>
        <v>0</v>
      </c>
      <c r="L217" s="201">
        <f>COUNTIF('TURMAS 2015.2'!X:X,A217)</f>
        <v>0</v>
      </c>
      <c r="M217" s="201">
        <f>SUMIFS('TURMAS 2015.2'!K:K,'TURMAS 2015.2'!X:X,A217)</f>
        <v>0</v>
      </c>
      <c r="N217" s="201">
        <f t="shared" si="3"/>
        <v>0</v>
      </c>
      <c r="O217" s="214"/>
      <c r="P217" s="152">
        <v>0</v>
      </c>
      <c r="Q217" s="152">
        <v>0</v>
      </c>
      <c r="R217" s="152">
        <v>1</v>
      </c>
      <c r="S217" s="152">
        <v>206</v>
      </c>
    </row>
    <row r="218" spans="1:19" s="52" customFormat="1" ht="16.5" customHeight="1">
      <c r="A218" s="211">
        <v>207</v>
      </c>
      <c r="B218" s="212" t="s">
        <v>3883</v>
      </c>
      <c r="C218" s="211">
        <v>2966487</v>
      </c>
      <c r="D218" s="212" t="s">
        <v>3617</v>
      </c>
      <c r="E218" s="152" t="s">
        <v>3611</v>
      </c>
      <c r="F218" s="152" t="s">
        <v>3624</v>
      </c>
      <c r="G218" s="178" t="s">
        <v>3639</v>
      </c>
      <c r="H218" s="213" t="s">
        <v>3639</v>
      </c>
      <c r="I218" s="213" t="s">
        <v>3639</v>
      </c>
      <c r="J218" s="201">
        <f>COUNTIFS('TURMAS 2015.2'!U:U,A218)</f>
        <v>2</v>
      </c>
      <c r="K218" s="201">
        <f>SUMIFS('TURMAS 2015.2'!J:J,'TURMAS 2015.2'!U:U,A218)</f>
        <v>7</v>
      </c>
      <c r="L218" s="201">
        <f>COUNTIF('TURMAS 2015.2'!X:X,A218)</f>
        <v>2</v>
      </c>
      <c r="M218" s="201">
        <f>SUMIFS('TURMAS 2015.2'!K:K,'TURMAS 2015.2'!X:X,A218)</f>
        <v>0</v>
      </c>
      <c r="N218" s="201">
        <f t="shared" si="3"/>
        <v>7</v>
      </c>
      <c r="O218" s="214"/>
      <c r="P218" s="152">
        <v>0</v>
      </c>
      <c r="Q218" s="152">
        <v>0</v>
      </c>
      <c r="R218" s="152">
        <v>1</v>
      </c>
      <c r="S218" s="152">
        <v>207</v>
      </c>
    </row>
    <row r="219" spans="1:19" s="52" customFormat="1" ht="16.5" customHeight="1">
      <c r="A219" s="211">
        <v>208</v>
      </c>
      <c r="B219" s="212" t="s">
        <v>3884</v>
      </c>
      <c r="C219" s="211">
        <v>1545987</v>
      </c>
      <c r="D219" s="212" t="s">
        <v>3621</v>
      </c>
      <c r="E219" s="152" t="s">
        <v>3618</v>
      </c>
      <c r="F219" s="152" t="s">
        <v>3624</v>
      </c>
      <c r="G219" s="178" t="s">
        <v>3639</v>
      </c>
      <c r="H219" s="213" t="s">
        <v>3639</v>
      </c>
      <c r="I219" s="213" t="s">
        <v>3639</v>
      </c>
      <c r="J219" s="201">
        <f>COUNTIFS('TURMAS 2015.2'!U:U,A219)</f>
        <v>0</v>
      </c>
      <c r="K219" s="201">
        <f>SUMIFS('TURMAS 2015.2'!J:J,'TURMAS 2015.2'!U:U,A219)</f>
        <v>0</v>
      </c>
      <c r="L219" s="201">
        <f>COUNTIF('TURMAS 2015.2'!X:X,A219)</f>
        <v>0</v>
      </c>
      <c r="M219" s="201">
        <f>SUMIFS('TURMAS 2015.2'!K:K,'TURMAS 2015.2'!X:X,A219)</f>
        <v>0</v>
      </c>
      <c r="N219" s="201">
        <f t="shared" si="3"/>
        <v>0</v>
      </c>
      <c r="O219" s="214"/>
      <c r="P219" s="152">
        <v>0</v>
      </c>
      <c r="Q219" s="152">
        <v>0</v>
      </c>
      <c r="R219" s="152">
        <v>1</v>
      </c>
      <c r="S219" s="152">
        <v>208</v>
      </c>
    </row>
    <row r="220" spans="1:19" s="52" customFormat="1" ht="16.5" customHeight="1">
      <c r="A220" s="211">
        <v>209</v>
      </c>
      <c r="B220" s="212" t="s">
        <v>3885</v>
      </c>
      <c r="C220" s="211">
        <v>1765453</v>
      </c>
      <c r="D220" s="212" t="s">
        <v>3610</v>
      </c>
      <c r="E220" s="152" t="s">
        <v>3618</v>
      </c>
      <c r="F220" s="152" t="s">
        <v>3624</v>
      </c>
      <c r="G220" s="178" t="s">
        <v>3639</v>
      </c>
      <c r="H220" s="213" t="s">
        <v>3639</v>
      </c>
      <c r="I220" s="213" t="s">
        <v>3639</v>
      </c>
      <c r="J220" s="201">
        <f>COUNTIFS('TURMAS 2015.2'!U:U,A220)</f>
        <v>1</v>
      </c>
      <c r="K220" s="201">
        <f>SUMIFS('TURMAS 2015.2'!J:J,'TURMAS 2015.2'!U:U,A220)</f>
        <v>3</v>
      </c>
      <c r="L220" s="201">
        <f>COUNTIF('TURMAS 2015.2'!X:X,A220)</f>
        <v>2</v>
      </c>
      <c r="M220" s="201">
        <f>SUMIFS('TURMAS 2015.2'!K:K,'TURMAS 2015.2'!X:X,A220)</f>
        <v>2</v>
      </c>
      <c r="N220" s="201">
        <f t="shared" si="3"/>
        <v>5</v>
      </c>
      <c r="O220" s="214"/>
      <c r="P220" s="152">
        <v>0</v>
      </c>
      <c r="Q220" s="152">
        <v>0</v>
      </c>
      <c r="R220" s="152">
        <v>1</v>
      </c>
      <c r="S220" s="152">
        <v>209</v>
      </c>
    </row>
    <row r="221" spans="1:19" s="52" customFormat="1" ht="16.5" customHeight="1">
      <c r="A221" s="211">
        <v>210</v>
      </c>
      <c r="B221" s="212" t="s">
        <v>3886</v>
      </c>
      <c r="C221" s="211">
        <v>1675707</v>
      </c>
      <c r="D221" s="212" t="s">
        <v>3610</v>
      </c>
      <c r="E221" s="152" t="s">
        <v>3643</v>
      </c>
      <c r="F221" s="152" t="s">
        <v>3624</v>
      </c>
      <c r="G221" s="178" t="s">
        <v>3639</v>
      </c>
      <c r="H221" s="213" t="s">
        <v>3639</v>
      </c>
      <c r="I221" s="213" t="s">
        <v>3639</v>
      </c>
      <c r="J221" s="201">
        <f>COUNTIFS('TURMAS 2015.2'!U:U,A221)</f>
        <v>0</v>
      </c>
      <c r="K221" s="201">
        <f>SUMIFS('TURMAS 2015.2'!J:J,'TURMAS 2015.2'!U:U,A221)</f>
        <v>0</v>
      </c>
      <c r="L221" s="201">
        <f>COUNTIF('TURMAS 2015.2'!X:X,A221)</f>
        <v>0</v>
      </c>
      <c r="M221" s="201">
        <f>SUMIFS('TURMAS 2015.2'!K:K,'TURMAS 2015.2'!X:X,A221)</f>
        <v>0</v>
      </c>
      <c r="N221" s="201">
        <f t="shared" si="3"/>
        <v>0</v>
      </c>
      <c r="O221" s="214"/>
      <c r="P221" s="152">
        <v>0</v>
      </c>
      <c r="Q221" s="152">
        <v>0</v>
      </c>
      <c r="R221" s="152">
        <v>1</v>
      </c>
      <c r="S221" s="152">
        <v>210</v>
      </c>
    </row>
    <row r="222" spans="1:19" s="52" customFormat="1" ht="16.5" customHeight="1">
      <c r="A222" s="211">
        <v>211</v>
      </c>
      <c r="B222" s="212" t="s">
        <v>3887</v>
      </c>
      <c r="C222" s="211">
        <v>2048219</v>
      </c>
      <c r="D222" s="212" t="s">
        <v>3653</v>
      </c>
      <c r="E222" s="152" t="s">
        <v>3643</v>
      </c>
      <c r="F222" s="152" t="s">
        <v>3624</v>
      </c>
      <c r="G222" s="178" t="s">
        <v>3639</v>
      </c>
      <c r="H222" s="213" t="s">
        <v>3639</v>
      </c>
      <c r="I222" s="213" t="s">
        <v>3639</v>
      </c>
      <c r="J222" s="201">
        <f>COUNTIFS('TURMAS 2015.2'!U:U,A222)</f>
        <v>0</v>
      </c>
      <c r="K222" s="201">
        <f>SUMIFS('TURMAS 2015.2'!J:J,'TURMAS 2015.2'!U:U,A222)</f>
        <v>0</v>
      </c>
      <c r="L222" s="201">
        <f>COUNTIF('TURMAS 2015.2'!X:X,A222)</f>
        <v>0</v>
      </c>
      <c r="M222" s="201">
        <f>SUMIFS('TURMAS 2015.2'!K:K,'TURMAS 2015.2'!X:X,A222)</f>
        <v>0</v>
      </c>
      <c r="N222" s="201">
        <f t="shared" si="3"/>
        <v>0</v>
      </c>
      <c r="O222" s="214"/>
      <c r="P222" s="152">
        <v>0</v>
      </c>
      <c r="Q222" s="152">
        <v>0</v>
      </c>
      <c r="R222" s="152">
        <v>1</v>
      </c>
      <c r="S222" s="152">
        <v>211</v>
      </c>
    </row>
    <row r="223" spans="1:19" s="52" customFormat="1" ht="16.5" customHeight="1">
      <c r="A223" s="211">
        <v>212</v>
      </c>
      <c r="B223" s="212" t="s">
        <v>3888</v>
      </c>
      <c r="C223" s="211">
        <v>1957561</v>
      </c>
      <c r="D223" s="212" t="s">
        <v>3635</v>
      </c>
      <c r="E223" s="152" t="s">
        <v>3618</v>
      </c>
      <c r="F223" s="152" t="s">
        <v>3624</v>
      </c>
      <c r="G223" s="178" t="s">
        <v>3639</v>
      </c>
      <c r="H223" s="213" t="s">
        <v>3639</v>
      </c>
      <c r="I223" s="213" t="s">
        <v>3639</v>
      </c>
      <c r="J223" s="201">
        <f>COUNTIFS('TURMAS 2015.2'!U:U,A223)</f>
        <v>2</v>
      </c>
      <c r="K223" s="201">
        <f>SUMIFS('TURMAS 2015.2'!J:J,'TURMAS 2015.2'!U:U,A223)</f>
        <v>8</v>
      </c>
      <c r="L223" s="201">
        <f>COUNTIF('TURMAS 2015.2'!X:X,A223)</f>
        <v>0</v>
      </c>
      <c r="M223" s="201">
        <f>SUMIFS('TURMAS 2015.2'!K:K,'TURMAS 2015.2'!X:X,A223)</f>
        <v>0</v>
      </c>
      <c r="N223" s="201">
        <f t="shared" si="3"/>
        <v>8</v>
      </c>
      <c r="O223" s="214"/>
      <c r="P223" s="152" t="s">
        <v>3889</v>
      </c>
      <c r="Q223" s="152">
        <v>0.5</v>
      </c>
      <c r="R223" s="152">
        <v>0.5</v>
      </c>
      <c r="S223" s="152">
        <v>212</v>
      </c>
    </row>
    <row r="224" spans="1:19" s="52" customFormat="1" ht="16.5" customHeight="1">
      <c r="A224" s="211">
        <v>213</v>
      </c>
      <c r="B224" s="212" t="s">
        <v>3890</v>
      </c>
      <c r="C224" s="211">
        <v>1838765</v>
      </c>
      <c r="D224" s="212" t="s">
        <v>3617</v>
      </c>
      <c r="E224" s="152" t="s">
        <v>3618</v>
      </c>
      <c r="F224" s="152" t="s">
        <v>3624</v>
      </c>
      <c r="G224" s="178" t="s">
        <v>3639</v>
      </c>
      <c r="H224" s="213" t="s">
        <v>3639</v>
      </c>
      <c r="I224" s="213" t="s">
        <v>3639</v>
      </c>
      <c r="J224" s="201">
        <f>COUNTIFS('TURMAS 2015.2'!U:U,A224)</f>
        <v>2</v>
      </c>
      <c r="K224" s="201">
        <f>SUMIFS('TURMAS 2015.2'!J:J,'TURMAS 2015.2'!U:U,A224)</f>
        <v>6</v>
      </c>
      <c r="L224" s="201">
        <f>COUNTIF('TURMAS 2015.2'!X:X,A224)</f>
        <v>3</v>
      </c>
      <c r="M224" s="201">
        <f>SUMIFS('TURMAS 2015.2'!K:K,'TURMAS 2015.2'!X:X,A224)</f>
        <v>5</v>
      </c>
      <c r="N224" s="201">
        <f t="shared" si="3"/>
        <v>11</v>
      </c>
      <c r="O224" s="214"/>
      <c r="P224" s="152">
        <v>0</v>
      </c>
      <c r="Q224" s="152">
        <v>0</v>
      </c>
      <c r="R224" s="152">
        <v>1</v>
      </c>
      <c r="S224" s="152">
        <v>213</v>
      </c>
    </row>
    <row r="225" spans="1:19" s="52" customFormat="1" ht="16.5" customHeight="1">
      <c r="A225" s="211">
        <v>214</v>
      </c>
      <c r="B225" s="212" t="s">
        <v>3891</v>
      </c>
      <c r="C225" s="211">
        <v>1549709</v>
      </c>
      <c r="D225" s="212" t="s">
        <v>3621</v>
      </c>
      <c r="E225" s="152" t="s">
        <v>3643</v>
      </c>
      <c r="F225" s="152" t="s">
        <v>3624</v>
      </c>
      <c r="G225" s="178" t="s">
        <v>3639</v>
      </c>
      <c r="H225" s="213" t="s">
        <v>3639</v>
      </c>
      <c r="I225" s="213" t="s">
        <v>3639</v>
      </c>
      <c r="J225" s="201">
        <f>COUNTIFS('TURMAS 2015.2'!U:U,A225)</f>
        <v>1</v>
      </c>
      <c r="K225" s="201">
        <f>SUMIFS('TURMAS 2015.2'!J:J,'TURMAS 2015.2'!U:U,A225)</f>
        <v>4</v>
      </c>
      <c r="L225" s="201">
        <f>COUNTIF('TURMAS 2015.2'!X:X,A225)</f>
        <v>0</v>
      </c>
      <c r="M225" s="201">
        <f>SUMIFS('TURMAS 2015.2'!K:K,'TURMAS 2015.2'!X:X,A225)</f>
        <v>0</v>
      </c>
      <c r="N225" s="201">
        <f t="shared" si="3"/>
        <v>4</v>
      </c>
      <c r="O225" s="214"/>
      <c r="P225" s="152">
        <v>0</v>
      </c>
      <c r="Q225" s="152">
        <v>0</v>
      </c>
      <c r="R225" s="152">
        <v>1</v>
      </c>
      <c r="S225" s="152">
        <v>214</v>
      </c>
    </row>
    <row r="226" spans="1:19" s="52" customFormat="1" ht="16.5" customHeight="1">
      <c r="A226" s="211">
        <v>215</v>
      </c>
      <c r="B226" s="212" t="s">
        <v>3892</v>
      </c>
      <c r="C226" s="211">
        <v>1730523</v>
      </c>
      <c r="D226" s="212" t="s">
        <v>3635</v>
      </c>
      <c r="E226" s="152" t="s">
        <v>3618</v>
      </c>
      <c r="F226" s="152" t="s">
        <v>3624</v>
      </c>
      <c r="G226" s="178" t="s">
        <v>3639</v>
      </c>
      <c r="H226" s="213" t="s">
        <v>3639</v>
      </c>
      <c r="I226" s="213" t="s">
        <v>3639</v>
      </c>
      <c r="J226" s="201">
        <f>COUNTIFS('TURMAS 2015.2'!U:U,A226)</f>
        <v>1</v>
      </c>
      <c r="K226" s="201">
        <f>SUMIFS('TURMAS 2015.2'!J:J,'TURMAS 2015.2'!U:U,A226)</f>
        <v>3</v>
      </c>
      <c r="L226" s="201">
        <f>COUNTIF('TURMAS 2015.2'!X:X,A226)</f>
        <v>2</v>
      </c>
      <c r="M226" s="201">
        <f>SUMIFS('TURMAS 2015.2'!K:K,'TURMAS 2015.2'!X:X,A226)</f>
        <v>4</v>
      </c>
      <c r="N226" s="201">
        <f t="shared" si="3"/>
        <v>7</v>
      </c>
      <c r="O226" s="214"/>
      <c r="P226" s="152">
        <v>0</v>
      </c>
      <c r="Q226" s="152">
        <v>0</v>
      </c>
      <c r="R226" s="152">
        <v>1</v>
      </c>
      <c r="S226" s="152">
        <v>215</v>
      </c>
    </row>
    <row r="227" spans="1:19" s="52" customFormat="1" ht="16.5" customHeight="1">
      <c r="A227" s="211">
        <v>216</v>
      </c>
      <c r="B227" s="212" t="s">
        <v>3893</v>
      </c>
      <c r="C227" s="211">
        <v>1998461</v>
      </c>
      <c r="D227" s="212" t="s">
        <v>3617</v>
      </c>
      <c r="E227" s="152" t="s">
        <v>3618</v>
      </c>
      <c r="F227" s="152" t="s">
        <v>3624</v>
      </c>
      <c r="G227" s="178" t="s">
        <v>3639</v>
      </c>
      <c r="H227" s="213" t="s">
        <v>3639</v>
      </c>
      <c r="I227" s="213" t="s">
        <v>3639</v>
      </c>
      <c r="J227" s="201">
        <f>COUNTIFS('TURMAS 2015.2'!U:U,A227)</f>
        <v>0</v>
      </c>
      <c r="K227" s="201">
        <f>SUMIFS('TURMAS 2015.2'!J:J,'TURMAS 2015.2'!U:U,A227)</f>
        <v>0</v>
      </c>
      <c r="L227" s="201">
        <f>COUNTIF('TURMAS 2015.2'!X:X,A227)</f>
        <v>0</v>
      </c>
      <c r="M227" s="201">
        <f>SUMIFS('TURMAS 2015.2'!K:K,'TURMAS 2015.2'!X:X,A227)</f>
        <v>0</v>
      </c>
      <c r="N227" s="201">
        <f t="shared" si="3"/>
        <v>0</v>
      </c>
      <c r="O227" s="214"/>
      <c r="P227" s="152">
        <v>0</v>
      </c>
      <c r="Q227" s="152">
        <v>0</v>
      </c>
      <c r="R227" s="152">
        <v>1</v>
      </c>
      <c r="S227" s="152">
        <v>216</v>
      </c>
    </row>
    <row r="228" spans="1:19" s="52" customFormat="1" ht="16.5" customHeight="1">
      <c r="A228" s="211">
        <v>217</v>
      </c>
      <c r="B228" s="212" t="s">
        <v>3894</v>
      </c>
      <c r="C228" s="211">
        <v>1961809</v>
      </c>
      <c r="D228" s="212" t="s">
        <v>3617</v>
      </c>
      <c r="E228" s="152" t="s">
        <v>3618</v>
      </c>
      <c r="F228" s="152" t="s">
        <v>3624</v>
      </c>
      <c r="G228" s="178" t="s">
        <v>3639</v>
      </c>
      <c r="H228" s="213" t="s">
        <v>3639</v>
      </c>
      <c r="I228" s="213" t="s">
        <v>3639</v>
      </c>
      <c r="J228" s="201">
        <f>COUNTIFS('TURMAS 2015.2'!U:U,A228)</f>
        <v>2</v>
      </c>
      <c r="K228" s="201">
        <f>SUMIFS('TURMAS 2015.2'!J:J,'TURMAS 2015.2'!U:U,A228)</f>
        <v>8</v>
      </c>
      <c r="L228" s="201">
        <f>COUNTIF('TURMAS 2015.2'!X:X,A228)</f>
        <v>0</v>
      </c>
      <c r="M228" s="201">
        <f>SUMIFS('TURMAS 2015.2'!K:K,'TURMAS 2015.2'!X:X,A228)</f>
        <v>0</v>
      </c>
      <c r="N228" s="201">
        <f t="shared" si="3"/>
        <v>8</v>
      </c>
      <c r="O228" s="214"/>
      <c r="P228" s="152">
        <v>0</v>
      </c>
      <c r="Q228" s="152">
        <v>0</v>
      </c>
      <c r="R228" s="152">
        <v>1</v>
      </c>
      <c r="S228" s="152">
        <v>217</v>
      </c>
    </row>
    <row r="229" spans="1:19" s="52" customFormat="1" ht="16.5" customHeight="1">
      <c r="A229" s="211">
        <v>218</v>
      </c>
      <c r="B229" s="212" t="s">
        <v>3895</v>
      </c>
      <c r="C229" s="211">
        <v>1548098</v>
      </c>
      <c r="D229" s="212" t="s">
        <v>3621</v>
      </c>
      <c r="E229" s="152" t="s">
        <v>3618</v>
      </c>
      <c r="F229" s="152" t="s">
        <v>3624</v>
      </c>
      <c r="G229" s="178" t="s">
        <v>3639</v>
      </c>
      <c r="H229" s="213" t="s">
        <v>3639</v>
      </c>
      <c r="I229" s="213" t="s">
        <v>3639</v>
      </c>
      <c r="J229" s="201">
        <f>COUNTIFS('TURMAS 2015.2'!U:U,A229)</f>
        <v>0</v>
      </c>
      <c r="K229" s="201">
        <f>SUMIFS('TURMAS 2015.2'!J:J,'TURMAS 2015.2'!U:U,A229)</f>
        <v>0</v>
      </c>
      <c r="L229" s="201">
        <f>COUNTIF('TURMAS 2015.2'!X:X,A229)</f>
        <v>0</v>
      </c>
      <c r="M229" s="201">
        <f>SUMIFS('TURMAS 2015.2'!K:K,'TURMAS 2015.2'!X:X,A229)</f>
        <v>0</v>
      </c>
      <c r="N229" s="201">
        <f t="shared" si="3"/>
        <v>0</v>
      </c>
      <c r="O229" s="214"/>
      <c r="P229" s="152" t="s">
        <v>3896</v>
      </c>
      <c r="Q229" s="152">
        <v>0.5</v>
      </c>
      <c r="R229" s="152">
        <v>0.5</v>
      </c>
      <c r="S229" s="152">
        <v>218</v>
      </c>
    </row>
    <row r="230" spans="1:19" s="52" customFormat="1" ht="16.5" customHeight="1">
      <c r="A230" s="211">
        <v>219</v>
      </c>
      <c r="B230" s="212" t="s">
        <v>3897</v>
      </c>
      <c r="C230" s="211">
        <v>1763421</v>
      </c>
      <c r="D230" s="212" t="s">
        <v>3617</v>
      </c>
      <c r="E230" s="152" t="s">
        <v>3618</v>
      </c>
      <c r="F230" s="152" t="s">
        <v>3624</v>
      </c>
      <c r="G230" s="178" t="s">
        <v>3639</v>
      </c>
      <c r="H230" s="213" t="s">
        <v>3639</v>
      </c>
      <c r="I230" s="213" t="s">
        <v>3639</v>
      </c>
      <c r="J230" s="201">
        <f>COUNTIFS('TURMAS 2015.2'!U:U,A230)</f>
        <v>1</v>
      </c>
      <c r="K230" s="201">
        <f>SUMIFS('TURMAS 2015.2'!J:J,'TURMAS 2015.2'!U:U,A230)</f>
        <v>2</v>
      </c>
      <c r="L230" s="201">
        <f>COUNTIF('TURMAS 2015.2'!X:X,A230)</f>
        <v>1</v>
      </c>
      <c r="M230" s="201">
        <f>SUMIFS('TURMAS 2015.2'!K:K,'TURMAS 2015.2'!X:X,A230)</f>
        <v>2</v>
      </c>
      <c r="N230" s="201">
        <f t="shared" si="3"/>
        <v>4</v>
      </c>
      <c r="O230" s="214"/>
      <c r="P230" s="152">
        <v>0</v>
      </c>
      <c r="Q230" s="152">
        <v>0</v>
      </c>
      <c r="R230" s="152">
        <v>1</v>
      </c>
      <c r="S230" s="152">
        <v>219</v>
      </c>
    </row>
    <row r="231" spans="1:19" s="52" customFormat="1" ht="16.5" customHeight="1">
      <c r="A231" s="211">
        <v>220</v>
      </c>
      <c r="B231" s="212" t="s">
        <v>3898</v>
      </c>
      <c r="C231" s="211">
        <v>1453189</v>
      </c>
      <c r="D231" s="212" t="s">
        <v>3610</v>
      </c>
      <c r="E231" s="152" t="s">
        <v>3618</v>
      </c>
      <c r="F231" s="152" t="s">
        <v>3624</v>
      </c>
      <c r="G231" s="178" t="s">
        <v>3639</v>
      </c>
      <c r="H231" s="213" t="s">
        <v>3639</v>
      </c>
      <c r="I231" s="213" t="s">
        <v>3639</v>
      </c>
      <c r="J231" s="201">
        <f>COUNTIFS('TURMAS 2015.2'!U:U,A231)</f>
        <v>2</v>
      </c>
      <c r="K231" s="201">
        <f>SUMIFS('TURMAS 2015.2'!J:J,'TURMAS 2015.2'!U:U,A231)</f>
        <v>7</v>
      </c>
      <c r="L231" s="201">
        <f>COUNTIF('TURMAS 2015.2'!X:X,A231)</f>
        <v>0</v>
      </c>
      <c r="M231" s="201">
        <f>SUMIFS('TURMAS 2015.2'!K:K,'TURMAS 2015.2'!X:X,A231)</f>
        <v>0</v>
      </c>
      <c r="N231" s="201">
        <f t="shared" si="3"/>
        <v>7</v>
      </c>
      <c r="O231" s="214"/>
      <c r="P231" s="152" t="s">
        <v>3899</v>
      </c>
      <c r="Q231" s="152">
        <v>0.5</v>
      </c>
      <c r="R231" s="152">
        <v>0.5</v>
      </c>
      <c r="S231" s="152">
        <v>220</v>
      </c>
    </row>
    <row r="232" spans="1:19" s="52" customFormat="1" ht="16.5" customHeight="1">
      <c r="A232" s="211">
        <v>221</v>
      </c>
      <c r="B232" s="212" t="s">
        <v>3900</v>
      </c>
      <c r="C232" s="211">
        <v>1199657</v>
      </c>
      <c r="D232" s="212" t="s">
        <v>3751</v>
      </c>
      <c r="E232" s="152" t="s">
        <v>3611</v>
      </c>
      <c r="F232" s="152" t="s">
        <v>3624</v>
      </c>
      <c r="G232" s="178" t="s">
        <v>3639</v>
      </c>
      <c r="H232" s="213" t="s">
        <v>3639</v>
      </c>
      <c r="I232" s="213" t="s">
        <v>3639</v>
      </c>
      <c r="J232" s="201">
        <f>COUNTIFS('TURMAS 2015.2'!U:U,A232)</f>
        <v>1</v>
      </c>
      <c r="K232" s="201">
        <f>SUMIFS('TURMAS 2015.2'!J:J,'TURMAS 2015.2'!U:U,A232)</f>
        <v>4</v>
      </c>
      <c r="L232" s="201">
        <f>COUNTIF('TURMAS 2015.2'!X:X,A232)</f>
        <v>0</v>
      </c>
      <c r="M232" s="201">
        <f>SUMIFS('TURMAS 2015.2'!K:K,'TURMAS 2015.2'!X:X,A232)</f>
        <v>0</v>
      </c>
      <c r="N232" s="201">
        <f t="shared" si="3"/>
        <v>4</v>
      </c>
      <c r="O232" s="214"/>
      <c r="P232" s="152">
        <v>0</v>
      </c>
      <c r="Q232" s="152">
        <v>0</v>
      </c>
      <c r="R232" s="152">
        <v>1</v>
      </c>
      <c r="S232" s="152">
        <v>221</v>
      </c>
    </row>
    <row r="233" spans="1:19" s="52" customFormat="1" ht="16.5" customHeight="1">
      <c r="A233" s="211">
        <v>222</v>
      </c>
      <c r="B233" s="212" t="s">
        <v>3901</v>
      </c>
      <c r="C233" s="211">
        <v>1544365</v>
      </c>
      <c r="D233" s="212" t="s">
        <v>3621</v>
      </c>
      <c r="E233" s="152" t="s">
        <v>3643</v>
      </c>
      <c r="F233" s="152" t="s">
        <v>3624</v>
      </c>
      <c r="G233" s="178" t="s">
        <v>3639</v>
      </c>
      <c r="H233" s="213" t="s">
        <v>3639</v>
      </c>
      <c r="I233" s="213" t="s">
        <v>3639</v>
      </c>
      <c r="J233" s="201">
        <f>COUNTIFS('TURMAS 2015.2'!U:U,A233)</f>
        <v>0</v>
      </c>
      <c r="K233" s="201">
        <f>SUMIFS('TURMAS 2015.2'!J:J,'TURMAS 2015.2'!U:U,A233)</f>
        <v>0</v>
      </c>
      <c r="L233" s="201">
        <f>COUNTIF('TURMAS 2015.2'!X:X,A233)</f>
        <v>0</v>
      </c>
      <c r="M233" s="201">
        <f>SUMIFS('TURMAS 2015.2'!K:K,'TURMAS 2015.2'!X:X,A233)</f>
        <v>0</v>
      </c>
      <c r="N233" s="201">
        <f t="shared" si="3"/>
        <v>0</v>
      </c>
      <c r="O233" s="214"/>
      <c r="P233" s="152" t="s">
        <v>3902</v>
      </c>
      <c r="Q233" s="152">
        <v>0.3</v>
      </c>
      <c r="R233" s="152">
        <v>0.7</v>
      </c>
      <c r="S233" s="152">
        <v>222</v>
      </c>
    </row>
    <row r="234" spans="1:19" s="52" customFormat="1" ht="16.5" customHeight="1">
      <c r="A234" s="211">
        <v>223</v>
      </c>
      <c r="B234" s="215" t="s">
        <v>3903</v>
      </c>
      <c r="C234" s="211">
        <v>2188756</v>
      </c>
      <c r="D234" s="211"/>
      <c r="E234" s="152" t="s">
        <v>3618</v>
      </c>
      <c r="F234" s="152" t="s">
        <v>3624</v>
      </c>
      <c r="G234" s="178"/>
      <c r="H234" s="213"/>
      <c r="I234" s="213"/>
      <c r="J234" s="201">
        <f>COUNTIFS('TURMAS 2015.2'!U:U,A234)</f>
        <v>0</v>
      </c>
      <c r="K234" s="201">
        <f>SUMIFS('TURMAS 2015.2'!J:J,'TURMAS 2015.2'!U:U,A234)</f>
        <v>0</v>
      </c>
      <c r="L234" s="201">
        <f>COUNTIF('TURMAS 2015.2'!X:X,A234)</f>
        <v>0</v>
      </c>
      <c r="M234" s="201">
        <f>SUMIFS('TURMAS 2015.2'!K:K,'TURMAS 2015.2'!X:X,A234)</f>
        <v>0</v>
      </c>
      <c r="N234" s="201">
        <f t="shared" si="3"/>
        <v>0</v>
      </c>
      <c r="O234" s="214"/>
      <c r="P234" s="152"/>
      <c r="Q234" s="152"/>
      <c r="R234" s="152"/>
      <c r="S234" s="152">
        <v>223</v>
      </c>
    </row>
    <row r="235" spans="1:19" s="52" customFormat="1" ht="16.5" customHeight="1">
      <c r="A235" s="211">
        <v>224</v>
      </c>
      <c r="B235" s="212" t="s">
        <v>3904</v>
      </c>
      <c r="C235" s="211">
        <v>1690814</v>
      </c>
      <c r="D235" s="212" t="s">
        <v>3653</v>
      </c>
      <c r="E235" s="152" t="s">
        <v>3643</v>
      </c>
      <c r="F235" s="152" t="s">
        <v>3624</v>
      </c>
      <c r="G235" s="178" t="s">
        <v>3639</v>
      </c>
      <c r="H235" s="213" t="s">
        <v>3639</v>
      </c>
      <c r="I235" s="213" t="s">
        <v>3639</v>
      </c>
      <c r="J235" s="201">
        <f>COUNTIFS('TURMAS 2015.2'!U:U,A235)</f>
        <v>1</v>
      </c>
      <c r="K235" s="201">
        <f>SUMIFS('TURMAS 2015.2'!J:J,'TURMAS 2015.2'!U:U,A235)</f>
        <v>4</v>
      </c>
      <c r="L235" s="201">
        <f>COUNTIF('TURMAS 2015.2'!X:X,A235)</f>
        <v>0</v>
      </c>
      <c r="M235" s="201">
        <f>SUMIFS('TURMAS 2015.2'!K:K,'TURMAS 2015.2'!X:X,A235)</f>
        <v>0</v>
      </c>
      <c r="N235" s="201">
        <f t="shared" si="3"/>
        <v>4</v>
      </c>
      <c r="O235" s="214"/>
      <c r="P235" s="152">
        <v>0</v>
      </c>
      <c r="Q235" s="152">
        <v>0</v>
      </c>
      <c r="R235" s="152">
        <v>1</v>
      </c>
      <c r="S235" s="152">
        <v>224</v>
      </c>
    </row>
    <row r="236" spans="1:19" s="52" customFormat="1" ht="16.5" customHeight="1">
      <c r="A236" s="211">
        <v>225</v>
      </c>
      <c r="B236" s="212" t="s">
        <v>3905</v>
      </c>
      <c r="C236" s="211">
        <v>2115523</v>
      </c>
      <c r="D236" s="212" t="s">
        <v>3653</v>
      </c>
      <c r="E236" s="152" t="s">
        <v>3618</v>
      </c>
      <c r="F236" s="152" t="s">
        <v>3624</v>
      </c>
      <c r="G236" s="178" t="s">
        <v>3639</v>
      </c>
      <c r="H236" s="213" t="s">
        <v>3639</v>
      </c>
      <c r="I236" s="213" t="s">
        <v>3639</v>
      </c>
      <c r="J236" s="201">
        <f>COUNTIFS('TURMAS 2015.2'!U:U,A236)</f>
        <v>1</v>
      </c>
      <c r="K236" s="201">
        <f>SUMIFS('TURMAS 2015.2'!J:J,'TURMAS 2015.2'!U:U,A236)</f>
        <v>3</v>
      </c>
      <c r="L236" s="201">
        <f>COUNTIF('TURMAS 2015.2'!X:X,A236)</f>
        <v>0</v>
      </c>
      <c r="M236" s="201">
        <f>SUMIFS('TURMAS 2015.2'!K:K,'TURMAS 2015.2'!X:X,A236)</f>
        <v>0</v>
      </c>
      <c r="N236" s="201">
        <f t="shared" si="3"/>
        <v>3</v>
      </c>
      <c r="O236" s="214"/>
      <c r="P236" s="152">
        <v>0</v>
      </c>
      <c r="Q236" s="152">
        <v>0</v>
      </c>
      <c r="R236" s="152">
        <v>1</v>
      </c>
      <c r="S236" s="152">
        <v>225</v>
      </c>
    </row>
    <row r="237" spans="1:19" s="52" customFormat="1" ht="16.5" customHeight="1">
      <c r="A237" s="211">
        <v>226</v>
      </c>
      <c r="B237" s="212" t="s">
        <v>3906</v>
      </c>
      <c r="C237" s="211">
        <v>1607193</v>
      </c>
      <c r="D237" s="212" t="s">
        <v>3647</v>
      </c>
      <c r="E237" s="152" t="s">
        <v>3611</v>
      </c>
      <c r="F237" s="152" t="s">
        <v>3624</v>
      </c>
      <c r="G237" s="178" t="s">
        <v>3639</v>
      </c>
      <c r="H237" s="213" t="s">
        <v>3639</v>
      </c>
      <c r="I237" s="213" t="s">
        <v>3639</v>
      </c>
      <c r="J237" s="201">
        <f>COUNTIFS('TURMAS 2015.2'!U:U,A237)</f>
        <v>2</v>
      </c>
      <c r="K237" s="201">
        <f>SUMIFS('TURMAS 2015.2'!J:J,'TURMAS 2015.2'!U:U,A237)</f>
        <v>8</v>
      </c>
      <c r="L237" s="201">
        <f>COUNTIF('TURMAS 2015.2'!X:X,A237)</f>
        <v>0</v>
      </c>
      <c r="M237" s="201">
        <f>SUMIFS('TURMAS 2015.2'!K:K,'TURMAS 2015.2'!X:X,A237)</f>
        <v>0</v>
      </c>
      <c r="N237" s="201">
        <f t="shared" si="3"/>
        <v>8</v>
      </c>
      <c r="O237" s="214"/>
      <c r="P237" s="152">
        <v>0</v>
      </c>
      <c r="Q237" s="152">
        <v>0</v>
      </c>
      <c r="R237" s="152">
        <v>1</v>
      </c>
      <c r="S237" s="152">
        <v>226</v>
      </c>
    </row>
    <row r="238" spans="1:19" s="52" customFormat="1" ht="16.5" customHeight="1">
      <c r="A238" s="211">
        <v>227</v>
      </c>
      <c r="B238" s="212" t="s">
        <v>3907</v>
      </c>
      <c r="C238" s="211">
        <v>1753382</v>
      </c>
      <c r="D238" s="212" t="s">
        <v>3610</v>
      </c>
      <c r="E238" s="152" t="s">
        <v>3643</v>
      </c>
      <c r="F238" s="152" t="s">
        <v>3624</v>
      </c>
      <c r="G238" s="178" t="s">
        <v>3639</v>
      </c>
      <c r="H238" s="213" t="s">
        <v>3639</v>
      </c>
      <c r="I238" s="213" t="s">
        <v>3639</v>
      </c>
      <c r="J238" s="201">
        <f>COUNTIFS('TURMAS 2015.2'!U:U,A238)</f>
        <v>0</v>
      </c>
      <c r="K238" s="201">
        <f>SUMIFS('TURMAS 2015.2'!J:J,'TURMAS 2015.2'!U:U,A238)</f>
        <v>0</v>
      </c>
      <c r="L238" s="201">
        <f>COUNTIF('TURMAS 2015.2'!X:X,A238)</f>
        <v>0</v>
      </c>
      <c r="M238" s="201">
        <f>SUMIFS('TURMAS 2015.2'!K:K,'TURMAS 2015.2'!X:X,A238)</f>
        <v>0</v>
      </c>
      <c r="N238" s="201">
        <f t="shared" si="3"/>
        <v>0</v>
      </c>
      <c r="O238" s="214"/>
      <c r="P238" s="152">
        <v>0</v>
      </c>
      <c r="Q238" s="152">
        <v>0</v>
      </c>
      <c r="R238" s="152">
        <v>1</v>
      </c>
      <c r="S238" s="152">
        <v>227</v>
      </c>
    </row>
    <row r="239" spans="1:19" s="52" customFormat="1" ht="16.5" customHeight="1">
      <c r="A239" s="211">
        <v>228</v>
      </c>
      <c r="B239" s="212" t="s">
        <v>3908</v>
      </c>
      <c r="C239" s="211">
        <v>1760419</v>
      </c>
      <c r="D239" s="212" t="s">
        <v>3610</v>
      </c>
      <c r="E239" s="152" t="s">
        <v>3618</v>
      </c>
      <c r="F239" s="152" t="s">
        <v>3624</v>
      </c>
      <c r="G239" s="178" t="s">
        <v>3639</v>
      </c>
      <c r="H239" s="213" t="s">
        <v>3639</v>
      </c>
      <c r="I239" s="213" t="s">
        <v>3639</v>
      </c>
      <c r="J239" s="201">
        <f>COUNTIFS('TURMAS 2015.2'!U:U,A239)</f>
        <v>2</v>
      </c>
      <c r="K239" s="201">
        <f>SUMIFS('TURMAS 2015.2'!J:J,'TURMAS 2015.2'!U:U,A239)</f>
        <v>6</v>
      </c>
      <c r="L239" s="201">
        <f>COUNTIF('TURMAS 2015.2'!X:X,A239)</f>
        <v>2</v>
      </c>
      <c r="M239" s="201">
        <f>SUMIFS('TURMAS 2015.2'!K:K,'TURMAS 2015.2'!X:X,A239)</f>
        <v>2</v>
      </c>
      <c r="N239" s="201">
        <f t="shared" si="3"/>
        <v>8</v>
      </c>
      <c r="O239" s="214"/>
      <c r="P239" s="152">
        <v>0</v>
      </c>
      <c r="Q239" s="152">
        <v>0</v>
      </c>
      <c r="R239" s="152">
        <v>1</v>
      </c>
      <c r="S239" s="152">
        <v>228</v>
      </c>
    </row>
    <row r="240" spans="1:19" s="52" customFormat="1" ht="16.5" customHeight="1">
      <c r="A240" s="211">
        <v>229</v>
      </c>
      <c r="B240" s="215" t="s">
        <v>3909</v>
      </c>
      <c r="C240" s="211">
        <v>2187305</v>
      </c>
      <c r="D240" s="211"/>
      <c r="E240" s="152" t="s">
        <v>3618</v>
      </c>
      <c r="F240" s="152" t="s">
        <v>3624</v>
      </c>
      <c r="G240" s="178"/>
      <c r="H240" s="213"/>
      <c r="I240" s="213"/>
      <c r="J240" s="201">
        <f>COUNTIFS('TURMAS 2015.2'!U:U,A240)</f>
        <v>2</v>
      </c>
      <c r="K240" s="201">
        <f>SUMIFS('TURMAS 2015.2'!J:J,'TURMAS 2015.2'!U:U,A240)</f>
        <v>6</v>
      </c>
      <c r="L240" s="201">
        <f>COUNTIF('TURMAS 2015.2'!X:X,A240)</f>
        <v>2</v>
      </c>
      <c r="M240" s="201">
        <f>SUMIFS('TURMAS 2015.2'!K:K,'TURMAS 2015.2'!X:X,A240)</f>
        <v>4</v>
      </c>
      <c r="N240" s="201">
        <f t="shared" si="3"/>
        <v>10</v>
      </c>
      <c r="O240" s="214"/>
      <c r="P240" s="152"/>
      <c r="Q240" s="152"/>
      <c r="R240" s="152"/>
      <c r="S240" s="152">
        <v>229</v>
      </c>
    </row>
    <row r="241" spans="1:19" s="52" customFormat="1" ht="16.5" customHeight="1">
      <c r="A241" s="211">
        <v>230</v>
      </c>
      <c r="B241" s="212" t="s">
        <v>3910</v>
      </c>
      <c r="C241" s="211">
        <v>1669156</v>
      </c>
      <c r="D241" s="212" t="s">
        <v>3610</v>
      </c>
      <c r="E241" s="152" t="s">
        <v>3643</v>
      </c>
      <c r="F241" s="152" t="s">
        <v>3624</v>
      </c>
      <c r="G241" s="178" t="s">
        <v>3639</v>
      </c>
      <c r="H241" s="213" t="s">
        <v>3639</v>
      </c>
      <c r="I241" s="213" t="s">
        <v>3639</v>
      </c>
      <c r="J241" s="201">
        <f>COUNTIFS('TURMAS 2015.2'!U:U,A241)</f>
        <v>0</v>
      </c>
      <c r="K241" s="201">
        <f>SUMIFS('TURMAS 2015.2'!J:J,'TURMAS 2015.2'!U:U,A241)</f>
        <v>0</v>
      </c>
      <c r="L241" s="201">
        <f>COUNTIF('TURMAS 2015.2'!X:X,A241)</f>
        <v>0</v>
      </c>
      <c r="M241" s="201">
        <f>SUMIFS('TURMAS 2015.2'!K:K,'TURMAS 2015.2'!X:X,A241)</f>
        <v>0</v>
      </c>
      <c r="N241" s="201">
        <f t="shared" si="3"/>
        <v>0</v>
      </c>
      <c r="O241" s="214"/>
      <c r="P241" s="152" t="s">
        <v>3911</v>
      </c>
      <c r="Q241" s="152">
        <v>0.3</v>
      </c>
      <c r="R241" s="152">
        <v>0.7</v>
      </c>
      <c r="S241" s="152">
        <v>230</v>
      </c>
    </row>
    <row r="242" spans="1:19" s="52" customFormat="1" ht="16.5" customHeight="1">
      <c r="A242" s="211">
        <v>231</v>
      </c>
      <c r="B242" s="212" t="s">
        <v>3912</v>
      </c>
      <c r="C242" s="211">
        <v>1763482</v>
      </c>
      <c r="D242" s="212" t="s">
        <v>3610</v>
      </c>
      <c r="E242" s="152" t="s">
        <v>3618</v>
      </c>
      <c r="F242" s="152" t="s">
        <v>3624</v>
      </c>
      <c r="G242" s="178" t="s">
        <v>3639</v>
      </c>
      <c r="H242" s="213" t="s">
        <v>3639</v>
      </c>
      <c r="I242" s="213" t="s">
        <v>3639</v>
      </c>
      <c r="J242" s="201">
        <f>COUNTIFS('TURMAS 2015.2'!U:U,A242)</f>
        <v>2</v>
      </c>
      <c r="K242" s="201">
        <f>SUMIFS('TURMAS 2015.2'!J:J,'TURMAS 2015.2'!U:U,A242)</f>
        <v>8</v>
      </c>
      <c r="L242" s="201">
        <f>COUNTIF('TURMAS 2015.2'!X:X,A242)</f>
        <v>2</v>
      </c>
      <c r="M242" s="201">
        <f>SUMIFS('TURMAS 2015.2'!K:K,'TURMAS 2015.2'!X:X,A242)</f>
        <v>0</v>
      </c>
      <c r="N242" s="201">
        <f t="shared" si="3"/>
        <v>8</v>
      </c>
      <c r="O242" s="214"/>
      <c r="P242" s="152">
        <v>0</v>
      </c>
      <c r="Q242" s="152">
        <v>0</v>
      </c>
      <c r="R242" s="152">
        <v>1</v>
      </c>
      <c r="S242" s="152">
        <v>231</v>
      </c>
    </row>
    <row r="243" spans="1:19" s="52" customFormat="1" ht="16.5" customHeight="1">
      <c r="A243" s="211">
        <v>232</v>
      </c>
      <c r="B243" s="212" t="s">
        <v>3913</v>
      </c>
      <c r="C243" s="211">
        <v>1545378</v>
      </c>
      <c r="D243" s="212" t="s">
        <v>3647</v>
      </c>
      <c r="E243" s="152" t="s">
        <v>3611</v>
      </c>
      <c r="F243" s="152" t="s">
        <v>3624</v>
      </c>
      <c r="G243" s="178" t="s">
        <v>3639</v>
      </c>
      <c r="H243" s="213" t="s">
        <v>3639</v>
      </c>
      <c r="I243" s="213" t="s">
        <v>3639</v>
      </c>
      <c r="J243" s="201">
        <f>COUNTIFS('TURMAS 2015.2'!U:U,A243)</f>
        <v>1</v>
      </c>
      <c r="K243" s="201">
        <f>SUMIFS('TURMAS 2015.2'!J:J,'TURMAS 2015.2'!U:U,A243)</f>
        <v>4</v>
      </c>
      <c r="L243" s="201">
        <f>COUNTIF('TURMAS 2015.2'!X:X,A243)</f>
        <v>4</v>
      </c>
      <c r="M243" s="201">
        <f>SUMIFS('TURMAS 2015.2'!K:K,'TURMAS 2015.2'!X:X,A243)</f>
        <v>6</v>
      </c>
      <c r="N243" s="201">
        <f t="shared" si="3"/>
        <v>10</v>
      </c>
      <c r="O243" s="214"/>
      <c r="P243" s="152">
        <v>0</v>
      </c>
      <c r="Q243" s="152">
        <v>0</v>
      </c>
      <c r="R243" s="152">
        <v>1</v>
      </c>
      <c r="S243" s="152">
        <v>232</v>
      </c>
    </row>
    <row r="244" spans="1:19" s="52" customFormat="1" ht="16.5" customHeight="1">
      <c r="A244" s="211">
        <v>233</v>
      </c>
      <c r="B244" s="212" t="s">
        <v>3914</v>
      </c>
      <c r="C244" s="211">
        <v>1544408</v>
      </c>
      <c r="D244" s="212" t="s">
        <v>3621</v>
      </c>
      <c r="E244" s="152" t="s">
        <v>3643</v>
      </c>
      <c r="F244" s="152" t="s">
        <v>3624</v>
      </c>
      <c r="G244" s="178" t="s">
        <v>3639</v>
      </c>
      <c r="H244" s="213" t="s">
        <v>3639</v>
      </c>
      <c r="I244" s="213" t="s">
        <v>3639</v>
      </c>
      <c r="J244" s="201">
        <f>COUNTIFS('TURMAS 2015.2'!U:U,A244)</f>
        <v>0</v>
      </c>
      <c r="K244" s="201">
        <f>SUMIFS('TURMAS 2015.2'!J:J,'TURMAS 2015.2'!U:U,A244)</f>
        <v>0</v>
      </c>
      <c r="L244" s="201">
        <f>COUNTIF('TURMAS 2015.2'!X:X,A244)</f>
        <v>0</v>
      </c>
      <c r="M244" s="201">
        <f>SUMIFS('TURMAS 2015.2'!K:K,'TURMAS 2015.2'!X:X,A244)</f>
        <v>0</v>
      </c>
      <c r="N244" s="201">
        <f t="shared" si="3"/>
        <v>0</v>
      </c>
      <c r="O244" s="214"/>
      <c r="P244" s="152" t="s">
        <v>3915</v>
      </c>
      <c r="Q244" s="152">
        <v>1</v>
      </c>
      <c r="R244" s="152">
        <v>0</v>
      </c>
      <c r="S244" s="152">
        <v>233</v>
      </c>
    </row>
    <row r="245" spans="1:19" s="52" customFormat="1" ht="16.5" customHeight="1">
      <c r="A245" s="211">
        <v>234</v>
      </c>
      <c r="B245" s="212" t="s">
        <v>3916</v>
      </c>
      <c r="C245" s="211">
        <v>1544412</v>
      </c>
      <c r="D245" s="212" t="s">
        <v>3621</v>
      </c>
      <c r="E245" s="152" t="s">
        <v>3643</v>
      </c>
      <c r="F245" s="152" t="s">
        <v>3624</v>
      </c>
      <c r="G245" s="178" t="s">
        <v>3639</v>
      </c>
      <c r="H245" s="213" t="s">
        <v>3639</v>
      </c>
      <c r="I245" s="213" t="s">
        <v>3639</v>
      </c>
      <c r="J245" s="201">
        <f>COUNTIFS('TURMAS 2015.2'!U:U,A245)</f>
        <v>0</v>
      </c>
      <c r="K245" s="201">
        <f>SUMIFS('TURMAS 2015.2'!J:J,'TURMAS 2015.2'!U:U,A245)</f>
        <v>0</v>
      </c>
      <c r="L245" s="201">
        <f>COUNTIF('TURMAS 2015.2'!X:X,A245)</f>
        <v>3</v>
      </c>
      <c r="M245" s="201">
        <f>SUMIFS('TURMAS 2015.2'!K:K,'TURMAS 2015.2'!X:X,A245)</f>
        <v>2</v>
      </c>
      <c r="N245" s="201">
        <f t="shared" si="3"/>
        <v>2</v>
      </c>
      <c r="O245" s="214"/>
      <c r="P245" s="152">
        <v>0</v>
      </c>
      <c r="Q245" s="152">
        <v>0</v>
      </c>
      <c r="R245" s="152">
        <v>1</v>
      </c>
      <c r="S245" s="152">
        <v>234</v>
      </c>
    </row>
    <row r="246" spans="1:19" s="52" customFormat="1" ht="16.5" customHeight="1">
      <c r="A246" s="211">
        <v>235</v>
      </c>
      <c r="B246" s="212" t="s">
        <v>3917</v>
      </c>
      <c r="C246" s="211">
        <v>1982740</v>
      </c>
      <c r="D246" s="212" t="s">
        <v>3635</v>
      </c>
      <c r="E246" s="152" t="s">
        <v>3643</v>
      </c>
      <c r="F246" s="152" t="s">
        <v>3624</v>
      </c>
      <c r="G246" s="178" t="s">
        <v>3639</v>
      </c>
      <c r="H246" s="213" t="s">
        <v>3639</v>
      </c>
      <c r="I246" s="213" t="s">
        <v>3639</v>
      </c>
      <c r="J246" s="201">
        <f>COUNTIFS('TURMAS 2015.2'!U:U,A246)</f>
        <v>2</v>
      </c>
      <c r="K246" s="201">
        <f>SUMIFS('TURMAS 2015.2'!J:J,'TURMAS 2015.2'!U:U,A246)</f>
        <v>6</v>
      </c>
      <c r="L246" s="201">
        <f>COUNTIF('TURMAS 2015.2'!X:X,A246)</f>
        <v>1</v>
      </c>
      <c r="M246" s="201">
        <f>SUMIFS('TURMAS 2015.2'!K:K,'TURMAS 2015.2'!X:X,A246)</f>
        <v>3</v>
      </c>
      <c r="N246" s="201">
        <f t="shared" si="3"/>
        <v>9</v>
      </c>
      <c r="O246" s="214"/>
      <c r="P246" s="152">
        <v>0</v>
      </c>
      <c r="Q246" s="152">
        <v>0</v>
      </c>
      <c r="R246" s="152">
        <v>1</v>
      </c>
      <c r="S246" s="152">
        <v>235</v>
      </c>
    </row>
    <row r="247" spans="1:19" s="52" customFormat="1" ht="16.5" customHeight="1">
      <c r="A247" s="211">
        <v>236</v>
      </c>
      <c r="B247" s="212" t="s">
        <v>3918</v>
      </c>
      <c r="C247" s="211">
        <v>1768895</v>
      </c>
      <c r="D247" s="212" t="s">
        <v>3635</v>
      </c>
      <c r="E247" s="152" t="s">
        <v>3643</v>
      </c>
      <c r="F247" s="152" t="s">
        <v>3624</v>
      </c>
      <c r="G247" s="178" t="s">
        <v>3639</v>
      </c>
      <c r="H247" s="213" t="s">
        <v>3639</v>
      </c>
      <c r="I247" s="213" t="s">
        <v>3639</v>
      </c>
      <c r="J247" s="201">
        <f>COUNTIFS('TURMAS 2015.2'!U:U,A247)</f>
        <v>0</v>
      </c>
      <c r="K247" s="201">
        <f>SUMIFS('TURMAS 2015.2'!J:J,'TURMAS 2015.2'!U:U,A247)</f>
        <v>0</v>
      </c>
      <c r="L247" s="201">
        <f>COUNTIF('TURMAS 2015.2'!X:X,A247)</f>
        <v>0</v>
      </c>
      <c r="M247" s="201">
        <f>SUMIFS('TURMAS 2015.2'!K:K,'TURMAS 2015.2'!X:X,A247)</f>
        <v>0</v>
      </c>
      <c r="N247" s="201">
        <f t="shared" si="3"/>
        <v>0</v>
      </c>
      <c r="O247" s="214"/>
      <c r="P247" s="152" t="s">
        <v>3919</v>
      </c>
      <c r="Q247" s="152">
        <v>0.3</v>
      </c>
      <c r="R247" s="152">
        <v>0.7</v>
      </c>
      <c r="S247" s="152">
        <v>236</v>
      </c>
    </row>
    <row r="248" spans="1:19" s="52" customFormat="1" ht="16.5" customHeight="1">
      <c r="A248" s="211">
        <v>237</v>
      </c>
      <c r="B248" s="212" t="s">
        <v>3920</v>
      </c>
      <c r="C248" s="211">
        <v>2566275</v>
      </c>
      <c r="D248" s="212" t="s">
        <v>3647</v>
      </c>
      <c r="E248" s="152" t="s">
        <v>3611</v>
      </c>
      <c r="F248" s="152" t="s">
        <v>3624</v>
      </c>
      <c r="G248" s="178" t="s">
        <v>3639</v>
      </c>
      <c r="H248" s="213" t="s">
        <v>3639</v>
      </c>
      <c r="I248" s="213" t="s">
        <v>3639</v>
      </c>
      <c r="J248" s="201">
        <f>COUNTIFS('TURMAS 2015.2'!U:U,A248)</f>
        <v>0</v>
      </c>
      <c r="K248" s="201">
        <f>SUMIFS('TURMAS 2015.2'!J:J,'TURMAS 2015.2'!U:U,A248)</f>
        <v>0</v>
      </c>
      <c r="L248" s="201">
        <f>COUNTIF('TURMAS 2015.2'!X:X,A248)</f>
        <v>0</v>
      </c>
      <c r="M248" s="201">
        <f>SUMIFS('TURMAS 2015.2'!K:K,'TURMAS 2015.2'!X:X,A248)</f>
        <v>0</v>
      </c>
      <c r="N248" s="201">
        <f t="shared" si="3"/>
        <v>0</v>
      </c>
      <c r="O248" s="214"/>
      <c r="P248" s="152">
        <v>0</v>
      </c>
      <c r="Q248" s="152">
        <v>0</v>
      </c>
      <c r="R248" s="152">
        <v>1</v>
      </c>
      <c r="S248" s="152">
        <v>237</v>
      </c>
    </row>
    <row r="249" spans="1:19" s="52" customFormat="1" ht="16.5" customHeight="1">
      <c r="A249" s="211">
        <v>238</v>
      </c>
      <c r="B249" s="212" t="s">
        <v>3921</v>
      </c>
      <c r="C249" s="211">
        <v>1544372</v>
      </c>
      <c r="D249" s="212" t="s">
        <v>3647</v>
      </c>
      <c r="E249" s="152" t="s">
        <v>3643</v>
      </c>
      <c r="F249" s="152" t="s">
        <v>3624</v>
      </c>
      <c r="G249" s="178" t="s">
        <v>3639</v>
      </c>
      <c r="H249" s="213" t="s">
        <v>3639</v>
      </c>
      <c r="I249" s="213" t="s">
        <v>3639</v>
      </c>
      <c r="J249" s="201">
        <f>COUNTIFS('TURMAS 2015.2'!U:U,A249)</f>
        <v>0</v>
      </c>
      <c r="K249" s="201">
        <f>SUMIFS('TURMAS 2015.2'!J:J,'TURMAS 2015.2'!U:U,A249)</f>
        <v>0</v>
      </c>
      <c r="L249" s="201">
        <f>COUNTIF('TURMAS 2015.2'!X:X,A249)</f>
        <v>3</v>
      </c>
      <c r="M249" s="201">
        <f>SUMIFS('TURMAS 2015.2'!K:K,'TURMAS 2015.2'!X:X,A249)</f>
        <v>9</v>
      </c>
      <c r="N249" s="201">
        <f t="shared" si="3"/>
        <v>9</v>
      </c>
      <c r="O249" s="214"/>
      <c r="P249" s="152">
        <v>0</v>
      </c>
      <c r="Q249" s="152">
        <v>0</v>
      </c>
      <c r="R249" s="152">
        <v>1</v>
      </c>
      <c r="S249" s="152">
        <v>238</v>
      </c>
    </row>
    <row r="250" spans="1:19" s="52" customFormat="1" ht="16.5" customHeight="1">
      <c r="A250" s="211">
        <v>239</v>
      </c>
      <c r="B250" s="212" t="s">
        <v>3922</v>
      </c>
      <c r="C250" s="211">
        <v>1671296</v>
      </c>
      <c r="D250" s="212" t="s">
        <v>3610</v>
      </c>
      <c r="E250" s="152" t="s">
        <v>3618</v>
      </c>
      <c r="F250" s="152" t="s">
        <v>3624</v>
      </c>
      <c r="G250" s="178" t="s">
        <v>3639</v>
      </c>
      <c r="H250" s="213" t="s">
        <v>3639</v>
      </c>
      <c r="I250" s="213" t="s">
        <v>3639</v>
      </c>
      <c r="J250" s="201">
        <f>COUNTIFS('TURMAS 2015.2'!U:U,A250)</f>
        <v>0</v>
      </c>
      <c r="K250" s="201">
        <f>SUMIFS('TURMAS 2015.2'!J:J,'TURMAS 2015.2'!U:U,A250)</f>
        <v>0</v>
      </c>
      <c r="L250" s="201">
        <f>COUNTIF('TURMAS 2015.2'!X:X,A250)</f>
        <v>0</v>
      </c>
      <c r="M250" s="201">
        <f>SUMIFS('TURMAS 2015.2'!K:K,'TURMAS 2015.2'!X:X,A250)</f>
        <v>0</v>
      </c>
      <c r="N250" s="201">
        <f t="shared" si="3"/>
        <v>0</v>
      </c>
      <c r="O250" s="214"/>
      <c r="P250" s="152" t="s">
        <v>3923</v>
      </c>
      <c r="Q250" s="152">
        <v>1</v>
      </c>
      <c r="R250" s="152">
        <v>0</v>
      </c>
      <c r="S250" s="152">
        <v>239</v>
      </c>
    </row>
    <row r="251" spans="1:19" s="52" customFormat="1" ht="16.5" customHeight="1">
      <c r="A251" s="211">
        <v>240</v>
      </c>
      <c r="B251" s="212" t="s">
        <v>3924</v>
      </c>
      <c r="C251" s="211">
        <v>1851117</v>
      </c>
      <c r="D251" s="212" t="s">
        <v>3635</v>
      </c>
      <c r="E251" s="152" t="s">
        <v>3611</v>
      </c>
      <c r="F251" s="152" t="s">
        <v>3624</v>
      </c>
      <c r="G251" s="178" t="s">
        <v>3639</v>
      </c>
      <c r="H251" s="213" t="s">
        <v>3639</v>
      </c>
      <c r="I251" s="213" t="s">
        <v>3639</v>
      </c>
      <c r="J251" s="201">
        <f>COUNTIFS('TURMAS 2015.2'!U:U,A251)</f>
        <v>2</v>
      </c>
      <c r="K251" s="201">
        <f>SUMIFS('TURMAS 2015.2'!J:J,'TURMAS 2015.2'!U:U,A251)</f>
        <v>0</v>
      </c>
      <c r="L251" s="201">
        <f>COUNTIF('TURMAS 2015.2'!X:X,A251)</f>
        <v>2</v>
      </c>
      <c r="M251" s="201">
        <f>SUMIFS('TURMAS 2015.2'!K:K,'TURMAS 2015.2'!X:X,A251)</f>
        <v>8</v>
      </c>
      <c r="N251" s="201">
        <f t="shared" si="3"/>
        <v>8</v>
      </c>
      <c r="O251" s="214"/>
      <c r="P251" s="152">
        <v>0</v>
      </c>
      <c r="Q251" s="152">
        <v>0</v>
      </c>
      <c r="R251" s="152">
        <v>1</v>
      </c>
      <c r="S251" s="152">
        <v>240</v>
      </c>
    </row>
    <row r="252" spans="1:19" s="52" customFormat="1" ht="16.5" customHeight="1">
      <c r="A252" s="211">
        <v>241</v>
      </c>
      <c r="B252" s="212" t="s">
        <v>3925</v>
      </c>
      <c r="C252" s="211">
        <v>1671336</v>
      </c>
      <c r="D252" s="212" t="s">
        <v>3610</v>
      </c>
      <c r="E252" s="152" t="s">
        <v>3618</v>
      </c>
      <c r="F252" s="152" t="s">
        <v>3624</v>
      </c>
      <c r="G252" s="178" t="s">
        <v>3639</v>
      </c>
      <c r="H252" s="213" t="s">
        <v>3639</v>
      </c>
      <c r="I252" s="213" t="s">
        <v>3639</v>
      </c>
      <c r="J252" s="201">
        <f>COUNTIFS('TURMAS 2015.2'!U:U,A252)</f>
        <v>2</v>
      </c>
      <c r="K252" s="201">
        <f>SUMIFS('TURMAS 2015.2'!J:J,'TURMAS 2015.2'!U:U,A252)</f>
        <v>6</v>
      </c>
      <c r="L252" s="201">
        <f>COUNTIF('TURMAS 2015.2'!X:X,A252)</f>
        <v>2</v>
      </c>
      <c r="M252" s="201">
        <f>SUMIFS('TURMAS 2015.2'!K:K,'TURMAS 2015.2'!X:X,A252)</f>
        <v>2</v>
      </c>
      <c r="N252" s="201">
        <f t="shared" si="3"/>
        <v>8</v>
      </c>
      <c r="O252" s="214"/>
      <c r="P252" s="152">
        <v>0</v>
      </c>
      <c r="Q252" s="152">
        <v>0</v>
      </c>
      <c r="R252" s="152">
        <v>1</v>
      </c>
      <c r="S252" s="152">
        <v>241</v>
      </c>
    </row>
    <row r="253" spans="1:19" s="52" customFormat="1" ht="16.5" customHeight="1">
      <c r="A253" s="211">
        <v>242</v>
      </c>
      <c r="B253" s="212" t="s">
        <v>3926</v>
      </c>
      <c r="C253" s="211">
        <v>1671397</v>
      </c>
      <c r="D253" s="212" t="s">
        <v>3610</v>
      </c>
      <c r="E253" s="152" t="s">
        <v>3618</v>
      </c>
      <c r="F253" s="152" t="s">
        <v>3624</v>
      </c>
      <c r="G253" s="178" t="s">
        <v>3639</v>
      </c>
      <c r="H253" s="213" t="s">
        <v>3639</v>
      </c>
      <c r="I253" s="213" t="s">
        <v>3639</v>
      </c>
      <c r="J253" s="201">
        <f>COUNTIFS('TURMAS 2015.2'!U:U,A253)</f>
        <v>0</v>
      </c>
      <c r="K253" s="201">
        <f>SUMIFS('TURMAS 2015.2'!J:J,'TURMAS 2015.2'!U:U,A253)</f>
        <v>0</v>
      </c>
      <c r="L253" s="201">
        <f>COUNTIF('TURMAS 2015.2'!X:X,A253)</f>
        <v>0</v>
      </c>
      <c r="M253" s="201">
        <f>SUMIFS('TURMAS 2015.2'!K:K,'TURMAS 2015.2'!X:X,A253)</f>
        <v>0</v>
      </c>
      <c r="N253" s="201">
        <f t="shared" si="3"/>
        <v>0</v>
      </c>
      <c r="O253" s="214"/>
      <c r="P253" s="152">
        <v>0</v>
      </c>
      <c r="Q253" s="152">
        <v>0</v>
      </c>
      <c r="R253" s="152">
        <v>1</v>
      </c>
      <c r="S253" s="152">
        <v>242</v>
      </c>
    </row>
    <row r="254" spans="1:19" s="52" customFormat="1" ht="16.5" customHeight="1">
      <c r="A254" s="211">
        <v>243</v>
      </c>
      <c r="B254" s="212" t="s">
        <v>3927</v>
      </c>
      <c r="C254" s="211">
        <v>1933328</v>
      </c>
      <c r="D254" s="212" t="s">
        <v>3653</v>
      </c>
      <c r="E254" s="152" t="s">
        <v>3643</v>
      </c>
      <c r="F254" s="152" t="s">
        <v>3624</v>
      </c>
      <c r="G254" s="178" t="s">
        <v>3639</v>
      </c>
      <c r="H254" s="213" t="s">
        <v>3639</v>
      </c>
      <c r="I254" s="213" t="s">
        <v>3639</v>
      </c>
      <c r="J254" s="201">
        <f>COUNTIFS('TURMAS 2015.2'!U:U,A254)</f>
        <v>6</v>
      </c>
      <c r="K254" s="201">
        <f>SUMIFS('TURMAS 2015.2'!J:J,'TURMAS 2015.2'!U:U,A254)</f>
        <v>6</v>
      </c>
      <c r="L254" s="201">
        <f>COUNTIF('TURMAS 2015.2'!X:X,A254)</f>
        <v>0</v>
      </c>
      <c r="M254" s="201">
        <f>SUMIFS('TURMAS 2015.2'!K:K,'TURMAS 2015.2'!X:X,A254)</f>
        <v>0</v>
      </c>
      <c r="N254" s="201">
        <f t="shared" si="3"/>
        <v>6</v>
      </c>
      <c r="O254" s="214"/>
      <c r="P254" s="152">
        <v>0</v>
      </c>
      <c r="Q254" s="152">
        <v>0</v>
      </c>
      <c r="R254" s="152">
        <v>1</v>
      </c>
      <c r="S254" s="152">
        <v>243</v>
      </c>
    </row>
    <row r="255" spans="1:19" s="52" customFormat="1" ht="16.5" customHeight="1">
      <c r="A255" s="211">
        <v>244</v>
      </c>
      <c r="B255" s="212" t="s">
        <v>3928</v>
      </c>
      <c r="C255" s="211">
        <v>1600858</v>
      </c>
      <c r="D255" s="212" t="s">
        <v>3647</v>
      </c>
      <c r="E255" s="152" t="s">
        <v>3643</v>
      </c>
      <c r="F255" s="152" t="s">
        <v>3624</v>
      </c>
      <c r="G255" s="178" t="s">
        <v>3639</v>
      </c>
      <c r="H255" s="213" t="s">
        <v>3639</v>
      </c>
      <c r="I255" s="213" t="s">
        <v>3639</v>
      </c>
      <c r="J255" s="201">
        <f>COUNTIFS('TURMAS 2015.2'!U:U,A255)</f>
        <v>2</v>
      </c>
      <c r="K255" s="201">
        <f>SUMIFS('TURMAS 2015.2'!J:J,'TURMAS 2015.2'!U:U,A255)</f>
        <v>6</v>
      </c>
      <c r="L255" s="201">
        <f>COUNTIF('TURMAS 2015.2'!X:X,A255)</f>
        <v>0</v>
      </c>
      <c r="M255" s="201">
        <f>SUMIFS('TURMAS 2015.2'!K:K,'TURMAS 2015.2'!X:X,A255)</f>
        <v>0</v>
      </c>
      <c r="N255" s="201">
        <f t="shared" si="3"/>
        <v>6</v>
      </c>
      <c r="O255" s="214"/>
      <c r="P255" s="152" t="s">
        <v>3929</v>
      </c>
      <c r="Q255" s="152">
        <v>0.5</v>
      </c>
      <c r="R255" s="152">
        <v>0.5</v>
      </c>
      <c r="S255" s="152">
        <v>244</v>
      </c>
    </row>
    <row r="256" spans="1:19" s="52" customFormat="1" ht="16.5" customHeight="1">
      <c r="A256" s="211">
        <v>245</v>
      </c>
      <c r="B256" s="212" t="s">
        <v>3930</v>
      </c>
      <c r="C256" s="211">
        <v>1864481</v>
      </c>
      <c r="D256" s="212" t="s">
        <v>3635</v>
      </c>
      <c r="E256" s="152" t="s">
        <v>3643</v>
      </c>
      <c r="F256" s="152" t="s">
        <v>3624</v>
      </c>
      <c r="G256" s="178" t="s">
        <v>3639</v>
      </c>
      <c r="H256" s="213" t="s">
        <v>3639</v>
      </c>
      <c r="I256" s="213" t="s">
        <v>3639</v>
      </c>
      <c r="J256" s="201">
        <f>COUNTIFS('TURMAS 2015.2'!U:U,A256)</f>
        <v>2</v>
      </c>
      <c r="K256" s="201">
        <f>SUMIFS('TURMAS 2015.2'!J:J,'TURMAS 2015.2'!U:U,A256)</f>
        <v>8</v>
      </c>
      <c r="L256" s="201">
        <f>COUNTIF('TURMAS 2015.2'!X:X,A256)</f>
        <v>0</v>
      </c>
      <c r="M256" s="201">
        <f>SUMIFS('TURMAS 2015.2'!K:K,'TURMAS 2015.2'!X:X,A256)</f>
        <v>0</v>
      </c>
      <c r="N256" s="201">
        <f t="shared" si="3"/>
        <v>8</v>
      </c>
      <c r="O256" s="214"/>
      <c r="P256" s="152">
        <v>0</v>
      </c>
      <c r="Q256" s="152">
        <v>0</v>
      </c>
      <c r="R256" s="152">
        <v>1</v>
      </c>
      <c r="S256" s="152">
        <v>245</v>
      </c>
    </row>
    <row r="257" spans="1:19" s="52" customFormat="1" ht="16.5" customHeight="1">
      <c r="A257" s="211">
        <v>246</v>
      </c>
      <c r="B257" s="212" t="s">
        <v>3931</v>
      </c>
      <c r="C257" s="211">
        <v>1544230</v>
      </c>
      <c r="D257" s="212" t="s">
        <v>3621</v>
      </c>
      <c r="E257" s="152" t="s">
        <v>3643</v>
      </c>
      <c r="F257" s="152" t="s">
        <v>3624</v>
      </c>
      <c r="G257" s="178" t="s">
        <v>3639</v>
      </c>
      <c r="H257" s="213" t="s">
        <v>3639</v>
      </c>
      <c r="I257" s="213" t="s">
        <v>3639</v>
      </c>
      <c r="J257" s="201">
        <f>COUNTIFS('TURMAS 2015.2'!U:U,A257)</f>
        <v>0</v>
      </c>
      <c r="K257" s="201">
        <f>SUMIFS('TURMAS 2015.2'!J:J,'TURMAS 2015.2'!U:U,A257)</f>
        <v>0</v>
      </c>
      <c r="L257" s="201">
        <f>COUNTIF('TURMAS 2015.2'!X:X,A257)</f>
        <v>0</v>
      </c>
      <c r="M257" s="201">
        <f>SUMIFS('TURMAS 2015.2'!K:K,'TURMAS 2015.2'!X:X,A257)</f>
        <v>0</v>
      </c>
      <c r="N257" s="201">
        <f t="shared" si="3"/>
        <v>0</v>
      </c>
      <c r="O257" s="214"/>
      <c r="P257" s="152" t="s">
        <v>3932</v>
      </c>
      <c r="Q257" s="152">
        <v>0.5</v>
      </c>
      <c r="R257" s="152">
        <v>0.5</v>
      </c>
      <c r="S257" s="152">
        <v>246</v>
      </c>
    </row>
    <row r="258" spans="1:19" s="52" customFormat="1" ht="16.5" customHeight="1">
      <c r="A258" s="211">
        <v>247</v>
      </c>
      <c r="B258" s="212" t="s">
        <v>3933</v>
      </c>
      <c r="C258" s="211">
        <v>1768318</v>
      </c>
      <c r="D258" s="212" t="s">
        <v>3610</v>
      </c>
      <c r="E258" s="152" t="s">
        <v>3618</v>
      </c>
      <c r="F258" s="152" t="s">
        <v>3624</v>
      </c>
      <c r="G258" s="178" t="s">
        <v>3639</v>
      </c>
      <c r="H258" s="213" t="s">
        <v>3639</v>
      </c>
      <c r="I258" s="213" t="s">
        <v>3639</v>
      </c>
      <c r="J258" s="201">
        <f>COUNTIFS('TURMAS 2015.2'!U:U,A258)</f>
        <v>0</v>
      </c>
      <c r="K258" s="201">
        <f>SUMIFS('TURMAS 2015.2'!J:J,'TURMAS 2015.2'!U:U,A258)</f>
        <v>0</v>
      </c>
      <c r="L258" s="201">
        <f>COUNTIF('TURMAS 2015.2'!X:X,A258)</f>
        <v>1</v>
      </c>
      <c r="M258" s="201">
        <f>SUMIFS('TURMAS 2015.2'!K:K,'TURMAS 2015.2'!X:X,A258)</f>
        <v>3</v>
      </c>
      <c r="N258" s="201">
        <f t="shared" si="3"/>
        <v>3</v>
      </c>
      <c r="O258" s="214"/>
      <c r="P258" s="152" t="s">
        <v>3934</v>
      </c>
      <c r="Q258" s="152">
        <v>0.5</v>
      </c>
      <c r="R258" s="152">
        <v>0.5</v>
      </c>
      <c r="S258" s="152">
        <v>247</v>
      </c>
    </row>
    <row r="259" spans="1:19" s="52" customFormat="1" ht="16.5" customHeight="1">
      <c r="A259" s="211">
        <v>248</v>
      </c>
      <c r="B259" s="212" t="s">
        <v>3935</v>
      </c>
      <c r="C259" s="211">
        <v>1671394</v>
      </c>
      <c r="D259" s="212" t="s">
        <v>3610</v>
      </c>
      <c r="E259" s="152" t="s">
        <v>3618</v>
      </c>
      <c r="F259" s="152" t="s">
        <v>3624</v>
      </c>
      <c r="G259" s="178" t="s">
        <v>3639</v>
      </c>
      <c r="H259" s="213" t="s">
        <v>3639</v>
      </c>
      <c r="I259" s="213" t="s">
        <v>3639</v>
      </c>
      <c r="J259" s="201">
        <f>COUNTIFS('TURMAS 2015.2'!U:U,A259)</f>
        <v>3</v>
      </c>
      <c r="K259" s="201">
        <f>SUMIFS('TURMAS 2015.2'!J:J,'TURMAS 2015.2'!U:U,A259)</f>
        <v>9</v>
      </c>
      <c r="L259" s="201">
        <f>COUNTIF('TURMAS 2015.2'!X:X,A259)</f>
        <v>3</v>
      </c>
      <c r="M259" s="201">
        <f>SUMIFS('TURMAS 2015.2'!K:K,'TURMAS 2015.2'!X:X,A259)</f>
        <v>3</v>
      </c>
      <c r="N259" s="201">
        <f t="shared" si="3"/>
        <v>12</v>
      </c>
      <c r="O259" s="214"/>
      <c r="P259" s="152">
        <v>0</v>
      </c>
      <c r="Q259" s="152">
        <v>0</v>
      </c>
      <c r="R259" s="152">
        <v>1</v>
      </c>
      <c r="S259" s="152">
        <v>248</v>
      </c>
    </row>
    <row r="260" spans="1:19" s="52" customFormat="1" ht="16.5" customHeight="1">
      <c r="A260" s="211">
        <v>249</v>
      </c>
      <c r="B260" s="212" t="s">
        <v>3936</v>
      </c>
      <c r="C260" s="211">
        <v>1968867</v>
      </c>
      <c r="D260" s="212" t="s">
        <v>3617</v>
      </c>
      <c r="E260" s="152" t="s">
        <v>3618</v>
      </c>
      <c r="F260" s="152" t="s">
        <v>3624</v>
      </c>
      <c r="G260" s="178" t="s">
        <v>3639</v>
      </c>
      <c r="H260" s="213" t="s">
        <v>3639</v>
      </c>
      <c r="I260" s="213" t="s">
        <v>3639</v>
      </c>
      <c r="J260" s="201">
        <f>COUNTIFS('TURMAS 2015.2'!U:U,A260)</f>
        <v>3</v>
      </c>
      <c r="K260" s="201">
        <f>SUMIFS('TURMAS 2015.2'!J:J,'TURMAS 2015.2'!U:U,A260)</f>
        <v>12</v>
      </c>
      <c r="L260" s="201">
        <f>COUNTIF('TURMAS 2015.2'!X:X,A260)</f>
        <v>0</v>
      </c>
      <c r="M260" s="201">
        <f>SUMIFS('TURMAS 2015.2'!K:K,'TURMAS 2015.2'!X:X,A260)</f>
        <v>0</v>
      </c>
      <c r="N260" s="201">
        <f t="shared" si="3"/>
        <v>12</v>
      </c>
      <c r="O260" s="214"/>
      <c r="P260" s="152">
        <v>0</v>
      </c>
      <c r="Q260" s="152">
        <v>0</v>
      </c>
      <c r="R260" s="152">
        <v>1</v>
      </c>
      <c r="S260" s="152">
        <v>249</v>
      </c>
    </row>
    <row r="261" spans="1:19" s="52" customFormat="1" ht="16.5" customHeight="1">
      <c r="A261" s="211">
        <v>250</v>
      </c>
      <c r="B261" s="212" t="s">
        <v>3937</v>
      </c>
      <c r="C261" s="211">
        <v>1645843</v>
      </c>
      <c r="D261" s="212" t="s">
        <v>3610</v>
      </c>
      <c r="E261" s="152" t="s">
        <v>3611</v>
      </c>
      <c r="F261" s="152" t="s">
        <v>3624</v>
      </c>
      <c r="G261" s="178" t="s">
        <v>3639</v>
      </c>
      <c r="H261" s="213" t="s">
        <v>3639</v>
      </c>
      <c r="I261" s="213" t="s">
        <v>3639</v>
      </c>
      <c r="J261" s="201">
        <f>COUNTIFS('TURMAS 2015.2'!U:U,A261)</f>
        <v>0</v>
      </c>
      <c r="K261" s="201">
        <f>SUMIFS('TURMAS 2015.2'!J:J,'TURMAS 2015.2'!U:U,A261)</f>
        <v>0</v>
      </c>
      <c r="L261" s="201">
        <f>COUNTIF('TURMAS 2015.2'!X:X,A261)</f>
        <v>0</v>
      </c>
      <c r="M261" s="201">
        <f>SUMIFS('TURMAS 2015.2'!K:K,'TURMAS 2015.2'!X:X,A261)</f>
        <v>0</v>
      </c>
      <c r="N261" s="201">
        <f t="shared" si="3"/>
        <v>0</v>
      </c>
      <c r="O261" s="214"/>
      <c r="P261" s="152">
        <v>0</v>
      </c>
      <c r="Q261" s="152">
        <v>0</v>
      </c>
      <c r="R261" s="152">
        <v>1</v>
      </c>
      <c r="S261" s="152">
        <v>250</v>
      </c>
    </row>
    <row r="262" spans="1:19" s="52" customFormat="1" ht="16.5" customHeight="1">
      <c r="A262" s="211">
        <v>251</v>
      </c>
      <c r="B262" s="212" t="s">
        <v>3938</v>
      </c>
      <c r="C262" s="211">
        <v>2090031</v>
      </c>
      <c r="D262" s="212" t="s">
        <v>3653</v>
      </c>
      <c r="E262" s="152" t="s">
        <v>3618</v>
      </c>
      <c r="F262" s="152" t="s">
        <v>3624</v>
      </c>
      <c r="G262" s="178" t="s">
        <v>3639</v>
      </c>
      <c r="H262" s="213" t="s">
        <v>3639</v>
      </c>
      <c r="I262" s="213" t="s">
        <v>3639</v>
      </c>
      <c r="J262" s="201">
        <f>COUNTIFS('TURMAS 2015.2'!U:U,A262)</f>
        <v>1</v>
      </c>
      <c r="K262" s="201">
        <f>SUMIFS('TURMAS 2015.2'!J:J,'TURMAS 2015.2'!U:U,A262)</f>
        <v>3</v>
      </c>
      <c r="L262" s="201">
        <f>COUNTIF('TURMAS 2015.2'!X:X,A262)</f>
        <v>1</v>
      </c>
      <c r="M262" s="201">
        <f>SUMIFS('TURMAS 2015.2'!K:K,'TURMAS 2015.2'!X:X,A262)</f>
        <v>1</v>
      </c>
      <c r="N262" s="201">
        <f t="shared" si="3"/>
        <v>4</v>
      </c>
      <c r="O262" s="214"/>
      <c r="P262" s="152">
        <v>0</v>
      </c>
      <c r="Q262" s="152">
        <v>0</v>
      </c>
      <c r="R262" s="152">
        <v>1</v>
      </c>
      <c r="S262" s="152">
        <v>251</v>
      </c>
    </row>
    <row r="263" spans="1:19" s="52" customFormat="1" ht="16.5" customHeight="1">
      <c r="A263" s="211">
        <v>252</v>
      </c>
      <c r="B263" s="212" t="s">
        <v>3939</v>
      </c>
      <c r="C263" s="211">
        <v>1544278</v>
      </c>
      <c r="D263" s="212" t="s">
        <v>3621</v>
      </c>
      <c r="E263" s="152" t="s">
        <v>3611</v>
      </c>
      <c r="F263" s="152" t="s">
        <v>3624</v>
      </c>
      <c r="G263" s="178" t="s">
        <v>3639</v>
      </c>
      <c r="H263" s="213" t="s">
        <v>3639</v>
      </c>
      <c r="I263" s="213" t="s">
        <v>3639</v>
      </c>
      <c r="J263" s="201">
        <f>COUNTIFS('TURMAS 2015.2'!U:U,A263)</f>
        <v>2</v>
      </c>
      <c r="K263" s="201">
        <f>SUMIFS('TURMAS 2015.2'!J:J,'TURMAS 2015.2'!U:U,A263)</f>
        <v>8</v>
      </c>
      <c r="L263" s="201">
        <f>COUNTIF('TURMAS 2015.2'!X:X,A263)</f>
        <v>0</v>
      </c>
      <c r="M263" s="201">
        <f>SUMIFS('TURMAS 2015.2'!K:K,'TURMAS 2015.2'!X:X,A263)</f>
        <v>0</v>
      </c>
      <c r="N263" s="201">
        <f t="shared" si="3"/>
        <v>8</v>
      </c>
      <c r="O263" s="214"/>
      <c r="P263" s="152">
        <v>0</v>
      </c>
      <c r="Q263" s="152">
        <v>0</v>
      </c>
      <c r="R263" s="152">
        <v>1</v>
      </c>
      <c r="S263" s="152">
        <v>252</v>
      </c>
    </row>
    <row r="264" spans="1:19" s="52" customFormat="1" ht="16.5" customHeight="1">
      <c r="A264" s="211">
        <v>253</v>
      </c>
      <c r="B264" s="212" t="s">
        <v>3940</v>
      </c>
      <c r="C264" s="211">
        <v>1671396</v>
      </c>
      <c r="D264" s="212" t="s">
        <v>3610</v>
      </c>
      <c r="E264" s="152" t="s">
        <v>3618</v>
      </c>
      <c r="F264" s="152" t="s">
        <v>3624</v>
      </c>
      <c r="G264" s="178" t="s">
        <v>3639</v>
      </c>
      <c r="H264" s="213" t="s">
        <v>3639</v>
      </c>
      <c r="I264" s="213" t="s">
        <v>3639</v>
      </c>
      <c r="J264" s="201">
        <f>COUNTIFS('TURMAS 2015.2'!U:U,A264)</f>
        <v>0</v>
      </c>
      <c r="K264" s="201">
        <f>SUMIFS('TURMAS 2015.2'!J:J,'TURMAS 2015.2'!U:U,A264)</f>
        <v>0</v>
      </c>
      <c r="L264" s="201">
        <f>COUNTIF('TURMAS 2015.2'!X:X,A264)</f>
        <v>0</v>
      </c>
      <c r="M264" s="201">
        <f>SUMIFS('TURMAS 2015.2'!K:K,'TURMAS 2015.2'!X:X,A264)</f>
        <v>0</v>
      </c>
      <c r="N264" s="201">
        <f t="shared" si="3"/>
        <v>0</v>
      </c>
      <c r="O264" s="214"/>
      <c r="P264" s="152">
        <v>0</v>
      </c>
      <c r="Q264" s="152">
        <v>0</v>
      </c>
      <c r="R264" s="152">
        <v>1</v>
      </c>
      <c r="S264" s="152">
        <v>253</v>
      </c>
    </row>
    <row r="265" spans="1:19" ht="16.5" customHeight="1">
      <c r="A265" s="211">
        <v>254</v>
      </c>
      <c r="B265" s="212" t="s">
        <v>3941</v>
      </c>
      <c r="C265" s="211">
        <v>1707133</v>
      </c>
      <c r="D265" s="212" t="s">
        <v>3642</v>
      </c>
      <c r="E265" s="152" t="s">
        <v>3643</v>
      </c>
      <c r="F265" s="152" t="s">
        <v>3624</v>
      </c>
      <c r="G265" s="178" t="s">
        <v>3639</v>
      </c>
      <c r="H265" s="213" t="s">
        <v>3639</v>
      </c>
      <c r="I265" s="213" t="s">
        <v>3639</v>
      </c>
      <c r="J265" s="201">
        <f>COUNTIFS('TURMAS 2015.2'!U:U,A265)</f>
        <v>0</v>
      </c>
      <c r="K265" s="201">
        <f>SUMIFS('TURMAS 2015.2'!J:J,'TURMAS 2015.2'!U:U,A265)</f>
        <v>0</v>
      </c>
      <c r="L265" s="201">
        <f>COUNTIF('TURMAS 2015.2'!X:X,A265)</f>
        <v>0</v>
      </c>
      <c r="M265" s="201">
        <f>SUMIFS('TURMAS 2015.2'!K:K,'TURMAS 2015.2'!X:X,A265)</f>
        <v>0</v>
      </c>
      <c r="N265" s="201">
        <f t="shared" si="3"/>
        <v>0</v>
      </c>
      <c r="O265" s="214"/>
      <c r="P265" s="152">
        <v>0</v>
      </c>
      <c r="Q265" s="152">
        <v>0</v>
      </c>
      <c r="R265" s="152">
        <v>1</v>
      </c>
      <c r="S265" s="152">
        <v>254</v>
      </c>
    </row>
    <row r="266" spans="1:19" s="52" customFormat="1" ht="16.5" customHeight="1">
      <c r="A266" s="211">
        <v>255</v>
      </c>
      <c r="B266" s="212" t="s">
        <v>3942</v>
      </c>
      <c r="C266" s="211">
        <v>1545858</v>
      </c>
      <c r="D266" s="212" t="s">
        <v>3621</v>
      </c>
      <c r="E266" s="152" t="s">
        <v>3611</v>
      </c>
      <c r="F266" s="152" t="s">
        <v>3624</v>
      </c>
      <c r="G266" s="178" t="s">
        <v>3639</v>
      </c>
      <c r="H266" s="213" t="s">
        <v>3639</v>
      </c>
      <c r="I266" s="213" t="s">
        <v>3639</v>
      </c>
      <c r="J266" s="201">
        <f>COUNTIFS('TURMAS 2015.2'!U:U,A266)</f>
        <v>0</v>
      </c>
      <c r="K266" s="201">
        <f>SUMIFS('TURMAS 2015.2'!J:J,'TURMAS 2015.2'!U:U,A266)</f>
        <v>0</v>
      </c>
      <c r="L266" s="201">
        <f>COUNTIF('TURMAS 2015.2'!X:X,A266)</f>
        <v>0</v>
      </c>
      <c r="M266" s="201">
        <f>SUMIFS('TURMAS 2015.2'!K:K,'TURMAS 2015.2'!X:X,A266)</f>
        <v>0</v>
      </c>
      <c r="N266" s="201">
        <f t="shared" si="3"/>
        <v>0</v>
      </c>
      <c r="O266" s="214"/>
      <c r="P266" s="152" t="s">
        <v>3943</v>
      </c>
      <c r="Q266" s="152">
        <v>0.3</v>
      </c>
      <c r="R266" s="152">
        <v>0.7</v>
      </c>
      <c r="S266" s="152">
        <v>255</v>
      </c>
    </row>
    <row r="267" spans="1:19" s="52" customFormat="1" ht="16.5" customHeight="1">
      <c r="A267" s="211">
        <v>256</v>
      </c>
      <c r="B267" s="212" t="s">
        <v>3944</v>
      </c>
      <c r="C267" s="211">
        <v>2158244</v>
      </c>
      <c r="D267" s="212" t="s">
        <v>3653</v>
      </c>
      <c r="E267" s="152" t="s">
        <v>3611</v>
      </c>
      <c r="F267" s="152" t="s">
        <v>3624</v>
      </c>
      <c r="G267" s="178" t="s">
        <v>3639</v>
      </c>
      <c r="H267" s="213" t="s">
        <v>3639</v>
      </c>
      <c r="I267" s="213" t="s">
        <v>3639</v>
      </c>
      <c r="J267" s="201">
        <f>COUNTIFS('TURMAS 2015.2'!U:U,A267)</f>
        <v>0</v>
      </c>
      <c r="K267" s="201">
        <f>SUMIFS('TURMAS 2015.2'!J:J,'TURMAS 2015.2'!U:U,A267)</f>
        <v>0</v>
      </c>
      <c r="L267" s="201">
        <f>COUNTIF('TURMAS 2015.2'!X:X,A267)</f>
        <v>0</v>
      </c>
      <c r="M267" s="201">
        <f>SUMIFS('TURMAS 2015.2'!K:K,'TURMAS 2015.2'!X:X,A267)</f>
        <v>0</v>
      </c>
      <c r="N267" s="201">
        <f t="shared" si="3"/>
        <v>0</v>
      </c>
      <c r="O267" s="214"/>
      <c r="P267" s="152">
        <v>0</v>
      </c>
      <c r="Q267" s="152">
        <v>0</v>
      </c>
      <c r="R267" s="152">
        <v>1</v>
      </c>
      <c r="S267" s="152">
        <v>256</v>
      </c>
    </row>
    <row r="268" spans="1:19" s="52" customFormat="1" ht="16.5" customHeight="1">
      <c r="A268" s="211">
        <v>257</v>
      </c>
      <c r="B268" s="212" t="s">
        <v>3945</v>
      </c>
      <c r="C268" s="211">
        <v>1545701</v>
      </c>
      <c r="D268" s="212" t="s">
        <v>3647</v>
      </c>
      <c r="E268" s="152" t="s">
        <v>3618</v>
      </c>
      <c r="F268" s="152" t="s">
        <v>3624</v>
      </c>
      <c r="G268" s="178" t="s">
        <v>3639</v>
      </c>
      <c r="H268" s="213" t="s">
        <v>3639</v>
      </c>
      <c r="I268" s="213" t="s">
        <v>3639</v>
      </c>
      <c r="J268" s="201">
        <f>COUNTIFS('TURMAS 2015.2'!U:U,A268)</f>
        <v>2</v>
      </c>
      <c r="K268" s="201">
        <f>SUMIFS('TURMAS 2015.2'!J:J,'TURMAS 2015.2'!U:U,A268)</f>
        <v>6</v>
      </c>
      <c r="L268" s="201">
        <f>COUNTIF('TURMAS 2015.2'!X:X,A268)</f>
        <v>2</v>
      </c>
      <c r="M268" s="201">
        <f>SUMIFS('TURMAS 2015.2'!K:K,'TURMAS 2015.2'!X:X,A268)</f>
        <v>2</v>
      </c>
      <c r="N268" s="201">
        <f t="shared" ref="N268:N331" si="4">K268+M268</f>
        <v>8</v>
      </c>
      <c r="O268" s="214"/>
      <c r="P268" s="152">
        <v>0</v>
      </c>
      <c r="Q268" s="152">
        <v>0</v>
      </c>
      <c r="R268" s="152">
        <v>1</v>
      </c>
      <c r="S268" s="152">
        <v>257</v>
      </c>
    </row>
    <row r="269" spans="1:19" s="52" customFormat="1" ht="16.5" customHeight="1">
      <c r="A269" s="211">
        <v>258</v>
      </c>
      <c r="B269" s="212" t="s">
        <v>3946</v>
      </c>
      <c r="C269" s="211">
        <v>1543683</v>
      </c>
      <c r="D269" s="212" t="s">
        <v>3621</v>
      </c>
      <c r="E269" s="152" t="s">
        <v>3643</v>
      </c>
      <c r="F269" s="152" t="s">
        <v>3624</v>
      </c>
      <c r="G269" s="178" t="s">
        <v>3639</v>
      </c>
      <c r="H269" s="213" t="s">
        <v>3639</v>
      </c>
      <c r="I269" s="213" t="s">
        <v>3639</v>
      </c>
      <c r="J269" s="201">
        <f>COUNTIFS('TURMAS 2015.2'!U:U,A269)</f>
        <v>0</v>
      </c>
      <c r="K269" s="201">
        <f>SUMIFS('TURMAS 2015.2'!J:J,'TURMAS 2015.2'!U:U,A269)</f>
        <v>0</v>
      </c>
      <c r="L269" s="201">
        <f>COUNTIF('TURMAS 2015.2'!X:X,A269)</f>
        <v>3</v>
      </c>
      <c r="M269" s="201">
        <f>SUMIFS('TURMAS 2015.2'!K:K,'TURMAS 2015.2'!X:X,A269)</f>
        <v>8</v>
      </c>
      <c r="N269" s="201">
        <f t="shared" si="4"/>
        <v>8</v>
      </c>
      <c r="O269" s="214"/>
      <c r="P269" s="152">
        <v>0</v>
      </c>
      <c r="Q269" s="152">
        <v>0</v>
      </c>
      <c r="R269" s="152">
        <v>1</v>
      </c>
      <c r="S269" s="152">
        <v>258</v>
      </c>
    </row>
    <row r="270" spans="1:19" s="56" customFormat="1" ht="16.5" customHeight="1">
      <c r="A270" s="211">
        <v>259</v>
      </c>
      <c r="B270" s="212" t="s">
        <v>3947</v>
      </c>
      <c r="C270" s="211">
        <v>1667760</v>
      </c>
      <c r="D270" s="212" t="s">
        <v>3610</v>
      </c>
      <c r="E270" s="152" t="s">
        <v>3618</v>
      </c>
      <c r="F270" s="152" t="s">
        <v>3624</v>
      </c>
      <c r="G270" s="178" t="s">
        <v>3639</v>
      </c>
      <c r="H270" s="213" t="s">
        <v>3639</v>
      </c>
      <c r="I270" s="213" t="s">
        <v>3639</v>
      </c>
      <c r="J270" s="201">
        <f>COUNTIFS('TURMAS 2015.2'!U:U,A270)</f>
        <v>0</v>
      </c>
      <c r="K270" s="201">
        <f>SUMIFS('TURMAS 2015.2'!J:J,'TURMAS 2015.2'!U:U,A270)</f>
        <v>0</v>
      </c>
      <c r="L270" s="201">
        <f>COUNTIF('TURMAS 2015.2'!X:X,A270)</f>
        <v>0</v>
      </c>
      <c r="M270" s="201">
        <f>SUMIFS('TURMAS 2015.2'!K:K,'TURMAS 2015.2'!X:X,A270)</f>
        <v>0</v>
      </c>
      <c r="N270" s="201">
        <f t="shared" si="4"/>
        <v>0</v>
      </c>
      <c r="O270" s="214"/>
      <c r="P270" s="152" t="s">
        <v>3948</v>
      </c>
      <c r="Q270" s="152">
        <v>0.5</v>
      </c>
      <c r="R270" s="152">
        <v>0.5</v>
      </c>
      <c r="S270" s="152">
        <v>259</v>
      </c>
    </row>
    <row r="271" spans="1:19" s="52" customFormat="1" ht="16.5" customHeight="1">
      <c r="A271" s="211">
        <v>260</v>
      </c>
      <c r="B271" s="212" t="s">
        <v>3949</v>
      </c>
      <c r="C271" s="211">
        <v>1360773</v>
      </c>
      <c r="D271" s="212" t="s">
        <v>3610</v>
      </c>
      <c r="E271" s="152" t="s">
        <v>3611</v>
      </c>
      <c r="F271" s="152" t="s">
        <v>3624</v>
      </c>
      <c r="G271" s="178" t="s">
        <v>3639</v>
      </c>
      <c r="H271" s="213" t="s">
        <v>3639</v>
      </c>
      <c r="I271" s="213" t="s">
        <v>3639</v>
      </c>
      <c r="J271" s="201">
        <f>COUNTIFS('TURMAS 2015.2'!U:U,A271)</f>
        <v>0</v>
      </c>
      <c r="K271" s="201">
        <f>SUMIFS('TURMAS 2015.2'!J:J,'TURMAS 2015.2'!U:U,A271)</f>
        <v>0</v>
      </c>
      <c r="L271" s="201">
        <f>COUNTIF('TURMAS 2015.2'!X:X,A271)</f>
        <v>0</v>
      </c>
      <c r="M271" s="201">
        <f>SUMIFS('TURMAS 2015.2'!K:K,'TURMAS 2015.2'!X:X,A271)</f>
        <v>0</v>
      </c>
      <c r="N271" s="201">
        <f t="shared" si="4"/>
        <v>0</v>
      </c>
      <c r="O271" s="214"/>
      <c r="P271" s="152">
        <v>0</v>
      </c>
      <c r="Q271" s="152">
        <v>0</v>
      </c>
      <c r="R271" s="152">
        <v>1</v>
      </c>
      <c r="S271" s="152">
        <v>260</v>
      </c>
    </row>
    <row r="272" spans="1:19" s="52" customFormat="1" ht="16.5" customHeight="1">
      <c r="A272" s="211">
        <v>261</v>
      </c>
      <c r="B272" s="212" t="s">
        <v>3950</v>
      </c>
      <c r="C272" s="211">
        <v>1838759</v>
      </c>
      <c r="D272" s="212" t="s">
        <v>3635</v>
      </c>
      <c r="E272" s="152" t="s">
        <v>3643</v>
      </c>
      <c r="F272" s="152" t="s">
        <v>3624</v>
      </c>
      <c r="G272" s="178" t="s">
        <v>3639</v>
      </c>
      <c r="H272" s="213" t="s">
        <v>3639</v>
      </c>
      <c r="I272" s="213" t="s">
        <v>3639</v>
      </c>
      <c r="J272" s="201">
        <f>COUNTIFS('TURMAS 2015.2'!U:U,A272)</f>
        <v>1</v>
      </c>
      <c r="K272" s="201">
        <f>SUMIFS('TURMAS 2015.2'!J:J,'TURMAS 2015.2'!U:U,A272)</f>
        <v>0</v>
      </c>
      <c r="L272" s="201">
        <f>COUNTIF('TURMAS 2015.2'!X:X,A272)</f>
        <v>1</v>
      </c>
      <c r="M272" s="201">
        <f>SUMIFS('TURMAS 2015.2'!K:K,'TURMAS 2015.2'!X:X,A272)</f>
        <v>6</v>
      </c>
      <c r="N272" s="201">
        <f t="shared" si="4"/>
        <v>6</v>
      </c>
      <c r="O272" s="214"/>
      <c r="P272" s="152" t="s">
        <v>3951</v>
      </c>
      <c r="Q272" s="152">
        <v>0.3</v>
      </c>
      <c r="R272" s="152">
        <v>0.7</v>
      </c>
      <c r="S272" s="152">
        <v>261</v>
      </c>
    </row>
    <row r="273" spans="1:19" s="52" customFormat="1" ht="16.5" customHeight="1">
      <c r="A273" s="211">
        <v>262</v>
      </c>
      <c r="B273" s="212" t="s">
        <v>3952</v>
      </c>
      <c r="C273" s="211">
        <v>1762438</v>
      </c>
      <c r="D273" s="212" t="s">
        <v>3610</v>
      </c>
      <c r="E273" s="152" t="s">
        <v>3643</v>
      </c>
      <c r="F273" s="152" t="s">
        <v>3624</v>
      </c>
      <c r="G273" s="178" t="s">
        <v>3639</v>
      </c>
      <c r="H273" s="213" t="s">
        <v>3639</v>
      </c>
      <c r="I273" s="213" t="s">
        <v>3639</v>
      </c>
      <c r="J273" s="201">
        <f>COUNTIFS('TURMAS 2015.2'!U:U,A273)</f>
        <v>0</v>
      </c>
      <c r="K273" s="201">
        <f>SUMIFS('TURMAS 2015.2'!J:J,'TURMAS 2015.2'!U:U,A273)</f>
        <v>0</v>
      </c>
      <c r="L273" s="201">
        <f>COUNTIF('TURMAS 2015.2'!X:X,A273)</f>
        <v>2</v>
      </c>
      <c r="M273" s="201">
        <f>SUMIFS('TURMAS 2015.2'!K:K,'TURMAS 2015.2'!X:X,A273)</f>
        <v>6</v>
      </c>
      <c r="N273" s="201">
        <f t="shared" si="4"/>
        <v>6</v>
      </c>
      <c r="O273" s="214"/>
      <c r="P273" s="152">
        <v>0</v>
      </c>
      <c r="Q273" s="152">
        <v>0</v>
      </c>
      <c r="R273" s="152">
        <v>1</v>
      </c>
      <c r="S273" s="152">
        <v>262</v>
      </c>
    </row>
    <row r="274" spans="1:19" s="52" customFormat="1" ht="16.5" customHeight="1">
      <c r="A274" s="211">
        <v>263</v>
      </c>
      <c r="B274" s="212" t="s">
        <v>3953</v>
      </c>
      <c r="C274" s="211">
        <v>1544346</v>
      </c>
      <c r="D274" s="212" t="s">
        <v>3610</v>
      </c>
      <c r="E274" s="152" t="s">
        <v>3611</v>
      </c>
      <c r="F274" s="152" t="s">
        <v>3624</v>
      </c>
      <c r="G274" s="178" t="s">
        <v>3639</v>
      </c>
      <c r="H274" s="213" t="s">
        <v>3639</v>
      </c>
      <c r="I274" s="213" t="s">
        <v>3639</v>
      </c>
      <c r="J274" s="201">
        <f>COUNTIFS('TURMAS 2015.2'!U:U,A274)</f>
        <v>2</v>
      </c>
      <c r="K274" s="201">
        <f>SUMIFS('TURMAS 2015.2'!J:J,'TURMAS 2015.2'!U:U,A274)</f>
        <v>8</v>
      </c>
      <c r="L274" s="201">
        <f>COUNTIF('TURMAS 2015.2'!X:X,A274)</f>
        <v>0</v>
      </c>
      <c r="M274" s="201">
        <f>SUMIFS('TURMAS 2015.2'!K:K,'TURMAS 2015.2'!X:X,A274)</f>
        <v>0</v>
      </c>
      <c r="N274" s="201">
        <f t="shared" si="4"/>
        <v>8</v>
      </c>
      <c r="O274" s="214"/>
      <c r="P274" s="152" t="s">
        <v>3954</v>
      </c>
      <c r="Q274" s="152">
        <v>0.5</v>
      </c>
      <c r="R274" s="152">
        <v>0.5</v>
      </c>
      <c r="S274" s="152">
        <v>263</v>
      </c>
    </row>
    <row r="275" spans="1:19" s="52" customFormat="1" ht="16.5" customHeight="1">
      <c r="A275" s="211">
        <v>264</v>
      </c>
      <c r="B275" s="212" t="s">
        <v>3955</v>
      </c>
      <c r="C275" s="211">
        <v>1516741</v>
      </c>
      <c r="D275" s="212" t="s">
        <v>3647</v>
      </c>
      <c r="E275" s="152" t="s">
        <v>3618</v>
      </c>
      <c r="F275" s="152" t="s">
        <v>3624</v>
      </c>
      <c r="G275" s="178" t="s">
        <v>3639</v>
      </c>
      <c r="H275" s="213" t="s">
        <v>3639</v>
      </c>
      <c r="I275" s="213" t="s">
        <v>3639</v>
      </c>
      <c r="J275" s="201">
        <f>COUNTIFS('TURMAS 2015.2'!U:U,A275)</f>
        <v>1</v>
      </c>
      <c r="K275" s="201">
        <f>SUMIFS('TURMAS 2015.2'!J:J,'TURMAS 2015.2'!U:U,A275)</f>
        <v>4</v>
      </c>
      <c r="L275" s="201">
        <f>COUNTIF('TURMAS 2015.2'!X:X,A275)</f>
        <v>0</v>
      </c>
      <c r="M275" s="201">
        <f>SUMIFS('TURMAS 2015.2'!K:K,'TURMAS 2015.2'!X:X,A275)</f>
        <v>0</v>
      </c>
      <c r="N275" s="201">
        <f t="shared" si="4"/>
        <v>4</v>
      </c>
      <c r="O275" s="214"/>
      <c r="P275" s="152" t="s">
        <v>3956</v>
      </c>
      <c r="Q275" s="152">
        <v>0.5</v>
      </c>
      <c r="R275" s="152">
        <v>0.5</v>
      </c>
      <c r="S275" s="152">
        <v>264</v>
      </c>
    </row>
    <row r="276" spans="1:19" s="52" customFormat="1" ht="16.5" customHeight="1">
      <c r="A276" s="211">
        <v>265</v>
      </c>
      <c r="B276" s="212" t="s">
        <v>3957</v>
      </c>
      <c r="C276" s="211">
        <v>1671399</v>
      </c>
      <c r="D276" s="212" t="s">
        <v>3610</v>
      </c>
      <c r="E276" s="152" t="s">
        <v>3618</v>
      </c>
      <c r="F276" s="152" t="s">
        <v>3624</v>
      </c>
      <c r="G276" s="178" t="s">
        <v>3639</v>
      </c>
      <c r="H276" s="213" t="s">
        <v>3639</v>
      </c>
      <c r="I276" s="213" t="s">
        <v>3639</v>
      </c>
      <c r="J276" s="201">
        <f>COUNTIFS('TURMAS 2015.2'!U:U,A276)</f>
        <v>0</v>
      </c>
      <c r="K276" s="201">
        <f>SUMIFS('TURMAS 2015.2'!J:J,'TURMAS 2015.2'!U:U,A276)</f>
        <v>0</v>
      </c>
      <c r="L276" s="201">
        <f>COUNTIF('TURMAS 2015.2'!X:X,A276)</f>
        <v>3</v>
      </c>
      <c r="M276" s="201">
        <f>SUMIFS('TURMAS 2015.2'!K:K,'TURMAS 2015.2'!X:X,A276)</f>
        <v>9</v>
      </c>
      <c r="N276" s="201">
        <f t="shared" si="4"/>
        <v>9</v>
      </c>
      <c r="O276" s="214"/>
      <c r="P276" s="152">
        <v>0</v>
      </c>
      <c r="Q276" s="152">
        <v>0</v>
      </c>
      <c r="R276" s="152">
        <v>1</v>
      </c>
      <c r="S276" s="152">
        <v>265</v>
      </c>
    </row>
    <row r="277" spans="1:19" s="52" customFormat="1" ht="16.5" customHeight="1">
      <c r="A277" s="211">
        <v>266</v>
      </c>
      <c r="B277" s="212" t="s">
        <v>3958</v>
      </c>
      <c r="C277" s="211">
        <v>1604131</v>
      </c>
      <c r="D277" s="212" t="s">
        <v>3647</v>
      </c>
      <c r="E277" s="152" t="s">
        <v>3611</v>
      </c>
      <c r="F277" s="152" t="s">
        <v>3624</v>
      </c>
      <c r="G277" s="178" t="s">
        <v>3639</v>
      </c>
      <c r="H277" s="213" t="s">
        <v>3639</v>
      </c>
      <c r="I277" s="213" t="s">
        <v>3639</v>
      </c>
      <c r="J277" s="201">
        <f>COUNTIFS('TURMAS 2015.2'!U:U,A277)</f>
        <v>0</v>
      </c>
      <c r="K277" s="201">
        <f>SUMIFS('TURMAS 2015.2'!J:J,'TURMAS 2015.2'!U:U,A277)</f>
        <v>0</v>
      </c>
      <c r="L277" s="201">
        <f>COUNTIF('TURMAS 2015.2'!X:X,A277)</f>
        <v>0</v>
      </c>
      <c r="M277" s="201">
        <f>SUMIFS('TURMAS 2015.2'!K:K,'TURMAS 2015.2'!X:X,A277)</f>
        <v>0</v>
      </c>
      <c r="N277" s="201">
        <f t="shared" si="4"/>
        <v>0</v>
      </c>
      <c r="O277" s="214"/>
      <c r="P277" s="152">
        <v>0</v>
      </c>
      <c r="Q277" s="152">
        <v>0</v>
      </c>
      <c r="R277" s="152">
        <v>1</v>
      </c>
      <c r="S277" s="152">
        <v>266</v>
      </c>
    </row>
    <row r="278" spans="1:19" s="52" customFormat="1" ht="16.5" customHeight="1">
      <c r="A278" s="211">
        <v>267</v>
      </c>
      <c r="B278" s="212" t="s">
        <v>3959</v>
      </c>
      <c r="C278" s="211">
        <v>1544342</v>
      </c>
      <c r="D278" s="212" t="s">
        <v>3647</v>
      </c>
      <c r="E278" s="152" t="s">
        <v>3618</v>
      </c>
      <c r="F278" s="152" t="s">
        <v>3624</v>
      </c>
      <c r="G278" s="178" t="s">
        <v>3639</v>
      </c>
      <c r="H278" s="213" t="s">
        <v>3639</v>
      </c>
      <c r="I278" s="213" t="s">
        <v>3639</v>
      </c>
      <c r="J278" s="201">
        <f>COUNTIFS('TURMAS 2015.2'!U:U,A278)</f>
        <v>1</v>
      </c>
      <c r="K278" s="201">
        <f>SUMIFS('TURMAS 2015.2'!J:J,'TURMAS 2015.2'!U:U,A278)</f>
        <v>1</v>
      </c>
      <c r="L278" s="201">
        <f>COUNTIF('TURMAS 2015.2'!X:X,A278)</f>
        <v>1</v>
      </c>
      <c r="M278" s="201">
        <f>SUMIFS('TURMAS 2015.2'!K:K,'TURMAS 2015.2'!X:X,A278)</f>
        <v>3</v>
      </c>
      <c r="N278" s="201">
        <f t="shared" si="4"/>
        <v>4</v>
      </c>
      <c r="O278" s="214"/>
      <c r="P278" s="152">
        <v>0</v>
      </c>
      <c r="Q278" s="152">
        <v>0</v>
      </c>
      <c r="R278" s="152">
        <v>1</v>
      </c>
      <c r="S278" s="152">
        <v>267</v>
      </c>
    </row>
    <row r="279" spans="1:19" s="52" customFormat="1" ht="16.5" customHeight="1">
      <c r="A279" s="211">
        <v>268</v>
      </c>
      <c r="B279" s="212" t="s">
        <v>3960</v>
      </c>
      <c r="C279" s="211">
        <v>1934625</v>
      </c>
      <c r="D279" s="212" t="s">
        <v>3635</v>
      </c>
      <c r="E279" s="152" t="s">
        <v>3611</v>
      </c>
      <c r="F279" s="152" t="s">
        <v>3624</v>
      </c>
      <c r="G279" s="178" t="s">
        <v>3639</v>
      </c>
      <c r="H279" s="213" t="s">
        <v>3639</v>
      </c>
      <c r="I279" s="213" t="s">
        <v>3639</v>
      </c>
      <c r="J279" s="201">
        <f>COUNTIFS('TURMAS 2015.2'!U:U,A279)</f>
        <v>2</v>
      </c>
      <c r="K279" s="201">
        <f>SUMIFS('TURMAS 2015.2'!J:J,'TURMAS 2015.2'!U:U,A279)</f>
        <v>4</v>
      </c>
      <c r="L279" s="201">
        <f>COUNTIF('TURMAS 2015.2'!X:X,A279)</f>
        <v>2</v>
      </c>
      <c r="M279" s="201">
        <f>SUMIFS('TURMAS 2015.2'!K:K,'TURMAS 2015.2'!X:X,A279)</f>
        <v>4</v>
      </c>
      <c r="N279" s="201">
        <f t="shared" si="4"/>
        <v>8</v>
      </c>
      <c r="O279" s="214"/>
      <c r="P279" s="152">
        <v>0</v>
      </c>
      <c r="Q279" s="152">
        <v>0</v>
      </c>
      <c r="R279" s="152">
        <v>1</v>
      </c>
      <c r="S279" s="152">
        <v>268</v>
      </c>
    </row>
    <row r="280" spans="1:19" s="52" customFormat="1" ht="16.5" customHeight="1">
      <c r="A280" s="211">
        <v>269</v>
      </c>
      <c r="B280" s="212" t="s">
        <v>3961</v>
      </c>
      <c r="C280" s="211">
        <v>1760410</v>
      </c>
      <c r="D280" s="212" t="s">
        <v>3610</v>
      </c>
      <c r="E280" s="152" t="s">
        <v>3618</v>
      </c>
      <c r="F280" s="152" t="s">
        <v>3624</v>
      </c>
      <c r="G280" s="178" t="s">
        <v>3639</v>
      </c>
      <c r="H280" s="213" t="s">
        <v>3639</v>
      </c>
      <c r="I280" s="213" t="s">
        <v>3639</v>
      </c>
      <c r="J280" s="201">
        <f>COUNTIFS('TURMAS 2015.2'!U:U,A280)</f>
        <v>1</v>
      </c>
      <c r="K280" s="201">
        <f>SUMIFS('TURMAS 2015.2'!J:J,'TURMAS 2015.2'!U:U,A280)</f>
        <v>3</v>
      </c>
      <c r="L280" s="201">
        <f>COUNTIF('TURMAS 2015.2'!X:X,A280)</f>
        <v>1</v>
      </c>
      <c r="M280" s="201">
        <f>SUMIFS('TURMAS 2015.2'!K:K,'TURMAS 2015.2'!X:X,A280)</f>
        <v>1</v>
      </c>
      <c r="N280" s="201">
        <f t="shared" si="4"/>
        <v>4</v>
      </c>
      <c r="O280" s="214"/>
      <c r="P280" s="152">
        <v>0</v>
      </c>
      <c r="Q280" s="152">
        <v>0</v>
      </c>
      <c r="R280" s="152">
        <v>1</v>
      </c>
      <c r="S280" s="152">
        <v>269</v>
      </c>
    </row>
    <row r="281" spans="1:19" s="52" customFormat="1" ht="16.5" customHeight="1">
      <c r="A281" s="211">
        <v>270</v>
      </c>
      <c r="B281" s="212" t="s">
        <v>3962</v>
      </c>
      <c r="C281" s="211">
        <v>1570729</v>
      </c>
      <c r="D281" s="212" t="s">
        <v>3617</v>
      </c>
      <c r="E281" s="152" t="s">
        <v>3643</v>
      </c>
      <c r="F281" s="152" t="s">
        <v>3624</v>
      </c>
      <c r="G281" s="178" t="s">
        <v>3639</v>
      </c>
      <c r="H281" s="213" t="s">
        <v>3639</v>
      </c>
      <c r="I281" s="213" t="s">
        <v>3639</v>
      </c>
      <c r="J281" s="201">
        <f>COUNTIFS('TURMAS 2015.2'!U:U,A281)</f>
        <v>2</v>
      </c>
      <c r="K281" s="201">
        <f>SUMIFS('TURMAS 2015.2'!J:J,'TURMAS 2015.2'!U:U,A281)</f>
        <v>6</v>
      </c>
      <c r="L281" s="201">
        <f>COUNTIF('TURMAS 2015.2'!X:X,A281)</f>
        <v>0</v>
      </c>
      <c r="M281" s="201">
        <f>SUMIFS('TURMAS 2015.2'!K:K,'TURMAS 2015.2'!X:X,A281)</f>
        <v>0</v>
      </c>
      <c r="N281" s="201">
        <f t="shared" si="4"/>
        <v>6</v>
      </c>
      <c r="O281" s="214"/>
      <c r="P281" s="152">
        <v>0</v>
      </c>
      <c r="Q281" s="152">
        <v>0</v>
      </c>
      <c r="R281" s="152">
        <v>1</v>
      </c>
      <c r="S281" s="152">
        <v>270</v>
      </c>
    </row>
    <row r="282" spans="1:19" s="52" customFormat="1" ht="16.5" customHeight="1">
      <c r="A282" s="211">
        <v>271</v>
      </c>
      <c r="B282" s="212" t="s">
        <v>3963</v>
      </c>
      <c r="C282" s="211">
        <v>1765427</v>
      </c>
      <c r="D282" s="212" t="s">
        <v>3610</v>
      </c>
      <c r="E282" s="152" t="s">
        <v>3618</v>
      </c>
      <c r="F282" s="152" t="s">
        <v>3624</v>
      </c>
      <c r="G282" s="178" t="s">
        <v>3639</v>
      </c>
      <c r="H282" s="213" t="s">
        <v>3639</v>
      </c>
      <c r="I282" s="213" t="s">
        <v>3639</v>
      </c>
      <c r="J282" s="201">
        <f>COUNTIFS('TURMAS 2015.2'!U:U,A282)</f>
        <v>2</v>
      </c>
      <c r="K282" s="201">
        <f>SUMIFS('TURMAS 2015.2'!J:J,'TURMAS 2015.2'!U:U,A282)</f>
        <v>6</v>
      </c>
      <c r="L282" s="201">
        <f>COUNTIF('TURMAS 2015.2'!X:X,A282)</f>
        <v>2</v>
      </c>
      <c r="M282" s="201">
        <f>SUMIFS('TURMAS 2015.2'!K:K,'TURMAS 2015.2'!X:X,A282)</f>
        <v>2</v>
      </c>
      <c r="N282" s="201">
        <f t="shared" si="4"/>
        <v>8</v>
      </c>
      <c r="O282" s="214"/>
      <c r="P282" s="152">
        <v>0</v>
      </c>
      <c r="Q282" s="152">
        <v>0</v>
      </c>
      <c r="R282" s="152">
        <v>1</v>
      </c>
      <c r="S282" s="152">
        <v>271</v>
      </c>
    </row>
    <row r="283" spans="1:19" s="52" customFormat="1" ht="16.5" customHeight="1">
      <c r="A283" s="211">
        <v>272</v>
      </c>
      <c r="B283" s="212" t="s">
        <v>3964</v>
      </c>
      <c r="C283" s="211">
        <v>433017</v>
      </c>
      <c r="D283" s="212" t="s">
        <v>3965</v>
      </c>
      <c r="E283" s="152" t="s">
        <v>3611</v>
      </c>
      <c r="F283" s="152" t="s">
        <v>3624</v>
      </c>
      <c r="G283" s="178" t="s">
        <v>3639</v>
      </c>
      <c r="H283" s="213" t="s">
        <v>3639</v>
      </c>
      <c r="I283" s="213" t="s">
        <v>3639</v>
      </c>
      <c r="J283" s="201">
        <f>COUNTIFS('TURMAS 2015.2'!U:U,A283)</f>
        <v>0</v>
      </c>
      <c r="K283" s="201">
        <f>SUMIFS('TURMAS 2015.2'!J:J,'TURMAS 2015.2'!U:U,A283)</f>
        <v>0</v>
      </c>
      <c r="L283" s="201">
        <f>COUNTIF('TURMAS 2015.2'!X:X,A283)</f>
        <v>0</v>
      </c>
      <c r="M283" s="201">
        <f>SUMIFS('TURMAS 2015.2'!K:K,'TURMAS 2015.2'!X:X,A283)</f>
        <v>0</v>
      </c>
      <c r="N283" s="201">
        <f t="shared" si="4"/>
        <v>0</v>
      </c>
      <c r="O283" s="214"/>
      <c r="P283" s="152">
        <v>0</v>
      </c>
      <c r="Q283" s="152">
        <v>0</v>
      </c>
      <c r="R283" s="152">
        <v>1</v>
      </c>
      <c r="S283" s="152">
        <v>272</v>
      </c>
    </row>
    <row r="284" spans="1:19" s="52" customFormat="1" ht="16.5" customHeight="1">
      <c r="A284" s="211">
        <v>273</v>
      </c>
      <c r="B284" s="212" t="s">
        <v>3966</v>
      </c>
      <c r="C284" s="211">
        <v>1603840</v>
      </c>
      <c r="D284" s="212" t="s">
        <v>3610</v>
      </c>
      <c r="E284" s="152" t="s">
        <v>3618</v>
      </c>
      <c r="F284" s="152" t="s">
        <v>3624</v>
      </c>
      <c r="G284" s="178" t="s">
        <v>3639</v>
      </c>
      <c r="H284" s="213" t="s">
        <v>3639</v>
      </c>
      <c r="I284" s="213" t="s">
        <v>3639</v>
      </c>
      <c r="J284" s="201">
        <f>COUNTIFS('TURMAS 2015.2'!U:U,A284)</f>
        <v>0</v>
      </c>
      <c r="K284" s="201">
        <f>SUMIFS('TURMAS 2015.2'!J:J,'TURMAS 2015.2'!U:U,A284)</f>
        <v>0</v>
      </c>
      <c r="L284" s="201">
        <f>COUNTIF('TURMAS 2015.2'!X:X,A284)</f>
        <v>0</v>
      </c>
      <c r="M284" s="201">
        <f>SUMIFS('TURMAS 2015.2'!K:K,'TURMAS 2015.2'!X:X,A284)</f>
        <v>0</v>
      </c>
      <c r="N284" s="201">
        <f t="shared" si="4"/>
        <v>0</v>
      </c>
      <c r="O284" s="214"/>
      <c r="P284" s="152" t="s">
        <v>3967</v>
      </c>
      <c r="Q284" s="152">
        <v>0.3</v>
      </c>
      <c r="R284" s="152">
        <v>0.7</v>
      </c>
      <c r="S284" s="152">
        <v>273</v>
      </c>
    </row>
    <row r="285" spans="1:19" s="52" customFormat="1" ht="16.5" customHeight="1">
      <c r="A285" s="211">
        <v>274</v>
      </c>
      <c r="B285" s="212" t="s">
        <v>3968</v>
      </c>
      <c r="C285" s="211">
        <v>6670680</v>
      </c>
      <c r="D285" s="212" t="s">
        <v>3642</v>
      </c>
      <c r="E285" s="152" t="s">
        <v>3618</v>
      </c>
      <c r="F285" s="152" t="s">
        <v>3624</v>
      </c>
      <c r="G285" s="178" t="s">
        <v>3639</v>
      </c>
      <c r="H285" s="213" t="s">
        <v>3639</v>
      </c>
      <c r="I285" s="213" t="s">
        <v>3639</v>
      </c>
      <c r="J285" s="201">
        <f>COUNTIFS('TURMAS 2015.2'!U:U,A285)</f>
        <v>2</v>
      </c>
      <c r="K285" s="201">
        <f>SUMIFS('TURMAS 2015.2'!J:J,'TURMAS 2015.2'!U:U,A285)</f>
        <v>7</v>
      </c>
      <c r="L285" s="201">
        <f>COUNTIF('TURMAS 2015.2'!X:X,A285)</f>
        <v>2</v>
      </c>
      <c r="M285" s="201">
        <f>SUMIFS('TURMAS 2015.2'!K:K,'TURMAS 2015.2'!X:X,A285)</f>
        <v>0</v>
      </c>
      <c r="N285" s="201">
        <f t="shared" si="4"/>
        <v>7</v>
      </c>
      <c r="O285" s="214"/>
      <c r="P285" s="152">
        <v>0</v>
      </c>
      <c r="Q285" s="152">
        <v>0</v>
      </c>
      <c r="R285" s="152">
        <v>1</v>
      </c>
      <c r="S285" s="152">
        <v>274</v>
      </c>
    </row>
    <row r="286" spans="1:19" s="52" customFormat="1" ht="16.5" customHeight="1">
      <c r="A286" s="211">
        <v>275</v>
      </c>
      <c r="B286" s="212" t="s">
        <v>3969</v>
      </c>
      <c r="C286" s="211">
        <v>1672977</v>
      </c>
      <c r="D286" s="212" t="s">
        <v>3610</v>
      </c>
      <c r="E286" s="152" t="s">
        <v>3611</v>
      </c>
      <c r="F286" s="152" t="s">
        <v>3624</v>
      </c>
      <c r="G286" s="178" t="s">
        <v>3639</v>
      </c>
      <c r="H286" s="213" t="s">
        <v>3639</v>
      </c>
      <c r="I286" s="213" t="s">
        <v>3639</v>
      </c>
      <c r="J286" s="201">
        <f>COUNTIFS('TURMAS 2015.2'!U:U,A286)</f>
        <v>1</v>
      </c>
      <c r="K286" s="201">
        <f>SUMIFS('TURMAS 2015.2'!J:J,'TURMAS 2015.2'!U:U,A286)</f>
        <v>3</v>
      </c>
      <c r="L286" s="201">
        <f>COUNTIF('TURMAS 2015.2'!X:X,A286)</f>
        <v>1</v>
      </c>
      <c r="M286" s="201">
        <f>SUMIFS('TURMAS 2015.2'!K:K,'TURMAS 2015.2'!X:X,A286)</f>
        <v>1</v>
      </c>
      <c r="N286" s="201">
        <f t="shared" si="4"/>
        <v>4</v>
      </c>
      <c r="O286" s="214"/>
      <c r="P286" s="152" t="s">
        <v>3970</v>
      </c>
      <c r="Q286" s="152">
        <v>0.3</v>
      </c>
      <c r="R286" s="152">
        <v>0.7</v>
      </c>
      <c r="S286" s="152">
        <v>275</v>
      </c>
    </row>
    <row r="287" spans="1:19" s="52" customFormat="1" ht="16.5" customHeight="1">
      <c r="A287" s="211">
        <v>276</v>
      </c>
      <c r="B287" s="212" t="s">
        <v>3971</v>
      </c>
      <c r="C287" s="211">
        <v>1972765</v>
      </c>
      <c r="D287" s="212" t="s">
        <v>3635</v>
      </c>
      <c r="E287" s="152" t="s">
        <v>3611</v>
      </c>
      <c r="F287" s="152" t="s">
        <v>3624</v>
      </c>
      <c r="G287" s="178" t="s">
        <v>3639</v>
      </c>
      <c r="H287" s="213" t="s">
        <v>3639</v>
      </c>
      <c r="I287" s="213" t="s">
        <v>3639</v>
      </c>
      <c r="J287" s="201">
        <f>COUNTIFS('TURMAS 2015.2'!U:U,A287)</f>
        <v>1</v>
      </c>
      <c r="K287" s="201">
        <f>SUMIFS('TURMAS 2015.2'!J:J,'TURMAS 2015.2'!U:U,A287)</f>
        <v>6</v>
      </c>
      <c r="L287" s="201">
        <f>COUNTIF('TURMAS 2015.2'!X:X,A287)</f>
        <v>0</v>
      </c>
      <c r="M287" s="201">
        <f>SUMIFS('TURMAS 2015.2'!K:K,'TURMAS 2015.2'!X:X,A287)</f>
        <v>0</v>
      </c>
      <c r="N287" s="201">
        <f t="shared" si="4"/>
        <v>6</v>
      </c>
      <c r="O287" s="214"/>
      <c r="P287" s="152">
        <v>0</v>
      </c>
      <c r="Q287" s="152">
        <v>0</v>
      </c>
      <c r="R287" s="152">
        <v>1</v>
      </c>
      <c r="S287" s="152">
        <v>276</v>
      </c>
    </row>
    <row r="288" spans="1:19" s="52" customFormat="1" ht="16.5" customHeight="1">
      <c r="A288" s="211">
        <v>277</v>
      </c>
      <c r="B288" s="212" t="s">
        <v>3972</v>
      </c>
      <c r="C288" s="211">
        <v>1672975</v>
      </c>
      <c r="D288" s="212" t="s">
        <v>3610</v>
      </c>
      <c r="E288" s="152" t="s">
        <v>3611</v>
      </c>
      <c r="F288" s="152" t="s">
        <v>3624</v>
      </c>
      <c r="G288" s="178" t="s">
        <v>3639</v>
      </c>
      <c r="H288" s="213" t="s">
        <v>3639</v>
      </c>
      <c r="I288" s="213" t="s">
        <v>3639</v>
      </c>
      <c r="J288" s="201">
        <f>COUNTIFS('TURMAS 2015.2'!U:U,A288)</f>
        <v>0</v>
      </c>
      <c r="K288" s="201">
        <f>SUMIFS('TURMAS 2015.2'!J:J,'TURMAS 2015.2'!U:U,A288)</f>
        <v>0</v>
      </c>
      <c r="L288" s="201">
        <f>COUNTIF('TURMAS 2015.2'!X:X,A288)</f>
        <v>0</v>
      </c>
      <c r="M288" s="201">
        <f>SUMIFS('TURMAS 2015.2'!K:K,'TURMAS 2015.2'!X:X,A288)</f>
        <v>0</v>
      </c>
      <c r="N288" s="201">
        <f t="shared" si="4"/>
        <v>0</v>
      </c>
      <c r="O288" s="214"/>
      <c r="P288" s="152">
        <v>0</v>
      </c>
      <c r="Q288" s="152">
        <v>0</v>
      </c>
      <c r="R288" s="152">
        <v>1</v>
      </c>
      <c r="S288" s="152">
        <v>277</v>
      </c>
    </row>
    <row r="289" spans="1:19" s="52" customFormat="1" ht="16.5" customHeight="1">
      <c r="A289" s="211">
        <v>278</v>
      </c>
      <c r="B289" s="212" t="s">
        <v>3973</v>
      </c>
      <c r="C289" s="211">
        <v>1031422</v>
      </c>
      <c r="D289" s="212" t="s">
        <v>3653</v>
      </c>
      <c r="E289" s="152" t="s">
        <v>3643</v>
      </c>
      <c r="F289" s="152" t="s">
        <v>3624</v>
      </c>
      <c r="G289" s="178" t="s">
        <v>3639</v>
      </c>
      <c r="H289" s="213" t="s">
        <v>3639</v>
      </c>
      <c r="I289" s="213" t="s">
        <v>3639</v>
      </c>
      <c r="J289" s="201">
        <f>COUNTIFS('TURMAS 2015.2'!U:U,A289)</f>
        <v>2</v>
      </c>
      <c r="K289" s="201">
        <f>SUMIFS('TURMAS 2015.2'!J:J,'TURMAS 2015.2'!U:U,A289)</f>
        <v>6</v>
      </c>
      <c r="L289" s="201">
        <f>COUNTIF('TURMAS 2015.2'!X:X,A289)</f>
        <v>2</v>
      </c>
      <c r="M289" s="201">
        <f>SUMIFS('TURMAS 2015.2'!K:K,'TURMAS 2015.2'!X:X,A289)</f>
        <v>2</v>
      </c>
      <c r="N289" s="201">
        <f t="shared" si="4"/>
        <v>8</v>
      </c>
      <c r="O289" s="214"/>
      <c r="P289" s="152">
        <v>0</v>
      </c>
      <c r="Q289" s="152">
        <v>0</v>
      </c>
      <c r="R289" s="152">
        <v>1</v>
      </c>
      <c r="S289" s="152">
        <v>278</v>
      </c>
    </row>
    <row r="290" spans="1:19" s="52" customFormat="1" ht="16.5" customHeight="1">
      <c r="A290" s="211">
        <v>279</v>
      </c>
      <c r="B290" s="212" t="s">
        <v>3974</v>
      </c>
      <c r="C290" s="211">
        <v>1671393</v>
      </c>
      <c r="D290" s="212" t="s">
        <v>3610</v>
      </c>
      <c r="E290" s="152" t="s">
        <v>3618</v>
      </c>
      <c r="F290" s="152" t="s">
        <v>3624</v>
      </c>
      <c r="G290" s="178" t="s">
        <v>3639</v>
      </c>
      <c r="H290" s="213" t="s">
        <v>3639</v>
      </c>
      <c r="I290" s="213" t="s">
        <v>3639</v>
      </c>
      <c r="J290" s="201">
        <f>COUNTIFS('TURMAS 2015.2'!U:U,A290)</f>
        <v>2</v>
      </c>
      <c r="K290" s="201">
        <f>SUMIFS('TURMAS 2015.2'!J:J,'TURMAS 2015.2'!U:U,A290)</f>
        <v>3</v>
      </c>
      <c r="L290" s="201">
        <f>COUNTIF('TURMAS 2015.2'!X:X,A290)</f>
        <v>3</v>
      </c>
      <c r="M290" s="201">
        <f>SUMIFS('TURMAS 2015.2'!K:K,'TURMAS 2015.2'!X:X,A290)</f>
        <v>4</v>
      </c>
      <c r="N290" s="201">
        <f t="shared" si="4"/>
        <v>7</v>
      </c>
      <c r="O290" s="214"/>
      <c r="P290" s="152">
        <v>0</v>
      </c>
      <c r="Q290" s="152">
        <v>0</v>
      </c>
      <c r="R290" s="152">
        <v>1</v>
      </c>
      <c r="S290" s="152">
        <v>279</v>
      </c>
    </row>
    <row r="291" spans="1:19" s="52" customFormat="1" ht="16.5" customHeight="1">
      <c r="A291" s="211">
        <v>280</v>
      </c>
      <c r="B291" s="212" t="s">
        <v>3975</v>
      </c>
      <c r="C291" s="211">
        <v>1544371</v>
      </c>
      <c r="D291" s="212" t="s">
        <v>3647</v>
      </c>
      <c r="E291" s="152" t="s">
        <v>3618</v>
      </c>
      <c r="F291" s="152" t="s">
        <v>3624</v>
      </c>
      <c r="G291" s="178" t="s">
        <v>3639</v>
      </c>
      <c r="H291" s="213" t="s">
        <v>3639</v>
      </c>
      <c r="I291" s="213" t="s">
        <v>3639</v>
      </c>
      <c r="J291" s="201">
        <f>COUNTIFS('TURMAS 2015.2'!U:U,A291)</f>
        <v>2</v>
      </c>
      <c r="K291" s="201">
        <f>SUMIFS('TURMAS 2015.2'!J:J,'TURMAS 2015.2'!U:U,A291)</f>
        <v>4</v>
      </c>
      <c r="L291" s="201">
        <f>COUNTIF('TURMAS 2015.2'!X:X,A291)</f>
        <v>2</v>
      </c>
      <c r="M291" s="201">
        <f>SUMIFS('TURMAS 2015.2'!K:K,'TURMAS 2015.2'!X:X,A291)</f>
        <v>4</v>
      </c>
      <c r="N291" s="201">
        <f t="shared" si="4"/>
        <v>8</v>
      </c>
      <c r="O291" s="214"/>
      <c r="P291" s="152" t="s">
        <v>3976</v>
      </c>
      <c r="Q291" s="152">
        <v>0.3</v>
      </c>
      <c r="R291" s="152">
        <v>0.7</v>
      </c>
      <c r="S291" s="152">
        <v>280</v>
      </c>
    </row>
    <row r="292" spans="1:19" s="52" customFormat="1" ht="16.5" customHeight="1">
      <c r="A292" s="211">
        <v>281</v>
      </c>
      <c r="B292" s="215" t="s">
        <v>3977</v>
      </c>
      <c r="C292" s="211">
        <v>2200473</v>
      </c>
      <c r="D292" s="211"/>
      <c r="E292" s="152" t="s">
        <v>3618</v>
      </c>
      <c r="F292" s="152" t="s">
        <v>3624</v>
      </c>
      <c r="G292" s="178"/>
      <c r="H292" s="213"/>
      <c r="I292" s="213"/>
      <c r="J292" s="201">
        <f>COUNTIFS('TURMAS 2015.2'!U:U,A292)</f>
        <v>1</v>
      </c>
      <c r="K292" s="201">
        <f>SUMIFS('TURMAS 2015.2'!J:J,'TURMAS 2015.2'!U:U,A292)</f>
        <v>4</v>
      </c>
      <c r="L292" s="201">
        <f>COUNTIF('TURMAS 2015.2'!X:X,A292)</f>
        <v>0</v>
      </c>
      <c r="M292" s="201">
        <f>SUMIFS('TURMAS 2015.2'!K:K,'TURMAS 2015.2'!X:X,A292)</f>
        <v>0</v>
      </c>
      <c r="N292" s="201">
        <f t="shared" si="4"/>
        <v>4</v>
      </c>
      <c r="O292" s="214"/>
      <c r="P292" s="152"/>
      <c r="Q292" s="152"/>
      <c r="R292" s="152"/>
      <c r="S292" s="152">
        <v>281</v>
      </c>
    </row>
    <row r="293" spans="1:19" s="52" customFormat="1" ht="16.5" customHeight="1">
      <c r="A293" s="211">
        <v>282</v>
      </c>
      <c r="B293" s="212" t="s">
        <v>3978</v>
      </c>
      <c r="C293" s="211">
        <v>2605463</v>
      </c>
      <c r="D293" s="212" t="s">
        <v>3647</v>
      </c>
      <c r="E293" s="152" t="s">
        <v>3643</v>
      </c>
      <c r="F293" s="152" t="s">
        <v>3624</v>
      </c>
      <c r="G293" s="178" t="s">
        <v>3639</v>
      </c>
      <c r="H293" s="213" t="s">
        <v>3639</v>
      </c>
      <c r="I293" s="213" t="s">
        <v>3639</v>
      </c>
      <c r="J293" s="201">
        <f>COUNTIFS('TURMAS 2015.2'!U:U,A293)</f>
        <v>0</v>
      </c>
      <c r="K293" s="201">
        <f>SUMIFS('TURMAS 2015.2'!J:J,'TURMAS 2015.2'!U:U,A293)</f>
        <v>0</v>
      </c>
      <c r="L293" s="201">
        <f>COUNTIF('TURMAS 2015.2'!X:X,A293)</f>
        <v>0</v>
      </c>
      <c r="M293" s="201">
        <f>SUMIFS('TURMAS 2015.2'!K:K,'TURMAS 2015.2'!X:X,A293)</f>
        <v>0</v>
      </c>
      <c r="N293" s="201">
        <f t="shared" si="4"/>
        <v>0</v>
      </c>
      <c r="O293" s="214"/>
      <c r="P293" s="152">
        <v>0</v>
      </c>
      <c r="Q293" s="152">
        <v>0</v>
      </c>
      <c r="R293" s="152">
        <v>1</v>
      </c>
      <c r="S293" s="152">
        <v>282</v>
      </c>
    </row>
    <row r="294" spans="1:19" s="52" customFormat="1" ht="16.5" customHeight="1">
      <c r="A294" s="211">
        <v>283</v>
      </c>
      <c r="B294" s="212" t="s">
        <v>3979</v>
      </c>
      <c r="C294" s="211">
        <v>1600877</v>
      </c>
      <c r="D294" s="212" t="s">
        <v>3610</v>
      </c>
      <c r="E294" s="152" t="s">
        <v>3611</v>
      </c>
      <c r="F294" s="152" t="s">
        <v>3624</v>
      </c>
      <c r="G294" s="178" t="s">
        <v>3639</v>
      </c>
      <c r="H294" s="213" t="s">
        <v>3639</v>
      </c>
      <c r="I294" s="213" t="s">
        <v>3639</v>
      </c>
      <c r="J294" s="201">
        <f>COUNTIFS('TURMAS 2015.2'!U:U,A294)</f>
        <v>3</v>
      </c>
      <c r="K294" s="201">
        <f>SUMIFS('TURMAS 2015.2'!J:J,'TURMAS 2015.2'!U:U,A294)</f>
        <v>9</v>
      </c>
      <c r="L294" s="201">
        <f>COUNTIF('TURMAS 2015.2'!X:X,A294)</f>
        <v>0</v>
      </c>
      <c r="M294" s="201">
        <f>SUMIFS('TURMAS 2015.2'!K:K,'TURMAS 2015.2'!X:X,A294)</f>
        <v>0</v>
      </c>
      <c r="N294" s="201">
        <f t="shared" si="4"/>
        <v>9</v>
      </c>
      <c r="O294" s="214"/>
      <c r="P294" s="152">
        <v>0</v>
      </c>
      <c r="Q294" s="152">
        <v>0</v>
      </c>
      <c r="R294" s="152">
        <v>1</v>
      </c>
      <c r="S294" s="152">
        <v>283</v>
      </c>
    </row>
    <row r="295" spans="1:19" s="52" customFormat="1" ht="16.5" customHeight="1">
      <c r="A295" s="211">
        <v>284</v>
      </c>
      <c r="B295" s="212" t="s">
        <v>3980</v>
      </c>
      <c r="C295" s="211">
        <v>1847300</v>
      </c>
      <c r="D295" s="212" t="s">
        <v>3635</v>
      </c>
      <c r="E295" s="152" t="s">
        <v>3618</v>
      </c>
      <c r="F295" s="152" t="s">
        <v>3624</v>
      </c>
      <c r="G295" s="178" t="s">
        <v>3639</v>
      </c>
      <c r="H295" s="213" t="s">
        <v>3639</v>
      </c>
      <c r="I295" s="213" t="s">
        <v>3639</v>
      </c>
      <c r="J295" s="201">
        <f>COUNTIFS('TURMAS 2015.2'!U:U,A295)</f>
        <v>0</v>
      </c>
      <c r="K295" s="201">
        <f>SUMIFS('TURMAS 2015.2'!J:J,'TURMAS 2015.2'!U:U,A295)</f>
        <v>0</v>
      </c>
      <c r="L295" s="201">
        <f>COUNTIF('TURMAS 2015.2'!X:X,A295)</f>
        <v>0</v>
      </c>
      <c r="M295" s="201">
        <f>SUMIFS('TURMAS 2015.2'!K:K,'TURMAS 2015.2'!X:X,A295)</f>
        <v>0</v>
      </c>
      <c r="N295" s="201">
        <f t="shared" si="4"/>
        <v>0</v>
      </c>
      <c r="O295" s="214"/>
      <c r="P295" s="152" t="s">
        <v>3981</v>
      </c>
      <c r="Q295" s="152">
        <v>0.3</v>
      </c>
      <c r="R295" s="152">
        <v>0.7</v>
      </c>
      <c r="S295" s="152">
        <v>284</v>
      </c>
    </row>
    <row r="296" spans="1:19" s="52" customFormat="1" ht="16.5" customHeight="1">
      <c r="A296" s="211">
        <v>285</v>
      </c>
      <c r="B296" s="212" t="s">
        <v>3982</v>
      </c>
      <c r="C296" s="211">
        <v>1483592</v>
      </c>
      <c r="D296" s="212" t="s">
        <v>3610</v>
      </c>
      <c r="E296" s="152" t="s">
        <v>3618</v>
      </c>
      <c r="F296" s="152" t="s">
        <v>3624</v>
      </c>
      <c r="G296" s="178" t="s">
        <v>3639</v>
      </c>
      <c r="H296" s="213" t="s">
        <v>3639</v>
      </c>
      <c r="I296" s="213" t="s">
        <v>3639</v>
      </c>
      <c r="J296" s="201">
        <f>COUNTIFS('TURMAS 2015.2'!U:U,A296)</f>
        <v>1</v>
      </c>
      <c r="K296" s="201">
        <f>SUMIFS('TURMAS 2015.2'!J:J,'TURMAS 2015.2'!U:U,A296)</f>
        <v>3</v>
      </c>
      <c r="L296" s="201">
        <f>COUNTIF('TURMAS 2015.2'!X:X,A296)</f>
        <v>1</v>
      </c>
      <c r="M296" s="201">
        <f>SUMIFS('TURMAS 2015.2'!K:K,'TURMAS 2015.2'!X:X,A296)</f>
        <v>1</v>
      </c>
      <c r="N296" s="201">
        <f t="shared" si="4"/>
        <v>4</v>
      </c>
      <c r="O296" s="214"/>
      <c r="P296" s="152">
        <v>0</v>
      </c>
      <c r="Q296" s="152">
        <v>0</v>
      </c>
      <c r="R296" s="152">
        <v>1</v>
      </c>
      <c r="S296" s="152">
        <v>285</v>
      </c>
    </row>
    <row r="297" spans="1:19" s="52" customFormat="1" ht="16.5" customHeight="1">
      <c r="A297" s="211">
        <v>286</v>
      </c>
      <c r="B297" s="212" t="s">
        <v>3983</v>
      </c>
      <c r="C297" s="211">
        <v>1544248</v>
      </c>
      <c r="D297" s="212" t="s">
        <v>3647</v>
      </c>
      <c r="E297" s="152" t="s">
        <v>3643</v>
      </c>
      <c r="F297" s="152" t="s">
        <v>3624</v>
      </c>
      <c r="G297" s="178" t="s">
        <v>3639</v>
      </c>
      <c r="H297" s="213" t="s">
        <v>3639</v>
      </c>
      <c r="I297" s="213" t="s">
        <v>3639</v>
      </c>
      <c r="J297" s="201">
        <f>COUNTIFS('TURMAS 2015.2'!U:U,A297)</f>
        <v>4</v>
      </c>
      <c r="K297" s="201">
        <f>SUMIFS('TURMAS 2015.2'!J:J,'TURMAS 2015.2'!U:U,A297)</f>
        <v>10</v>
      </c>
      <c r="L297" s="201">
        <f>COUNTIF('TURMAS 2015.2'!X:X,A297)</f>
        <v>0</v>
      </c>
      <c r="M297" s="201">
        <f>SUMIFS('TURMAS 2015.2'!K:K,'TURMAS 2015.2'!X:X,A297)</f>
        <v>0</v>
      </c>
      <c r="N297" s="201">
        <f t="shared" si="4"/>
        <v>10</v>
      </c>
      <c r="O297" s="214"/>
      <c r="P297" s="152">
        <v>0</v>
      </c>
      <c r="Q297" s="152">
        <v>0</v>
      </c>
      <c r="R297" s="152">
        <v>1</v>
      </c>
      <c r="S297" s="152">
        <v>286</v>
      </c>
    </row>
    <row r="298" spans="1:19" s="52" customFormat="1" ht="16.5" customHeight="1">
      <c r="A298" s="211">
        <v>287</v>
      </c>
      <c r="B298" s="212" t="s">
        <v>3984</v>
      </c>
      <c r="C298" s="211">
        <v>1669182</v>
      </c>
      <c r="D298" s="212" t="s">
        <v>3610</v>
      </c>
      <c r="E298" s="152" t="s">
        <v>3618</v>
      </c>
      <c r="F298" s="152" t="s">
        <v>3624</v>
      </c>
      <c r="G298" s="178" t="s">
        <v>3639</v>
      </c>
      <c r="H298" s="213" t="s">
        <v>3639</v>
      </c>
      <c r="I298" s="213" t="s">
        <v>3639</v>
      </c>
      <c r="J298" s="201">
        <f>COUNTIFS('TURMAS 2015.2'!U:U,A298)</f>
        <v>0</v>
      </c>
      <c r="K298" s="201">
        <f>SUMIFS('TURMAS 2015.2'!J:J,'TURMAS 2015.2'!U:U,A298)</f>
        <v>0</v>
      </c>
      <c r="L298" s="201">
        <f>COUNTIF('TURMAS 2015.2'!X:X,A298)</f>
        <v>0</v>
      </c>
      <c r="M298" s="201">
        <f>SUMIFS('TURMAS 2015.2'!K:K,'TURMAS 2015.2'!X:X,A298)</f>
        <v>0</v>
      </c>
      <c r="N298" s="201">
        <f t="shared" si="4"/>
        <v>0</v>
      </c>
      <c r="O298" s="214"/>
      <c r="P298" s="152" t="s">
        <v>3985</v>
      </c>
      <c r="Q298" s="152">
        <v>1</v>
      </c>
      <c r="R298" s="152">
        <v>0</v>
      </c>
      <c r="S298" s="152">
        <v>287</v>
      </c>
    </row>
    <row r="299" spans="1:19" s="52" customFormat="1" ht="16.5" customHeight="1">
      <c r="A299" s="211">
        <v>288</v>
      </c>
      <c r="B299" s="212" t="s">
        <v>3986</v>
      </c>
      <c r="C299" s="211">
        <v>1782309</v>
      </c>
      <c r="D299" s="212" t="s">
        <v>3635</v>
      </c>
      <c r="E299" s="152" t="s">
        <v>3618</v>
      </c>
      <c r="F299" s="152" t="s">
        <v>3624</v>
      </c>
      <c r="G299" s="178" t="s">
        <v>3639</v>
      </c>
      <c r="H299" s="213" t="s">
        <v>3639</v>
      </c>
      <c r="I299" s="213" t="s">
        <v>3639</v>
      </c>
      <c r="J299" s="201">
        <f>COUNTIFS('TURMAS 2015.2'!U:U,A299)</f>
        <v>0</v>
      </c>
      <c r="K299" s="201">
        <f>SUMIFS('TURMAS 2015.2'!J:J,'TURMAS 2015.2'!U:U,A299)</f>
        <v>0</v>
      </c>
      <c r="L299" s="201">
        <f>COUNTIF('TURMAS 2015.2'!X:X,A299)</f>
        <v>0</v>
      </c>
      <c r="M299" s="201">
        <f>SUMIFS('TURMAS 2015.2'!K:K,'TURMAS 2015.2'!X:X,A299)</f>
        <v>0</v>
      </c>
      <c r="N299" s="201">
        <f t="shared" si="4"/>
        <v>0</v>
      </c>
      <c r="O299" s="214"/>
      <c r="P299" s="152">
        <v>0</v>
      </c>
      <c r="Q299" s="152">
        <v>0</v>
      </c>
      <c r="R299" s="152">
        <v>1</v>
      </c>
      <c r="S299" s="152">
        <v>288</v>
      </c>
    </row>
    <row r="300" spans="1:19" s="52" customFormat="1" ht="16.5" customHeight="1">
      <c r="A300" s="211">
        <v>289</v>
      </c>
      <c r="B300" s="212" t="s">
        <v>3987</v>
      </c>
      <c r="C300" s="211">
        <v>1968862</v>
      </c>
      <c r="D300" s="212" t="s">
        <v>3617</v>
      </c>
      <c r="E300" s="152" t="s">
        <v>3643</v>
      </c>
      <c r="F300" s="152" t="s">
        <v>3624</v>
      </c>
      <c r="G300" s="178" t="s">
        <v>3639</v>
      </c>
      <c r="H300" s="213" t="s">
        <v>3639</v>
      </c>
      <c r="I300" s="213" t="s">
        <v>3639</v>
      </c>
      <c r="J300" s="201">
        <f>COUNTIFS('TURMAS 2015.2'!U:U,A300)</f>
        <v>1</v>
      </c>
      <c r="K300" s="201">
        <f>SUMIFS('TURMAS 2015.2'!J:J,'TURMAS 2015.2'!U:U,A300)</f>
        <v>2</v>
      </c>
      <c r="L300" s="201">
        <f>COUNTIF('TURMAS 2015.2'!X:X,A300)</f>
        <v>1</v>
      </c>
      <c r="M300" s="201">
        <f>SUMIFS('TURMAS 2015.2'!K:K,'TURMAS 2015.2'!X:X,A300)</f>
        <v>2</v>
      </c>
      <c r="N300" s="201">
        <f t="shared" si="4"/>
        <v>4</v>
      </c>
      <c r="O300" s="214"/>
      <c r="P300" s="152">
        <v>0</v>
      </c>
      <c r="Q300" s="152">
        <v>0</v>
      </c>
      <c r="R300" s="152">
        <v>1</v>
      </c>
      <c r="S300" s="152">
        <v>289</v>
      </c>
    </row>
    <row r="301" spans="1:19" s="56" customFormat="1" ht="16.5" customHeight="1">
      <c r="A301" s="211">
        <v>290</v>
      </c>
      <c r="B301" s="212" t="s">
        <v>3988</v>
      </c>
      <c r="C301" s="211">
        <v>1546626</v>
      </c>
      <c r="D301" s="212" t="s">
        <v>3647</v>
      </c>
      <c r="E301" s="152" t="s">
        <v>3643</v>
      </c>
      <c r="F301" s="152" t="s">
        <v>3624</v>
      </c>
      <c r="G301" s="178" t="s">
        <v>3639</v>
      </c>
      <c r="H301" s="213" t="s">
        <v>3639</v>
      </c>
      <c r="I301" s="213" t="s">
        <v>3639</v>
      </c>
      <c r="J301" s="201">
        <f>COUNTIFS('TURMAS 2015.2'!U:U,A301)</f>
        <v>3</v>
      </c>
      <c r="K301" s="201">
        <f>SUMIFS('TURMAS 2015.2'!J:J,'TURMAS 2015.2'!U:U,A301)</f>
        <v>3</v>
      </c>
      <c r="L301" s="201">
        <f>COUNTIF('TURMAS 2015.2'!X:X,A301)</f>
        <v>3</v>
      </c>
      <c r="M301" s="201">
        <f>SUMIFS('TURMAS 2015.2'!K:K,'TURMAS 2015.2'!X:X,A301)</f>
        <v>6</v>
      </c>
      <c r="N301" s="201">
        <f t="shared" si="4"/>
        <v>9</v>
      </c>
      <c r="O301" s="214"/>
      <c r="P301" s="152" t="s">
        <v>3989</v>
      </c>
      <c r="Q301" s="152">
        <v>0.5</v>
      </c>
      <c r="R301" s="152">
        <v>0.5</v>
      </c>
      <c r="S301" s="152">
        <v>290</v>
      </c>
    </row>
    <row r="302" spans="1:19" s="52" customFormat="1" ht="16.5" customHeight="1">
      <c r="A302" s="211">
        <v>291</v>
      </c>
      <c r="B302" s="212" t="s">
        <v>3990</v>
      </c>
      <c r="C302" s="211">
        <v>2079380</v>
      </c>
      <c r="D302" s="212" t="s">
        <v>3653</v>
      </c>
      <c r="E302" s="152" t="s">
        <v>3618</v>
      </c>
      <c r="F302" s="152" t="s">
        <v>3624</v>
      </c>
      <c r="G302" s="178" t="s">
        <v>3639</v>
      </c>
      <c r="H302" s="213" t="s">
        <v>3639</v>
      </c>
      <c r="I302" s="213" t="s">
        <v>3639</v>
      </c>
      <c r="J302" s="201">
        <f>COUNTIFS('TURMAS 2015.2'!U:U,A302)</f>
        <v>4</v>
      </c>
      <c r="K302" s="201">
        <f>SUMIFS('TURMAS 2015.2'!J:J,'TURMAS 2015.2'!U:U,A302)</f>
        <v>6</v>
      </c>
      <c r="L302" s="201">
        <f>COUNTIF('TURMAS 2015.2'!X:X,A302)</f>
        <v>2</v>
      </c>
      <c r="M302" s="201">
        <f>SUMIFS('TURMAS 2015.2'!K:K,'TURMAS 2015.2'!X:X,A302)</f>
        <v>2</v>
      </c>
      <c r="N302" s="201">
        <f t="shared" si="4"/>
        <v>8</v>
      </c>
      <c r="O302" s="214"/>
      <c r="P302" s="152">
        <v>0</v>
      </c>
      <c r="Q302" s="152">
        <v>0</v>
      </c>
      <c r="R302" s="152">
        <v>1</v>
      </c>
      <c r="S302" s="152">
        <v>291</v>
      </c>
    </row>
    <row r="303" spans="1:19" s="52" customFormat="1" ht="16.5" customHeight="1">
      <c r="A303" s="211">
        <v>292</v>
      </c>
      <c r="B303" s="215" t="s">
        <v>3991</v>
      </c>
      <c r="C303" s="211">
        <v>80000009</v>
      </c>
      <c r="D303" s="211"/>
      <c r="E303" s="152" t="s">
        <v>3618</v>
      </c>
      <c r="F303" s="152" t="s">
        <v>3624</v>
      </c>
      <c r="G303" s="178"/>
      <c r="H303" s="213"/>
      <c r="I303" s="213"/>
      <c r="J303" s="201">
        <f>COUNTIFS('TURMAS 2015.2'!U:U,A303)</f>
        <v>0</v>
      </c>
      <c r="K303" s="201">
        <f>SUMIFS('TURMAS 2015.2'!J:J,'TURMAS 2015.2'!U:U,A303)</f>
        <v>0</v>
      </c>
      <c r="L303" s="201">
        <f>COUNTIF('TURMAS 2015.2'!X:X,A303)</f>
        <v>0</v>
      </c>
      <c r="M303" s="201">
        <f>SUMIFS('TURMAS 2015.2'!K:K,'TURMAS 2015.2'!X:X,A303)</f>
        <v>0</v>
      </c>
      <c r="N303" s="201">
        <f t="shared" si="4"/>
        <v>0</v>
      </c>
      <c r="O303" s="214"/>
      <c r="P303" s="152"/>
      <c r="Q303" s="152"/>
      <c r="R303" s="152"/>
      <c r="S303" s="152">
        <v>292</v>
      </c>
    </row>
    <row r="304" spans="1:19" s="52" customFormat="1" ht="16.5" customHeight="1">
      <c r="A304" s="211">
        <v>293</v>
      </c>
      <c r="B304" s="212" t="s">
        <v>3992</v>
      </c>
      <c r="C304" s="211">
        <v>1802140</v>
      </c>
      <c r="D304" s="212" t="s">
        <v>3617</v>
      </c>
      <c r="E304" s="152" t="s">
        <v>3618</v>
      </c>
      <c r="F304" s="152" t="s">
        <v>3624</v>
      </c>
      <c r="G304" s="178" t="s">
        <v>3639</v>
      </c>
      <c r="H304" s="213" t="s">
        <v>3639</v>
      </c>
      <c r="I304" s="213" t="s">
        <v>3639</v>
      </c>
      <c r="J304" s="201">
        <f>COUNTIFS('TURMAS 2015.2'!U:U,A304)</f>
        <v>2</v>
      </c>
      <c r="K304" s="201">
        <f>SUMIFS('TURMAS 2015.2'!J:J,'TURMAS 2015.2'!U:U,A304)</f>
        <v>8</v>
      </c>
      <c r="L304" s="201">
        <f>COUNTIF('TURMAS 2015.2'!X:X,A304)</f>
        <v>0</v>
      </c>
      <c r="M304" s="201">
        <f>SUMIFS('TURMAS 2015.2'!K:K,'TURMAS 2015.2'!X:X,A304)</f>
        <v>0</v>
      </c>
      <c r="N304" s="201">
        <f t="shared" si="4"/>
        <v>8</v>
      </c>
      <c r="O304" s="214"/>
      <c r="P304" s="152">
        <v>0</v>
      </c>
      <c r="Q304" s="152">
        <v>0</v>
      </c>
      <c r="R304" s="152">
        <v>1</v>
      </c>
      <c r="S304" s="152">
        <v>293</v>
      </c>
    </row>
    <row r="305" spans="1:19" s="52" customFormat="1" ht="16.5" customHeight="1">
      <c r="A305" s="211">
        <v>294</v>
      </c>
      <c r="B305" s="212" t="s">
        <v>3993</v>
      </c>
      <c r="C305" s="211">
        <v>1738975</v>
      </c>
      <c r="D305" s="212" t="s">
        <v>3610</v>
      </c>
      <c r="E305" s="152" t="s">
        <v>3618</v>
      </c>
      <c r="F305" s="152" t="s">
        <v>3624</v>
      </c>
      <c r="G305" s="178" t="s">
        <v>3639</v>
      </c>
      <c r="H305" s="213" t="s">
        <v>3639</v>
      </c>
      <c r="I305" s="213" t="s">
        <v>3639</v>
      </c>
      <c r="J305" s="201">
        <f>COUNTIFS('TURMAS 2015.2'!U:U,A305)</f>
        <v>0</v>
      </c>
      <c r="K305" s="201">
        <f>SUMIFS('TURMAS 2015.2'!J:J,'TURMAS 2015.2'!U:U,A305)</f>
        <v>0</v>
      </c>
      <c r="L305" s="201">
        <f>COUNTIF('TURMAS 2015.2'!X:X,A305)</f>
        <v>0</v>
      </c>
      <c r="M305" s="201">
        <f>SUMIFS('TURMAS 2015.2'!K:K,'TURMAS 2015.2'!X:X,A305)</f>
        <v>0</v>
      </c>
      <c r="N305" s="201">
        <f t="shared" si="4"/>
        <v>0</v>
      </c>
      <c r="O305" s="214"/>
      <c r="P305" s="152">
        <v>0</v>
      </c>
      <c r="Q305" s="152">
        <v>0</v>
      </c>
      <c r="R305" s="152">
        <v>1</v>
      </c>
      <c r="S305" s="152">
        <v>294</v>
      </c>
    </row>
    <row r="306" spans="1:19" s="52" customFormat="1" ht="16.5" customHeight="1">
      <c r="A306" s="211">
        <v>295</v>
      </c>
      <c r="B306" s="212" t="s">
        <v>3994</v>
      </c>
      <c r="C306" s="211">
        <v>670232</v>
      </c>
      <c r="D306" s="212" t="s">
        <v>3610</v>
      </c>
      <c r="E306" s="152" t="s">
        <v>3618</v>
      </c>
      <c r="F306" s="152" t="s">
        <v>3624</v>
      </c>
      <c r="G306" s="178" t="s">
        <v>3639</v>
      </c>
      <c r="H306" s="213" t="s">
        <v>3639</v>
      </c>
      <c r="I306" s="213" t="s">
        <v>3639</v>
      </c>
      <c r="J306" s="201">
        <f>COUNTIFS('TURMAS 2015.2'!U:U,A306)</f>
        <v>2</v>
      </c>
      <c r="K306" s="201">
        <f>SUMIFS('TURMAS 2015.2'!J:J,'TURMAS 2015.2'!U:U,A306)</f>
        <v>6</v>
      </c>
      <c r="L306" s="201">
        <f>COUNTIF('TURMAS 2015.2'!X:X,A306)</f>
        <v>1</v>
      </c>
      <c r="M306" s="201">
        <f>SUMIFS('TURMAS 2015.2'!K:K,'TURMAS 2015.2'!X:X,A306)</f>
        <v>0</v>
      </c>
      <c r="N306" s="201">
        <f t="shared" si="4"/>
        <v>6</v>
      </c>
      <c r="O306" s="214"/>
      <c r="P306" s="152">
        <v>0</v>
      </c>
      <c r="Q306" s="152">
        <v>0</v>
      </c>
      <c r="R306" s="152">
        <v>1</v>
      </c>
      <c r="S306" s="152">
        <v>295</v>
      </c>
    </row>
    <row r="307" spans="1:19" s="52" customFormat="1" ht="16.5" customHeight="1">
      <c r="A307" s="211">
        <v>296</v>
      </c>
      <c r="B307" s="212" t="s">
        <v>3995</v>
      </c>
      <c r="C307" s="211">
        <v>1761050</v>
      </c>
      <c r="D307" s="212" t="s">
        <v>3610</v>
      </c>
      <c r="E307" s="152" t="s">
        <v>3618</v>
      </c>
      <c r="F307" s="152" t="s">
        <v>3624</v>
      </c>
      <c r="G307" s="178" t="s">
        <v>3639</v>
      </c>
      <c r="H307" s="213" t="s">
        <v>3639</v>
      </c>
      <c r="I307" s="213" t="s">
        <v>3639</v>
      </c>
      <c r="J307" s="201">
        <f>COUNTIFS('TURMAS 2015.2'!U:U,A307)</f>
        <v>1</v>
      </c>
      <c r="K307" s="201">
        <f>SUMIFS('TURMAS 2015.2'!J:J,'TURMAS 2015.2'!U:U,A307)</f>
        <v>3</v>
      </c>
      <c r="L307" s="201">
        <f>COUNTIF('TURMAS 2015.2'!X:X,A307)</f>
        <v>1</v>
      </c>
      <c r="M307" s="201">
        <f>SUMIFS('TURMAS 2015.2'!K:K,'TURMAS 2015.2'!X:X,A307)</f>
        <v>1</v>
      </c>
      <c r="N307" s="201">
        <f t="shared" si="4"/>
        <v>4</v>
      </c>
      <c r="O307" s="214"/>
      <c r="P307" s="152">
        <v>0</v>
      </c>
      <c r="Q307" s="152">
        <v>0</v>
      </c>
      <c r="R307" s="152">
        <v>1</v>
      </c>
      <c r="S307" s="152">
        <v>296</v>
      </c>
    </row>
    <row r="308" spans="1:19" s="52" customFormat="1" ht="16.5" customHeight="1">
      <c r="A308" s="211">
        <v>297</v>
      </c>
      <c r="B308" s="212" t="s">
        <v>3996</v>
      </c>
      <c r="C308" s="211">
        <v>1991185</v>
      </c>
      <c r="D308" s="212" t="s">
        <v>3617</v>
      </c>
      <c r="E308" s="152" t="s">
        <v>3618</v>
      </c>
      <c r="F308" s="152" t="s">
        <v>3624</v>
      </c>
      <c r="G308" s="178" t="s">
        <v>3639</v>
      </c>
      <c r="H308" s="213" t="s">
        <v>3639</v>
      </c>
      <c r="I308" s="213" t="s">
        <v>3639</v>
      </c>
      <c r="J308" s="201">
        <f>COUNTIFS('TURMAS 2015.2'!U:U,A308)</f>
        <v>0</v>
      </c>
      <c r="K308" s="201">
        <f>SUMIFS('TURMAS 2015.2'!J:J,'TURMAS 2015.2'!U:U,A308)</f>
        <v>0</v>
      </c>
      <c r="L308" s="201">
        <f>COUNTIF('TURMAS 2015.2'!X:X,A308)</f>
        <v>1</v>
      </c>
      <c r="M308" s="201">
        <f>SUMIFS('TURMAS 2015.2'!K:K,'TURMAS 2015.2'!X:X,A308)</f>
        <v>2</v>
      </c>
      <c r="N308" s="201">
        <f t="shared" si="4"/>
        <v>2</v>
      </c>
      <c r="O308" s="214"/>
      <c r="P308" s="152">
        <v>0</v>
      </c>
      <c r="Q308" s="152">
        <v>0</v>
      </c>
      <c r="R308" s="152">
        <v>1</v>
      </c>
      <c r="S308" s="152">
        <v>297</v>
      </c>
    </row>
    <row r="309" spans="1:19" s="52" customFormat="1" ht="16.5" customHeight="1">
      <c r="A309" s="211">
        <v>298</v>
      </c>
      <c r="B309" s="212" t="s">
        <v>3997</v>
      </c>
      <c r="C309" s="211">
        <v>1763436</v>
      </c>
      <c r="D309" s="212" t="s">
        <v>3635</v>
      </c>
      <c r="E309" s="152" t="s">
        <v>3611</v>
      </c>
      <c r="F309" s="152" t="s">
        <v>3624</v>
      </c>
      <c r="G309" s="178" t="s">
        <v>3639</v>
      </c>
      <c r="H309" s="213" t="s">
        <v>3639</v>
      </c>
      <c r="I309" s="213" t="s">
        <v>3639</v>
      </c>
      <c r="J309" s="201">
        <f>COUNTIFS('TURMAS 2015.2'!U:U,A309)</f>
        <v>0</v>
      </c>
      <c r="K309" s="201">
        <f>SUMIFS('TURMAS 2015.2'!J:J,'TURMAS 2015.2'!U:U,A309)</f>
        <v>0</v>
      </c>
      <c r="L309" s="201">
        <f>COUNTIF('TURMAS 2015.2'!X:X,A309)</f>
        <v>0</v>
      </c>
      <c r="M309" s="201">
        <f>SUMIFS('TURMAS 2015.2'!K:K,'TURMAS 2015.2'!X:X,A309)</f>
        <v>0</v>
      </c>
      <c r="N309" s="201">
        <f t="shared" si="4"/>
        <v>0</v>
      </c>
      <c r="O309" s="214"/>
      <c r="P309" s="152" t="s">
        <v>3998</v>
      </c>
      <c r="Q309" s="152">
        <v>0.5</v>
      </c>
      <c r="R309" s="152">
        <v>0.5</v>
      </c>
      <c r="S309" s="152">
        <v>298</v>
      </c>
    </row>
    <row r="310" spans="1:19" s="52" customFormat="1" ht="16.5" customHeight="1">
      <c r="A310" s="211">
        <v>299</v>
      </c>
      <c r="B310" s="212" t="s">
        <v>3999</v>
      </c>
      <c r="C310" s="211">
        <v>1903304</v>
      </c>
      <c r="D310" s="212" t="s">
        <v>3635</v>
      </c>
      <c r="E310" s="152" t="s">
        <v>3618</v>
      </c>
      <c r="F310" s="152" t="s">
        <v>3624</v>
      </c>
      <c r="G310" s="178" t="s">
        <v>3639</v>
      </c>
      <c r="H310" s="213" t="s">
        <v>3639</v>
      </c>
      <c r="I310" s="213" t="s">
        <v>3639</v>
      </c>
      <c r="J310" s="201">
        <f>COUNTIFS('TURMAS 2015.2'!U:U,A310)</f>
        <v>1</v>
      </c>
      <c r="K310" s="201">
        <f>SUMIFS('TURMAS 2015.2'!J:J,'TURMAS 2015.2'!U:U,A310)</f>
        <v>3</v>
      </c>
      <c r="L310" s="201">
        <f>COUNTIF('TURMAS 2015.2'!X:X,A310)</f>
        <v>1</v>
      </c>
      <c r="M310" s="201">
        <f>SUMIFS('TURMAS 2015.2'!K:K,'TURMAS 2015.2'!X:X,A310)</f>
        <v>1</v>
      </c>
      <c r="N310" s="201">
        <f t="shared" si="4"/>
        <v>4</v>
      </c>
      <c r="O310" s="214"/>
      <c r="P310" s="152" t="s">
        <v>4000</v>
      </c>
      <c r="Q310" s="152">
        <v>0.5</v>
      </c>
      <c r="R310" s="152">
        <v>0.5</v>
      </c>
      <c r="S310" s="152">
        <v>299</v>
      </c>
    </row>
    <row r="311" spans="1:19" s="52" customFormat="1" ht="16.5" customHeight="1">
      <c r="A311" s="211">
        <v>300</v>
      </c>
      <c r="B311" s="212" t="s">
        <v>4001</v>
      </c>
      <c r="C311" s="211">
        <v>1676364</v>
      </c>
      <c r="D311" s="212" t="s">
        <v>3647</v>
      </c>
      <c r="E311" s="152" t="s">
        <v>3643</v>
      </c>
      <c r="F311" s="152" t="s">
        <v>3624</v>
      </c>
      <c r="G311" s="178" t="s">
        <v>3639</v>
      </c>
      <c r="H311" s="213" t="s">
        <v>3639</v>
      </c>
      <c r="I311" s="213" t="s">
        <v>3639</v>
      </c>
      <c r="J311" s="201">
        <f>COUNTIFS('TURMAS 2015.2'!U:U,A311)</f>
        <v>0</v>
      </c>
      <c r="K311" s="201">
        <f>SUMIFS('TURMAS 2015.2'!J:J,'TURMAS 2015.2'!U:U,A311)</f>
        <v>0</v>
      </c>
      <c r="L311" s="201">
        <f>COUNTIF('TURMAS 2015.2'!X:X,A311)</f>
        <v>2</v>
      </c>
      <c r="M311" s="201">
        <f>SUMIFS('TURMAS 2015.2'!K:K,'TURMAS 2015.2'!X:X,A311)</f>
        <v>6</v>
      </c>
      <c r="N311" s="201">
        <f t="shared" si="4"/>
        <v>6</v>
      </c>
      <c r="O311" s="214"/>
      <c r="P311" s="152">
        <v>0</v>
      </c>
      <c r="Q311" s="152">
        <v>0</v>
      </c>
      <c r="R311" s="152">
        <v>1</v>
      </c>
      <c r="S311" s="152">
        <v>300</v>
      </c>
    </row>
    <row r="312" spans="1:19" s="52" customFormat="1" ht="16.5" customHeight="1">
      <c r="A312" s="211">
        <v>301</v>
      </c>
      <c r="B312" s="212" t="s">
        <v>4002</v>
      </c>
      <c r="C312" s="211">
        <v>2131736</v>
      </c>
      <c r="D312" s="212" t="s">
        <v>3653</v>
      </c>
      <c r="E312" s="152" t="s">
        <v>3611</v>
      </c>
      <c r="F312" s="152" t="s">
        <v>3624</v>
      </c>
      <c r="G312" s="178" t="s">
        <v>3639</v>
      </c>
      <c r="H312" s="213" t="s">
        <v>3639</v>
      </c>
      <c r="I312" s="213" t="s">
        <v>3639</v>
      </c>
      <c r="J312" s="201">
        <f>COUNTIFS('TURMAS 2015.2'!U:U,A312)</f>
        <v>0</v>
      </c>
      <c r="K312" s="201">
        <f>SUMIFS('TURMAS 2015.2'!J:J,'TURMAS 2015.2'!U:U,A312)</f>
        <v>0</v>
      </c>
      <c r="L312" s="201">
        <f>COUNTIF('TURMAS 2015.2'!X:X,A312)</f>
        <v>0</v>
      </c>
      <c r="M312" s="201">
        <f>SUMIFS('TURMAS 2015.2'!K:K,'TURMAS 2015.2'!X:X,A312)</f>
        <v>0</v>
      </c>
      <c r="N312" s="201">
        <f t="shared" si="4"/>
        <v>0</v>
      </c>
      <c r="O312" s="214"/>
      <c r="P312" s="152">
        <v>0</v>
      </c>
      <c r="Q312" s="152">
        <v>0</v>
      </c>
      <c r="R312" s="152">
        <v>1</v>
      </c>
      <c r="S312" s="152">
        <v>301</v>
      </c>
    </row>
    <row r="313" spans="1:19" s="52" customFormat="1" ht="16.5" customHeight="1">
      <c r="A313" s="211">
        <v>302</v>
      </c>
      <c r="B313" s="212" t="s">
        <v>4003</v>
      </c>
      <c r="C313" s="211">
        <v>2605882</v>
      </c>
      <c r="D313" s="212" t="s">
        <v>3647</v>
      </c>
      <c r="E313" s="152" t="s">
        <v>3618</v>
      </c>
      <c r="F313" s="152" t="s">
        <v>3624</v>
      </c>
      <c r="G313" s="178" t="s">
        <v>3639</v>
      </c>
      <c r="H313" s="213" t="s">
        <v>3639</v>
      </c>
      <c r="I313" s="213" t="s">
        <v>3639</v>
      </c>
      <c r="J313" s="201">
        <f>COUNTIFS('TURMAS 2015.2'!U:U,A313)</f>
        <v>2</v>
      </c>
      <c r="K313" s="201">
        <f>SUMIFS('TURMAS 2015.2'!J:J,'TURMAS 2015.2'!U:U,A313)</f>
        <v>5</v>
      </c>
      <c r="L313" s="201">
        <f>COUNTIF('TURMAS 2015.2'!X:X,A313)</f>
        <v>2</v>
      </c>
      <c r="M313" s="201">
        <f>SUMIFS('TURMAS 2015.2'!K:K,'TURMAS 2015.2'!X:X,A313)</f>
        <v>3</v>
      </c>
      <c r="N313" s="201">
        <f t="shared" si="4"/>
        <v>8</v>
      </c>
      <c r="O313" s="214"/>
      <c r="P313" s="152" t="s">
        <v>4004</v>
      </c>
      <c r="Q313" s="152">
        <v>0.3</v>
      </c>
      <c r="R313" s="152">
        <v>0.7</v>
      </c>
      <c r="S313" s="152">
        <v>302</v>
      </c>
    </row>
    <row r="314" spans="1:19" s="52" customFormat="1" ht="16.5" customHeight="1">
      <c r="A314" s="211">
        <v>303</v>
      </c>
      <c r="B314" s="212" t="s">
        <v>4005</v>
      </c>
      <c r="C314" s="211">
        <v>1671344</v>
      </c>
      <c r="D314" s="212" t="s">
        <v>3610</v>
      </c>
      <c r="E314" s="152" t="s">
        <v>3618</v>
      </c>
      <c r="F314" s="152" t="s">
        <v>3624</v>
      </c>
      <c r="G314" s="178" t="s">
        <v>3639</v>
      </c>
      <c r="H314" s="213" t="s">
        <v>3639</v>
      </c>
      <c r="I314" s="213" t="s">
        <v>3639</v>
      </c>
      <c r="J314" s="201">
        <f>COUNTIFS('TURMAS 2015.2'!U:U,A314)</f>
        <v>1</v>
      </c>
      <c r="K314" s="201">
        <f>SUMIFS('TURMAS 2015.2'!J:J,'TURMAS 2015.2'!U:U,A314)</f>
        <v>3</v>
      </c>
      <c r="L314" s="201">
        <f>COUNTIF('TURMAS 2015.2'!X:X,A314)</f>
        <v>2</v>
      </c>
      <c r="M314" s="201">
        <f>SUMIFS('TURMAS 2015.2'!K:K,'TURMAS 2015.2'!X:X,A314)</f>
        <v>5</v>
      </c>
      <c r="N314" s="201">
        <f t="shared" si="4"/>
        <v>8</v>
      </c>
      <c r="O314" s="214"/>
      <c r="P314" s="152">
        <v>0</v>
      </c>
      <c r="Q314" s="152">
        <v>0</v>
      </c>
      <c r="R314" s="152">
        <v>1</v>
      </c>
      <c r="S314" s="152">
        <v>303</v>
      </c>
    </row>
    <row r="315" spans="1:19" s="52" customFormat="1" ht="16.5" customHeight="1">
      <c r="A315" s="211">
        <v>304</v>
      </c>
      <c r="B315" s="212" t="s">
        <v>4006</v>
      </c>
      <c r="C315" s="211">
        <v>2526701</v>
      </c>
      <c r="D315" s="212" t="s">
        <v>3610</v>
      </c>
      <c r="E315" s="152" t="s">
        <v>3618</v>
      </c>
      <c r="F315" s="152" t="s">
        <v>3624</v>
      </c>
      <c r="G315" s="178" t="s">
        <v>3639</v>
      </c>
      <c r="H315" s="213" t="s">
        <v>3639</v>
      </c>
      <c r="I315" s="213" t="s">
        <v>3639</v>
      </c>
      <c r="J315" s="201">
        <f>COUNTIFS('TURMAS 2015.2'!U:U,A315)</f>
        <v>0</v>
      </c>
      <c r="K315" s="201">
        <f>SUMIFS('TURMAS 2015.2'!J:J,'TURMAS 2015.2'!U:U,A315)</f>
        <v>0</v>
      </c>
      <c r="L315" s="201">
        <f>COUNTIF('TURMAS 2015.2'!X:X,A315)</f>
        <v>0</v>
      </c>
      <c r="M315" s="201">
        <f>SUMIFS('TURMAS 2015.2'!K:K,'TURMAS 2015.2'!X:X,A315)</f>
        <v>0</v>
      </c>
      <c r="N315" s="201">
        <f t="shared" si="4"/>
        <v>0</v>
      </c>
      <c r="O315" s="214"/>
      <c r="P315" s="152" t="s">
        <v>4007</v>
      </c>
      <c r="Q315" s="152">
        <v>1</v>
      </c>
      <c r="R315" s="152">
        <v>0</v>
      </c>
      <c r="S315" s="152">
        <v>304</v>
      </c>
    </row>
    <row r="316" spans="1:19" s="52" customFormat="1" ht="16.5" customHeight="1">
      <c r="A316" s="211">
        <v>305</v>
      </c>
      <c r="B316" s="212" t="s">
        <v>4008</v>
      </c>
      <c r="C316" s="211">
        <v>1623774</v>
      </c>
      <c r="D316" s="212" t="s">
        <v>3610</v>
      </c>
      <c r="E316" s="152" t="s">
        <v>3643</v>
      </c>
      <c r="F316" s="152" t="s">
        <v>3624</v>
      </c>
      <c r="G316" s="178" t="s">
        <v>3639</v>
      </c>
      <c r="H316" s="213" t="s">
        <v>3639</v>
      </c>
      <c r="I316" s="213" t="s">
        <v>3639</v>
      </c>
      <c r="J316" s="201">
        <f>COUNTIFS('TURMAS 2015.2'!U:U,A316)</f>
        <v>2</v>
      </c>
      <c r="K316" s="201">
        <f>SUMIFS('TURMAS 2015.2'!J:J,'TURMAS 2015.2'!U:U,A316)</f>
        <v>8</v>
      </c>
      <c r="L316" s="201">
        <f>COUNTIF('TURMAS 2015.2'!X:X,A316)</f>
        <v>1</v>
      </c>
      <c r="M316" s="201">
        <f>SUMIFS('TURMAS 2015.2'!K:K,'TURMAS 2015.2'!X:X,A316)</f>
        <v>2</v>
      </c>
      <c r="N316" s="201">
        <f t="shared" si="4"/>
        <v>10</v>
      </c>
      <c r="O316" s="214"/>
      <c r="P316" s="152">
        <v>0</v>
      </c>
      <c r="Q316" s="152">
        <v>0</v>
      </c>
      <c r="R316" s="152">
        <v>1</v>
      </c>
      <c r="S316" s="152">
        <v>305</v>
      </c>
    </row>
    <row r="317" spans="1:19" s="52" customFormat="1" ht="16.5" customHeight="1">
      <c r="A317" s="211">
        <v>306</v>
      </c>
      <c r="B317" s="212" t="s">
        <v>4009</v>
      </c>
      <c r="C317" s="211">
        <v>1604343</v>
      </c>
      <c r="D317" s="212" t="s">
        <v>3610</v>
      </c>
      <c r="E317" s="152" t="s">
        <v>3618</v>
      </c>
      <c r="F317" s="152" t="s">
        <v>3624</v>
      </c>
      <c r="G317" s="178" t="s">
        <v>3639</v>
      </c>
      <c r="H317" s="213" t="s">
        <v>3639</v>
      </c>
      <c r="I317" s="213" t="s">
        <v>3639</v>
      </c>
      <c r="J317" s="201">
        <f>COUNTIFS('TURMAS 2015.2'!U:U,A317)</f>
        <v>1</v>
      </c>
      <c r="K317" s="201">
        <f>SUMIFS('TURMAS 2015.2'!J:J,'TURMAS 2015.2'!U:U,A317)</f>
        <v>3</v>
      </c>
      <c r="L317" s="201">
        <f>COUNTIF('TURMAS 2015.2'!X:X,A317)</f>
        <v>1</v>
      </c>
      <c r="M317" s="201">
        <f>SUMIFS('TURMAS 2015.2'!K:K,'TURMAS 2015.2'!X:X,A317)</f>
        <v>1</v>
      </c>
      <c r="N317" s="201">
        <f t="shared" si="4"/>
        <v>4</v>
      </c>
      <c r="O317" s="214"/>
      <c r="P317" s="152" t="s">
        <v>4010</v>
      </c>
      <c r="Q317" s="152">
        <v>0.5</v>
      </c>
      <c r="R317" s="152">
        <v>0.5</v>
      </c>
      <c r="S317" s="152">
        <v>306</v>
      </c>
    </row>
    <row r="318" spans="1:19" s="52" customFormat="1" ht="16.5" customHeight="1">
      <c r="A318" s="211">
        <v>307</v>
      </c>
      <c r="B318" s="212" t="s">
        <v>4011</v>
      </c>
      <c r="C318" s="211">
        <v>1762420</v>
      </c>
      <c r="D318" s="212" t="s">
        <v>3610</v>
      </c>
      <c r="E318" s="152" t="s">
        <v>3611</v>
      </c>
      <c r="F318" s="152" t="s">
        <v>3624</v>
      </c>
      <c r="G318" s="178" t="s">
        <v>3639</v>
      </c>
      <c r="H318" s="213" t="s">
        <v>3639</v>
      </c>
      <c r="I318" s="213" t="s">
        <v>3639</v>
      </c>
      <c r="J318" s="201">
        <f>COUNTIFS('TURMAS 2015.2'!U:U,A318)</f>
        <v>0</v>
      </c>
      <c r="K318" s="201">
        <f>SUMIFS('TURMAS 2015.2'!J:J,'TURMAS 2015.2'!U:U,A318)</f>
        <v>0</v>
      </c>
      <c r="L318" s="201">
        <f>COUNTIF('TURMAS 2015.2'!X:X,A318)</f>
        <v>4</v>
      </c>
      <c r="M318" s="201">
        <f>SUMIFS('TURMAS 2015.2'!K:K,'TURMAS 2015.2'!X:X,A318)</f>
        <v>8</v>
      </c>
      <c r="N318" s="201">
        <f t="shared" si="4"/>
        <v>8</v>
      </c>
      <c r="O318" s="214"/>
      <c r="P318" s="152">
        <v>0</v>
      </c>
      <c r="Q318" s="152">
        <v>0</v>
      </c>
      <c r="R318" s="152">
        <v>1</v>
      </c>
      <c r="S318" s="152">
        <v>307</v>
      </c>
    </row>
    <row r="319" spans="1:19" s="52" customFormat="1" ht="16.5" customHeight="1">
      <c r="A319" s="211">
        <v>308</v>
      </c>
      <c r="B319" s="212" t="s">
        <v>4012</v>
      </c>
      <c r="C319" s="211">
        <v>2065483</v>
      </c>
      <c r="D319" s="212" t="s">
        <v>3653</v>
      </c>
      <c r="E319" s="152" t="s">
        <v>3618</v>
      </c>
      <c r="F319" s="152" t="s">
        <v>3624</v>
      </c>
      <c r="G319" s="178" t="s">
        <v>3639</v>
      </c>
      <c r="H319" s="213" t="s">
        <v>3639</v>
      </c>
      <c r="I319" s="213" t="s">
        <v>3639</v>
      </c>
      <c r="J319" s="201">
        <f>COUNTIFS('TURMAS 2015.2'!U:U,A319)</f>
        <v>2</v>
      </c>
      <c r="K319" s="201">
        <f>SUMIFS('TURMAS 2015.2'!J:J,'TURMAS 2015.2'!U:U,A319)</f>
        <v>2</v>
      </c>
      <c r="L319" s="201">
        <f>COUNTIF('TURMAS 2015.2'!X:X,A319)</f>
        <v>3</v>
      </c>
      <c r="M319" s="201">
        <f>SUMIFS('TURMAS 2015.2'!K:K,'TURMAS 2015.2'!X:X,A319)</f>
        <v>6</v>
      </c>
      <c r="N319" s="201">
        <f t="shared" si="4"/>
        <v>8</v>
      </c>
      <c r="O319" s="214"/>
      <c r="P319" s="152">
        <v>0</v>
      </c>
      <c r="Q319" s="152">
        <v>0</v>
      </c>
      <c r="R319" s="152">
        <v>1</v>
      </c>
      <c r="S319" s="152">
        <v>308</v>
      </c>
    </row>
    <row r="320" spans="1:19" s="52" customFormat="1" ht="16.5" customHeight="1">
      <c r="A320" s="211">
        <v>309</v>
      </c>
      <c r="B320" s="212" t="s">
        <v>4013</v>
      </c>
      <c r="C320" s="211">
        <v>1838179</v>
      </c>
      <c r="D320" s="212" t="s">
        <v>3635</v>
      </c>
      <c r="E320" s="152" t="s">
        <v>3618</v>
      </c>
      <c r="F320" s="152" t="s">
        <v>3624</v>
      </c>
      <c r="G320" s="178" t="s">
        <v>3639</v>
      </c>
      <c r="H320" s="213" t="s">
        <v>3639</v>
      </c>
      <c r="I320" s="213" t="s">
        <v>3639</v>
      </c>
      <c r="J320" s="201">
        <f>COUNTIFS('TURMAS 2015.2'!U:U,A320)</f>
        <v>2</v>
      </c>
      <c r="K320" s="201">
        <f>SUMIFS('TURMAS 2015.2'!J:J,'TURMAS 2015.2'!U:U,A320)</f>
        <v>3</v>
      </c>
      <c r="L320" s="201">
        <f>COUNTIF('TURMAS 2015.2'!X:X,A320)</f>
        <v>2</v>
      </c>
      <c r="M320" s="201">
        <f>SUMIFS('TURMAS 2015.2'!K:K,'TURMAS 2015.2'!X:X,A320)</f>
        <v>4</v>
      </c>
      <c r="N320" s="201">
        <f t="shared" si="4"/>
        <v>7</v>
      </c>
      <c r="O320" s="214"/>
      <c r="P320" s="152">
        <v>0</v>
      </c>
      <c r="Q320" s="152">
        <v>0</v>
      </c>
      <c r="R320" s="152">
        <v>1</v>
      </c>
      <c r="S320" s="152">
        <v>309</v>
      </c>
    </row>
    <row r="321" spans="1:19" s="52" customFormat="1" ht="16.5" customHeight="1">
      <c r="A321" s="211">
        <v>310</v>
      </c>
      <c r="B321" s="212" t="s">
        <v>4014</v>
      </c>
      <c r="C321" s="211">
        <v>1526352</v>
      </c>
      <c r="D321" s="212" t="s">
        <v>3635</v>
      </c>
      <c r="E321" s="152" t="s">
        <v>3643</v>
      </c>
      <c r="F321" s="152" t="s">
        <v>3624</v>
      </c>
      <c r="G321" s="178" t="s">
        <v>3639</v>
      </c>
      <c r="H321" s="213" t="s">
        <v>3639</v>
      </c>
      <c r="I321" s="213" t="s">
        <v>3639</v>
      </c>
      <c r="J321" s="201">
        <f>COUNTIFS('TURMAS 2015.2'!U:U,A321)</f>
        <v>3</v>
      </c>
      <c r="K321" s="201">
        <f>SUMIFS('TURMAS 2015.2'!J:J,'TURMAS 2015.2'!U:U,A321)</f>
        <v>7</v>
      </c>
      <c r="L321" s="201">
        <f>COUNTIF('TURMAS 2015.2'!X:X,A321)</f>
        <v>0</v>
      </c>
      <c r="M321" s="201">
        <f>SUMIFS('TURMAS 2015.2'!K:K,'TURMAS 2015.2'!X:X,A321)</f>
        <v>0</v>
      </c>
      <c r="N321" s="201">
        <f t="shared" si="4"/>
        <v>7</v>
      </c>
      <c r="O321" s="214"/>
      <c r="P321" s="152">
        <v>0</v>
      </c>
      <c r="Q321" s="152">
        <v>0</v>
      </c>
      <c r="R321" s="152">
        <v>1</v>
      </c>
      <c r="S321" s="152">
        <v>310</v>
      </c>
    </row>
    <row r="322" spans="1:19" s="52" customFormat="1" ht="16.5" customHeight="1">
      <c r="A322" s="211">
        <v>311</v>
      </c>
      <c r="B322" s="215" t="s">
        <v>4015</v>
      </c>
      <c r="C322" s="211">
        <v>1951839</v>
      </c>
      <c r="D322" s="211"/>
      <c r="E322" s="152" t="s">
        <v>3611</v>
      </c>
      <c r="F322" s="152" t="s">
        <v>3624</v>
      </c>
      <c r="G322" s="178"/>
      <c r="H322" s="213"/>
      <c r="I322" s="213"/>
      <c r="J322" s="201">
        <f>COUNTIFS('TURMAS 2015.2'!U:U,A322)</f>
        <v>0</v>
      </c>
      <c r="K322" s="201">
        <f>SUMIFS('TURMAS 2015.2'!J:J,'TURMAS 2015.2'!U:U,A322)</f>
        <v>0</v>
      </c>
      <c r="L322" s="201">
        <f>COUNTIF('TURMAS 2015.2'!X:X,A322)</f>
        <v>0</v>
      </c>
      <c r="M322" s="201">
        <f>SUMIFS('TURMAS 2015.2'!K:K,'TURMAS 2015.2'!X:X,A322)</f>
        <v>0</v>
      </c>
      <c r="N322" s="201">
        <f t="shared" si="4"/>
        <v>0</v>
      </c>
      <c r="O322" s="214"/>
      <c r="P322" s="152"/>
      <c r="Q322" s="152"/>
      <c r="R322" s="152"/>
      <c r="S322" s="152">
        <v>311</v>
      </c>
    </row>
    <row r="323" spans="1:19" s="52" customFormat="1" ht="16.5" customHeight="1">
      <c r="A323" s="211">
        <v>312</v>
      </c>
      <c r="B323" s="212" t="s">
        <v>4016</v>
      </c>
      <c r="C323" s="211">
        <v>1263030</v>
      </c>
      <c r="D323" s="212" t="s">
        <v>3642</v>
      </c>
      <c r="E323" s="152" t="s">
        <v>3618</v>
      </c>
      <c r="F323" s="152" t="s">
        <v>3624</v>
      </c>
      <c r="G323" s="178" t="s">
        <v>3639</v>
      </c>
      <c r="H323" s="213" t="s">
        <v>3639</v>
      </c>
      <c r="I323" s="213" t="s">
        <v>3639</v>
      </c>
      <c r="J323" s="201">
        <f>COUNTIFS('TURMAS 2015.2'!U:U,A323)</f>
        <v>0</v>
      </c>
      <c r="K323" s="201">
        <f>SUMIFS('TURMAS 2015.2'!J:J,'TURMAS 2015.2'!U:U,A323)</f>
        <v>0</v>
      </c>
      <c r="L323" s="201">
        <f>COUNTIF('TURMAS 2015.2'!X:X,A323)</f>
        <v>0</v>
      </c>
      <c r="M323" s="201">
        <f>SUMIFS('TURMAS 2015.2'!K:K,'TURMAS 2015.2'!X:X,A323)</f>
        <v>0</v>
      </c>
      <c r="N323" s="201">
        <f t="shared" si="4"/>
        <v>0</v>
      </c>
      <c r="O323" s="214"/>
      <c r="P323" s="152" t="s">
        <v>4017</v>
      </c>
      <c r="Q323" s="152">
        <v>0.5</v>
      </c>
      <c r="R323" s="152">
        <v>0.5</v>
      </c>
      <c r="S323" s="152">
        <v>312</v>
      </c>
    </row>
    <row r="324" spans="1:19" s="52" customFormat="1" ht="16.5" customHeight="1">
      <c r="A324" s="211">
        <v>313</v>
      </c>
      <c r="B324" s="212" t="s">
        <v>4018</v>
      </c>
      <c r="C324" s="211">
        <v>1724836</v>
      </c>
      <c r="D324" s="212" t="s">
        <v>3642</v>
      </c>
      <c r="E324" s="152" t="s">
        <v>3643</v>
      </c>
      <c r="F324" s="152" t="s">
        <v>3624</v>
      </c>
      <c r="G324" s="178" t="s">
        <v>3639</v>
      </c>
      <c r="H324" s="213" t="s">
        <v>3639</v>
      </c>
      <c r="I324" s="213" t="s">
        <v>3639</v>
      </c>
      <c r="J324" s="201">
        <f>COUNTIFS('TURMAS 2015.2'!U:U,A324)</f>
        <v>0</v>
      </c>
      <c r="K324" s="201">
        <f>SUMIFS('TURMAS 2015.2'!J:J,'TURMAS 2015.2'!U:U,A324)</f>
        <v>0</v>
      </c>
      <c r="L324" s="201">
        <f>COUNTIF('TURMAS 2015.2'!X:X,A324)</f>
        <v>0</v>
      </c>
      <c r="M324" s="201">
        <f>SUMIFS('TURMAS 2015.2'!K:K,'TURMAS 2015.2'!X:X,A324)</f>
        <v>0</v>
      </c>
      <c r="N324" s="201">
        <f t="shared" si="4"/>
        <v>0</v>
      </c>
      <c r="O324" s="214"/>
      <c r="P324" s="152" t="s">
        <v>4019</v>
      </c>
      <c r="Q324" s="152">
        <v>1</v>
      </c>
      <c r="R324" s="152">
        <v>0</v>
      </c>
      <c r="S324" s="152">
        <v>313</v>
      </c>
    </row>
    <row r="325" spans="1:19" s="52" customFormat="1" ht="16.5" customHeight="1">
      <c r="A325" s="211">
        <v>314</v>
      </c>
      <c r="B325" s="203" t="s">
        <v>4020</v>
      </c>
      <c r="C325" s="202">
        <v>1780373</v>
      </c>
      <c r="D325" s="203" t="s">
        <v>3610</v>
      </c>
      <c r="E325" s="149" t="s">
        <v>3643</v>
      </c>
      <c r="F325" s="152" t="s">
        <v>3624</v>
      </c>
      <c r="G325" s="179"/>
      <c r="H325" s="214"/>
      <c r="I325" s="214"/>
      <c r="J325" s="201">
        <f>COUNTIFS('TURMAS 2015.2'!U:U,A325)</f>
        <v>2</v>
      </c>
      <c r="K325" s="201">
        <f>SUMIFS('TURMAS 2015.2'!J:J,'TURMAS 2015.2'!U:U,A325)</f>
        <v>7</v>
      </c>
      <c r="L325" s="201">
        <f>COUNTIF('TURMAS 2015.2'!X:X,A325)</f>
        <v>1</v>
      </c>
      <c r="M325" s="201">
        <f>SUMIFS('TURMAS 2015.2'!K:K,'TURMAS 2015.2'!X:X,A325)</f>
        <v>1</v>
      </c>
      <c r="N325" s="201">
        <f t="shared" si="4"/>
        <v>8</v>
      </c>
      <c r="O325" s="214"/>
      <c r="P325" s="149">
        <v>0</v>
      </c>
      <c r="Q325" s="149">
        <v>0</v>
      </c>
      <c r="R325" s="149">
        <v>1</v>
      </c>
      <c r="S325" s="152">
        <v>314</v>
      </c>
    </row>
    <row r="326" spans="1:19" s="52" customFormat="1" ht="16.5" customHeight="1">
      <c r="A326" s="211">
        <v>315</v>
      </c>
      <c r="B326" s="212" t="s">
        <v>4021</v>
      </c>
      <c r="C326" s="211">
        <v>1806851</v>
      </c>
      <c r="D326" s="212" t="s">
        <v>3635</v>
      </c>
      <c r="E326" s="152" t="s">
        <v>3618</v>
      </c>
      <c r="F326" s="152" t="s">
        <v>3624</v>
      </c>
      <c r="G326" s="178" t="s">
        <v>3639</v>
      </c>
      <c r="H326" s="213" t="s">
        <v>3639</v>
      </c>
      <c r="I326" s="213" t="s">
        <v>3639</v>
      </c>
      <c r="J326" s="201">
        <f>COUNTIFS('TURMAS 2015.2'!U:U,A326)</f>
        <v>2</v>
      </c>
      <c r="K326" s="201">
        <f>SUMIFS('TURMAS 2015.2'!J:J,'TURMAS 2015.2'!U:U,A326)</f>
        <v>7</v>
      </c>
      <c r="L326" s="201">
        <f>COUNTIF('TURMAS 2015.2'!X:X,A326)</f>
        <v>1</v>
      </c>
      <c r="M326" s="201">
        <f>SUMIFS('TURMAS 2015.2'!K:K,'TURMAS 2015.2'!X:X,A326)</f>
        <v>1</v>
      </c>
      <c r="N326" s="201">
        <f t="shared" si="4"/>
        <v>8</v>
      </c>
      <c r="O326" s="214"/>
      <c r="P326" s="152">
        <v>0</v>
      </c>
      <c r="Q326" s="152">
        <v>0</v>
      </c>
      <c r="R326" s="152">
        <v>1</v>
      </c>
      <c r="S326" s="152">
        <v>315</v>
      </c>
    </row>
    <row r="327" spans="1:19" s="52" customFormat="1" ht="16.5" customHeight="1">
      <c r="A327" s="211">
        <v>316</v>
      </c>
      <c r="B327" s="212" t="s">
        <v>4022</v>
      </c>
      <c r="C327" s="211">
        <v>1523568</v>
      </c>
      <c r="D327" s="212" t="s">
        <v>3647</v>
      </c>
      <c r="E327" s="152" t="s">
        <v>3618</v>
      </c>
      <c r="F327" s="152" t="s">
        <v>3624</v>
      </c>
      <c r="G327" s="178" t="s">
        <v>3639</v>
      </c>
      <c r="H327" s="213" t="s">
        <v>3639</v>
      </c>
      <c r="I327" s="213" t="s">
        <v>3639</v>
      </c>
      <c r="J327" s="201">
        <f>COUNTIFS('TURMAS 2015.2'!U:U,A327)</f>
        <v>2</v>
      </c>
      <c r="K327" s="201">
        <f>SUMIFS('TURMAS 2015.2'!J:J,'TURMAS 2015.2'!U:U,A327)</f>
        <v>7</v>
      </c>
      <c r="L327" s="201">
        <f>COUNTIF('TURMAS 2015.2'!X:X,A327)</f>
        <v>0</v>
      </c>
      <c r="M327" s="201">
        <f>SUMIFS('TURMAS 2015.2'!K:K,'TURMAS 2015.2'!X:X,A327)</f>
        <v>0</v>
      </c>
      <c r="N327" s="201">
        <f t="shared" si="4"/>
        <v>7</v>
      </c>
      <c r="O327" s="214"/>
      <c r="P327" s="152">
        <v>0</v>
      </c>
      <c r="Q327" s="152">
        <v>0</v>
      </c>
      <c r="R327" s="152">
        <v>1</v>
      </c>
      <c r="S327" s="152">
        <v>316</v>
      </c>
    </row>
    <row r="328" spans="1:19" s="52" customFormat="1" ht="16.5" customHeight="1">
      <c r="A328" s="211">
        <v>317</v>
      </c>
      <c r="B328" s="212" t="s">
        <v>4023</v>
      </c>
      <c r="C328" s="211">
        <v>2058245</v>
      </c>
      <c r="D328" s="212" t="s">
        <v>3653</v>
      </c>
      <c r="E328" s="152" t="s">
        <v>3618</v>
      </c>
      <c r="F328" s="152" t="s">
        <v>3624</v>
      </c>
      <c r="G328" s="178" t="s">
        <v>3639</v>
      </c>
      <c r="H328" s="213" t="s">
        <v>3639</v>
      </c>
      <c r="I328" s="213" t="s">
        <v>3639</v>
      </c>
      <c r="J328" s="201">
        <f>COUNTIFS('TURMAS 2015.2'!U:U,A328)</f>
        <v>1</v>
      </c>
      <c r="K328" s="201">
        <f>SUMIFS('TURMAS 2015.2'!J:J,'TURMAS 2015.2'!U:U,A328)</f>
        <v>4</v>
      </c>
      <c r="L328" s="201">
        <f>COUNTIF('TURMAS 2015.2'!X:X,A328)</f>
        <v>0</v>
      </c>
      <c r="M328" s="201">
        <f>SUMIFS('TURMAS 2015.2'!K:K,'TURMAS 2015.2'!X:X,A328)</f>
        <v>0</v>
      </c>
      <c r="N328" s="201">
        <f t="shared" si="4"/>
        <v>4</v>
      </c>
      <c r="O328" s="214"/>
      <c r="P328" s="152">
        <v>0</v>
      </c>
      <c r="Q328" s="152">
        <v>0</v>
      </c>
      <c r="R328" s="152">
        <v>1</v>
      </c>
      <c r="S328" s="152">
        <v>317</v>
      </c>
    </row>
    <row r="329" spans="1:19" s="52" customFormat="1" ht="16.5" customHeight="1">
      <c r="A329" s="211">
        <v>318</v>
      </c>
      <c r="B329" s="212" t="s">
        <v>4024</v>
      </c>
      <c r="C329" s="211">
        <v>1604147</v>
      </c>
      <c r="D329" s="212" t="s">
        <v>3617</v>
      </c>
      <c r="E329" s="152" t="s">
        <v>3643</v>
      </c>
      <c r="F329" s="152" t="s">
        <v>3624</v>
      </c>
      <c r="G329" s="178" t="s">
        <v>3639</v>
      </c>
      <c r="H329" s="213" t="s">
        <v>3639</v>
      </c>
      <c r="I329" s="213" t="s">
        <v>3639</v>
      </c>
      <c r="J329" s="201">
        <f>COUNTIFS('TURMAS 2015.2'!U:U,A329)</f>
        <v>0</v>
      </c>
      <c r="K329" s="201">
        <f>SUMIFS('TURMAS 2015.2'!J:J,'TURMAS 2015.2'!U:U,A329)</f>
        <v>0</v>
      </c>
      <c r="L329" s="201">
        <f>COUNTIF('TURMAS 2015.2'!X:X,A329)</f>
        <v>1</v>
      </c>
      <c r="M329" s="201">
        <f>SUMIFS('TURMAS 2015.2'!K:K,'TURMAS 2015.2'!X:X,A329)</f>
        <v>3</v>
      </c>
      <c r="N329" s="201">
        <f t="shared" si="4"/>
        <v>3</v>
      </c>
      <c r="O329" s="214"/>
      <c r="P329" s="152">
        <v>0</v>
      </c>
      <c r="Q329" s="152">
        <v>0</v>
      </c>
      <c r="R329" s="152">
        <v>1</v>
      </c>
      <c r="S329" s="152">
        <v>318</v>
      </c>
    </row>
    <row r="330" spans="1:19" s="52" customFormat="1" ht="16.5" customHeight="1">
      <c r="A330" s="211">
        <v>319</v>
      </c>
      <c r="B330" s="215" t="s">
        <v>4025</v>
      </c>
      <c r="C330" s="211">
        <v>2187277</v>
      </c>
      <c r="D330" s="211"/>
      <c r="E330" s="152" t="s">
        <v>3618</v>
      </c>
      <c r="F330" s="152" t="s">
        <v>3624</v>
      </c>
      <c r="G330" s="178"/>
      <c r="H330" s="213"/>
      <c r="I330" s="213"/>
      <c r="J330" s="201">
        <f>COUNTIFS('TURMAS 2015.2'!U:U,A330)</f>
        <v>3</v>
      </c>
      <c r="K330" s="201">
        <f>SUMIFS('TURMAS 2015.2'!J:J,'TURMAS 2015.2'!U:U,A330)</f>
        <v>6</v>
      </c>
      <c r="L330" s="201">
        <f>COUNTIF('TURMAS 2015.2'!X:X,A330)</f>
        <v>1</v>
      </c>
      <c r="M330" s="201">
        <f>SUMIFS('TURMAS 2015.2'!K:K,'TURMAS 2015.2'!X:X,A330)</f>
        <v>2</v>
      </c>
      <c r="N330" s="201">
        <f t="shared" si="4"/>
        <v>8</v>
      </c>
      <c r="O330" s="214"/>
      <c r="P330" s="152"/>
      <c r="Q330" s="152"/>
      <c r="R330" s="152"/>
      <c r="S330" s="152">
        <v>319</v>
      </c>
    </row>
    <row r="331" spans="1:19" s="52" customFormat="1" ht="16.5" customHeight="1">
      <c r="A331" s="211">
        <v>320</v>
      </c>
      <c r="B331" s="212" t="s">
        <v>4026</v>
      </c>
      <c r="C331" s="211">
        <v>1847297</v>
      </c>
      <c r="D331" s="212" t="s">
        <v>3635</v>
      </c>
      <c r="E331" s="152" t="s">
        <v>3611</v>
      </c>
      <c r="F331" s="152" t="s">
        <v>3624</v>
      </c>
      <c r="G331" s="178" t="s">
        <v>3639</v>
      </c>
      <c r="H331" s="213" t="s">
        <v>3639</v>
      </c>
      <c r="I331" s="213" t="s">
        <v>3639</v>
      </c>
      <c r="J331" s="201">
        <f>COUNTIFS('TURMAS 2015.2'!U:U,A331)</f>
        <v>1</v>
      </c>
      <c r="K331" s="201">
        <f>SUMIFS('TURMAS 2015.2'!J:J,'TURMAS 2015.2'!U:U,A331)</f>
        <v>2</v>
      </c>
      <c r="L331" s="201">
        <f>COUNTIF('TURMAS 2015.2'!X:X,A331)</f>
        <v>1</v>
      </c>
      <c r="M331" s="201">
        <f>SUMIFS('TURMAS 2015.2'!K:K,'TURMAS 2015.2'!X:X,A331)</f>
        <v>2</v>
      </c>
      <c r="N331" s="201">
        <f t="shared" si="4"/>
        <v>4</v>
      </c>
      <c r="O331" s="214"/>
      <c r="P331" s="152" t="s">
        <v>4027</v>
      </c>
      <c r="Q331" s="152">
        <v>0.3</v>
      </c>
      <c r="R331" s="152">
        <v>0.7</v>
      </c>
      <c r="S331" s="152">
        <v>320</v>
      </c>
    </row>
    <row r="332" spans="1:19" s="52" customFormat="1" ht="16.5" customHeight="1">
      <c r="A332" s="211">
        <v>321</v>
      </c>
      <c r="B332" s="212" t="s">
        <v>4028</v>
      </c>
      <c r="C332" s="211">
        <v>1652541</v>
      </c>
      <c r="D332" s="212" t="s">
        <v>3635</v>
      </c>
      <c r="E332" s="152" t="s">
        <v>3643</v>
      </c>
      <c r="F332" s="152" t="s">
        <v>3624</v>
      </c>
      <c r="G332" s="178" t="s">
        <v>3639</v>
      </c>
      <c r="H332" s="213" t="s">
        <v>3639</v>
      </c>
      <c r="I332" s="213" t="s">
        <v>3639</v>
      </c>
      <c r="J332" s="201">
        <f>COUNTIFS('TURMAS 2015.2'!U:U,A332)</f>
        <v>0</v>
      </c>
      <c r="K332" s="201">
        <f>SUMIFS('TURMAS 2015.2'!J:J,'TURMAS 2015.2'!U:U,A332)</f>
        <v>0</v>
      </c>
      <c r="L332" s="201">
        <f>COUNTIF('TURMAS 2015.2'!X:X,A332)</f>
        <v>0</v>
      </c>
      <c r="M332" s="201">
        <f>SUMIFS('TURMAS 2015.2'!K:K,'TURMAS 2015.2'!X:X,A332)</f>
        <v>0</v>
      </c>
      <c r="N332" s="201">
        <f t="shared" ref="N332:N395" si="5">K332+M332</f>
        <v>0</v>
      </c>
      <c r="O332" s="214"/>
      <c r="P332" s="152">
        <v>0</v>
      </c>
      <c r="Q332" s="152">
        <v>0</v>
      </c>
      <c r="R332" s="152">
        <v>1</v>
      </c>
      <c r="S332" s="152">
        <v>321</v>
      </c>
    </row>
    <row r="333" spans="1:19" s="56" customFormat="1" ht="16.5" customHeight="1">
      <c r="A333" s="211">
        <v>322</v>
      </c>
      <c r="B333" s="212" t="s">
        <v>4029</v>
      </c>
      <c r="C333" s="211">
        <v>2067640</v>
      </c>
      <c r="D333" s="212" t="s">
        <v>3653</v>
      </c>
      <c r="E333" s="152" t="s">
        <v>3643</v>
      </c>
      <c r="F333" s="152" t="s">
        <v>3624</v>
      </c>
      <c r="G333" s="178" t="s">
        <v>3639</v>
      </c>
      <c r="H333" s="213" t="s">
        <v>3639</v>
      </c>
      <c r="I333" s="213" t="s">
        <v>3639</v>
      </c>
      <c r="J333" s="201">
        <f>COUNTIFS('TURMAS 2015.2'!U:U,A333)</f>
        <v>0</v>
      </c>
      <c r="K333" s="201">
        <f>SUMIFS('TURMAS 2015.2'!J:J,'TURMAS 2015.2'!U:U,A333)</f>
        <v>0</v>
      </c>
      <c r="L333" s="201">
        <f>COUNTIF('TURMAS 2015.2'!X:X,A333)</f>
        <v>0</v>
      </c>
      <c r="M333" s="201">
        <f>SUMIFS('TURMAS 2015.2'!K:K,'TURMAS 2015.2'!X:X,A333)</f>
        <v>0</v>
      </c>
      <c r="N333" s="201">
        <f t="shared" si="5"/>
        <v>0</v>
      </c>
      <c r="O333" s="214"/>
      <c r="P333" s="152">
        <v>0</v>
      </c>
      <c r="Q333" s="152">
        <v>0</v>
      </c>
      <c r="R333" s="152">
        <v>1</v>
      </c>
      <c r="S333" s="152">
        <v>322</v>
      </c>
    </row>
    <row r="334" spans="1:19" s="52" customFormat="1" ht="16.5" customHeight="1">
      <c r="A334" s="211">
        <v>323</v>
      </c>
      <c r="B334" s="215" t="s">
        <v>4030</v>
      </c>
      <c r="C334" s="211">
        <v>2218228</v>
      </c>
      <c r="D334" s="211"/>
      <c r="E334" s="152" t="s">
        <v>3643</v>
      </c>
      <c r="F334" s="152" t="s">
        <v>3624</v>
      </c>
      <c r="G334" s="178"/>
      <c r="H334" s="213"/>
      <c r="I334" s="213"/>
      <c r="J334" s="201">
        <f>COUNTIFS('TURMAS 2015.2'!U:U,A334)</f>
        <v>0</v>
      </c>
      <c r="K334" s="201">
        <f>SUMIFS('TURMAS 2015.2'!J:J,'TURMAS 2015.2'!U:U,A334)</f>
        <v>0</v>
      </c>
      <c r="L334" s="201">
        <f>COUNTIF('TURMAS 2015.2'!X:X,A334)</f>
        <v>0</v>
      </c>
      <c r="M334" s="201">
        <f>SUMIFS('TURMAS 2015.2'!K:K,'TURMAS 2015.2'!X:X,A334)</f>
        <v>0</v>
      </c>
      <c r="N334" s="201">
        <f t="shared" si="5"/>
        <v>0</v>
      </c>
      <c r="O334" s="214"/>
      <c r="P334" s="152"/>
      <c r="Q334" s="152"/>
      <c r="R334" s="152"/>
      <c r="S334" s="152">
        <v>323</v>
      </c>
    </row>
    <row r="335" spans="1:19" s="52" customFormat="1" ht="16.5" customHeight="1">
      <c r="A335" s="211">
        <v>324</v>
      </c>
      <c r="B335" s="212" t="s">
        <v>4031</v>
      </c>
      <c r="C335" s="211">
        <v>1953448</v>
      </c>
      <c r="D335" s="212" t="s">
        <v>3617</v>
      </c>
      <c r="E335" s="152" t="s">
        <v>3618</v>
      </c>
      <c r="F335" s="152" t="s">
        <v>3624</v>
      </c>
      <c r="G335" s="178" t="s">
        <v>3639</v>
      </c>
      <c r="H335" s="213" t="s">
        <v>3639</v>
      </c>
      <c r="I335" s="213" t="s">
        <v>3639</v>
      </c>
      <c r="J335" s="201">
        <f>COUNTIFS('TURMAS 2015.2'!U:U,A335)</f>
        <v>2</v>
      </c>
      <c r="K335" s="201">
        <f>SUMIFS('TURMAS 2015.2'!J:J,'TURMAS 2015.2'!U:U,A335)</f>
        <v>4</v>
      </c>
      <c r="L335" s="201">
        <f>COUNTIF('TURMAS 2015.2'!X:X,A335)</f>
        <v>1</v>
      </c>
      <c r="M335" s="201">
        <f>SUMIFS('TURMAS 2015.2'!K:K,'TURMAS 2015.2'!X:X,A335)</f>
        <v>2</v>
      </c>
      <c r="N335" s="201">
        <f t="shared" si="5"/>
        <v>6</v>
      </c>
      <c r="O335" s="214"/>
      <c r="P335" s="152">
        <v>0</v>
      </c>
      <c r="Q335" s="152">
        <v>0</v>
      </c>
      <c r="R335" s="152">
        <v>1</v>
      </c>
      <c r="S335" s="152">
        <v>324</v>
      </c>
    </row>
    <row r="336" spans="1:19" s="52" customFormat="1" ht="16.5" customHeight="1">
      <c r="A336" s="211">
        <v>325</v>
      </c>
      <c r="B336" s="212" t="s">
        <v>4032</v>
      </c>
      <c r="C336" s="211">
        <v>1814655</v>
      </c>
      <c r="D336" s="212" t="s">
        <v>3610</v>
      </c>
      <c r="E336" s="152" t="s">
        <v>3618</v>
      </c>
      <c r="F336" s="152" t="s">
        <v>3624</v>
      </c>
      <c r="G336" s="178" t="s">
        <v>3639</v>
      </c>
      <c r="H336" s="213" t="s">
        <v>3639</v>
      </c>
      <c r="I336" s="213" t="s">
        <v>3639</v>
      </c>
      <c r="J336" s="201">
        <f>COUNTIFS('TURMAS 2015.2'!U:U,A336)</f>
        <v>1</v>
      </c>
      <c r="K336" s="201">
        <f>SUMIFS('TURMAS 2015.2'!J:J,'TURMAS 2015.2'!U:U,A336)</f>
        <v>3</v>
      </c>
      <c r="L336" s="201">
        <f>COUNTIF('TURMAS 2015.2'!X:X,A336)</f>
        <v>2</v>
      </c>
      <c r="M336" s="201">
        <f>SUMIFS('TURMAS 2015.2'!K:K,'TURMAS 2015.2'!X:X,A336)</f>
        <v>4</v>
      </c>
      <c r="N336" s="201">
        <f t="shared" si="5"/>
        <v>7</v>
      </c>
      <c r="O336" s="214"/>
      <c r="P336" s="152">
        <v>0</v>
      </c>
      <c r="Q336" s="152">
        <v>0</v>
      </c>
      <c r="R336" s="152">
        <v>1</v>
      </c>
      <c r="S336" s="152">
        <v>325</v>
      </c>
    </row>
    <row r="337" spans="1:19" s="52" customFormat="1" ht="16.5" customHeight="1">
      <c r="A337" s="211">
        <v>326</v>
      </c>
      <c r="B337" s="212" t="s">
        <v>4033</v>
      </c>
      <c r="C337" s="211">
        <v>394736</v>
      </c>
      <c r="D337" s="212" t="s">
        <v>4034</v>
      </c>
      <c r="E337" s="152" t="s">
        <v>3611</v>
      </c>
      <c r="F337" s="152" t="s">
        <v>3624</v>
      </c>
      <c r="G337" s="178" t="s">
        <v>3639</v>
      </c>
      <c r="H337" s="213" t="s">
        <v>3639</v>
      </c>
      <c r="I337" s="213" t="s">
        <v>3639</v>
      </c>
      <c r="J337" s="201">
        <f>COUNTIFS('TURMAS 2015.2'!U:U,A337)</f>
        <v>1</v>
      </c>
      <c r="K337" s="201">
        <f>SUMIFS('TURMAS 2015.2'!J:J,'TURMAS 2015.2'!U:U,A337)</f>
        <v>2</v>
      </c>
      <c r="L337" s="201">
        <f>COUNTIF('TURMAS 2015.2'!X:X,A337)</f>
        <v>1</v>
      </c>
      <c r="M337" s="201">
        <f>SUMIFS('TURMAS 2015.2'!K:K,'TURMAS 2015.2'!X:X,A337)</f>
        <v>1</v>
      </c>
      <c r="N337" s="201">
        <f t="shared" si="5"/>
        <v>3</v>
      </c>
      <c r="O337" s="214"/>
      <c r="P337" s="152" t="s">
        <v>4035</v>
      </c>
      <c r="Q337" s="152">
        <v>0.7</v>
      </c>
      <c r="R337" s="152">
        <v>0.30000000000000004</v>
      </c>
      <c r="S337" s="152">
        <v>326</v>
      </c>
    </row>
    <row r="338" spans="1:19" s="52" customFormat="1" ht="16.5" customHeight="1">
      <c r="A338" s="211">
        <v>327</v>
      </c>
      <c r="B338" s="212" t="s">
        <v>4036</v>
      </c>
      <c r="C338" s="211">
        <v>1640121</v>
      </c>
      <c r="D338" s="212" t="s">
        <v>3647</v>
      </c>
      <c r="E338" s="152" t="s">
        <v>3643</v>
      </c>
      <c r="F338" s="152" t="s">
        <v>3624</v>
      </c>
      <c r="G338" s="178" t="s">
        <v>3639</v>
      </c>
      <c r="H338" s="213" t="s">
        <v>3639</v>
      </c>
      <c r="I338" s="213" t="s">
        <v>3639</v>
      </c>
      <c r="J338" s="201">
        <f>COUNTIFS('TURMAS 2015.2'!U:U,A338)</f>
        <v>1</v>
      </c>
      <c r="K338" s="201">
        <f>SUMIFS('TURMAS 2015.2'!J:J,'TURMAS 2015.2'!U:U,A338)</f>
        <v>3</v>
      </c>
      <c r="L338" s="201">
        <f>COUNTIF('TURMAS 2015.2'!X:X,A338)</f>
        <v>1</v>
      </c>
      <c r="M338" s="201">
        <f>SUMIFS('TURMAS 2015.2'!K:K,'TURMAS 2015.2'!X:X,A338)</f>
        <v>2</v>
      </c>
      <c r="N338" s="201">
        <f t="shared" si="5"/>
        <v>5</v>
      </c>
      <c r="O338" s="214"/>
      <c r="P338" s="152">
        <v>0</v>
      </c>
      <c r="Q338" s="152">
        <v>0</v>
      </c>
      <c r="R338" s="152">
        <v>1</v>
      </c>
      <c r="S338" s="152">
        <v>327</v>
      </c>
    </row>
    <row r="339" spans="1:19" s="52" customFormat="1" ht="16.5" customHeight="1">
      <c r="A339" s="211">
        <v>328</v>
      </c>
      <c r="B339" s="212" t="s">
        <v>4037</v>
      </c>
      <c r="C339" s="211">
        <v>1763439</v>
      </c>
      <c r="D339" s="212" t="s">
        <v>3610</v>
      </c>
      <c r="E339" s="152" t="s">
        <v>3618</v>
      </c>
      <c r="F339" s="152" t="s">
        <v>3624</v>
      </c>
      <c r="G339" s="178" t="s">
        <v>3639</v>
      </c>
      <c r="H339" s="213" t="s">
        <v>3639</v>
      </c>
      <c r="I339" s="213" t="s">
        <v>3639</v>
      </c>
      <c r="J339" s="201">
        <f>COUNTIFS('TURMAS 2015.2'!U:U,A339)</f>
        <v>2</v>
      </c>
      <c r="K339" s="201">
        <f>SUMIFS('TURMAS 2015.2'!J:J,'TURMAS 2015.2'!U:U,A339)</f>
        <v>6</v>
      </c>
      <c r="L339" s="201">
        <f>COUNTIF('TURMAS 2015.2'!X:X,A339)</f>
        <v>0</v>
      </c>
      <c r="M339" s="201">
        <f>SUMIFS('TURMAS 2015.2'!K:K,'TURMAS 2015.2'!X:X,A339)</f>
        <v>0</v>
      </c>
      <c r="N339" s="201">
        <f t="shared" si="5"/>
        <v>6</v>
      </c>
      <c r="O339" s="214"/>
      <c r="P339" s="152">
        <v>0</v>
      </c>
      <c r="Q339" s="152">
        <v>0</v>
      </c>
      <c r="R339" s="152">
        <v>1</v>
      </c>
      <c r="S339" s="152">
        <v>328</v>
      </c>
    </row>
    <row r="340" spans="1:19" s="52" customFormat="1" ht="16.5" customHeight="1">
      <c r="A340" s="211">
        <v>329</v>
      </c>
      <c r="B340" s="212" t="s">
        <v>4038</v>
      </c>
      <c r="C340" s="211">
        <v>1790489</v>
      </c>
      <c r="D340" s="212" t="s">
        <v>3653</v>
      </c>
      <c r="E340" s="152" t="s">
        <v>3618</v>
      </c>
      <c r="F340" s="152" t="s">
        <v>3624</v>
      </c>
      <c r="G340" s="178" t="s">
        <v>3639</v>
      </c>
      <c r="H340" s="213" t="s">
        <v>3639</v>
      </c>
      <c r="I340" s="213" t="s">
        <v>3639</v>
      </c>
      <c r="J340" s="201">
        <f>COUNTIFS('TURMAS 2015.2'!U:U,A340)</f>
        <v>2</v>
      </c>
      <c r="K340" s="201">
        <f>SUMIFS('TURMAS 2015.2'!J:J,'TURMAS 2015.2'!U:U,A340)</f>
        <v>8</v>
      </c>
      <c r="L340" s="201">
        <f>COUNTIF('TURMAS 2015.2'!X:X,A340)</f>
        <v>2</v>
      </c>
      <c r="M340" s="201">
        <f>SUMIFS('TURMAS 2015.2'!K:K,'TURMAS 2015.2'!X:X,A340)</f>
        <v>0</v>
      </c>
      <c r="N340" s="201">
        <f t="shared" si="5"/>
        <v>8</v>
      </c>
      <c r="O340" s="214"/>
      <c r="P340" s="152">
        <v>0</v>
      </c>
      <c r="Q340" s="152">
        <v>0</v>
      </c>
      <c r="R340" s="152">
        <v>1</v>
      </c>
      <c r="S340" s="152">
        <v>329</v>
      </c>
    </row>
    <row r="341" spans="1:19" s="52" customFormat="1" ht="16.5" customHeight="1">
      <c r="A341" s="211">
        <v>330</v>
      </c>
      <c r="B341" s="212" t="s">
        <v>4039</v>
      </c>
      <c r="C341" s="211">
        <v>1945050</v>
      </c>
      <c r="D341" s="212" t="s">
        <v>3635</v>
      </c>
      <c r="E341" s="152" t="s">
        <v>3643</v>
      </c>
      <c r="F341" s="152" t="s">
        <v>3624</v>
      </c>
      <c r="G341" s="178" t="s">
        <v>3639</v>
      </c>
      <c r="H341" s="213" t="s">
        <v>3639</v>
      </c>
      <c r="I341" s="213" t="s">
        <v>3639</v>
      </c>
      <c r="J341" s="201">
        <f>COUNTIFS('TURMAS 2015.2'!U:U,A341)</f>
        <v>0</v>
      </c>
      <c r="K341" s="201">
        <f>SUMIFS('TURMAS 2015.2'!J:J,'TURMAS 2015.2'!U:U,A341)</f>
        <v>0</v>
      </c>
      <c r="L341" s="201">
        <f>COUNTIF('TURMAS 2015.2'!X:X,A341)</f>
        <v>0</v>
      </c>
      <c r="M341" s="201">
        <f>SUMIFS('TURMAS 2015.2'!K:K,'TURMAS 2015.2'!X:X,A341)</f>
        <v>0</v>
      </c>
      <c r="N341" s="201">
        <f t="shared" si="5"/>
        <v>0</v>
      </c>
      <c r="O341" s="214"/>
      <c r="P341" s="152">
        <v>0</v>
      </c>
      <c r="Q341" s="152">
        <v>0</v>
      </c>
      <c r="R341" s="152">
        <v>1</v>
      </c>
      <c r="S341" s="152">
        <v>330</v>
      </c>
    </row>
    <row r="342" spans="1:19" s="52" customFormat="1" ht="16.5" customHeight="1">
      <c r="A342" s="211">
        <v>331</v>
      </c>
      <c r="B342" s="212" t="s">
        <v>4040</v>
      </c>
      <c r="C342" s="211">
        <v>1696841</v>
      </c>
      <c r="D342" s="212" t="s">
        <v>3635</v>
      </c>
      <c r="E342" s="152" t="s">
        <v>3643</v>
      </c>
      <c r="F342" s="152" t="s">
        <v>3624</v>
      </c>
      <c r="G342" s="178" t="s">
        <v>3639</v>
      </c>
      <c r="H342" s="213" t="s">
        <v>3639</v>
      </c>
      <c r="I342" s="213" t="s">
        <v>3639</v>
      </c>
      <c r="J342" s="201">
        <f>COUNTIFS('TURMAS 2015.2'!U:U,A342)</f>
        <v>0</v>
      </c>
      <c r="K342" s="201">
        <f>SUMIFS('TURMAS 2015.2'!J:J,'TURMAS 2015.2'!U:U,A342)</f>
        <v>0</v>
      </c>
      <c r="L342" s="201">
        <f>COUNTIF('TURMAS 2015.2'!X:X,A342)</f>
        <v>0</v>
      </c>
      <c r="M342" s="201">
        <f>SUMIFS('TURMAS 2015.2'!K:K,'TURMAS 2015.2'!X:X,A342)</f>
        <v>0</v>
      </c>
      <c r="N342" s="201">
        <f t="shared" si="5"/>
        <v>0</v>
      </c>
      <c r="O342" s="214"/>
      <c r="P342" s="152">
        <v>0</v>
      </c>
      <c r="Q342" s="152">
        <v>0</v>
      </c>
      <c r="R342" s="152">
        <v>1</v>
      </c>
      <c r="S342" s="152">
        <v>331</v>
      </c>
    </row>
    <row r="343" spans="1:19" s="52" customFormat="1" ht="16.5" customHeight="1">
      <c r="A343" s="211">
        <v>332</v>
      </c>
      <c r="B343" s="212" t="s">
        <v>4041</v>
      </c>
      <c r="C343" s="211">
        <v>1762413</v>
      </c>
      <c r="D343" s="212" t="s">
        <v>3610</v>
      </c>
      <c r="E343" s="152" t="s">
        <v>3643</v>
      </c>
      <c r="F343" s="152" t="s">
        <v>3624</v>
      </c>
      <c r="G343" s="178" t="s">
        <v>3639</v>
      </c>
      <c r="H343" s="213" t="s">
        <v>3639</v>
      </c>
      <c r="I343" s="213" t="s">
        <v>3639</v>
      </c>
      <c r="J343" s="201">
        <f>COUNTIFS('TURMAS 2015.2'!U:U,A343)</f>
        <v>0</v>
      </c>
      <c r="K343" s="201">
        <f>SUMIFS('TURMAS 2015.2'!J:J,'TURMAS 2015.2'!U:U,A343)</f>
        <v>0</v>
      </c>
      <c r="L343" s="201">
        <f>COUNTIF('TURMAS 2015.2'!X:X,A343)</f>
        <v>0</v>
      </c>
      <c r="M343" s="201">
        <f>SUMIFS('TURMAS 2015.2'!K:K,'TURMAS 2015.2'!X:X,A343)</f>
        <v>0</v>
      </c>
      <c r="N343" s="201">
        <f t="shared" si="5"/>
        <v>0</v>
      </c>
      <c r="O343" s="214"/>
      <c r="P343" s="152" t="s">
        <v>4042</v>
      </c>
      <c r="Q343" s="152">
        <v>0.5</v>
      </c>
      <c r="R343" s="152">
        <v>0.5</v>
      </c>
      <c r="S343" s="152">
        <v>332</v>
      </c>
    </row>
    <row r="344" spans="1:19" s="52" customFormat="1" ht="16.5" customHeight="1">
      <c r="A344" s="211">
        <v>333</v>
      </c>
      <c r="B344" s="212" t="s">
        <v>4043</v>
      </c>
      <c r="C344" s="211">
        <v>1488255</v>
      </c>
      <c r="D344" s="212" t="s">
        <v>3647</v>
      </c>
      <c r="E344" s="152" t="s">
        <v>3643</v>
      </c>
      <c r="F344" s="152" t="s">
        <v>3624</v>
      </c>
      <c r="G344" s="178" t="s">
        <v>3639</v>
      </c>
      <c r="H344" s="213" t="s">
        <v>3639</v>
      </c>
      <c r="I344" s="213" t="s">
        <v>3639</v>
      </c>
      <c r="J344" s="201">
        <f>COUNTIFS('TURMAS 2015.2'!U:U,A344)</f>
        <v>2</v>
      </c>
      <c r="K344" s="201">
        <f>SUMIFS('TURMAS 2015.2'!J:J,'TURMAS 2015.2'!U:U,A344)</f>
        <v>6</v>
      </c>
      <c r="L344" s="201">
        <f>COUNTIF('TURMAS 2015.2'!X:X,A344)</f>
        <v>0</v>
      </c>
      <c r="M344" s="201">
        <f>SUMIFS('TURMAS 2015.2'!K:K,'TURMAS 2015.2'!X:X,A344)</f>
        <v>0</v>
      </c>
      <c r="N344" s="201">
        <f t="shared" si="5"/>
        <v>6</v>
      </c>
      <c r="O344" s="214"/>
      <c r="P344" s="152">
        <v>0</v>
      </c>
      <c r="Q344" s="152">
        <v>0</v>
      </c>
      <c r="R344" s="152">
        <v>1</v>
      </c>
      <c r="S344" s="152">
        <v>333</v>
      </c>
    </row>
    <row r="345" spans="1:19" s="52" customFormat="1" ht="16.5" customHeight="1">
      <c r="A345" s="211">
        <v>334</v>
      </c>
      <c r="B345" s="215" t="s">
        <v>4044</v>
      </c>
      <c r="C345" s="211">
        <v>2187201</v>
      </c>
      <c r="D345" s="211"/>
      <c r="E345" s="152" t="s">
        <v>3618</v>
      </c>
      <c r="F345" s="152" t="s">
        <v>3624</v>
      </c>
      <c r="G345" s="178"/>
      <c r="H345" s="213"/>
      <c r="I345" s="213"/>
      <c r="J345" s="201">
        <f>COUNTIFS('TURMAS 2015.2'!U:U,A345)</f>
        <v>2</v>
      </c>
      <c r="K345" s="201">
        <f>SUMIFS('TURMAS 2015.2'!J:J,'TURMAS 2015.2'!U:U,A345)</f>
        <v>8</v>
      </c>
      <c r="L345" s="201">
        <f>COUNTIF('TURMAS 2015.2'!X:X,A345)</f>
        <v>0</v>
      </c>
      <c r="M345" s="201">
        <f>SUMIFS('TURMAS 2015.2'!K:K,'TURMAS 2015.2'!X:X,A345)</f>
        <v>0</v>
      </c>
      <c r="N345" s="201">
        <f t="shared" si="5"/>
        <v>8</v>
      </c>
      <c r="O345" s="214"/>
      <c r="P345" s="152"/>
      <c r="Q345" s="152"/>
      <c r="R345" s="152"/>
      <c r="S345" s="152">
        <v>334</v>
      </c>
    </row>
    <row r="346" spans="1:19" s="52" customFormat="1" ht="16.5" customHeight="1">
      <c r="A346" s="211">
        <v>335</v>
      </c>
      <c r="B346" s="212" t="s">
        <v>4045</v>
      </c>
      <c r="C346" s="211">
        <v>1544284</v>
      </c>
      <c r="D346" s="212" t="s">
        <v>3621</v>
      </c>
      <c r="E346" s="152" t="s">
        <v>3618</v>
      </c>
      <c r="F346" s="152" t="s">
        <v>3624</v>
      </c>
      <c r="G346" s="178" t="s">
        <v>3639</v>
      </c>
      <c r="H346" s="213" t="s">
        <v>3639</v>
      </c>
      <c r="I346" s="213" t="s">
        <v>3639</v>
      </c>
      <c r="J346" s="201">
        <f>COUNTIFS('TURMAS 2015.2'!U:U,A346)</f>
        <v>1</v>
      </c>
      <c r="K346" s="201">
        <f>SUMIFS('TURMAS 2015.2'!J:J,'TURMAS 2015.2'!U:U,A346)</f>
        <v>1</v>
      </c>
      <c r="L346" s="201">
        <f>COUNTIF('TURMAS 2015.2'!X:X,A346)</f>
        <v>1</v>
      </c>
      <c r="M346" s="201">
        <f>SUMIFS('TURMAS 2015.2'!K:K,'TURMAS 2015.2'!X:X,A346)</f>
        <v>3</v>
      </c>
      <c r="N346" s="201">
        <f t="shared" si="5"/>
        <v>4</v>
      </c>
      <c r="O346" s="214"/>
      <c r="P346" s="152">
        <v>0</v>
      </c>
      <c r="Q346" s="152">
        <v>0</v>
      </c>
      <c r="R346" s="152">
        <v>1</v>
      </c>
      <c r="S346" s="152">
        <v>335</v>
      </c>
    </row>
    <row r="347" spans="1:19" s="52" customFormat="1" ht="16.5" customHeight="1">
      <c r="A347" s="211">
        <v>336</v>
      </c>
      <c r="B347" s="212" t="s">
        <v>4046</v>
      </c>
      <c r="C347" s="211">
        <v>2129760</v>
      </c>
      <c r="D347" s="212" t="s">
        <v>3735</v>
      </c>
      <c r="E347" s="152" t="s">
        <v>3611</v>
      </c>
      <c r="F347" s="152" t="s">
        <v>3624</v>
      </c>
      <c r="G347" s="178" t="s">
        <v>3639</v>
      </c>
      <c r="H347" s="213" t="s">
        <v>3639</v>
      </c>
      <c r="I347" s="213" t="s">
        <v>3639</v>
      </c>
      <c r="J347" s="201">
        <f>COUNTIFS('TURMAS 2015.2'!U:U,A347)</f>
        <v>2</v>
      </c>
      <c r="K347" s="201">
        <f>SUMIFS('TURMAS 2015.2'!J:J,'TURMAS 2015.2'!U:U,A347)</f>
        <v>6</v>
      </c>
      <c r="L347" s="201">
        <f>COUNTIF('TURMAS 2015.2'!X:X,A347)</f>
        <v>0</v>
      </c>
      <c r="M347" s="201">
        <f>SUMIFS('TURMAS 2015.2'!K:K,'TURMAS 2015.2'!X:X,A347)</f>
        <v>0</v>
      </c>
      <c r="N347" s="201">
        <f t="shared" si="5"/>
        <v>6</v>
      </c>
      <c r="O347" s="214"/>
      <c r="P347" s="152">
        <v>0</v>
      </c>
      <c r="Q347" s="152">
        <v>0</v>
      </c>
      <c r="R347" s="152">
        <v>1</v>
      </c>
      <c r="S347" s="152">
        <v>336</v>
      </c>
    </row>
    <row r="348" spans="1:19" s="52" customFormat="1" ht="16.5" customHeight="1">
      <c r="A348" s="211">
        <v>337</v>
      </c>
      <c r="B348" s="212" t="s">
        <v>4047</v>
      </c>
      <c r="C348" s="211">
        <v>1563992</v>
      </c>
      <c r="D348" s="212" t="s">
        <v>3647</v>
      </c>
      <c r="E348" s="152" t="s">
        <v>3611</v>
      </c>
      <c r="F348" s="152" t="s">
        <v>3624</v>
      </c>
      <c r="G348" s="178" t="s">
        <v>3639</v>
      </c>
      <c r="H348" s="213" t="s">
        <v>3639</v>
      </c>
      <c r="I348" s="213" t="s">
        <v>3639</v>
      </c>
      <c r="J348" s="201">
        <f>COUNTIFS('TURMAS 2015.2'!U:U,A348)</f>
        <v>0</v>
      </c>
      <c r="K348" s="201">
        <f>SUMIFS('TURMAS 2015.2'!J:J,'TURMAS 2015.2'!U:U,A348)</f>
        <v>0</v>
      </c>
      <c r="L348" s="201">
        <f>COUNTIF('TURMAS 2015.2'!X:X,A348)</f>
        <v>0</v>
      </c>
      <c r="M348" s="201">
        <f>SUMIFS('TURMAS 2015.2'!K:K,'TURMAS 2015.2'!X:X,A348)</f>
        <v>0</v>
      </c>
      <c r="N348" s="201">
        <f t="shared" si="5"/>
        <v>0</v>
      </c>
      <c r="O348" s="214"/>
      <c r="P348" s="152" t="s">
        <v>4048</v>
      </c>
      <c r="Q348" s="152">
        <v>0.5</v>
      </c>
      <c r="R348" s="152">
        <v>0.5</v>
      </c>
      <c r="S348" s="152">
        <v>337</v>
      </c>
    </row>
    <row r="349" spans="1:19" s="52" customFormat="1" ht="16.5" customHeight="1">
      <c r="A349" s="211">
        <v>338</v>
      </c>
      <c r="B349" s="212" t="s">
        <v>4049</v>
      </c>
      <c r="C349" s="211">
        <v>1766755</v>
      </c>
      <c r="D349" s="212" t="s">
        <v>3635</v>
      </c>
      <c r="E349" s="152" t="s">
        <v>3618</v>
      </c>
      <c r="F349" s="152" t="s">
        <v>3624</v>
      </c>
      <c r="G349" s="178" t="s">
        <v>3639</v>
      </c>
      <c r="H349" s="213" t="s">
        <v>3639</v>
      </c>
      <c r="I349" s="213" t="s">
        <v>3639</v>
      </c>
      <c r="J349" s="201">
        <f>COUNTIFS('TURMAS 2015.2'!U:U,A349)</f>
        <v>2</v>
      </c>
      <c r="K349" s="201">
        <f>SUMIFS('TURMAS 2015.2'!J:J,'TURMAS 2015.2'!U:U,A349)</f>
        <v>8</v>
      </c>
      <c r="L349" s="201">
        <f>COUNTIF('TURMAS 2015.2'!X:X,A349)</f>
        <v>2</v>
      </c>
      <c r="M349" s="201">
        <f>SUMIFS('TURMAS 2015.2'!K:K,'TURMAS 2015.2'!X:X,A349)</f>
        <v>0</v>
      </c>
      <c r="N349" s="201">
        <f t="shared" si="5"/>
        <v>8</v>
      </c>
      <c r="O349" s="214"/>
      <c r="P349" s="152">
        <v>0</v>
      </c>
      <c r="Q349" s="152">
        <v>0</v>
      </c>
      <c r="R349" s="152">
        <v>1</v>
      </c>
      <c r="S349" s="152">
        <v>338</v>
      </c>
    </row>
    <row r="350" spans="1:19" s="52" customFormat="1" ht="16.5" customHeight="1">
      <c r="A350" s="211">
        <v>339</v>
      </c>
      <c r="B350" s="212" t="s">
        <v>4050</v>
      </c>
      <c r="C350" s="211">
        <v>1671283</v>
      </c>
      <c r="D350" s="212" t="s">
        <v>3610</v>
      </c>
      <c r="E350" s="152" t="s">
        <v>3618</v>
      </c>
      <c r="F350" s="152" t="s">
        <v>3624</v>
      </c>
      <c r="G350" s="178" t="s">
        <v>3639</v>
      </c>
      <c r="H350" s="213" t="s">
        <v>3639</v>
      </c>
      <c r="I350" s="213" t="s">
        <v>3639</v>
      </c>
      <c r="J350" s="201">
        <f>COUNTIFS('TURMAS 2015.2'!U:U,A350)</f>
        <v>1</v>
      </c>
      <c r="K350" s="201">
        <f>SUMIFS('TURMAS 2015.2'!J:J,'TURMAS 2015.2'!U:U,A350)</f>
        <v>3</v>
      </c>
      <c r="L350" s="201">
        <f>COUNTIF('TURMAS 2015.2'!X:X,A350)</f>
        <v>0</v>
      </c>
      <c r="M350" s="201">
        <f>SUMIFS('TURMAS 2015.2'!K:K,'TURMAS 2015.2'!X:X,A350)</f>
        <v>0</v>
      </c>
      <c r="N350" s="201">
        <f t="shared" si="5"/>
        <v>3</v>
      </c>
      <c r="O350" s="214"/>
      <c r="P350" s="152" t="s">
        <v>4051</v>
      </c>
      <c r="Q350" s="152">
        <v>0.3</v>
      </c>
      <c r="R350" s="152">
        <v>0.7</v>
      </c>
      <c r="S350" s="152">
        <v>339</v>
      </c>
    </row>
    <row r="351" spans="1:19" s="52" customFormat="1" ht="16.5" customHeight="1">
      <c r="A351" s="211">
        <v>340</v>
      </c>
      <c r="B351" s="212" t="s">
        <v>4052</v>
      </c>
      <c r="C351" s="211">
        <v>1205456</v>
      </c>
      <c r="D351" s="212" t="s">
        <v>3751</v>
      </c>
      <c r="E351" s="152" t="s">
        <v>3618</v>
      </c>
      <c r="F351" s="152" t="s">
        <v>3624</v>
      </c>
      <c r="G351" s="178" t="s">
        <v>3639</v>
      </c>
      <c r="H351" s="213" t="s">
        <v>3639</v>
      </c>
      <c r="I351" s="213" t="s">
        <v>3639</v>
      </c>
      <c r="J351" s="201">
        <f>COUNTIFS('TURMAS 2015.2'!U:U,A351)</f>
        <v>0</v>
      </c>
      <c r="K351" s="201">
        <f>SUMIFS('TURMAS 2015.2'!J:J,'TURMAS 2015.2'!U:U,A351)</f>
        <v>0</v>
      </c>
      <c r="L351" s="201">
        <f>COUNTIF('TURMAS 2015.2'!X:X,A351)</f>
        <v>0</v>
      </c>
      <c r="M351" s="201">
        <f>SUMIFS('TURMAS 2015.2'!K:K,'TURMAS 2015.2'!X:X,A351)</f>
        <v>0</v>
      </c>
      <c r="N351" s="201">
        <f t="shared" si="5"/>
        <v>0</v>
      </c>
      <c r="O351" s="214"/>
      <c r="P351" s="152">
        <v>0</v>
      </c>
      <c r="Q351" s="152">
        <v>0</v>
      </c>
      <c r="R351" s="152">
        <v>1</v>
      </c>
      <c r="S351" s="152">
        <v>340</v>
      </c>
    </row>
    <row r="352" spans="1:19" s="52" customFormat="1" ht="16.5" customHeight="1">
      <c r="A352" s="211">
        <v>341</v>
      </c>
      <c r="B352" s="212" t="s">
        <v>4053</v>
      </c>
      <c r="C352" s="211">
        <v>2078059</v>
      </c>
      <c r="D352" s="212" t="s">
        <v>3653</v>
      </c>
      <c r="E352" s="152" t="s">
        <v>3618</v>
      </c>
      <c r="F352" s="152" t="s">
        <v>3624</v>
      </c>
      <c r="G352" s="178" t="s">
        <v>3639</v>
      </c>
      <c r="H352" s="213" t="s">
        <v>3639</v>
      </c>
      <c r="I352" s="213" t="s">
        <v>3639</v>
      </c>
      <c r="J352" s="201">
        <f>COUNTIFS('TURMAS 2015.2'!U:U,A352)</f>
        <v>0</v>
      </c>
      <c r="K352" s="201">
        <f>SUMIFS('TURMAS 2015.2'!J:J,'TURMAS 2015.2'!U:U,A352)</f>
        <v>0</v>
      </c>
      <c r="L352" s="201">
        <f>COUNTIF('TURMAS 2015.2'!X:X,A352)</f>
        <v>0</v>
      </c>
      <c r="M352" s="201">
        <f>SUMIFS('TURMAS 2015.2'!K:K,'TURMAS 2015.2'!X:X,A352)</f>
        <v>0</v>
      </c>
      <c r="N352" s="201">
        <f t="shared" si="5"/>
        <v>0</v>
      </c>
      <c r="O352" s="214"/>
      <c r="P352" s="152">
        <v>0</v>
      </c>
      <c r="Q352" s="152">
        <v>0</v>
      </c>
      <c r="R352" s="152">
        <v>1</v>
      </c>
      <c r="S352" s="152">
        <v>341</v>
      </c>
    </row>
    <row r="353" spans="1:19" s="52" customFormat="1" ht="16.5" customHeight="1">
      <c r="A353" s="211">
        <v>342</v>
      </c>
      <c r="B353" s="212" t="s">
        <v>4054</v>
      </c>
      <c r="C353" s="211">
        <v>1675615</v>
      </c>
      <c r="D353" s="212" t="s">
        <v>3610</v>
      </c>
      <c r="E353" s="152" t="s">
        <v>3611</v>
      </c>
      <c r="F353" s="152" t="s">
        <v>3624</v>
      </c>
      <c r="G353" s="178" t="s">
        <v>3639</v>
      </c>
      <c r="H353" s="213" t="s">
        <v>3639</v>
      </c>
      <c r="I353" s="213" t="s">
        <v>3639</v>
      </c>
      <c r="J353" s="201">
        <f>COUNTIFS('TURMAS 2015.2'!U:U,A353)</f>
        <v>0</v>
      </c>
      <c r="K353" s="201">
        <f>SUMIFS('TURMAS 2015.2'!J:J,'TURMAS 2015.2'!U:U,A353)</f>
        <v>0</v>
      </c>
      <c r="L353" s="201">
        <f>COUNTIF('TURMAS 2015.2'!X:X,A353)</f>
        <v>6</v>
      </c>
      <c r="M353" s="201">
        <f>SUMIFS('TURMAS 2015.2'!K:K,'TURMAS 2015.2'!X:X,A353)</f>
        <v>12</v>
      </c>
      <c r="N353" s="201">
        <f t="shared" si="5"/>
        <v>12</v>
      </c>
      <c r="O353" s="214"/>
      <c r="P353" s="152">
        <v>0</v>
      </c>
      <c r="Q353" s="152">
        <v>0</v>
      </c>
      <c r="R353" s="152">
        <v>1</v>
      </c>
      <c r="S353" s="152">
        <v>342</v>
      </c>
    </row>
    <row r="354" spans="1:19" s="52" customFormat="1" ht="16.5" customHeight="1">
      <c r="A354" s="211">
        <v>343</v>
      </c>
      <c r="B354" s="212" t="s">
        <v>4055</v>
      </c>
      <c r="C354" s="211">
        <v>1347739</v>
      </c>
      <c r="D354" s="212" t="s">
        <v>3965</v>
      </c>
      <c r="E354" s="152" t="s">
        <v>3618</v>
      </c>
      <c r="F354" s="152" t="s">
        <v>3624</v>
      </c>
      <c r="G354" s="178" t="s">
        <v>3639</v>
      </c>
      <c r="H354" s="213" t="s">
        <v>3639</v>
      </c>
      <c r="I354" s="213" t="s">
        <v>3639</v>
      </c>
      <c r="J354" s="201">
        <f>COUNTIFS('TURMAS 2015.2'!U:U,A354)</f>
        <v>0</v>
      </c>
      <c r="K354" s="201">
        <f>SUMIFS('TURMAS 2015.2'!J:J,'TURMAS 2015.2'!U:U,A354)</f>
        <v>0</v>
      </c>
      <c r="L354" s="201">
        <f>COUNTIF('TURMAS 2015.2'!X:X,A354)</f>
        <v>0</v>
      </c>
      <c r="M354" s="201">
        <f>SUMIFS('TURMAS 2015.2'!K:K,'TURMAS 2015.2'!X:X,A354)</f>
        <v>0</v>
      </c>
      <c r="N354" s="201">
        <f t="shared" si="5"/>
        <v>0</v>
      </c>
      <c r="O354" s="214"/>
      <c r="P354" s="152">
        <v>0</v>
      </c>
      <c r="Q354" s="152">
        <v>0</v>
      </c>
      <c r="R354" s="152">
        <v>1</v>
      </c>
      <c r="S354" s="152">
        <v>343</v>
      </c>
    </row>
    <row r="355" spans="1:19" s="52" customFormat="1" ht="16.5" customHeight="1">
      <c r="A355" s="211">
        <v>344</v>
      </c>
      <c r="B355" s="212" t="s">
        <v>4056</v>
      </c>
      <c r="C355" s="211">
        <v>1834566</v>
      </c>
      <c r="D355" s="212" t="s">
        <v>3610</v>
      </c>
      <c r="E355" s="152" t="s">
        <v>3643</v>
      </c>
      <c r="F355" s="152" t="s">
        <v>3624</v>
      </c>
      <c r="G355" s="178" t="s">
        <v>3639</v>
      </c>
      <c r="H355" s="213" t="s">
        <v>3639</v>
      </c>
      <c r="I355" s="213" t="s">
        <v>3639</v>
      </c>
      <c r="J355" s="201">
        <f>COUNTIFS('TURMAS 2015.2'!U:U,A355)</f>
        <v>0</v>
      </c>
      <c r="K355" s="201">
        <f>SUMIFS('TURMAS 2015.2'!J:J,'TURMAS 2015.2'!U:U,A355)</f>
        <v>0</v>
      </c>
      <c r="L355" s="201">
        <f>COUNTIF('TURMAS 2015.2'!X:X,A355)</f>
        <v>0</v>
      </c>
      <c r="M355" s="201">
        <f>SUMIFS('TURMAS 2015.2'!K:K,'TURMAS 2015.2'!X:X,A355)</f>
        <v>0</v>
      </c>
      <c r="N355" s="201">
        <f t="shared" si="5"/>
        <v>0</v>
      </c>
      <c r="O355" s="214"/>
      <c r="P355" s="152" t="s">
        <v>4057</v>
      </c>
      <c r="Q355" s="152">
        <v>0.3</v>
      </c>
      <c r="R355" s="152">
        <v>0.7</v>
      </c>
      <c r="S355" s="152">
        <v>344</v>
      </c>
    </row>
    <row r="356" spans="1:19" s="52" customFormat="1" ht="16.5" customHeight="1">
      <c r="A356" s="211">
        <v>345</v>
      </c>
      <c r="B356" s="212" t="s">
        <v>4058</v>
      </c>
      <c r="C356" s="211">
        <v>1997753</v>
      </c>
      <c r="D356" s="212" t="s">
        <v>3617</v>
      </c>
      <c r="E356" s="152" t="s">
        <v>3618</v>
      </c>
      <c r="F356" s="152" t="s">
        <v>3624</v>
      </c>
      <c r="G356" s="178" t="s">
        <v>3639</v>
      </c>
      <c r="H356" s="213" t="s">
        <v>3639</v>
      </c>
      <c r="I356" s="213" t="s">
        <v>3639</v>
      </c>
      <c r="J356" s="201">
        <f>COUNTIFS('TURMAS 2015.2'!U:U,A356)</f>
        <v>1</v>
      </c>
      <c r="K356" s="201">
        <f>SUMIFS('TURMAS 2015.2'!J:J,'TURMAS 2015.2'!U:U,A356)</f>
        <v>3</v>
      </c>
      <c r="L356" s="201">
        <f>COUNTIF('TURMAS 2015.2'!X:X,A356)</f>
        <v>2</v>
      </c>
      <c r="M356" s="201">
        <f>SUMIFS('TURMAS 2015.2'!K:K,'TURMAS 2015.2'!X:X,A356)</f>
        <v>4</v>
      </c>
      <c r="N356" s="201">
        <f t="shared" si="5"/>
        <v>7</v>
      </c>
      <c r="O356" s="214"/>
      <c r="P356" s="152">
        <v>0</v>
      </c>
      <c r="Q356" s="152">
        <v>0</v>
      </c>
      <c r="R356" s="152">
        <v>1</v>
      </c>
      <c r="S356" s="152">
        <v>345</v>
      </c>
    </row>
    <row r="357" spans="1:19" s="56" customFormat="1" ht="16.5" customHeight="1">
      <c r="A357" s="211">
        <v>346</v>
      </c>
      <c r="B357" s="212" t="s">
        <v>4059</v>
      </c>
      <c r="C357" s="211">
        <v>1909551</v>
      </c>
      <c r="D357" s="212" t="s">
        <v>3635</v>
      </c>
      <c r="E357" s="152" t="s">
        <v>3643</v>
      </c>
      <c r="F357" s="152" t="s">
        <v>3624</v>
      </c>
      <c r="G357" s="178" t="s">
        <v>3639</v>
      </c>
      <c r="H357" s="213" t="s">
        <v>3639</v>
      </c>
      <c r="I357" s="213" t="s">
        <v>3639</v>
      </c>
      <c r="J357" s="201">
        <f>COUNTIFS('TURMAS 2015.2'!U:U,A357)</f>
        <v>0</v>
      </c>
      <c r="K357" s="201">
        <f>SUMIFS('TURMAS 2015.2'!J:J,'TURMAS 2015.2'!U:U,A357)</f>
        <v>0</v>
      </c>
      <c r="L357" s="201">
        <f>COUNTIF('TURMAS 2015.2'!X:X,A357)</f>
        <v>0</v>
      </c>
      <c r="M357" s="201">
        <f>SUMIFS('TURMAS 2015.2'!K:K,'TURMAS 2015.2'!X:X,A357)</f>
        <v>0</v>
      </c>
      <c r="N357" s="201">
        <f t="shared" si="5"/>
        <v>0</v>
      </c>
      <c r="O357" s="214"/>
      <c r="P357" s="152">
        <v>0</v>
      </c>
      <c r="Q357" s="152">
        <v>0</v>
      </c>
      <c r="R357" s="152">
        <v>1</v>
      </c>
      <c r="S357" s="152">
        <v>346</v>
      </c>
    </row>
    <row r="358" spans="1:19" s="52" customFormat="1" ht="16.5" customHeight="1">
      <c r="A358" s="211">
        <v>347</v>
      </c>
      <c r="B358" s="212" t="s">
        <v>4060</v>
      </c>
      <c r="C358" s="211">
        <v>1669196</v>
      </c>
      <c r="D358" s="212" t="s">
        <v>3610</v>
      </c>
      <c r="E358" s="152" t="s">
        <v>3618</v>
      </c>
      <c r="F358" s="152" t="s">
        <v>3624</v>
      </c>
      <c r="G358" s="178" t="s">
        <v>3639</v>
      </c>
      <c r="H358" s="213" t="s">
        <v>3639</v>
      </c>
      <c r="I358" s="213" t="s">
        <v>3639</v>
      </c>
      <c r="J358" s="201">
        <f>COUNTIFS('TURMAS 2015.2'!U:U,A358)</f>
        <v>2</v>
      </c>
      <c r="K358" s="201">
        <f>SUMIFS('TURMAS 2015.2'!J:J,'TURMAS 2015.2'!U:U,A358)</f>
        <v>6</v>
      </c>
      <c r="L358" s="201">
        <f>COUNTIF('TURMAS 2015.2'!X:X,A358)</f>
        <v>2</v>
      </c>
      <c r="M358" s="201">
        <f>SUMIFS('TURMAS 2015.2'!K:K,'TURMAS 2015.2'!X:X,A358)</f>
        <v>2</v>
      </c>
      <c r="N358" s="201">
        <f t="shared" si="5"/>
        <v>8</v>
      </c>
      <c r="O358" s="214"/>
      <c r="P358" s="152">
        <v>0</v>
      </c>
      <c r="Q358" s="152">
        <v>0</v>
      </c>
      <c r="R358" s="152">
        <v>1</v>
      </c>
      <c r="S358" s="152">
        <v>347</v>
      </c>
    </row>
    <row r="359" spans="1:19" s="52" customFormat="1" ht="16.5" customHeight="1">
      <c r="A359" s="211">
        <v>348</v>
      </c>
      <c r="B359" s="212" t="s">
        <v>4061</v>
      </c>
      <c r="C359" s="211">
        <v>1948411</v>
      </c>
      <c r="D359" s="212" t="s">
        <v>3617</v>
      </c>
      <c r="E359" s="152" t="s">
        <v>3643</v>
      </c>
      <c r="F359" s="152" t="s">
        <v>3624</v>
      </c>
      <c r="G359" s="178" t="s">
        <v>3639</v>
      </c>
      <c r="H359" s="213" t="s">
        <v>3639</v>
      </c>
      <c r="I359" s="213" t="s">
        <v>3639</v>
      </c>
      <c r="J359" s="201">
        <f>COUNTIFS('TURMAS 2015.2'!U:U,A359)</f>
        <v>1</v>
      </c>
      <c r="K359" s="201">
        <f>SUMIFS('TURMAS 2015.2'!J:J,'TURMAS 2015.2'!U:U,A359)</f>
        <v>3</v>
      </c>
      <c r="L359" s="201">
        <f>COUNTIF('TURMAS 2015.2'!X:X,A359)</f>
        <v>0</v>
      </c>
      <c r="M359" s="201">
        <f>SUMIFS('TURMAS 2015.2'!K:K,'TURMAS 2015.2'!X:X,A359)</f>
        <v>0</v>
      </c>
      <c r="N359" s="201">
        <f t="shared" si="5"/>
        <v>3</v>
      </c>
      <c r="O359" s="214"/>
      <c r="P359" s="152" t="s">
        <v>4062</v>
      </c>
      <c r="Q359" s="152">
        <v>0.3</v>
      </c>
      <c r="R359" s="152">
        <v>0.7</v>
      </c>
      <c r="S359" s="152">
        <v>348</v>
      </c>
    </row>
    <row r="360" spans="1:19" s="52" customFormat="1" ht="16.5" customHeight="1">
      <c r="A360" s="211">
        <v>349</v>
      </c>
      <c r="B360" s="212" t="s">
        <v>4063</v>
      </c>
      <c r="C360" s="211">
        <v>1672967</v>
      </c>
      <c r="D360" s="212" t="s">
        <v>3610</v>
      </c>
      <c r="E360" s="152" t="s">
        <v>3618</v>
      </c>
      <c r="F360" s="152" t="s">
        <v>3624</v>
      </c>
      <c r="G360" s="178" t="s">
        <v>3639</v>
      </c>
      <c r="H360" s="213" t="s">
        <v>3639</v>
      </c>
      <c r="I360" s="213" t="s">
        <v>3639</v>
      </c>
      <c r="J360" s="201">
        <f>COUNTIFS('TURMAS 2015.2'!U:U,A360)</f>
        <v>0</v>
      </c>
      <c r="K360" s="201">
        <f>SUMIFS('TURMAS 2015.2'!J:J,'TURMAS 2015.2'!U:U,A360)</f>
        <v>0</v>
      </c>
      <c r="L360" s="201">
        <f>COUNTIF('TURMAS 2015.2'!X:X,A360)</f>
        <v>2</v>
      </c>
      <c r="M360" s="201">
        <f>SUMIFS('TURMAS 2015.2'!K:K,'TURMAS 2015.2'!X:X,A360)</f>
        <v>6</v>
      </c>
      <c r="N360" s="201">
        <f t="shared" si="5"/>
        <v>6</v>
      </c>
      <c r="O360" s="214"/>
      <c r="P360" s="152" t="s">
        <v>4064</v>
      </c>
      <c r="Q360" s="152">
        <v>0.3</v>
      </c>
      <c r="R360" s="152">
        <v>0.7</v>
      </c>
      <c r="S360" s="152">
        <v>349</v>
      </c>
    </row>
    <row r="361" spans="1:19" s="52" customFormat="1" ht="16.5" customHeight="1">
      <c r="A361" s="211">
        <v>350</v>
      </c>
      <c r="B361" s="212" t="s">
        <v>4065</v>
      </c>
      <c r="C361" s="211">
        <v>1658927</v>
      </c>
      <c r="D361" s="212" t="s">
        <v>3647</v>
      </c>
      <c r="E361" s="152" t="s">
        <v>3643</v>
      </c>
      <c r="F361" s="152" t="s">
        <v>3624</v>
      </c>
      <c r="G361" s="178" t="s">
        <v>3639</v>
      </c>
      <c r="H361" s="213" t="s">
        <v>3639</v>
      </c>
      <c r="I361" s="213" t="s">
        <v>3639</v>
      </c>
      <c r="J361" s="201">
        <f>COUNTIFS('TURMAS 2015.2'!U:U,A361)</f>
        <v>2</v>
      </c>
      <c r="K361" s="201">
        <f>SUMIFS('TURMAS 2015.2'!J:J,'TURMAS 2015.2'!U:U,A361)</f>
        <v>6</v>
      </c>
      <c r="L361" s="201">
        <f>COUNTIF('TURMAS 2015.2'!X:X,A361)</f>
        <v>0</v>
      </c>
      <c r="M361" s="201">
        <f>SUMIFS('TURMAS 2015.2'!K:K,'TURMAS 2015.2'!X:X,A361)</f>
        <v>0</v>
      </c>
      <c r="N361" s="201">
        <f t="shared" si="5"/>
        <v>6</v>
      </c>
      <c r="O361" s="214"/>
      <c r="P361" s="152" t="s">
        <v>4066</v>
      </c>
      <c r="Q361" s="152">
        <v>0.3</v>
      </c>
      <c r="R361" s="152">
        <v>0.7</v>
      </c>
      <c r="S361" s="152">
        <v>350</v>
      </c>
    </row>
    <row r="362" spans="1:19" s="52" customFormat="1" ht="16.5" customHeight="1">
      <c r="A362" s="211">
        <v>351</v>
      </c>
      <c r="B362" s="215" t="s">
        <v>4067</v>
      </c>
      <c r="C362" s="211">
        <v>2187282</v>
      </c>
      <c r="D362" s="211" t="s">
        <v>3608</v>
      </c>
      <c r="E362" s="152" t="s">
        <v>3618</v>
      </c>
      <c r="F362" s="152" t="s">
        <v>3624</v>
      </c>
      <c r="G362" s="178"/>
      <c r="H362" s="213"/>
      <c r="I362" s="213"/>
      <c r="J362" s="201">
        <f>COUNTIFS('TURMAS 2015.2'!U:U,A362)</f>
        <v>2</v>
      </c>
      <c r="K362" s="201">
        <f>SUMIFS('TURMAS 2015.2'!J:J,'TURMAS 2015.2'!U:U,A362)</f>
        <v>6</v>
      </c>
      <c r="L362" s="201">
        <f>COUNTIF('TURMAS 2015.2'!X:X,A362)</f>
        <v>0</v>
      </c>
      <c r="M362" s="201">
        <f>SUMIFS('TURMAS 2015.2'!K:K,'TURMAS 2015.2'!X:X,A362)</f>
        <v>0</v>
      </c>
      <c r="N362" s="201">
        <f t="shared" si="5"/>
        <v>6</v>
      </c>
      <c r="O362" s="214"/>
      <c r="P362" s="152">
        <v>0</v>
      </c>
      <c r="Q362" s="152">
        <v>0</v>
      </c>
      <c r="R362" s="152">
        <v>1</v>
      </c>
      <c r="S362" s="152">
        <v>351</v>
      </c>
    </row>
    <row r="363" spans="1:19" s="52" customFormat="1" ht="16.5" customHeight="1">
      <c r="A363" s="211">
        <v>352</v>
      </c>
      <c r="B363" s="212" t="s">
        <v>4068</v>
      </c>
      <c r="C363" s="211">
        <v>2162640</v>
      </c>
      <c r="D363" s="212" t="s">
        <v>3735</v>
      </c>
      <c r="E363" s="152" t="s">
        <v>3611</v>
      </c>
      <c r="F363" s="152" t="s">
        <v>3624</v>
      </c>
      <c r="G363" s="178" t="s">
        <v>3639</v>
      </c>
      <c r="H363" s="213" t="s">
        <v>3639</v>
      </c>
      <c r="I363" s="213" t="s">
        <v>3639</v>
      </c>
      <c r="J363" s="201">
        <f>COUNTIFS('TURMAS 2015.2'!U:U,A363)</f>
        <v>2</v>
      </c>
      <c r="K363" s="201">
        <f>SUMIFS('TURMAS 2015.2'!J:J,'TURMAS 2015.2'!U:U,A363)</f>
        <v>6</v>
      </c>
      <c r="L363" s="201">
        <f>COUNTIF('TURMAS 2015.2'!X:X,A363)</f>
        <v>0</v>
      </c>
      <c r="M363" s="201">
        <f>SUMIFS('TURMAS 2015.2'!K:K,'TURMAS 2015.2'!X:X,A363)</f>
        <v>0</v>
      </c>
      <c r="N363" s="201">
        <f t="shared" si="5"/>
        <v>6</v>
      </c>
      <c r="O363" s="214"/>
      <c r="P363" s="152">
        <v>0</v>
      </c>
      <c r="Q363" s="152">
        <v>0</v>
      </c>
      <c r="R363" s="152">
        <v>1</v>
      </c>
      <c r="S363" s="152">
        <v>352</v>
      </c>
    </row>
    <row r="364" spans="1:19" s="52" customFormat="1" ht="16.5" customHeight="1">
      <c r="A364" s="211">
        <v>353</v>
      </c>
      <c r="B364" s="212" t="s">
        <v>4069</v>
      </c>
      <c r="C364" s="211">
        <v>362640</v>
      </c>
      <c r="D364" s="212" t="s">
        <v>3610</v>
      </c>
      <c r="E364" s="152" t="s">
        <v>3618</v>
      </c>
      <c r="F364" s="152" t="s">
        <v>3624</v>
      </c>
      <c r="G364" s="178" t="s">
        <v>3639</v>
      </c>
      <c r="H364" s="213" t="s">
        <v>3639</v>
      </c>
      <c r="I364" s="213" t="s">
        <v>3639</v>
      </c>
      <c r="J364" s="201">
        <f>COUNTIFS('TURMAS 2015.2'!U:U,A364)</f>
        <v>3</v>
      </c>
      <c r="K364" s="201">
        <f>SUMIFS('TURMAS 2015.2'!J:J,'TURMAS 2015.2'!U:U,A364)</f>
        <v>4</v>
      </c>
      <c r="L364" s="201">
        <f>COUNTIF('TURMAS 2015.2'!X:X,A364)</f>
        <v>2</v>
      </c>
      <c r="M364" s="201">
        <f>SUMIFS('TURMAS 2015.2'!K:K,'TURMAS 2015.2'!X:X,A364)</f>
        <v>4</v>
      </c>
      <c r="N364" s="201">
        <f t="shared" si="5"/>
        <v>8</v>
      </c>
      <c r="O364" s="214"/>
      <c r="P364" s="152">
        <v>0</v>
      </c>
      <c r="Q364" s="152">
        <v>0</v>
      </c>
      <c r="R364" s="152">
        <v>1</v>
      </c>
      <c r="S364" s="152">
        <v>353</v>
      </c>
    </row>
    <row r="365" spans="1:19" s="52" customFormat="1" ht="16.5" customHeight="1">
      <c r="A365" s="211">
        <v>354</v>
      </c>
      <c r="B365" s="212" t="s">
        <v>4070</v>
      </c>
      <c r="C365" s="211">
        <v>2605934</v>
      </c>
      <c r="D365" s="212" t="s">
        <v>3642</v>
      </c>
      <c r="E365" s="152" t="s">
        <v>3618</v>
      </c>
      <c r="F365" s="152" t="s">
        <v>3624</v>
      </c>
      <c r="G365" s="178" t="s">
        <v>3639</v>
      </c>
      <c r="H365" s="213" t="s">
        <v>3639</v>
      </c>
      <c r="I365" s="213" t="s">
        <v>3639</v>
      </c>
      <c r="J365" s="201">
        <f>COUNTIFS('TURMAS 2015.2'!U:U,A365)</f>
        <v>1</v>
      </c>
      <c r="K365" s="201">
        <f>SUMIFS('TURMAS 2015.2'!J:J,'TURMAS 2015.2'!U:U,A365)</f>
        <v>3</v>
      </c>
      <c r="L365" s="201">
        <f>COUNTIF('TURMAS 2015.2'!X:X,A365)</f>
        <v>2</v>
      </c>
      <c r="M365" s="201">
        <f>SUMIFS('TURMAS 2015.2'!K:K,'TURMAS 2015.2'!X:X,A365)</f>
        <v>2</v>
      </c>
      <c r="N365" s="201">
        <f t="shared" si="5"/>
        <v>5</v>
      </c>
      <c r="O365" s="214"/>
      <c r="P365" s="152">
        <v>0</v>
      </c>
      <c r="Q365" s="152">
        <v>0</v>
      </c>
      <c r="R365" s="152">
        <v>1</v>
      </c>
      <c r="S365" s="152">
        <v>354</v>
      </c>
    </row>
    <row r="366" spans="1:19" s="52" customFormat="1" ht="16.5" customHeight="1">
      <c r="A366" s="211">
        <v>355</v>
      </c>
      <c r="B366" s="212" t="s">
        <v>4071</v>
      </c>
      <c r="C366" s="211">
        <v>1872537</v>
      </c>
      <c r="D366" s="212" t="s">
        <v>3635</v>
      </c>
      <c r="E366" s="152" t="s">
        <v>3611</v>
      </c>
      <c r="F366" s="152" t="s">
        <v>3624</v>
      </c>
      <c r="G366" s="178" t="s">
        <v>3639</v>
      </c>
      <c r="H366" s="213" t="s">
        <v>3639</v>
      </c>
      <c r="I366" s="213" t="s">
        <v>3639</v>
      </c>
      <c r="J366" s="201">
        <f>COUNTIFS('TURMAS 2015.2'!U:U,A366)</f>
        <v>4</v>
      </c>
      <c r="K366" s="201">
        <f>SUMIFS('TURMAS 2015.2'!J:J,'TURMAS 2015.2'!U:U,A366)</f>
        <v>12</v>
      </c>
      <c r="L366" s="201">
        <f>COUNTIF('TURMAS 2015.2'!X:X,A366)</f>
        <v>1</v>
      </c>
      <c r="M366" s="201">
        <f>SUMIFS('TURMAS 2015.2'!K:K,'TURMAS 2015.2'!X:X,A366)</f>
        <v>0</v>
      </c>
      <c r="N366" s="201">
        <f t="shared" si="5"/>
        <v>12</v>
      </c>
      <c r="O366" s="214"/>
      <c r="P366" s="152">
        <v>0</v>
      </c>
      <c r="Q366" s="152">
        <v>0</v>
      </c>
      <c r="R366" s="152">
        <v>1</v>
      </c>
      <c r="S366" s="152">
        <v>355</v>
      </c>
    </row>
    <row r="367" spans="1:19" s="52" customFormat="1" ht="16.5" customHeight="1">
      <c r="A367" s="211">
        <v>356</v>
      </c>
      <c r="B367" s="212" t="s">
        <v>4072</v>
      </c>
      <c r="C367" s="211">
        <v>1640114</v>
      </c>
      <c r="D367" s="212" t="s">
        <v>3647</v>
      </c>
      <c r="E367" s="152" t="s">
        <v>3643</v>
      </c>
      <c r="F367" s="152" t="s">
        <v>3624</v>
      </c>
      <c r="G367" s="178" t="s">
        <v>3639</v>
      </c>
      <c r="H367" s="213" t="s">
        <v>3639</v>
      </c>
      <c r="I367" s="213" t="s">
        <v>3639</v>
      </c>
      <c r="J367" s="201">
        <f>COUNTIFS('TURMAS 2015.2'!U:U,A367)</f>
        <v>1</v>
      </c>
      <c r="K367" s="201">
        <f>SUMIFS('TURMAS 2015.2'!J:J,'TURMAS 2015.2'!U:U,A367)</f>
        <v>4</v>
      </c>
      <c r="L367" s="201">
        <f>COUNTIF('TURMAS 2015.2'!X:X,A367)</f>
        <v>1</v>
      </c>
      <c r="M367" s="201">
        <f>SUMIFS('TURMAS 2015.2'!K:K,'TURMAS 2015.2'!X:X,A367)</f>
        <v>2</v>
      </c>
      <c r="N367" s="201">
        <f t="shared" si="5"/>
        <v>6</v>
      </c>
      <c r="O367" s="214"/>
      <c r="P367" s="152" t="s">
        <v>4073</v>
      </c>
      <c r="Q367" s="152">
        <v>0.7</v>
      </c>
      <c r="R367" s="152">
        <v>0.30000000000000004</v>
      </c>
      <c r="S367" s="152">
        <v>356</v>
      </c>
    </row>
    <row r="368" spans="1:19" s="52" customFormat="1" ht="16.5" customHeight="1">
      <c r="A368" s="211">
        <v>357</v>
      </c>
      <c r="B368" s="212" t="s">
        <v>4074</v>
      </c>
      <c r="C368" s="211">
        <v>1601025</v>
      </c>
      <c r="D368" s="212" t="s">
        <v>3647</v>
      </c>
      <c r="E368" s="152" t="s">
        <v>3643</v>
      </c>
      <c r="F368" s="152" t="s">
        <v>3624</v>
      </c>
      <c r="G368" s="178" t="s">
        <v>3639</v>
      </c>
      <c r="H368" s="213" t="s">
        <v>3639</v>
      </c>
      <c r="I368" s="213" t="s">
        <v>3639</v>
      </c>
      <c r="J368" s="201">
        <f>COUNTIFS('TURMAS 2015.2'!U:U,A368)</f>
        <v>1</v>
      </c>
      <c r="K368" s="201">
        <f>SUMIFS('TURMAS 2015.2'!J:J,'TURMAS 2015.2'!U:U,A368)</f>
        <v>3</v>
      </c>
      <c r="L368" s="201">
        <f>COUNTIF('TURMAS 2015.2'!X:X,A368)</f>
        <v>0</v>
      </c>
      <c r="M368" s="201">
        <f>SUMIFS('TURMAS 2015.2'!K:K,'TURMAS 2015.2'!X:X,A368)</f>
        <v>0</v>
      </c>
      <c r="N368" s="201">
        <f t="shared" si="5"/>
        <v>3</v>
      </c>
      <c r="O368" s="214"/>
      <c r="P368" s="152" t="s">
        <v>4075</v>
      </c>
      <c r="Q368" s="152">
        <v>0.5</v>
      </c>
      <c r="R368" s="152">
        <v>0.5</v>
      </c>
      <c r="S368" s="152">
        <v>357</v>
      </c>
    </row>
    <row r="369" spans="1:19" s="52" customFormat="1" ht="16.5" customHeight="1">
      <c r="A369" s="211">
        <v>358</v>
      </c>
      <c r="B369" s="212" t="s">
        <v>4076</v>
      </c>
      <c r="C369" s="211">
        <v>1653932</v>
      </c>
      <c r="D369" s="212" t="s">
        <v>3635</v>
      </c>
      <c r="E369" s="152" t="s">
        <v>3643</v>
      </c>
      <c r="F369" s="152" t="s">
        <v>3624</v>
      </c>
      <c r="G369" s="178" t="s">
        <v>3639</v>
      </c>
      <c r="H369" s="213" t="s">
        <v>3639</v>
      </c>
      <c r="I369" s="213" t="s">
        <v>3639</v>
      </c>
      <c r="J369" s="201">
        <f>COUNTIFS('TURMAS 2015.2'!U:U,A369)</f>
        <v>1</v>
      </c>
      <c r="K369" s="201">
        <f>SUMIFS('TURMAS 2015.2'!J:J,'TURMAS 2015.2'!U:U,A369)</f>
        <v>4</v>
      </c>
      <c r="L369" s="201">
        <f>COUNTIF('TURMAS 2015.2'!X:X,A369)</f>
        <v>2</v>
      </c>
      <c r="M369" s="201">
        <f>SUMIFS('TURMAS 2015.2'!K:K,'TURMAS 2015.2'!X:X,A369)</f>
        <v>4</v>
      </c>
      <c r="N369" s="201">
        <f t="shared" si="5"/>
        <v>8</v>
      </c>
      <c r="O369" s="214"/>
      <c r="P369" s="152">
        <v>0</v>
      </c>
      <c r="Q369" s="152">
        <v>0</v>
      </c>
      <c r="R369" s="152">
        <v>1</v>
      </c>
      <c r="S369" s="152">
        <v>358</v>
      </c>
    </row>
    <row r="370" spans="1:19" s="52" customFormat="1" ht="16.5" customHeight="1">
      <c r="A370" s="211">
        <v>359</v>
      </c>
      <c r="B370" s="212" t="s">
        <v>4077</v>
      </c>
      <c r="C370" s="211">
        <v>1545176</v>
      </c>
      <c r="D370" s="212" t="s">
        <v>3621</v>
      </c>
      <c r="E370" s="152" t="s">
        <v>3643</v>
      </c>
      <c r="F370" s="152" t="s">
        <v>3624</v>
      </c>
      <c r="G370" s="178" t="s">
        <v>3639</v>
      </c>
      <c r="H370" s="213" t="s">
        <v>3639</v>
      </c>
      <c r="I370" s="213" t="s">
        <v>3639</v>
      </c>
      <c r="J370" s="201">
        <f>COUNTIFS('TURMAS 2015.2'!U:U,A370)</f>
        <v>0</v>
      </c>
      <c r="K370" s="201">
        <f>SUMIFS('TURMAS 2015.2'!J:J,'TURMAS 2015.2'!U:U,A370)</f>
        <v>0</v>
      </c>
      <c r="L370" s="201">
        <f>COUNTIF('TURMAS 2015.2'!X:X,A370)</f>
        <v>0</v>
      </c>
      <c r="M370" s="201">
        <f>SUMIFS('TURMAS 2015.2'!K:K,'TURMAS 2015.2'!X:X,A370)</f>
        <v>0</v>
      </c>
      <c r="N370" s="201">
        <f t="shared" si="5"/>
        <v>0</v>
      </c>
      <c r="O370" s="214"/>
      <c r="P370" s="152">
        <v>0</v>
      </c>
      <c r="Q370" s="152">
        <v>0</v>
      </c>
      <c r="R370" s="152">
        <v>1</v>
      </c>
      <c r="S370" s="152">
        <v>359</v>
      </c>
    </row>
    <row r="371" spans="1:19" s="52" customFormat="1" ht="16.5" customHeight="1">
      <c r="A371" s="211">
        <v>360</v>
      </c>
      <c r="B371" s="212" t="s">
        <v>4078</v>
      </c>
      <c r="C371" s="211">
        <v>1296761</v>
      </c>
      <c r="D371" s="212" t="s">
        <v>3647</v>
      </c>
      <c r="E371" s="152" t="s">
        <v>3618</v>
      </c>
      <c r="F371" s="152" t="s">
        <v>3624</v>
      </c>
      <c r="G371" s="178" t="s">
        <v>3639</v>
      </c>
      <c r="H371" s="213" t="s">
        <v>3639</v>
      </c>
      <c r="I371" s="213" t="s">
        <v>3639</v>
      </c>
      <c r="J371" s="201">
        <f>COUNTIFS('TURMAS 2015.2'!U:U,A371)</f>
        <v>2</v>
      </c>
      <c r="K371" s="201">
        <f>SUMIFS('TURMAS 2015.2'!J:J,'TURMAS 2015.2'!U:U,A371)</f>
        <v>3</v>
      </c>
      <c r="L371" s="201">
        <f>COUNTIF('TURMAS 2015.2'!X:X,A371)</f>
        <v>2</v>
      </c>
      <c r="M371" s="201">
        <f>SUMIFS('TURMAS 2015.2'!K:K,'TURMAS 2015.2'!X:X,A371)</f>
        <v>3</v>
      </c>
      <c r="N371" s="201">
        <f t="shared" si="5"/>
        <v>6</v>
      </c>
      <c r="O371" s="214"/>
      <c r="P371" s="152">
        <v>0</v>
      </c>
      <c r="Q371" s="152">
        <v>0</v>
      </c>
      <c r="R371" s="152">
        <v>1</v>
      </c>
      <c r="S371" s="152">
        <v>360</v>
      </c>
    </row>
    <row r="372" spans="1:19" s="52" customFormat="1" ht="16.5" customHeight="1">
      <c r="A372" s="211">
        <v>361</v>
      </c>
      <c r="B372" s="212" t="s">
        <v>4079</v>
      </c>
      <c r="C372" s="211">
        <v>1766041</v>
      </c>
      <c r="D372" s="212" t="s">
        <v>3610</v>
      </c>
      <c r="E372" s="152" t="s">
        <v>3611</v>
      </c>
      <c r="F372" s="152" t="s">
        <v>3624</v>
      </c>
      <c r="G372" s="178" t="s">
        <v>3639</v>
      </c>
      <c r="H372" s="213" t="s">
        <v>3639</v>
      </c>
      <c r="I372" s="213" t="s">
        <v>3639</v>
      </c>
      <c r="J372" s="201">
        <f>COUNTIFS('TURMAS 2015.2'!U:U,A372)</f>
        <v>0</v>
      </c>
      <c r="K372" s="201">
        <f>SUMIFS('TURMAS 2015.2'!J:J,'TURMAS 2015.2'!U:U,A372)</f>
        <v>0</v>
      </c>
      <c r="L372" s="201">
        <f>COUNTIF('TURMAS 2015.2'!X:X,A372)</f>
        <v>3</v>
      </c>
      <c r="M372" s="201">
        <f>SUMIFS('TURMAS 2015.2'!K:K,'TURMAS 2015.2'!X:X,A372)</f>
        <v>9</v>
      </c>
      <c r="N372" s="201">
        <f t="shared" si="5"/>
        <v>9</v>
      </c>
      <c r="O372" s="214"/>
      <c r="P372" s="152" t="s">
        <v>4080</v>
      </c>
      <c r="Q372" s="152">
        <v>0.7</v>
      </c>
      <c r="R372" s="152">
        <v>0.30000000000000004</v>
      </c>
      <c r="S372" s="152">
        <v>361</v>
      </c>
    </row>
    <row r="373" spans="1:19" s="52" customFormat="1" ht="16.5" customHeight="1">
      <c r="A373" s="211">
        <v>362</v>
      </c>
      <c r="B373" s="212" t="s">
        <v>4081</v>
      </c>
      <c r="C373" s="211">
        <v>1600874</v>
      </c>
      <c r="D373" s="212" t="s">
        <v>3647</v>
      </c>
      <c r="E373" s="152" t="s">
        <v>3618</v>
      </c>
      <c r="F373" s="152" t="s">
        <v>3624</v>
      </c>
      <c r="G373" s="178" t="s">
        <v>3639</v>
      </c>
      <c r="H373" s="213" t="s">
        <v>3639</v>
      </c>
      <c r="I373" s="213" t="s">
        <v>3639</v>
      </c>
      <c r="J373" s="201">
        <f>COUNTIFS('TURMAS 2015.2'!U:U,A373)</f>
        <v>2</v>
      </c>
      <c r="K373" s="201">
        <f>SUMIFS('TURMAS 2015.2'!J:J,'TURMAS 2015.2'!U:U,A373)</f>
        <v>6</v>
      </c>
      <c r="L373" s="201">
        <f>COUNTIF('TURMAS 2015.2'!X:X,A373)</f>
        <v>3</v>
      </c>
      <c r="M373" s="201">
        <f>SUMIFS('TURMAS 2015.2'!K:K,'TURMAS 2015.2'!X:X,A373)</f>
        <v>4</v>
      </c>
      <c r="N373" s="201">
        <f t="shared" si="5"/>
        <v>10</v>
      </c>
      <c r="O373" s="214"/>
      <c r="P373" s="152" t="s">
        <v>4082</v>
      </c>
      <c r="Q373" s="152">
        <v>0.7</v>
      </c>
      <c r="R373" s="152">
        <v>0.30000000000000004</v>
      </c>
      <c r="S373" s="152">
        <v>362</v>
      </c>
    </row>
    <row r="374" spans="1:19" s="52" customFormat="1" ht="16.5" customHeight="1">
      <c r="A374" s="211">
        <v>363</v>
      </c>
      <c r="B374" s="212" t="s">
        <v>4083</v>
      </c>
      <c r="C374" s="211">
        <v>1545741</v>
      </c>
      <c r="D374" s="212" t="s">
        <v>3647</v>
      </c>
      <c r="E374" s="152" t="s">
        <v>3643</v>
      </c>
      <c r="F374" s="152" t="s">
        <v>3624</v>
      </c>
      <c r="G374" s="178" t="s">
        <v>3639</v>
      </c>
      <c r="H374" s="213" t="s">
        <v>3639</v>
      </c>
      <c r="I374" s="213" t="s">
        <v>3639</v>
      </c>
      <c r="J374" s="201">
        <f>COUNTIFS('TURMAS 2015.2'!U:U,A374)</f>
        <v>3</v>
      </c>
      <c r="K374" s="201">
        <f>SUMIFS('TURMAS 2015.2'!J:J,'TURMAS 2015.2'!U:U,A374)</f>
        <v>10</v>
      </c>
      <c r="L374" s="201">
        <f>COUNTIF('TURMAS 2015.2'!X:X,A374)</f>
        <v>1</v>
      </c>
      <c r="M374" s="201">
        <f>SUMIFS('TURMAS 2015.2'!K:K,'TURMAS 2015.2'!X:X,A374)</f>
        <v>2</v>
      </c>
      <c r="N374" s="201">
        <f t="shared" si="5"/>
        <v>12</v>
      </c>
      <c r="O374" s="214"/>
      <c r="P374" s="152" t="s">
        <v>4084</v>
      </c>
      <c r="Q374" s="152">
        <v>0.5</v>
      </c>
      <c r="R374" s="152">
        <v>0.5</v>
      </c>
      <c r="S374" s="152">
        <v>363</v>
      </c>
    </row>
    <row r="375" spans="1:19" s="52" customFormat="1" ht="16.5" customHeight="1">
      <c r="A375" s="211">
        <v>364</v>
      </c>
      <c r="B375" s="212" t="s">
        <v>4085</v>
      </c>
      <c r="C375" s="211">
        <v>1954058</v>
      </c>
      <c r="D375" s="212" t="s">
        <v>3635</v>
      </c>
      <c r="E375" s="152" t="s">
        <v>3611</v>
      </c>
      <c r="F375" s="152" t="s">
        <v>3624</v>
      </c>
      <c r="G375" s="178" t="s">
        <v>3639</v>
      </c>
      <c r="H375" s="213" t="s">
        <v>3639</v>
      </c>
      <c r="I375" s="213" t="s">
        <v>3639</v>
      </c>
      <c r="J375" s="201">
        <f>COUNTIFS('TURMAS 2015.2'!U:U,A375)</f>
        <v>1</v>
      </c>
      <c r="K375" s="201">
        <f>SUMIFS('TURMAS 2015.2'!J:J,'TURMAS 2015.2'!U:U,A375)</f>
        <v>4</v>
      </c>
      <c r="L375" s="201">
        <f>COUNTIF('TURMAS 2015.2'!X:X,A375)</f>
        <v>1</v>
      </c>
      <c r="M375" s="201">
        <f>SUMIFS('TURMAS 2015.2'!K:K,'TURMAS 2015.2'!X:X,A375)</f>
        <v>2</v>
      </c>
      <c r="N375" s="201">
        <f t="shared" si="5"/>
        <v>6</v>
      </c>
      <c r="O375" s="214"/>
      <c r="P375" s="152">
        <v>0</v>
      </c>
      <c r="Q375" s="152">
        <v>0</v>
      </c>
      <c r="R375" s="152">
        <v>1</v>
      </c>
      <c r="S375" s="152">
        <v>364</v>
      </c>
    </row>
    <row r="376" spans="1:19" s="52" customFormat="1" ht="16.5" customHeight="1">
      <c r="A376" s="211">
        <v>365</v>
      </c>
      <c r="B376" s="212" t="s">
        <v>4086</v>
      </c>
      <c r="C376" s="211">
        <v>1546618</v>
      </c>
      <c r="D376" s="212" t="s">
        <v>3647</v>
      </c>
      <c r="E376" s="152" t="s">
        <v>3643</v>
      </c>
      <c r="F376" s="152" t="s">
        <v>3624</v>
      </c>
      <c r="G376" s="178" t="s">
        <v>3639</v>
      </c>
      <c r="H376" s="213" t="s">
        <v>3639</v>
      </c>
      <c r="I376" s="213" t="s">
        <v>3639</v>
      </c>
      <c r="J376" s="201">
        <f>COUNTIFS('TURMAS 2015.2'!U:U,A376)</f>
        <v>1</v>
      </c>
      <c r="K376" s="201">
        <f>SUMIFS('TURMAS 2015.2'!J:J,'TURMAS 2015.2'!U:U,A376)</f>
        <v>4</v>
      </c>
      <c r="L376" s="201">
        <f>COUNTIF('TURMAS 2015.2'!X:X,A376)</f>
        <v>0</v>
      </c>
      <c r="M376" s="201">
        <f>SUMIFS('TURMAS 2015.2'!K:K,'TURMAS 2015.2'!X:X,A376)</f>
        <v>0</v>
      </c>
      <c r="N376" s="201">
        <f t="shared" si="5"/>
        <v>4</v>
      </c>
      <c r="O376" s="214"/>
      <c r="P376" s="152">
        <v>0</v>
      </c>
      <c r="Q376" s="152">
        <v>0</v>
      </c>
      <c r="R376" s="152">
        <v>1</v>
      </c>
      <c r="S376" s="152">
        <v>365</v>
      </c>
    </row>
    <row r="377" spans="1:19" s="52" customFormat="1" ht="16.5" customHeight="1">
      <c r="A377" s="211">
        <v>366</v>
      </c>
      <c r="B377" s="212" t="s">
        <v>4087</v>
      </c>
      <c r="C377" s="211">
        <v>1763443</v>
      </c>
      <c r="D377" s="212" t="s">
        <v>3610</v>
      </c>
      <c r="E377" s="152" t="s">
        <v>3643</v>
      </c>
      <c r="F377" s="152" t="s">
        <v>3624</v>
      </c>
      <c r="G377" s="178" t="s">
        <v>3639</v>
      </c>
      <c r="H377" s="213" t="s">
        <v>3639</v>
      </c>
      <c r="I377" s="213" t="s">
        <v>3639</v>
      </c>
      <c r="J377" s="201">
        <f>COUNTIFS('TURMAS 2015.2'!U:U,A377)</f>
        <v>0</v>
      </c>
      <c r="K377" s="201">
        <f>SUMIFS('TURMAS 2015.2'!J:J,'TURMAS 2015.2'!U:U,A377)</f>
        <v>0</v>
      </c>
      <c r="L377" s="201">
        <f>COUNTIF('TURMAS 2015.2'!X:X,A377)</f>
        <v>0</v>
      </c>
      <c r="M377" s="201">
        <f>SUMIFS('TURMAS 2015.2'!K:K,'TURMAS 2015.2'!X:X,A377)</f>
        <v>0</v>
      </c>
      <c r="N377" s="201">
        <f t="shared" si="5"/>
        <v>0</v>
      </c>
      <c r="O377" s="214"/>
      <c r="P377" s="152">
        <v>0</v>
      </c>
      <c r="Q377" s="152">
        <v>0</v>
      </c>
      <c r="R377" s="152">
        <v>1</v>
      </c>
      <c r="S377" s="152">
        <v>366</v>
      </c>
    </row>
    <row r="378" spans="1:19" s="52" customFormat="1" ht="16.5" customHeight="1">
      <c r="A378" s="211">
        <v>367</v>
      </c>
      <c r="B378" s="212" t="s">
        <v>4088</v>
      </c>
      <c r="C378" s="211">
        <v>1675714</v>
      </c>
      <c r="D378" s="212" t="s">
        <v>3610</v>
      </c>
      <c r="E378" s="152" t="s">
        <v>3643</v>
      </c>
      <c r="F378" s="152" t="s">
        <v>3624</v>
      </c>
      <c r="G378" s="178" t="s">
        <v>3639</v>
      </c>
      <c r="H378" s="213" t="s">
        <v>3639</v>
      </c>
      <c r="I378" s="213" t="s">
        <v>3639</v>
      </c>
      <c r="J378" s="201">
        <f>COUNTIFS('TURMAS 2015.2'!U:U,A378)</f>
        <v>1</v>
      </c>
      <c r="K378" s="201">
        <f>SUMIFS('TURMAS 2015.2'!J:J,'TURMAS 2015.2'!U:U,A378)</f>
        <v>2</v>
      </c>
      <c r="L378" s="201">
        <f>COUNTIF('TURMAS 2015.2'!X:X,A378)</f>
        <v>1</v>
      </c>
      <c r="M378" s="201">
        <f>SUMIFS('TURMAS 2015.2'!K:K,'TURMAS 2015.2'!X:X,A378)</f>
        <v>2</v>
      </c>
      <c r="N378" s="201">
        <f t="shared" si="5"/>
        <v>4</v>
      </c>
      <c r="O378" s="214"/>
      <c r="P378" s="152">
        <v>0</v>
      </c>
      <c r="Q378" s="152">
        <v>0</v>
      </c>
      <c r="R378" s="152">
        <v>1</v>
      </c>
      <c r="S378" s="152">
        <v>367</v>
      </c>
    </row>
    <row r="379" spans="1:19" s="52" customFormat="1" ht="16.5" customHeight="1">
      <c r="A379" s="211">
        <v>368</v>
      </c>
      <c r="B379" s="212" t="s">
        <v>4089</v>
      </c>
      <c r="C379" s="211">
        <v>1656374</v>
      </c>
      <c r="D379" s="212" t="s">
        <v>3647</v>
      </c>
      <c r="E379" s="152" t="s">
        <v>3643</v>
      </c>
      <c r="F379" s="152" t="s">
        <v>3624</v>
      </c>
      <c r="G379" s="178" t="s">
        <v>3639</v>
      </c>
      <c r="H379" s="213" t="s">
        <v>3639</v>
      </c>
      <c r="I379" s="213" t="s">
        <v>3639</v>
      </c>
      <c r="J379" s="201">
        <f>COUNTIFS('TURMAS 2015.2'!U:U,A379)</f>
        <v>1</v>
      </c>
      <c r="K379" s="201">
        <f>SUMIFS('TURMAS 2015.2'!J:J,'TURMAS 2015.2'!U:U,A379)</f>
        <v>3</v>
      </c>
      <c r="L379" s="201">
        <f>COUNTIF('TURMAS 2015.2'!X:X,A379)</f>
        <v>0</v>
      </c>
      <c r="M379" s="201">
        <f>SUMIFS('TURMAS 2015.2'!K:K,'TURMAS 2015.2'!X:X,A379)</f>
        <v>0</v>
      </c>
      <c r="N379" s="201">
        <f t="shared" si="5"/>
        <v>3</v>
      </c>
      <c r="O379" s="214"/>
      <c r="P379" s="152">
        <v>0</v>
      </c>
      <c r="Q379" s="152">
        <v>0</v>
      </c>
      <c r="R379" s="152">
        <v>1</v>
      </c>
      <c r="S379" s="152">
        <v>368</v>
      </c>
    </row>
    <row r="380" spans="1:19" s="52" customFormat="1" ht="16.5" customHeight="1">
      <c r="A380" s="211">
        <v>369</v>
      </c>
      <c r="B380" s="212" t="s">
        <v>4090</v>
      </c>
      <c r="C380" s="211">
        <v>1953442</v>
      </c>
      <c r="D380" s="212" t="s">
        <v>3635</v>
      </c>
      <c r="E380" s="152" t="s">
        <v>3618</v>
      </c>
      <c r="F380" s="152" t="s">
        <v>3624</v>
      </c>
      <c r="G380" s="178" t="s">
        <v>3639</v>
      </c>
      <c r="H380" s="213" t="s">
        <v>3639</v>
      </c>
      <c r="I380" s="213" t="s">
        <v>3639</v>
      </c>
      <c r="J380" s="201">
        <f>COUNTIFS('TURMAS 2015.2'!U:U,A380)</f>
        <v>3</v>
      </c>
      <c r="K380" s="201">
        <f>SUMIFS('TURMAS 2015.2'!J:J,'TURMAS 2015.2'!U:U,A380)</f>
        <v>10</v>
      </c>
      <c r="L380" s="201">
        <f>COUNTIF('TURMAS 2015.2'!X:X,A380)</f>
        <v>0</v>
      </c>
      <c r="M380" s="201">
        <f>SUMIFS('TURMAS 2015.2'!K:K,'TURMAS 2015.2'!X:X,A380)</f>
        <v>0</v>
      </c>
      <c r="N380" s="201">
        <f t="shared" si="5"/>
        <v>10</v>
      </c>
      <c r="O380" s="214"/>
      <c r="P380" s="152">
        <v>0</v>
      </c>
      <c r="Q380" s="152">
        <v>0</v>
      </c>
      <c r="R380" s="152">
        <v>1</v>
      </c>
      <c r="S380" s="152">
        <v>369</v>
      </c>
    </row>
    <row r="381" spans="1:19" s="52" customFormat="1" ht="16.5" customHeight="1">
      <c r="A381" s="211">
        <v>370</v>
      </c>
      <c r="B381" s="212" t="s">
        <v>4091</v>
      </c>
      <c r="C381" s="211">
        <v>1545738</v>
      </c>
      <c r="D381" s="212" t="s">
        <v>3647</v>
      </c>
      <c r="E381" s="152" t="s">
        <v>3618</v>
      </c>
      <c r="F381" s="152" t="s">
        <v>3624</v>
      </c>
      <c r="G381" s="178" t="s">
        <v>3639</v>
      </c>
      <c r="H381" s="213" t="s">
        <v>3639</v>
      </c>
      <c r="I381" s="213" t="s">
        <v>3639</v>
      </c>
      <c r="J381" s="201">
        <f>COUNTIFS('TURMAS 2015.2'!U:U,A381)</f>
        <v>0</v>
      </c>
      <c r="K381" s="201">
        <f>SUMIFS('TURMAS 2015.2'!J:J,'TURMAS 2015.2'!U:U,A381)</f>
        <v>0</v>
      </c>
      <c r="L381" s="201">
        <f>COUNTIF('TURMAS 2015.2'!X:X,A381)</f>
        <v>2</v>
      </c>
      <c r="M381" s="201">
        <f>SUMIFS('TURMAS 2015.2'!K:K,'TURMAS 2015.2'!X:X,A381)</f>
        <v>6</v>
      </c>
      <c r="N381" s="201">
        <f t="shared" si="5"/>
        <v>6</v>
      </c>
      <c r="O381" s="214"/>
      <c r="P381" s="152">
        <v>0</v>
      </c>
      <c r="Q381" s="152">
        <v>0</v>
      </c>
      <c r="R381" s="152">
        <v>1</v>
      </c>
      <c r="S381" s="152">
        <v>370</v>
      </c>
    </row>
    <row r="382" spans="1:19" s="52" customFormat="1" ht="16.5" customHeight="1">
      <c r="A382" s="211">
        <v>371</v>
      </c>
      <c r="B382" s="212" t="s">
        <v>4092</v>
      </c>
      <c r="C382" s="211">
        <v>1762355</v>
      </c>
      <c r="D382" s="212" t="s">
        <v>3635</v>
      </c>
      <c r="E382" s="152" t="s">
        <v>3643</v>
      </c>
      <c r="F382" s="152" t="s">
        <v>3624</v>
      </c>
      <c r="G382" s="178" t="s">
        <v>3639</v>
      </c>
      <c r="H382" s="213" t="s">
        <v>3639</v>
      </c>
      <c r="I382" s="213" t="s">
        <v>3639</v>
      </c>
      <c r="J382" s="201">
        <f>COUNTIFS('TURMAS 2015.2'!U:U,A382)</f>
        <v>2</v>
      </c>
      <c r="K382" s="201">
        <f>SUMIFS('TURMAS 2015.2'!J:J,'TURMAS 2015.2'!U:U,A382)</f>
        <v>3</v>
      </c>
      <c r="L382" s="201">
        <f>COUNTIF('TURMAS 2015.2'!X:X,A382)</f>
        <v>1</v>
      </c>
      <c r="M382" s="201">
        <f>SUMIFS('TURMAS 2015.2'!K:K,'TURMAS 2015.2'!X:X,A382)</f>
        <v>4</v>
      </c>
      <c r="N382" s="201">
        <f t="shared" si="5"/>
        <v>7</v>
      </c>
      <c r="O382" s="214"/>
      <c r="P382" s="152">
        <v>0</v>
      </c>
      <c r="Q382" s="152">
        <v>0</v>
      </c>
      <c r="R382" s="152">
        <v>1</v>
      </c>
      <c r="S382" s="152">
        <v>371</v>
      </c>
    </row>
    <row r="383" spans="1:19" s="52" customFormat="1" ht="16.5" customHeight="1">
      <c r="A383" s="211">
        <v>372</v>
      </c>
      <c r="B383" s="212" t="s">
        <v>4093</v>
      </c>
      <c r="C383" s="211">
        <v>2604830</v>
      </c>
      <c r="D383" s="212" t="s">
        <v>3647</v>
      </c>
      <c r="E383" s="152" t="s">
        <v>3611</v>
      </c>
      <c r="F383" s="152" t="s">
        <v>3624</v>
      </c>
      <c r="G383" s="178" t="s">
        <v>3639</v>
      </c>
      <c r="H383" s="213" t="s">
        <v>3639</v>
      </c>
      <c r="I383" s="213" t="s">
        <v>3639</v>
      </c>
      <c r="J383" s="201">
        <f>COUNTIFS('TURMAS 2015.2'!U:U,A383)</f>
        <v>2</v>
      </c>
      <c r="K383" s="201">
        <f>SUMIFS('TURMAS 2015.2'!J:J,'TURMAS 2015.2'!U:U,A383)</f>
        <v>8</v>
      </c>
      <c r="L383" s="201">
        <f>COUNTIF('TURMAS 2015.2'!X:X,A383)</f>
        <v>0</v>
      </c>
      <c r="M383" s="201">
        <f>SUMIFS('TURMAS 2015.2'!K:K,'TURMAS 2015.2'!X:X,A383)</f>
        <v>0</v>
      </c>
      <c r="N383" s="201">
        <f t="shared" si="5"/>
        <v>8</v>
      </c>
      <c r="O383" s="214"/>
      <c r="P383" s="152">
        <v>0</v>
      </c>
      <c r="Q383" s="152">
        <v>0</v>
      </c>
      <c r="R383" s="152">
        <v>1</v>
      </c>
      <c r="S383" s="152">
        <v>372</v>
      </c>
    </row>
    <row r="384" spans="1:19" s="52" customFormat="1" ht="16.5" customHeight="1">
      <c r="A384" s="211">
        <v>373</v>
      </c>
      <c r="B384" s="212" t="s">
        <v>4094</v>
      </c>
      <c r="C384" s="211">
        <v>1675532</v>
      </c>
      <c r="D384" s="212" t="s">
        <v>3610</v>
      </c>
      <c r="E384" s="152" t="s">
        <v>3611</v>
      </c>
      <c r="F384" s="152" t="s">
        <v>3624</v>
      </c>
      <c r="G384" s="178" t="s">
        <v>3639</v>
      </c>
      <c r="H384" s="213" t="s">
        <v>3639</v>
      </c>
      <c r="I384" s="213" t="s">
        <v>3639</v>
      </c>
      <c r="J384" s="201">
        <f>COUNTIFS('TURMAS 2015.2'!U:U,A384)</f>
        <v>1</v>
      </c>
      <c r="K384" s="201">
        <f>SUMIFS('TURMAS 2015.2'!J:J,'TURMAS 2015.2'!U:U,A384)</f>
        <v>4</v>
      </c>
      <c r="L384" s="201">
        <f>COUNTIF('TURMAS 2015.2'!X:X,A384)</f>
        <v>3</v>
      </c>
      <c r="M384" s="201">
        <f>SUMIFS('TURMAS 2015.2'!K:K,'TURMAS 2015.2'!X:X,A384)</f>
        <v>6</v>
      </c>
      <c r="N384" s="201">
        <f t="shared" si="5"/>
        <v>10</v>
      </c>
      <c r="O384" s="214"/>
      <c r="P384" s="152">
        <v>0</v>
      </c>
      <c r="Q384" s="152">
        <v>0</v>
      </c>
      <c r="R384" s="152">
        <v>1</v>
      </c>
      <c r="S384" s="152">
        <v>373</v>
      </c>
    </row>
    <row r="385" spans="1:19" s="52" customFormat="1" ht="16.5" customHeight="1">
      <c r="A385" s="211">
        <v>374</v>
      </c>
      <c r="B385" s="212" t="s">
        <v>4095</v>
      </c>
      <c r="C385" s="211">
        <v>2129321</v>
      </c>
      <c r="D385" s="212" t="s">
        <v>3653</v>
      </c>
      <c r="E385" s="152" t="s">
        <v>3643</v>
      </c>
      <c r="F385" s="152" t="s">
        <v>3624</v>
      </c>
      <c r="G385" s="178" t="s">
        <v>3639</v>
      </c>
      <c r="H385" s="213" t="s">
        <v>3639</v>
      </c>
      <c r="I385" s="213" t="s">
        <v>3639</v>
      </c>
      <c r="J385" s="201">
        <f>COUNTIFS('TURMAS 2015.2'!U:U,A385)</f>
        <v>0</v>
      </c>
      <c r="K385" s="201">
        <f>SUMIFS('TURMAS 2015.2'!J:J,'TURMAS 2015.2'!U:U,A385)</f>
        <v>0</v>
      </c>
      <c r="L385" s="201">
        <f>COUNTIF('TURMAS 2015.2'!X:X,A385)</f>
        <v>3</v>
      </c>
      <c r="M385" s="201">
        <f>SUMIFS('TURMAS 2015.2'!K:K,'TURMAS 2015.2'!X:X,A385)</f>
        <v>6</v>
      </c>
      <c r="N385" s="201">
        <f t="shared" si="5"/>
        <v>6</v>
      </c>
      <c r="O385" s="214"/>
      <c r="P385" s="152">
        <v>0</v>
      </c>
      <c r="Q385" s="152">
        <v>0</v>
      </c>
      <c r="R385" s="152">
        <v>1</v>
      </c>
      <c r="S385" s="152">
        <v>374</v>
      </c>
    </row>
    <row r="386" spans="1:19" s="52" customFormat="1" ht="16.5" customHeight="1">
      <c r="A386" s="211">
        <v>375</v>
      </c>
      <c r="B386" s="212" t="s">
        <v>4096</v>
      </c>
      <c r="C386" s="211">
        <v>1802150</v>
      </c>
      <c r="D386" s="212" t="s">
        <v>3610</v>
      </c>
      <c r="E386" s="152" t="s">
        <v>3643</v>
      </c>
      <c r="F386" s="152" t="s">
        <v>3624</v>
      </c>
      <c r="G386" s="178" t="s">
        <v>3639</v>
      </c>
      <c r="H386" s="213" t="s">
        <v>3639</v>
      </c>
      <c r="I386" s="213" t="s">
        <v>3639</v>
      </c>
      <c r="J386" s="201">
        <f>COUNTIFS('TURMAS 2015.2'!U:U,A386)</f>
        <v>2</v>
      </c>
      <c r="K386" s="201">
        <f>SUMIFS('TURMAS 2015.2'!J:J,'TURMAS 2015.2'!U:U,A386)</f>
        <v>6</v>
      </c>
      <c r="L386" s="201">
        <f>COUNTIF('TURMAS 2015.2'!X:X,A386)</f>
        <v>0</v>
      </c>
      <c r="M386" s="201">
        <f>SUMIFS('TURMAS 2015.2'!K:K,'TURMAS 2015.2'!X:X,A386)</f>
        <v>0</v>
      </c>
      <c r="N386" s="201">
        <f t="shared" si="5"/>
        <v>6</v>
      </c>
      <c r="O386" s="214"/>
      <c r="P386" s="152" t="s">
        <v>4097</v>
      </c>
      <c r="Q386" s="152">
        <v>0.5</v>
      </c>
      <c r="R386" s="152">
        <v>0.5</v>
      </c>
      <c r="S386" s="152">
        <v>375</v>
      </c>
    </row>
    <row r="387" spans="1:19" s="52" customFormat="1" ht="16.5" customHeight="1">
      <c r="A387" s="211">
        <v>376</v>
      </c>
      <c r="B387" s="212" t="s">
        <v>4098</v>
      </c>
      <c r="C387" s="211">
        <v>1671599</v>
      </c>
      <c r="D387" s="212" t="s">
        <v>3647</v>
      </c>
      <c r="E387" s="152" t="s">
        <v>3643</v>
      </c>
      <c r="F387" s="152" t="s">
        <v>3624</v>
      </c>
      <c r="G387" s="178" t="s">
        <v>3639</v>
      </c>
      <c r="H387" s="213" t="s">
        <v>3639</v>
      </c>
      <c r="I387" s="213" t="s">
        <v>3639</v>
      </c>
      <c r="J387" s="201">
        <f>COUNTIFS('TURMAS 2015.2'!U:U,A387)</f>
        <v>2</v>
      </c>
      <c r="K387" s="201">
        <f>SUMIFS('TURMAS 2015.2'!J:J,'TURMAS 2015.2'!U:U,A387)</f>
        <v>6</v>
      </c>
      <c r="L387" s="201">
        <f>COUNTIF('TURMAS 2015.2'!X:X,A387)</f>
        <v>0</v>
      </c>
      <c r="M387" s="201">
        <f>SUMIFS('TURMAS 2015.2'!K:K,'TURMAS 2015.2'!X:X,A387)</f>
        <v>0</v>
      </c>
      <c r="N387" s="201">
        <f t="shared" si="5"/>
        <v>6</v>
      </c>
      <c r="O387" s="214"/>
      <c r="P387" s="152">
        <v>0</v>
      </c>
      <c r="Q387" s="152">
        <v>0</v>
      </c>
      <c r="R387" s="152">
        <v>1</v>
      </c>
      <c r="S387" s="152">
        <v>376</v>
      </c>
    </row>
    <row r="388" spans="1:19" s="52" customFormat="1" ht="16.5" customHeight="1">
      <c r="A388" s="211">
        <v>377</v>
      </c>
      <c r="B388" s="212" t="s">
        <v>4099</v>
      </c>
      <c r="C388" s="211">
        <v>1876376</v>
      </c>
      <c r="D388" s="212" t="s">
        <v>3642</v>
      </c>
      <c r="E388" s="152" t="s">
        <v>3618</v>
      </c>
      <c r="F388" s="152" t="s">
        <v>3624</v>
      </c>
      <c r="G388" s="178" t="s">
        <v>3639</v>
      </c>
      <c r="H388" s="213" t="s">
        <v>3639</v>
      </c>
      <c r="I388" s="213" t="s">
        <v>3639</v>
      </c>
      <c r="J388" s="201">
        <f>COUNTIFS('TURMAS 2015.2'!U:U,A388)</f>
        <v>1</v>
      </c>
      <c r="K388" s="201">
        <f>SUMIFS('TURMAS 2015.2'!J:J,'TURMAS 2015.2'!U:U,A388)</f>
        <v>3</v>
      </c>
      <c r="L388" s="201">
        <f>COUNTIF('TURMAS 2015.2'!X:X,A388)</f>
        <v>2</v>
      </c>
      <c r="M388" s="201">
        <f>SUMIFS('TURMAS 2015.2'!K:K,'TURMAS 2015.2'!X:X,A388)</f>
        <v>4</v>
      </c>
      <c r="N388" s="201">
        <f t="shared" si="5"/>
        <v>7</v>
      </c>
      <c r="O388" s="214"/>
      <c r="P388" s="152">
        <v>0</v>
      </c>
      <c r="Q388" s="152">
        <v>0</v>
      </c>
      <c r="R388" s="152">
        <v>1</v>
      </c>
      <c r="S388" s="152">
        <v>377</v>
      </c>
    </row>
    <row r="389" spans="1:19" s="52" customFormat="1" ht="16.5" customHeight="1">
      <c r="A389" s="211">
        <v>378</v>
      </c>
      <c r="B389" s="212" t="s">
        <v>4100</v>
      </c>
      <c r="C389" s="211">
        <v>1545447</v>
      </c>
      <c r="D389" s="212" t="s">
        <v>3621</v>
      </c>
      <c r="E389" s="152" t="s">
        <v>3618</v>
      </c>
      <c r="F389" s="152" t="s">
        <v>3624</v>
      </c>
      <c r="G389" s="178" t="s">
        <v>3639</v>
      </c>
      <c r="H389" s="213" t="s">
        <v>3639</v>
      </c>
      <c r="I389" s="213" t="s">
        <v>3639</v>
      </c>
      <c r="J389" s="201">
        <f>COUNTIFS('TURMAS 2015.2'!U:U,A389)</f>
        <v>0</v>
      </c>
      <c r="K389" s="201">
        <f>SUMIFS('TURMAS 2015.2'!J:J,'TURMAS 2015.2'!U:U,A389)</f>
        <v>0</v>
      </c>
      <c r="L389" s="201">
        <f>COUNTIF('TURMAS 2015.2'!X:X,A389)</f>
        <v>0</v>
      </c>
      <c r="M389" s="201">
        <f>SUMIFS('TURMAS 2015.2'!K:K,'TURMAS 2015.2'!X:X,A389)</f>
        <v>0</v>
      </c>
      <c r="N389" s="201">
        <f t="shared" si="5"/>
        <v>0</v>
      </c>
      <c r="O389" s="214"/>
      <c r="P389" s="152">
        <v>0</v>
      </c>
      <c r="Q389" s="152">
        <v>0</v>
      </c>
      <c r="R389" s="152">
        <v>1</v>
      </c>
      <c r="S389" s="152">
        <v>378</v>
      </c>
    </row>
    <row r="390" spans="1:19" s="52" customFormat="1" ht="16.5" customHeight="1">
      <c r="A390" s="211">
        <v>379</v>
      </c>
      <c r="B390" s="212" t="s">
        <v>4101</v>
      </c>
      <c r="C390" s="211">
        <v>1544417</v>
      </c>
      <c r="D390" s="212" t="s">
        <v>3647</v>
      </c>
      <c r="E390" s="152" t="s">
        <v>3643</v>
      </c>
      <c r="F390" s="152" t="s">
        <v>3624</v>
      </c>
      <c r="G390" s="178" t="s">
        <v>3639</v>
      </c>
      <c r="H390" s="213" t="s">
        <v>3639</v>
      </c>
      <c r="I390" s="213" t="s">
        <v>3639</v>
      </c>
      <c r="J390" s="201">
        <f>COUNTIFS('TURMAS 2015.2'!U:U,A390)</f>
        <v>1</v>
      </c>
      <c r="K390" s="201">
        <f>SUMIFS('TURMAS 2015.2'!J:J,'TURMAS 2015.2'!U:U,A390)</f>
        <v>4</v>
      </c>
      <c r="L390" s="201">
        <f>COUNTIF('TURMAS 2015.2'!X:X,A390)</f>
        <v>0</v>
      </c>
      <c r="M390" s="201">
        <f>SUMIFS('TURMAS 2015.2'!K:K,'TURMAS 2015.2'!X:X,A390)</f>
        <v>0</v>
      </c>
      <c r="N390" s="201">
        <f t="shared" si="5"/>
        <v>4</v>
      </c>
      <c r="O390" s="214"/>
      <c r="P390" s="152">
        <v>0</v>
      </c>
      <c r="Q390" s="152">
        <v>0</v>
      </c>
      <c r="R390" s="152">
        <v>1</v>
      </c>
      <c r="S390" s="152">
        <v>379</v>
      </c>
    </row>
    <row r="391" spans="1:19" s="52" customFormat="1" ht="16.5" customHeight="1">
      <c r="A391" s="211">
        <v>380</v>
      </c>
      <c r="B391" s="212" t="s">
        <v>4102</v>
      </c>
      <c r="C391" s="211">
        <v>1765433</v>
      </c>
      <c r="D391" s="212" t="s">
        <v>3617</v>
      </c>
      <c r="E391" s="152" t="s">
        <v>3618</v>
      </c>
      <c r="F391" s="152" t="s">
        <v>3624</v>
      </c>
      <c r="G391" s="178" t="s">
        <v>3639</v>
      </c>
      <c r="H391" s="213" t="s">
        <v>3639</v>
      </c>
      <c r="I391" s="213" t="s">
        <v>3639</v>
      </c>
      <c r="J391" s="201">
        <f>COUNTIFS('TURMAS 2015.2'!U:U,A391)</f>
        <v>1</v>
      </c>
      <c r="K391" s="201">
        <f>SUMIFS('TURMAS 2015.2'!J:J,'TURMAS 2015.2'!U:U,A391)</f>
        <v>4</v>
      </c>
      <c r="L391" s="201">
        <f>COUNTIF('TURMAS 2015.2'!X:X,A391)</f>
        <v>0</v>
      </c>
      <c r="M391" s="201">
        <f>SUMIFS('TURMAS 2015.2'!K:K,'TURMAS 2015.2'!X:X,A391)</f>
        <v>0</v>
      </c>
      <c r="N391" s="201">
        <f t="shared" si="5"/>
        <v>4</v>
      </c>
      <c r="O391" s="214"/>
      <c r="P391" s="152" t="s">
        <v>4103</v>
      </c>
      <c r="Q391" s="152">
        <v>0.3</v>
      </c>
      <c r="R391" s="152">
        <v>0.7</v>
      </c>
      <c r="S391" s="152">
        <v>380</v>
      </c>
    </row>
    <row r="392" spans="1:19" s="52" customFormat="1" ht="16.5" customHeight="1">
      <c r="A392" s="211">
        <v>381</v>
      </c>
      <c r="B392" s="212" t="s">
        <v>4104</v>
      </c>
      <c r="C392" s="211">
        <v>1793234</v>
      </c>
      <c r="D392" s="212" t="s">
        <v>3617</v>
      </c>
      <c r="E392" s="152" t="s">
        <v>3611</v>
      </c>
      <c r="F392" s="152" t="s">
        <v>3624</v>
      </c>
      <c r="G392" s="178" t="s">
        <v>3639</v>
      </c>
      <c r="H392" s="213" t="s">
        <v>3639</v>
      </c>
      <c r="I392" s="213" t="s">
        <v>3639</v>
      </c>
      <c r="J392" s="201">
        <f>COUNTIFS('TURMAS 2015.2'!U:U,A392)</f>
        <v>2</v>
      </c>
      <c r="K392" s="201">
        <f>SUMIFS('TURMAS 2015.2'!J:J,'TURMAS 2015.2'!U:U,A392)</f>
        <v>8</v>
      </c>
      <c r="L392" s="201">
        <f>COUNTIF('TURMAS 2015.2'!X:X,A392)</f>
        <v>0</v>
      </c>
      <c r="M392" s="201">
        <f>SUMIFS('TURMAS 2015.2'!K:K,'TURMAS 2015.2'!X:X,A392)</f>
        <v>0</v>
      </c>
      <c r="N392" s="201">
        <f t="shared" si="5"/>
        <v>8</v>
      </c>
      <c r="O392" s="214"/>
      <c r="P392" s="152">
        <v>0</v>
      </c>
      <c r="Q392" s="152">
        <v>0</v>
      </c>
      <c r="R392" s="152">
        <v>1</v>
      </c>
      <c r="S392" s="152">
        <v>381</v>
      </c>
    </row>
    <row r="393" spans="1:19" s="52" customFormat="1" ht="16.5" customHeight="1">
      <c r="A393" s="211">
        <v>382</v>
      </c>
      <c r="B393" s="215" t="s">
        <v>4105</v>
      </c>
      <c r="C393" s="211">
        <v>1675730</v>
      </c>
      <c r="D393" s="211"/>
      <c r="E393" s="152" t="s">
        <v>3643</v>
      </c>
      <c r="F393" s="152" t="s">
        <v>3624</v>
      </c>
      <c r="G393" s="178"/>
      <c r="H393" s="213"/>
      <c r="I393" s="213"/>
      <c r="J393" s="201">
        <f>COUNTIFS('TURMAS 2015.2'!U:U,A393)</f>
        <v>0</v>
      </c>
      <c r="K393" s="201">
        <f>SUMIFS('TURMAS 2015.2'!J:J,'TURMAS 2015.2'!U:U,A393)</f>
        <v>0</v>
      </c>
      <c r="L393" s="201">
        <f>COUNTIF('TURMAS 2015.2'!X:X,A393)</f>
        <v>0</v>
      </c>
      <c r="M393" s="201">
        <f>SUMIFS('TURMAS 2015.2'!K:K,'TURMAS 2015.2'!X:X,A393)</f>
        <v>0</v>
      </c>
      <c r="N393" s="201">
        <f t="shared" si="5"/>
        <v>0</v>
      </c>
      <c r="O393" s="214"/>
      <c r="P393" s="152"/>
      <c r="Q393" s="152"/>
      <c r="R393" s="152"/>
      <c r="S393" s="152">
        <v>382</v>
      </c>
    </row>
    <row r="394" spans="1:19" ht="16.5" customHeight="1">
      <c r="A394" s="211">
        <v>383</v>
      </c>
      <c r="B394" s="212" t="s">
        <v>4106</v>
      </c>
      <c r="C394" s="211">
        <v>1544419</v>
      </c>
      <c r="D394" s="212" t="s">
        <v>3647</v>
      </c>
      <c r="E394" s="152" t="s">
        <v>3618</v>
      </c>
      <c r="F394" s="152" t="s">
        <v>3624</v>
      </c>
      <c r="G394" s="178" t="s">
        <v>3639</v>
      </c>
      <c r="H394" s="213" t="s">
        <v>3639</v>
      </c>
      <c r="I394" s="213" t="s">
        <v>3639</v>
      </c>
      <c r="J394" s="201">
        <f>COUNTIFS('TURMAS 2015.2'!U:U,A394)</f>
        <v>1</v>
      </c>
      <c r="K394" s="201">
        <f>SUMIFS('TURMAS 2015.2'!J:J,'TURMAS 2015.2'!U:U,A394)</f>
        <v>3</v>
      </c>
      <c r="L394" s="201">
        <f>COUNTIF('TURMAS 2015.2'!X:X,A394)</f>
        <v>3</v>
      </c>
      <c r="M394" s="201">
        <f>SUMIFS('TURMAS 2015.2'!K:K,'TURMAS 2015.2'!X:X,A394)</f>
        <v>5</v>
      </c>
      <c r="N394" s="201">
        <f t="shared" si="5"/>
        <v>8</v>
      </c>
      <c r="O394" s="214"/>
      <c r="P394" s="152">
        <v>0</v>
      </c>
      <c r="Q394" s="152">
        <v>0</v>
      </c>
      <c r="R394" s="152">
        <v>1</v>
      </c>
      <c r="S394" s="152">
        <v>383</v>
      </c>
    </row>
    <row r="395" spans="1:19" s="52" customFormat="1" ht="16.5" customHeight="1">
      <c r="A395" s="211">
        <v>384</v>
      </c>
      <c r="B395" s="212" t="s">
        <v>4107</v>
      </c>
      <c r="C395" s="211">
        <v>1555843</v>
      </c>
      <c r="D395" s="212" t="s">
        <v>3617</v>
      </c>
      <c r="E395" s="152" t="s">
        <v>3643</v>
      </c>
      <c r="F395" s="152" t="s">
        <v>3624</v>
      </c>
      <c r="G395" s="178" t="s">
        <v>3639</v>
      </c>
      <c r="H395" s="213" t="s">
        <v>3639</v>
      </c>
      <c r="I395" s="213" t="s">
        <v>3639</v>
      </c>
      <c r="J395" s="201">
        <f>COUNTIFS('TURMAS 2015.2'!U:U,A395)</f>
        <v>1</v>
      </c>
      <c r="K395" s="201">
        <f>SUMIFS('TURMAS 2015.2'!J:J,'TURMAS 2015.2'!U:U,A395)</f>
        <v>4</v>
      </c>
      <c r="L395" s="201">
        <f>COUNTIF('TURMAS 2015.2'!X:X,A395)</f>
        <v>0</v>
      </c>
      <c r="M395" s="201">
        <f>SUMIFS('TURMAS 2015.2'!K:K,'TURMAS 2015.2'!X:X,A395)</f>
        <v>0</v>
      </c>
      <c r="N395" s="201">
        <f t="shared" si="5"/>
        <v>4</v>
      </c>
      <c r="O395" s="214"/>
      <c r="P395" s="152" t="s">
        <v>4108</v>
      </c>
      <c r="Q395" s="152">
        <v>0.5</v>
      </c>
      <c r="R395" s="152">
        <v>0.5</v>
      </c>
      <c r="S395" s="152">
        <v>384</v>
      </c>
    </row>
    <row r="396" spans="1:19" s="52" customFormat="1" ht="16.5" customHeight="1">
      <c r="A396" s="211">
        <v>385</v>
      </c>
      <c r="B396" s="212" t="s">
        <v>4109</v>
      </c>
      <c r="C396" s="211">
        <v>1762353</v>
      </c>
      <c r="D396" s="212" t="s">
        <v>3610</v>
      </c>
      <c r="E396" s="152" t="s">
        <v>3643</v>
      </c>
      <c r="F396" s="152" t="s">
        <v>3624</v>
      </c>
      <c r="G396" s="178" t="s">
        <v>3639</v>
      </c>
      <c r="H396" s="213" t="s">
        <v>3639</v>
      </c>
      <c r="I396" s="213" t="s">
        <v>3639</v>
      </c>
      <c r="J396" s="201">
        <f>COUNTIFS('TURMAS 2015.2'!U:U,A396)</f>
        <v>0</v>
      </c>
      <c r="K396" s="201">
        <f>SUMIFS('TURMAS 2015.2'!J:J,'TURMAS 2015.2'!U:U,A396)</f>
        <v>0</v>
      </c>
      <c r="L396" s="201">
        <f>COUNTIF('TURMAS 2015.2'!X:X,A396)</f>
        <v>0</v>
      </c>
      <c r="M396" s="201">
        <f>SUMIFS('TURMAS 2015.2'!K:K,'TURMAS 2015.2'!X:X,A396)</f>
        <v>0</v>
      </c>
      <c r="N396" s="201">
        <f t="shared" ref="N396:N459" si="6">K396+M396</f>
        <v>0</v>
      </c>
      <c r="O396" s="214"/>
      <c r="P396" s="152">
        <v>0</v>
      </c>
      <c r="Q396" s="152">
        <v>0</v>
      </c>
      <c r="R396" s="152">
        <v>1</v>
      </c>
      <c r="S396" s="152">
        <v>385</v>
      </c>
    </row>
    <row r="397" spans="1:19" s="52" customFormat="1" ht="16.5" customHeight="1">
      <c r="A397" s="211">
        <v>386</v>
      </c>
      <c r="B397" s="212" t="s">
        <v>4110</v>
      </c>
      <c r="C397" s="211">
        <v>1619011</v>
      </c>
      <c r="D397" s="212" t="s">
        <v>3635</v>
      </c>
      <c r="E397" s="152" t="s">
        <v>3643</v>
      </c>
      <c r="F397" s="152" t="s">
        <v>3624</v>
      </c>
      <c r="G397" s="178" t="s">
        <v>3639</v>
      </c>
      <c r="H397" s="213" t="s">
        <v>3639</v>
      </c>
      <c r="I397" s="213" t="s">
        <v>3639</v>
      </c>
      <c r="J397" s="201">
        <f>COUNTIFS('TURMAS 2015.2'!U:U,A397)</f>
        <v>2</v>
      </c>
      <c r="K397" s="201">
        <f>SUMIFS('TURMAS 2015.2'!J:J,'TURMAS 2015.2'!U:U,A397)</f>
        <v>6</v>
      </c>
      <c r="L397" s="201">
        <f>COUNTIF('TURMAS 2015.2'!X:X,A397)</f>
        <v>0</v>
      </c>
      <c r="M397" s="201">
        <f>SUMIFS('TURMAS 2015.2'!K:K,'TURMAS 2015.2'!X:X,A397)</f>
        <v>0</v>
      </c>
      <c r="N397" s="201">
        <f t="shared" si="6"/>
        <v>6</v>
      </c>
      <c r="O397" s="214"/>
      <c r="P397" s="152" t="s">
        <v>4111</v>
      </c>
      <c r="Q397" s="152">
        <v>0.3</v>
      </c>
      <c r="R397" s="152">
        <v>0.7</v>
      </c>
      <c r="S397" s="152">
        <v>386</v>
      </c>
    </row>
    <row r="398" spans="1:19" s="52" customFormat="1" ht="16.5" customHeight="1">
      <c r="A398" s="211">
        <v>387</v>
      </c>
      <c r="B398" s="215" t="s">
        <v>4112</v>
      </c>
      <c r="C398" s="211">
        <v>1690814</v>
      </c>
      <c r="D398" s="211" t="s">
        <v>3608</v>
      </c>
      <c r="E398" s="152" t="s">
        <v>3618</v>
      </c>
      <c r="F398" s="152" t="s">
        <v>3624</v>
      </c>
      <c r="G398" s="178"/>
      <c r="H398" s="213"/>
      <c r="I398" s="213"/>
      <c r="J398" s="201">
        <f>COUNTIFS('TURMAS 2015.2'!U:U,A398)</f>
        <v>2</v>
      </c>
      <c r="K398" s="201">
        <f>SUMIFS('TURMAS 2015.2'!J:J,'TURMAS 2015.2'!U:U,A398)</f>
        <v>7</v>
      </c>
      <c r="L398" s="201">
        <f>COUNTIF('TURMAS 2015.2'!X:X,A398)</f>
        <v>0</v>
      </c>
      <c r="M398" s="201">
        <f>SUMIFS('TURMAS 2015.2'!K:K,'TURMAS 2015.2'!X:X,A398)</f>
        <v>0</v>
      </c>
      <c r="N398" s="201">
        <f t="shared" si="6"/>
        <v>7</v>
      </c>
      <c r="O398" s="214"/>
      <c r="P398" s="152">
        <v>0</v>
      </c>
      <c r="Q398" s="152">
        <v>0</v>
      </c>
      <c r="R398" s="152">
        <v>1</v>
      </c>
      <c r="S398" s="152">
        <v>387</v>
      </c>
    </row>
    <row r="399" spans="1:19" s="52" customFormat="1" ht="16.5" customHeight="1">
      <c r="A399" s="211">
        <v>389</v>
      </c>
      <c r="B399" s="215" t="s">
        <v>4113</v>
      </c>
      <c r="C399" s="211">
        <v>9000020</v>
      </c>
      <c r="D399" s="211" t="s">
        <v>3608</v>
      </c>
      <c r="E399" s="152" t="s">
        <v>3618</v>
      </c>
      <c r="F399" s="152" t="s">
        <v>3624</v>
      </c>
      <c r="G399" s="178"/>
      <c r="H399" s="213"/>
      <c r="I399" s="213"/>
      <c r="J399" s="201">
        <f>COUNTIFS('TURMAS 2015.2'!U:U,A399)</f>
        <v>0</v>
      </c>
      <c r="K399" s="201">
        <f>SUMIFS('TURMAS 2015.2'!J:J,'TURMAS 2015.2'!U:U,A399)</f>
        <v>0</v>
      </c>
      <c r="L399" s="201">
        <f>COUNTIF('TURMAS 2015.2'!X:X,A399)</f>
        <v>0</v>
      </c>
      <c r="M399" s="201">
        <f>SUMIFS('TURMAS 2015.2'!K:K,'TURMAS 2015.2'!X:X,A399)</f>
        <v>0</v>
      </c>
      <c r="N399" s="201">
        <f t="shared" si="6"/>
        <v>0</v>
      </c>
      <c r="O399" s="214"/>
      <c r="P399" s="152">
        <v>0</v>
      </c>
      <c r="Q399" s="152">
        <v>0</v>
      </c>
      <c r="R399" s="152">
        <v>1</v>
      </c>
      <c r="S399" s="152">
        <v>389</v>
      </c>
    </row>
    <row r="400" spans="1:19" s="52" customFormat="1" ht="16.5" customHeight="1">
      <c r="A400" s="211">
        <v>390</v>
      </c>
      <c r="B400" s="212" t="s">
        <v>4114</v>
      </c>
      <c r="C400" s="211">
        <v>1902464</v>
      </c>
      <c r="D400" s="212" t="s">
        <v>3635</v>
      </c>
      <c r="E400" s="152" t="s">
        <v>3643</v>
      </c>
      <c r="F400" s="152" t="s">
        <v>3624</v>
      </c>
      <c r="G400" s="178" t="s">
        <v>3639</v>
      </c>
      <c r="H400" s="213" t="s">
        <v>3639</v>
      </c>
      <c r="I400" s="213" t="s">
        <v>3639</v>
      </c>
      <c r="J400" s="201">
        <f>COUNTIFS('TURMAS 2015.2'!U:U,A400)</f>
        <v>3</v>
      </c>
      <c r="K400" s="201">
        <f>SUMIFS('TURMAS 2015.2'!J:J,'TURMAS 2015.2'!U:U,A400)</f>
        <v>12</v>
      </c>
      <c r="L400" s="201">
        <f>COUNTIF('TURMAS 2015.2'!X:X,A400)</f>
        <v>0</v>
      </c>
      <c r="M400" s="201">
        <f>SUMIFS('TURMAS 2015.2'!K:K,'TURMAS 2015.2'!X:X,A400)</f>
        <v>0</v>
      </c>
      <c r="N400" s="201">
        <f t="shared" si="6"/>
        <v>12</v>
      </c>
      <c r="O400" s="214"/>
      <c r="P400" s="152">
        <v>0</v>
      </c>
      <c r="Q400" s="152">
        <v>0</v>
      </c>
      <c r="R400" s="152">
        <v>1</v>
      </c>
      <c r="S400" s="152">
        <v>390</v>
      </c>
    </row>
    <row r="401" spans="1:19" s="52" customFormat="1" ht="16.5" customHeight="1">
      <c r="A401" s="211">
        <v>391</v>
      </c>
      <c r="B401" s="212" t="s">
        <v>4115</v>
      </c>
      <c r="C401" s="211">
        <v>1876379</v>
      </c>
      <c r="D401" s="212" t="s">
        <v>3635</v>
      </c>
      <c r="E401" s="152" t="s">
        <v>3618</v>
      </c>
      <c r="F401" s="152" t="s">
        <v>3624</v>
      </c>
      <c r="G401" s="178" t="s">
        <v>3639</v>
      </c>
      <c r="H401" s="213" t="s">
        <v>3639</v>
      </c>
      <c r="I401" s="213" t="s">
        <v>3639</v>
      </c>
      <c r="J401" s="201">
        <f>COUNTIFS('TURMAS 2015.2'!U:U,A401)</f>
        <v>3</v>
      </c>
      <c r="K401" s="201">
        <f>SUMIFS('TURMAS 2015.2'!J:J,'TURMAS 2015.2'!U:U,A401)</f>
        <v>7</v>
      </c>
      <c r="L401" s="201">
        <f>COUNTIF('TURMAS 2015.2'!X:X,A401)</f>
        <v>3</v>
      </c>
      <c r="M401" s="201">
        <f>SUMIFS('TURMAS 2015.2'!K:K,'TURMAS 2015.2'!X:X,A401)</f>
        <v>1</v>
      </c>
      <c r="N401" s="201">
        <f t="shared" si="6"/>
        <v>8</v>
      </c>
      <c r="O401" s="214"/>
      <c r="P401" s="152">
        <v>0</v>
      </c>
      <c r="Q401" s="152">
        <v>0</v>
      </c>
      <c r="R401" s="152">
        <v>1</v>
      </c>
      <c r="S401" s="152">
        <v>391</v>
      </c>
    </row>
    <row r="402" spans="1:19" s="56" customFormat="1" ht="16.5" customHeight="1">
      <c r="A402" s="211">
        <v>392</v>
      </c>
      <c r="B402" s="212" t="s">
        <v>4116</v>
      </c>
      <c r="C402" s="211">
        <v>2605420</v>
      </c>
      <c r="D402" s="212" t="s">
        <v>3610</v>
      </c>
      <c r="E402" s="152" t="s">
        <v>3643</v>
      </c>
      <c r="F402" s="152" t="s">
        <v>3624</v>
      </c>
      <c r="G402" s="178" t="s">
        <v>3639</v>
      </c>
      <c r="H402" s="213" t="s">
        <v>3639</v>
      </c>
      <c r="I402" s="213" t="s">
        <v>3639</v>
      </c>
      <c r="J402" s="201">
        <f>COUNTIFS('TURMAS 2015.2'!U:U,A402)</f>
        <v>1</v>
      </c>
      <c r="K402" s="201">
        <f>SUMIFS('TURMAS 2015.2'!J:J,'TURMAS 2015.2'!U:U,A402)</f>
        <v>2</v>
      </c>
      <c r="L402" s="201">
        <f>COUNTIF('TURMAS 2015.2'!X:X,A402)</f>
        <v>2</v>
      </c>
      <c r="M402" s="201">
        <f>SUMIFS('TURMAS 2015.2'!K:K,'TURMAS 2015.2'!X:X,A402)</f>
        <v>5</v>
      </c>
      <c r="N402" s="201">
        <f t="shared" si="6"/>
        <v>7</v>
      </c>
      <c r="O402" s="214"/>
      <c r="P402" s="152">
        <v>0</v>
      </c>
      <c r="Q402" s="152">
        <v>0</v>
      </c>
      <c r="R402" s="152">
        <v>1</v>
      </c>
      <c r="S402" s="152">
        <v>392</v>
      </c>
    </row>
    <row r="403" spans="1:19" s="52" customFormat="1" ht="16.5" customHeight="1">
      <c r="A403" s="211">
        <v>393</v>
      </c>
      <c r="B403" s="212" t="s">
        <v>4117</v>
      </c>
      <c r="C403" s="211">
        <v>1545515</v>
      </c>
      <c r="D403" s="212" t="s">
        <v>3621</v>
      </c>
      <c r="E403" s="152" t="s">
        <v>3611</v>
      </c>
      <c r="F403" s="152" t="s">
        <v>3624</v>
      </c>
      <c r="G403" s="178" t="s">
        <v>3639</v>
      </c>
      <c r="H403" s="213" t="s">
        <v>3639</v>
      </c>
      <c r="I403" s="213" t="s">
        <v>3639</v>
      </c>
      <c r="J403" s="201">
        <f>COUNTIFS('TURMAS 2015.2'!U:U,A403)</f>
        <v>0</v>
      </c>
      <c r="K403" s="201">
        <f>SUMIFS('TURMAS 2015.2'!J:J,'TURMAS 2015.2'!U:U,A403)</f>
        <v>0</v>
      </c>
      <c r="L403" s="201">
        <f>COUNTIF('TURMAS 2015.2'!X:X,A403)</f>
        <v>0</v>
      </c>
      <c r="M403" s="201">
        <f>SUMIFS('TURMAS 2015.2'!K:K,'TURMAS 2015.2'!X:X,A403)</f>
        <v>0</v>
      </c>
      <c r="N403" s="201">
        <f t="shared" si="6"/>
        <v>0</v>
      </c>
      <c r="O403" s="214"/>
      <c r="P403" s="152">
        <v>0</v>
      </c>
      <c r="Q403" s="152">
        <v>0</v>
      </c>
      <c r="R403" s="152">
        <v>1</v>
      </c>
      <c r="S403" s="152">
        <v>393</v>
      </c>
    </row>
    <row r="404" spans="1:19" s="52" customFormat="1" ht="16.5" customHeight="1">
      <c r="A404" s="211">
        <v>394</v>
      </c>
      <c r="B404" s="212" t="s">
        <v>4118</v>
      </c>
      <c r="C404" s="211">
        <v>379290</v>
      </c>
      <c r="D404" s="212" t="s">
        <v>4034</v>
      </c>
      <c r="E404" s="152" t="s">
        <v>3611</v>
      </c>
      <c r="F404" s="152" t="s">
        <v>3624</v>
      </c>
      <c r="G404" s="178" t="s">
        <v>3639</v>
      </c>
      <c r="H404" s="213" t="s">
        <v>3639</v>
      </c>
      <c r="I404" s="213" t="s">
        <v>3639</v>
      </c>
      <c r="J404" s="201">
        <f>COUNTIFS('TURMAS 2015.2'!U:U,A404)</f>
        <v>0</v>
      </c>
      <c r="K404" s="201">
        <f>SUMIFS('TURMAS 2015.2'!J:J,'TURMAS 2015.2'!U:U,A404)</f>
        <v>0</v>
      </c>
      <c r="L404" s="201">
        <f>COUNTIF('TURMAS 2015.2'!X:X,A404)</f>
        <v>0</v>
      </c>
      <c r="M404" s="201">
        <f>SUMIFS('TURMAS 2015.2'!K:K,'TURMAS 2015.2'!X:X,A404)</f>
        <v>0</v>
      </c>
      <c r="N404" s="201">
        <f t="shared" si="6"/>
        <v>0</v>
      </c>
      <c r="O404" s="214"/>
      <c r="P404" s="152">
        <v>0</v>
      </c>
      <c r="Q404" s="152">
        <v>0</v>
      </c>
      <c r="R404" s="152">
        <v>1</v>
      </c>
      <c r="S404" s="152">
        <v>394</v>
      </c>
    </row>
    <row r="405" spans="1:19" s="52" customFormat="1" ht="16.5" customHeight="1">
      <c r="A405" s="211">
        <v>395</v>
      </c>
      <c r="B405" s="212" t="s">
        <v>4119</v>
      </c>
      <c r="C405" s="211">
        <v>1123427</v>
      </c>
      <c r="D405" s="212" t="s">
        <v>3610</v>
      </c>
      <c r="E405" s="152" t="s">
        <v>3618</v>
      </c>
      <c r="F405" s="152" t="s">
        <v>3624</v>
      </c>
      <c r="G405" s="178" t="s">
        <v>3639</v>
      </c>
      <c r="H405" s="213" t="s">
        <v>3639</v>
      </c>
      <c r="I405" s="213" t="s">
        <v>3639</v>
      </c>
      <c r="J405" s="201">
        <f>COUNTIFS('TURMAS 2015.2'!U:U,A405)</f>
        <v>1</v>
      </c>
      <c r="K405" s="201">
        <f>SUMIFS('TURMAS 2015.2'!J:J,'TURMAS 2015.2'!U:U,A405)</f>
        <v>4</v>
      </c>
      <c r="L405" s="201">
        <f>COUNTIF('TURMAS 2015.2'!X:X,A405)</f>
        <v>1</v>
      </c>
      <c r="M405" s="201">
        <f>SUMIFS('TURMAS 2015.2'!K:K,'TURMAS 2015.2'!X:X,A405)</f>
        <v>0</v>
      </c>
      <c r="N405" s="201">
        <f t="shared" si="6"/>
        <v>4</v>
      </c>
      <c r="O405" s="214"/>
      <c r="P405" s="152">
        <v>0</v>
      </c>
      <c r="Q405" s="152">
        <v>0</v>
      </c>
      <c r="R405" s="152">
        <v>1</v>
      </c>
      <c r="S405" s="152">
        <v>395</v>
      </c>
    </row>
    <row r="406" spans="1:19" s="52" customFormat="1" ht="16.5" customHeight="1">
      <c r="A406" s="211">
        <v>396</v>
      </c>
      <c r="B406" s="212" t="s">
        <v>4120</v>
      </c>
      <c r="C406" s="211">
        <v>1762338</v>
      </c>
      <c r="D406" s="212" t="s">
        <v>3610</v>
      </c>
      <c r="E406" s="152" t="s">
        <v>3618</v>
      </c>
      <c r="F406" s="152" t="s">
        <v>3624</v>
      </c>
      <c r="G406" s="178" t="s">
        <v>3639</v>
      </c>
      <c r="H406" s="213" t="s">
        <v>3639</v>
      </c>
      <c r="I406" s="213" t="s">
        <v>3639</v>
      </c>
      <c r="J406" s="201">
        <f>COUNTIFS('TURMAS 2015.2'!U:U,A406)</f>
        <v>2</v>
      </c>
      <c r="K406" s="201">
        <f>SUMIFS('TURMAS 2015.2'!J:J,'TURMAS 2015.2'!U:U,A406)</f>
        <v>6</v>
      </c>
      <c r="L406" s="201">
        <f>COUNTIF('TURMAS 2015.2'!X:X,A406)</f>
        <v>0</v>
      </c>
      <c r="M406" s="201">
        <f>SUMIFS('TURMAS 2015.2'!K:K,'TURMAS 2015.2'!X:X,A406)</f>
        <v>0</v>
      </c>
      <c r="N406" s="201">
        <f t="shared" si="6"/>
        <v>6</v>
      </c>
      <c r="O406" s="214"/>
      <c r="P406" s="152">
        <v>0</v>
      </c>
      <c r="Q406" s="152">
        <v>0</v>
      </c>
      <c r="R406" s="152">
        <v>1</v>
      </c>
      <c r="S406" s="152">
        <v>396</v>
      </c>
    </row>
    <row r="407" spans="1:19" s="52" customFormat="1" ht="16.5" customHeight="1">
      <c r="A407" s="211">
        <v>397</v>
      </c>
      <c r="B407" s="212" t="s">
        <v>4121</v>
      </c>
      <c r="C407" s="211">
        <v>1746094</v>
      </c>
      <c r="D407" s="212" t="s">
        <v>3635</v>
      </c>
      <c r="E407" s="152" t="s">
        <v>3643</v>
      </c>
      <c r="F407" s="152" t="s">
        <v>3624</v>
      </c>
      <c r="G407" s="178" t="s">
        <v>3639</v>
      </c>
      <c r="H407" s="213" t="s">
        <v>3639</v>
      </c>
      <c r="I407" s="213" t="s">
        <v>3639</v>
      </c>
      <c r="J407" s="201">
        <f>COUNTIFS('TURMAS 2015.2'!U:U,A407)</f>
        <v>1</v>
      </c>
      <c r="K407" s="201">
        <f>SUMIFS('TURMAS 2015.2'!J:J,'TURMAS 2015.2'!U:U,A407)</f>
        <v>4</v>
      </c>
      <c r="L407" s="201">
        <f>COUNTIF('TURMAS 2015.2'!X:X,A407)</f>
        <v>0</v>
      </c>
      <c r="M407" s="201">
        <f>SUMIFS('TURMAS 2015.2'!K:K,'TURMAS 2015.2'!X:X,A407)</f>
        <v>0</v>
      </c>
      <c r="N407" s="201">
        <f t="shared" si="6"/>
        <v>4</v>
      </c>
      <c r="O407" s="214"/>
      <c r="P407" s="152">
        <v>0</v>
      </c>
      <c r="Q407" s="152">
        <v>0</v>
      </c>
      <c r="R407" s="152">
        <v>1</v>
      </c>
      <c r="S407" s="152">
        <v>397</v>
      </c>
    </row>
    <row r="408" spans="1:19" s="52" customFormat="1" ht="16.5" customHeight="1">
      <c r="A408" s="211">
        <v>398</v>
      </c>
      <c r="B408" s="212" t="s">
        <v>4122</v>
      </c>
      <c r="C408" s="211">
        <v>1792139</v>
      </c>
      <c r="D408" s="212" t="s">
        <v>3635</v>
      </c>
      <c r="E408" s="152" t="s">
        <v>3643</v>
      </c>
      <c r="F408" s="152" t="s">
        <v>3624</v>
      </c>
      <c r="G408" s="178" t="s">
        <v>3639</v>
      </c>
      <c r="H408" s="213" t="s">
        <v>3639</v>
      </c>
      <c r="I408" s="213" t="s">
        <v>3639</v>
      </c>
      <c r="J408" s="201">
        <f>COUNTIFS('TURMAS 2015.2'!U:U,A408)</f>
        <v>0</v>
      </c>
      <c r="K408" s="201">
        <f>SUMIFS('TURMAS 2015.2'!J:J,'TURMAS 2015.2'!U:U,A408)</f>
        <v>0</v>
      </c>
      <c r="L408" s="201">
        <f>COUNTIF('TURMAS 2015.2'!X:X,A408)</f>
        <v>0</v>
      </c>
      <c r="M408" s="201">
        <f>SUMIFS('TURMAS 2015.2'!K:K,'TURMAS 2015.2'!X:X,A408)</f>
        <v>0</v>
      </c>
      <c r="N408" s="201">
        <f t="shared" si="6"/>
        <v>0</v>
      </c>
      <c r="O408" s="214"/>
      <c r="P408" s="152">
        <v>0</v>
      </c>
      <c r="Q408" s="152">
        <v>0</v>
      </c>
      <c r="R408" s="152">
        <v>1</v>
      </c>
      <c r="S408" s="152">
        <v>398</v>
      </c>
    </row>
    <row r="409" spans="1:19" s="52" customFormat="1" ht="16.5" customHeight="1">
      <c r="A409" s="211">
        <v>399</v>
      </c>
      <c r="B409" s="212" t="s">
        <v>4123</v>
      </c>
      <c r="C409" s="211">
        <v>1844585</v>
      </c>
      <c r="D409" s="212" t="s">
        <v>3635</v>
      </c>
      <c r="E409" s="152" t="s">
        <v>3611</v>
      </c>
      <c r="F409" s="152" t="s">
        <v>3624</v>
      </c>
      <c r="G409" s="178" t="s">
        <v>3639</v>
      </c>
      <c r="H409" s="213" t="s">
        <v>3639</v>
      </c>
      <c r="I409" s="213" t="s">
        <v>3639</v>
      </c>
      <c r="J409" s="201">
        <f>COUNTIFS('TURMAS 2015.2'!U:U,A409)</f>
        <v>2</v>
      </c>
      <c r="K409" s="201">
        <f>SUMIFS('TURMAS 2015.2'!J:J,'TURMAS 2015.2'!U:U,A409)</f>
        <v>8</v>
      </c>
      <c r="L409" s="201">
        <f>COUNTIF('TURMAS 2015.2'!X:X,A409)</f>
        <v>0</v>
      </c>
      <c r="M409" s="201">
        <f>SUMIFS('TURMAS 2015.2'!K:K,'TURMAS 2015.2'!X:X,A409)</f>
        <v>0</v>
      </c>
      <c r="N409" s="201">
        <f t="shared" si="6"/>
        <v>8</v>
      </c>
      <c r="O409" s="214"/>
      <c r="P409" s="152">
        <v>0</v>
      </c>
      <c r="Q409" s="152">
        <v>0</v>
      </c>
      <c r="R409" s="152">
        <v>1</v>
      </c>
      <c r="S409" s="152">
        <v>399</v>
      </c>
    </row>
    <row r="410" spans="1:19" s="52" customFormat="1" ht="16.5" customHeight="1">
      <c r="A410" s="211">
        <v>400</v>
      </c>
      <c r="B410" s="212" t="s">
        <v>4124</v>
      </c>
      <c r="C410" s="211">
        <v>2139627</v>
      </c>
      <c r="D410" s="212" t="s">
        <v>3653</v>
      </c>
      <c r="E410" s="152" t="s">
        <v>3618</v>
      </c>
      <c r="F410" s="152" t="s">
        <v>3624</v>
      </c>
      <c r="G410" s="178" t="s">
        <v>3639</v>
      </c>
      <c r="H410" s="213" t="s">
        <v>3639</v>
      </c>
      <c r="I410" s="213" t="s">
        <v>3639</v>
      </c>
      <c r="J410" s="201">
        <f>COUNTIFS('TURMAS 2015.2'!U:U,A410)</f>
        <v>1</v>
      </c>
      <c r="K410" s="201">
        <f>SUMIFS('TURMAS 2015.2'!J:J,'TURMAS 2015.2'!U:U,A410)</f>
        <v>3</v>
      </c>
      <c r="L410" s="201">
        <f>COUNTIF('TURMAS 2015.2'!X:X,A410)</f>
        <v>2</v>
      </c>
      <c r="M410" s="201">
        <f>SUMIFS('TURMAS 2015.2'!K:K,'TURMAS 2015.2'!X:X,A410)</f>
        <v>0</v>
      </c>
      <c r="N410" s="201">
        <f t="shared" si="6"/>
        <v>3</v>
      </c>
      <c r="O410" s="214"/>
      <c r="P410" s="152">
        <v>0</v>
      </c>
      <c r="Q410" s="152">
        <v>0</v>
      </c>
      <c r="R410" s="152">
        <v>1</v>
      </c>
      <c r="S410" s="152">
        <v>400</v>
      </c>
    </row>
    <row r="411" spans="1:19" s="52" customFormat="1" ht="16.5" customHeight="1">
      <c r="A411" s="211">
        <v>401</v>
      </c>
      <c r="B411" s="212" t="s">
        <v>4125</v>
      </c>
      <c r="C411" s="211">
        <v>1675735</v>
      </c>
      <c r="D411" s="212" t="s">
        <v>3610</v>
      </c>
      <c r="E411" s="152" t="s">
        <v>3611</v>
      </c>
      <c r="F411" s="152" t="s">
        <v>3624</v>
      </c>
      <c r="G411" s="178" t="s">
        <v>3639</v>
      </c>
      <c r="H411" s="213" t="s">
        <v>3639</v>
      </c>
      <c r="I411" s="213" t="s">
        <v>3639</v>
      </c>
      <c r="J411" s="201">
        <f>COUNTIFS('TURMAS 2015.2'!U:U,A411)</f>
        <v>0</v>
      </c>
      <c r="K411" s="201">
        <f>SUMIFS('TURMAS 2015.2'!J:J,'TURMAS 2015.2'!U:U,A411)</f>
        <v>0</v>
      </c>
      <c r="L411" s="201">
        <f>COUNTIF('TURMAS 2015.2'!X:X,A411)</f>
        <v>0</v>
      </c>
      <c r="M411" s="201">
        <f>SUMIFS('TURMAS 2015.2'!K:K,'TURMAS 2015.2'!X:X,A411)</f>
        <v>0</v>
      </c>
      <c r="N411" s="201">
        <f t="shared" si="6"/>
        <v>0</v>
      </c>
      <c r="O411" s="214"/>
      <c r="P411" s="152" t="s">
        <v>4126</v>
      </c>
      <c r="Q411" s="152">
        <v>0.3</v>
      </c>
      <c r="R411" s="152">
        <v>0.7</v>
      </c>
      <c r="S411" s="152">
        <v>401</v>
      </c>
    </row>
    <row r="412" spans="1:19" s="52" customFormat="1" ht="16.5" customHeight="1">
      <c r="A412" s="211">
        <v>402</v>
      </c>
      <c r="B412" s="212" t="s">
        <v>4127</v>
      </c>
      <c r="C412" s="211">
        <v>1675733</v>
      </c>
      <c r="D412" s="212" t="s">
        <v>3635</v>
      </c>
      <c r="E412" s="152" t="s">
        <v>3611</v>
      </c>
      <c r="F412" s="152" t="s">
        <v>3624</v>
      </c>
      <c r="G412" s="178" t="s">
        <v>3639</v>
      </c>
      <c r="H412" s="213" t="s">
        <v>3639</v>
      </c>
      <c r="I412" s="213" t="s">
        <v>3639</v>
      </c>
      <c r="J412" s="201">
        <f>COUNTIFS('TURMAS 2015.2'!U:U,A412)</f>
        <v>0</v>
      </c>
      <c r="K412" s="201">
        <f>SUMIFS('TURMAS 2015.2'!J:J,'TURMAS 2015.2'!U:U,A412)</f>
        <v>0</v>
      </c>
      <c r="L412" s="201">
        <f>COUNTIF('TURMAS 2015.2'!X:X,A412)</f>
        <v>0</v>
      </c>
      <c r="M412" s="201">
        <f>SUMIFS('TURMAS 2015.2'!K:K,'TURMAS 2015.2'!X:X,A412)</f>
        <v>0</v>
      </c>
      <c r="N412" s="201">
        <f t="shared" si="6"/>
        <v>0</v>
      </c>
      <c r="O412" s="214"/>
      <c r="P412" s="152">
        <v>0</v>
      </c>
      <c r="Q412" s="152">
        <v>0</v>
      </c>
      <c r="R412" s="152">
        <v>1</v>
      </c>
      <c r="S412" s="152">
        <v>402</v>
      </c>
    </row>
    <row r="413" spans="1:19" s="52" customFormat="1" ht="16.5" customHeight="1">
      <c r="A413" s="211">
        <v>403</v>
      </c>
      <c r="B413" s="212" t="s">
        <v>4128</v>
      </c>
      <c r="C413" s="211">
        <v>1947221</v>
      </c>
      <c r="D413" s="212" t="s">
        <v>3617</v>
      </c>
      <c r="E413" s="152" t="s">
        <v>3643</v>
      </c>
      <c r="F413" s="152" t="s">
        <v>3624</v>
      </c>
      <c r="G413" s="178" t="s">
        <v>3639</v>
      </c>
      <c r="H413" s="213" t="s">
        <v>3639</v>
      </c>
      <c r="I413" s="213" t="s">
        <v>3639</v>
      </c>
      <c r="J413" s="201">
        <f>COUNTIFS('TURMAS 2015.2'!U:U,A413)</f>
        <v>3</v>
      </c>
      <c r="K413" s="201">
        <f>SUMIFS('TURMAS 2015.2'!J:J,'TURMAS 2015.2'!U:U,A413)</f>
        <v>10</v>
      </c>
      <c r="L413" s="201">
        <f>COUNTIF('TURMAS 2015.2'!X:X,A413)</f>
        <v>0</v>
      </c>
      <c r="M413" s="201">
        <f>SUMIFS('TURMAS 2015.2'!K:K,'TURMAS 2015.2'!X:X,A413)</f>
        <v>0</v>
      </c>
      <c r="N413" s="201">
        <f t="shared" si="6"/>
        <v>10</v>
      </c>
      <c r="O413" s="214"/>
      <c r="P413" s="152">
        <v>0</v>
      </c>
      <c r="Q413" s="152">
        <v>0</v>
      </c>
      <c r="R413" s="152">
        <v>1</v>
      </c>
      <c r="S413" s="152">
        <v>403</v>
      </c>
    </row>
    <row r="414" spans="1:19" s="56" customFormat="1" ht="16.5" customHeight="1">
      <c r="A414" s="211">
        <v>404</v>
      </c>
      <c r="B414" s="212" t="s">
        <v>4129</v>
      </c>
      <c r="C414" s="211">
        <v>2073241</v>
      </c>
      <c r="D414" s="212" t="s">
        <v>3735</v>
      </c>
      <c r="E414" s="152" t="s">
        <v>3611</v>
      </c>
      <c r="F414" s="152" t="s">
        <v>3624</v>
      </c>
      <c r="G414" s="178" t="s">
        <v>3639</v>
      </c>
      <c r="H414" s="213" t="s">
        <v>3639</v>
      </c>
      <c r="I414" s="213" t="s">
        <v>3639</v>
      </c>
      <c r="J414" s="201">
        <f>COUNTIFS('TURMAS 2015.2'!U:U,A414)</f>
        <v>2</v>
      </c>
      <c r="K414" s="201">
        <f>SUMIFS('TURMAS 2015.2'!J:J,'TURMAS 2015.2'!U:U,A414)</f>
        <v>7</v>
      </c>
      <c r="L414" s="201">
        <f>COUNTIF('TURMAS 2015.2'!X:X,A414)</f>
        <v>2</v>
      </c>
      <c r="M414" s="201">
        <f>SUMIFS('TURMAS 2015.2'!K:K,'TURMAS 2015.2'!X:X,A414)</f>
        <v>2</v>
      </c>
      <c r="N414" s="201">
        <f t="shared" si="6"/>
        <v>9</v>
      </c>
      <c r="O414" s="214"/>
      <c r="P414" s="152">
        <v>0</v>
      </c>
      <c r="Q414" s="152">
        <v>0</v>
      </c>
      <c r="R414" s="152">
        <v>1</v>
      </c>
      <c r="S414" s="152">
        <v>404</v>
      </c>
    </row>
    <row r="415" spans="1:19" s="52" customFormat="1" ht="16.5" customHeight="1">
      <c r="A415" s="211">
        <v>405</v>
      </c>
      <c r="B415" s="212" t="s">
        <v>4130</v>
      </c>
      <c r="C415" s="211">
        <v>1941108</v>
      </c>
      <c r="D415" s="212" t="s">
        <v>3617</v>
      </c>
      <c r="E415" s="152" t="s">
        <v>3643</v>
      </c>
      <c r="F415" s="152" t="s">
        <v>3624</v>
      </c>
      <c r="G415" s="178" t="s">
        <v>3639</v>
      </c>
      <c r="H415" s="213" t="s">
        <v>3639</v>
      </c>
      <c r="I415" s="213" t="s">
        <v>3639</v>
      </c>
      <c r="J415" s="201">
        <f>COUNTIFS('TURMAS 2015.2'!U:U,A415)</f>
        <v>2</v>
      </c>
      <c r="K415" s="201">
        <f>SUMIFS('TURMAS 2015.2'!J:J,'TURMAS 2015.2'!U:U,A415)</f>
        <v>8</v>
      </c>
      <c r="L415" s="201">
        <f>COUNTIF('TURMAS 2015.2'!X:X,A415)</f>
        <v>0</v>
      </c>
      <c r="M415" s="201">
        <f>SUMIFS('TURMAS 2015.2'!K:K,'TURMAS 2015.2'!X:X,A415)</f>
        <v>0</v>
      </c>
      <c r="N415" s="201">
        <f t="shared" si="6"/>
        <v>8</v>
      </c>
      <c r="O415" s="214"/>
      <c r="P415" s="152" t="s">
        <v>4131</v>
      </c>
      <c r="Q415" s="152">
        <v>0.3</v>
      </c>
      <c r="R415" s="152">
        <v>0.7</v>
      </c>
      <c r="S415" s="152">
        <v>405</v>
      </c>
    </row>
    <row r="416" spans="1:19" s="52" customFormat="1" ht="16.5" customHeight="1">
      <c r="A416" s="211">
        <v>406</v>
      </c>
      <c r="B416" s="212" t="s">
        <v>4132</v>
      </c>
      <c r="C416" s="211">
        <v>1061139</v>
      </c>
      <c r="D416" s="212" t="s">
        <v>3653</v>
      </c>
      <c r="E416" s="152" t="s">
        <v>3618</v>
      </c>
      <c r="F416" s="152" t="s">
        <v>3624</v>
      </c>
      <c r="G416" s="178" t="s">
        <v>3639</v>
      </c>
      <c r="H416" s="213" t="s">
        <v>3639</v>
      </c>
      <c r="I416" s="213" t="s">
        <v>3639</v>
      </c>
      <c r="J416" s="201">
        <f>COUNTIFS('TURMAS 2015.2'!U:U,A416)</f>
        <v>2</v>
      </c>
      <c r="K416" s="201">
        <f>SUMIFS('TURMAS 2015.2'!J:J,'TURMAS 2015.2'!U:U,A416)</f>
        <v>6</v>
      </c>
      <c r="L416" s="201">
        <f>COUNTIF('TURMAS 2015.2'!X:X,A416)</f>
        <v>2</v>
      </c>
      <c r="M416" s="201">
        <f>SUMIFS('TURMAS 2015.2'!K:K,'TURMAS 2015.2'!X:X,A416)</f>
        <v>4</v>
      </c>
      <c r="N416" s="201">
        <f t="shared" si="6"/>
        <v>10</v>
      </c>
      <c r="O416" s="214"/>
      <c r="P416" s="152">
        <v>0</v>
      </c>
      <c r="Q416" s="152">
        <v>0</v>
      </c>
      <c r="R416" s="152">
        <v>1</v>
      </c>
      <c r="S416" s="152">
        <v>406</v>
      </c>
    </row>
    <row r="417" spans="1:19" s="52" customFormat="1" ht="16.5" customHeight="1">
      <c r="A417" s="211">
        <v>407</v>
      </c>
      <c r="B417" s="212" t="s">
        <v>4133</v>
      </c>
      <c r="C417" s="211">
        <v>1762331</v>
      </c>
      <c r="D417" s="212" t="s">
        <v>3610</v>
      </c>
      <c r="E417" s="152" t="s">
        <v>3618</v>
      </c>
      <c r="F417" s="152" t="s">
        <v>3624</v>
      </c>
      <c r="G417" s="178" t="s">
        <v>3639</v>
      </c>
      <c r="H417" s="213" t="s">
        <v>3639</v>
      </c>
      <c r="I417" s="213" t="s">
        <v>3639</v>
      </c>
      <c r="J417" s="201">
        <f>COUNTIFS('TURMAS 2015.2'!U:U,A417)</f>
        <v>0</v>
      </c>
      <c r="K417" s="201">
        <f>SUMIFS('TURMAS 2015.2'!J:J,'TURMAS 2015.2'!U:U,A417)</f>
        <v>0</v>
      </c>
      <c r="L417" s="201">
        <f>COUNTIF('TURMAS 2015.2'!X:X,A417)</f>
        <v>0</v>
      </c>
      <c r="M417" s="201">
        <f>SUMIFS('TURMAS 2015.2'!K:K,'TURMAS 2015.2'!X:X,A417)</f>
        <v>0</v>
      </c>
      <c r="N417" s="201">
        <f t="shared" si="6"/>
        <v>0</v>
      </c>
      <c r="O417" s="214"/>
      <c r="P417" s="152">
        <v>0</v>
      </c>
      <c r="Q417" s="152">
        <v>0</v>
      </c>
      <c r="R417" s="152">
        <v>1</v>
      </c>
      <c r="S417" s="152">
        <v>407</v>
      </c>
    </row>
    <row r="418" spans="1:19" s="52" customFormat="1" ht="16.5" customHeight="1">
      <c r="A418" s="211">
        <v>408</v>
      </c>
      <c r="B418" s="212" t="s">
        <v>4134</v>
      </c>
      <c r="C418" s="211">
        <v>1544415</v>
      </c>
      <c r="D418" s="212" t="s">
        <v>3647</v>
      </c>
      <c r="E418" s="152" t="s">
        <v>3643</v>
      </c>
      <c r="F418" s="152" t="s">
        <v>3624</v>
      </c>
      <c r="G418" s="178" t="s">
        <v>3639</v>
      </c>
      <c r="H418" s="213" t="s">
        <v>3639</v>
      </c>
      <c r="I418" s="213" t="s">
        <v>3639</v>
      </c>
      <c r="J418" s="201">
        <f>COUNTIFS('TURMAS 2015.2'!U:U,A418)</f>
        <v>0</v>
      </c>
      <c r="K418" s="201">
        <f>SUMIFS('TURMAS 2015.2'!J:J,'TURMAS 2015.2'!U:U,A418)</f>
        <v>0</v>
      </c>
      <c r="L418" s="201">
        <f>COUNTIF('TURMAS 2015.2'!X:X,A418)</f>
        <v>4</v>
      </c>
      <c r="M418" s="201">
        <f>SUMIFS('TURMAS 2015.2'!K:K,'TURMAS 2015.2'!X:X,A418)</f>
        <v>6</v>
      </c>
      <c r="N418" s="201">
        <f t="shared" si="6"/>
        <v>6</v>
      </c>
      <c r="O418" s="214"/>
      <c r="P418" s="152">
        <v>0</v>
      </c>
      <c r="Q418" s="152">
        <v>0</v>
      </c>
      <c r="R418" s="152">
        <v>1</v>
      </c>
      <c r="S418" s="152">
        <v>408</v>
      </c>
    </row>
    <row r="419" spans="1:19" s="52" customFormat="1" ht="16.5" customHeight="1">
      <c r="A419" s="211">
        <v>409</v>
      </c>
      <c r="B419" s="212" t="s">
        <v>4135</v>
      </c>
      <c r="C419" s="211">
        <v>1544403</v>
      </c>
      <c r="D419" s="212" t="s">
        <v>3647</v>
      </c>
      <c r="E419" s="152" t="s">
        <v>3643</v>
      </c>
      <c r="F419" s="152" t="s">
        <v>3624</v>
      </c>
      <c r="G419" s="178" t="s">
        <v>3639</v>
      </c>
      <c r="H419" s="213" t="s">
        <v>3639</v>
      </c>
      <c r="I419" s="213" t="s">
        <v>3639</v>
      </c>
      <c r="J419" s="201">
        <f>COUNTIFS('TURMAS 2015.2'!U:U,A419)</f>
        <v>0</v>
      </c>
      <c r="K419" s="201">
        <f>SUMIFS('TURMAS 2015.2'!J:J,'TURMAS 2015.2'!U:U,A419)</f>
        <v>0</v>
      </c>
      <c r="L419" s="201">
        <f>COUNTIF('TURMAS 2015.2'!X:X,A419)</f>
        <v>0</v>
      </c>
      <c r="M419" s="201">
        <f>SUMIFS('TURMAS 2015.2'!K:K,'TURMAS 2015.2'!X:X,A419)</f>
        <v>0</v>
      </c>
      <c r="N419" s="201">
        <f t="shared" si="6"/>
        <v>0</v>
      </c>
      <c r="O419" s="214"/>
      <c r="P419" s="152">
        <v>0</v>
      </c>
      <c r="Q419" s="152">
        <v>0</v>
      </c>
      <c r="R419" s="152">
        <v>1</v>
      </c>
      <c r="S419" s="152">
        <v>409</v>
      </c>
    </row>
    <row r="420" spans="1:19" s="52" customFormat="1" ht="16.5" customHeight="1">
      <c r="A420" s="211">
        <v>410</v>
      </c>
      <c r="B420" s="212" t="s">
        <v>4136</v>
      </c>
      <c r="C420" s="211">
        <v>1544897</v>
      </c>
      <c r="D420" s="212" t="s">
        <v>3621</v>
      </c>
      <c r="E420" s="152" t="s">
        <v>3611</v>
      </c>
      <c r="F420" s="152" t="s">
        <v>3624</v>
      </c>
      <c r="G420" s="178" t="s">
        <v>3639</v>
      </c>
      <c r="H420" s="213" t="s">
        <v>3639</v>
      </c>
      <c r="I420" s="213" t="s">
        <v>3639</v>
      </c>
      <c r="J420" s="201">
        <f>COUNTIFS('TURMAS 2015.2'!U:U,A420)</f>
        <v>2</v>
      </c>
      <c r="K420" s="201">
        <f>SUMIFS('TURMAS 2015.2'!J:J,'TURMAS 2015.2'!U:U,A420)</f>
        <v>8</v>
      </c>
      <c r="L420" s="201">
        <f>COUNTIF('TURMAS 2015.2'!X:X,A420)</f>
        <v>0</v>
      </c>
      <c r="M420" s="201">
        <f>SUMIFS('TURMAS 2015.2'!K:K,'TURMAS 2015.2'!X:X,A420)</f>
        <v>0</v>
      </c>
      <c r="N420" s="201">
        <f t="shared" si="6"/>
        <v>8</v>
      </c>
      <c r="O420" s="214"/>
      <c r="P420" s="152">
        <v>0</v>
      </c>
      <c r="Q420" s="152">
        <v>0</v>
      </c>
      <c r="R420" s="152">
        <v>1</v>
      </c>
      <c r="S420" s="152">
        <v>410</v>
      </c>
    </row>
    <row r="421" spans="1:19" s="52" customFormat="1" ht="16.5" customHeight="1">
      <c r="A421" s="211">
        <v>411</v>
      </c>
      <c r="B421" s="212" t="s">
        <v>4137</v>
      </c>
      <c r="C421" s="211">
        <v>1907614</v>
      </c>
      <c r="D421" s="212" t="s">
        <v>3635</v>
      </c>
      <c r="E421" s="152" t="s">
        <v>3611</v>
      </c>
      <c r="F421" s="152" t="s">
        <v>3624</v>
      </c>
      <c r="G421" s="178" t="s">
        <v>3639</v>
      </c>
      <c r="H421" s="213" t="s">
        <v>3639</v>
      </c>
      <c r="I421" s="213" t="s">
        <v>3639</v>
      </c>
      <c r="J421" s="201">
        <f>COUNTIFS('TURMAS 2015.2'!U:U,A421)</f>
        <v>1</v>
      </c>
      <c r="K421" s="201">
        <f>SUMIFS('TURMAS 2015.2'!J:J,'TURMAS 2015.2'!U:U,A421)</f>
        <v>4</v>
      </c>
      <c r="L421" s="201">
        <f>COUNTIF('TURMAS 2015.2'!X:X,A421)</f>
        <v>0</v>
      </c>
      <c r="M421" s="201">
        <f>SUMIFS('TURMAS 2015.2'!K:K,'TURMAS 2015.2'!X:X,A421)</f>
        <v>0</v>
      </c>
      <c r="N421" s="201">
        <f t="shared" si="6"/>
        <v>4</v>
      </c>
      <c r="O421" s="214"/>
      <c r="P421" s="152">
        <v>0</v>
      </c>
      <c r="Q421" s="152">
        <v>0</v>
      </c>
      <c r="R421" s="152">
        <v>1</v>
      </c>
      <c r="S421" s="152">
        <v>411</v>
      </c>
    </row>
    <row r="422" spans="1:19" s="52" customFormat="1" ht="16.5" customHeight="1">
      <c r="A422" s="211">
        <v>412</v>
      </c>
      <c r="B422" s="212" t="s">
        <v>4138</v>
      </c>
      <c r="C422" s="211">
        <v>1544381</v>
      </c>
      <c r="D422" s="212" t="s">
        <v>3621</v>
      </c>
      <c r="E422" s="152" t="s">
        <v>3643</v>
      </c>
      <c r="F422" s="152" t="s">
        <v>3624</v>
      </c>
      <c r="G422" s="178" t="s">
        <v>3639</v>
      </c>
      <c r="H422" s="213" t="s">
        <v>3639</v>
      </c>
      <c r="I422" s="213" t="s">
        <v>3639</v>
      </c>
      <c r="J422" s="201">
        <f>COUNTIFS('TURMAS 2015.2'!U:U,A422)</f>
        <v>2</v>
      </c>
      <c r="K422" s="201">
        <f>SUMIFS('TURMAS 2015.2'!J:J,'TURMAS 2015.2'!U:U,A422)</f>
        <v>8</v>
      </c>
      <c r="L422" s="201">
        <f>COUNTIF('TURMAS 2015.2'!X:X,A422)</f>
        <v>0</v>
      </c>
      <c r="M422" s="201">
        <f>SUMIFS('TURMAS 2015.2'!K:K,'TURMAS 2015.2'!X:X,A422)</f>
        <v>0</v>
      </c>
      <c r="N422" s="201">
        <f t="shared" si="6"/>
        <v>8</v>
      </c>
      <c r="O422" s="214"/>
      <c r="P422" s="152">
        <v>0</v>
      </c>
      <c r="Q422" s="152">
        <v>0</v>
      </c>
      <c r="R422" s="152">
        <v>1</v>
      </c>
      <c r="S422" s="152">
        <v>412</v>
      </c>
    </row>
    <row r="423" spans="1:19" s="52" customFormat="1" ht="16.5" customHeight="1">
      <c r="A423" s="211">
        <v>413</v>
      </c>
      <c r="B423" s="215" t="s">
        <v>4139</v>
      </c>
      <c r="C423" s="211">
        <v>2193284</v>
      </c>
      <c r="D423" s="211"/>
      <c r="E423" s="152" t="s">
        <v>3643</v>
      </c>
      <c r="F423" s="152" t="s">
        <v>3624</v>
      </c>
      <c r="G423" s="178"/>
      <c r="H423" s="213"/>
      <c r="I423" s="213"/>
      <c r="J423" s="201">
        <f>COUNTIFS('TURMAS 2015.2'!U:U,A423)</f>
        <v>1</v>
      </c>
      <c r="K423" s="201">
        <f>SUMIFS('TURMAS 2015.2'!J:J,'TURMAS 2015.2'!U:U,A423)</f>
        <v>4</v>
      </c>
      <c r="L423" s="201">
        <f>COUNTIF('TURMAS 2015.2'!X:X,A423)</f>
        <v>0</v>
      </c>
      <c r="M423" s="201">
        <f>SUMIFS('TURMAS 2015.2'!K:K,'TURMAS 2015.2'!X:X,A423)</f>
        <v>0</v>
      </c>
      <c r="N423" s="201">
        <f t="shared" si="6"/>
        <v>4</v>
      </c>
      <c r="O423" s="214"/>
      <c r="P423" s="152"/>
      <c r="Q423" s="152">
        <v>0</v>
      </c>
      <c r="R423" s="152">
        <v>1</v>
      </c>
      <c r="S423" s="152">
        <v>413</v>
      </c>
    </row>
    <row r="424" spans="1:19" s="52" customFormat="1" ht="16.5" customHeight="1">
      <c r="A424" s="211">
        <v>415</v>
      </c>
      <c r="B424" s="212" t="s">
        <v>4140</v>
      </c>
      <c r="C424" s="211">
        <v>1545398</v>
      </c>
      <c r="D424" s="212" t="s">
        <v>3621</v>
      </c>
      <c r="E424" s="152" t="s">
        <v>3643</v>
      </c>
      <c r="F424" s="152" t="s">
        <v>3624</v>
      </c>
      <c r="G424" s="178" t="s">
        <v>3639</v>
      </c>
      <c r="H424" s="213" t="s">
        <v>3639</v>
      </c>
      <c r="I424" s="213" t="s">
        <v>3639</v>
      </c>
      <c r="J424" s="201">
        <f>COUNTIFS('TURMAS 2015.2'!U:U,A424)</f>
        <v>0</v>
      </c>
      <c r="K424" s="201">
        <f>SUMIFS('TURMAS 2015.2'!J:J,'TURMAS 2015.2'!U:U,A424)</f>
        <v>0</v>
      </c>
      <c r="L424" s="201">
        <f>COUNTIF('TURMAS 2015.2'!X:X,A424)</f>
        <v>0</v>
      </c>
      <c r="M424" s="201">
        <f>SUMIFS('TURMAS 2015.2'!K:K,'TURMAS 2015.2'!X:X,A424)</f>
        <v>0</v>
      </c>
      <c r="N424" s="201">
        <f t="shared" si="6"/>
        <v>0</v>
      </c>
      <c r="O424" s="214"/>
      <c r="P424" s="152">
        <v>0</v>
      </c>
      <c r="Q424" s="152">
        <v>0</v>
      </c>
      <c r="R424" s="152">
        <v>1</v>
      </c>
      <c r="S424" s="152">
        <v>415</v>
      </c>
    </row>
    <row r="425" spans="1:19" s="52" customFormat="1" ht="16.5" customHeight="1">
      <c r="A425" s="211">
        <v>416</v>
      </c>
      <c r="B425" s="212" t="s">
        <v>4141</v>
      </c>
      <c r="C425" s="211">
        <v>1707641</v>
      </c>
      <c r="D425" s="212" t="s">
        <v>3610</v>
      </c>
      <c r="E425" s="152" t="s">
        <v>3643</v>
      </c>
      <c r="F425" s="152" t="s">
        <v>3624</v>
      </c>
      <c r="G425" s="178" t="s">
        <v>3639</v>
      </c>
      <c r="H425" s="213" t="s">
        <v>3639</v>
      </c>
      <c r="I425" s="213" t="s">
        <v>3639</v>
      </c>
      <c r="J425" s="201">
        <f>COUNTIFS('TURMAS 2015.2'!U:U,A425)</f>
        <v>0</v>
      </c>
      <c r="K425" s="201">
        <f>SUMIFS('TURMAS 2015.2'!J:J,'TURMAS 2015.2'!U:U,A425)</f>
        <v>0</v>
      </c>
      <c r="L425" s="201">
        <f>COUNTIF('TURMAS 2015.2'!X:X,A425)</f>
        <v>0</v>
      </c>
      <c r="M425" s="201">
        <f>SUMIFS('TURMAS 2015.2'!K:K,'TURMAS 2015.2'!X:X,A425)</f>
        <v>0</v>
      </c>
      <c r="N425" s="201">
        <f t="shared" si="6"/>
        <v>0</v>
      </c>
      <c r="O425" s="214"/>
      <c r="P425" s="152" t="s">
        <v>4142</v>
      </c>
      <c r="Q425" s="152">
        <v>0.3</v>
      </c>
      <c r="R425" s="152">
        <v>0.7</v>
      </c>
      <c r="S425" s="152">
        <v>416</v>
      </c>
    </row>
    <row r="426" spans="1:19" s="52" customFormat="1" ht="16.5" customHeight="1">
      <c r="A426" s="211">
        <v>417</v>
      </c>
      <c r="B426" s="215" t="s">
        <v>4143</v>
      </c>
      <c r="C426" s="211">
        <v>2197500</v>
      </c>
      <c r="D426" s="211"/>
      <c r="E426" s="152" t="s">
        <v>3618</v>
      </c>
      <c r="F426" s="152" t="s">
        <v>3624</v>
      </c>
      <c r="G426" s="178"/>
      <c r="H426" s="213"/>
      <c r="I426" s="213"/>
      <c r="J426" s="201">
        <f>COUNTIFS('TURMAS 2015.2'!U:U,A426)</f>
        <v>1</v>
      </c>
      <c r="K426" s="201">
        <f>SUMIFS('TURMAS 2015.2'!J:J,'TURMAS 2015.2'!U:U,A426)</f>
        <v>2</v>
      </c>
      <c r="L426" s="201">
        <f>COUNTIF('TURMAS 2015.2'!X:X,A426)</f>
        <v>1</v>
      </c>
      <c r="M426" s="201">
        <f>SUMIFS('TURMAS 2015.2'!K:K,'TURMAS 2015.2'!X:X,A426)</f>
        <v>2</v>
      </c>
      <c r="N426" s="201">
        <f t="shared" si="6"/>
        <v>4</v>
      </c>
      <c r="O426" s="214"/>
      <c r="P426" s="152"/>
      <c r="Q426" s="152"/>
      <c r="R426" s="152"/>
      <c r="S426" s="152">
        <v>417</v>
      </c>
    </row>
    <row r="427" spans="1:19" ht="16.5" customHeight="1">
      <c r="A427" s="211">
        <v>418</v>
      </c>
      <c r="B427" s="212" t="s">
        <v>4144</v>
      </c>
      <c r="C427" s="211">
        <v>1671297</v>
      </c>
      <c r="D427" s="212" t="s">
        <v>3635</v>
      </c>
      <c r="E427" s="152" t="s">
        <v>3618</v>
      </c>
      <c r="F427" s="152" t="s">
        <v>3624</v>
      </c>
      <c r="G427" s="178" t="s">
        <v>3639</v>
      </c>
      <c r="H427" s="213" t="s">
        <v>3639</v>
      </c>
      <c r="I427" s="213" t="s">
        <v>3639</v>
      </c>
      <c r="J427" s="201">
        <f>COUNTIFS('TURMAS 2015.2'!U:U,A427)</f>
        <v>2</v>
      </c>
      <c r="K427" s="201">
        <f>SUMIFS('TURMAS 2015.2'!J:J,'TURMAS 2015.2'!U:U,A427)</f>
        <v>3</v>
      </c>
      <c r="L427" s="201">
        <f>COUNTIF('TURMAS 2015.2'!X:X,A427)</f>
        <v>1</v>
      </c>
      <c r="M427" s="201">
        <f>SUMIFS('TURMAS 2015.2'!K:K,'TURMAS 2015.2'!X:X,A427)</f>
        <v>1</v>
      </c>
      <c r="N427" s="201">
        <f t="shared" si="6"/>
        <v>4</v>
      </c>
      <c r="O427" s="214"/>
      <c r="P427" s="152">
        <v>0</v>
      </c>
      <c r="Q427" s="152">
        <v>0</v>
      </c>
      <c r="R427" s="152">
        <v>1</v>
      </c>
      <c r="S427" s="152">
        <v>418</v>
      </c>
    </row>
    <row r="428" spans="1:19" s="56" customFormat="1" ht="16.5" customHeight="1">
      <c r="A428" s="211">
        <v>419</v>
      </c>
      <c r="B428" s="212" t="s">
        <v>4145</v>
      </c>
      <c r="C428" s="211">
        <v>1674721</v>
      </c>
      <c r="D428" s="212" t="s">
        <v>3653</v>
      </c>
      <c r="E428" s="152" t="s">
        <v>3618</v>
      </c>
      <c r="F428" s="152" t="s">
        <v>3624</v>
      </c>
      <c r="G428" s="178" t="s">
        <v>3639</v>
      </c>
      <c r="H428" s="213" t="s">
        <v>3639</v>
      </c>
      <c r="I428" s="213" t="s">
        <v>3639</v>
      </c>
      <c r="J428" s="201">
        <f>COUNTIFS('TURMAS 2015.2'!U:U,A428)</f>
        <v>3</v>
      </c>
      <c r="K428" s="201">
        <f>SUMIFS('TURMAS 2015.2'!J:J,'TURMAS 2015.2'!U:U,A428)</f>
        <v>8</v>
      </c>
      <c r="L428" s="201">
        <f>COUNTIF('TURMAS 2015.2'!X:X,A428)</f>
        <v>1</v>
      </c>
      <c r="M428" s="201">
        <f>SUMIFS('TURMAS 2015.2'!K:K,'TURMAS 2015.2'!X:X,A428)</f>
        <v>1</v>
      </c>
      <c r="N428" s="201">
        <f t="shared" si="6"/>
        <v>9</v>
      </c>
      <c r="O428" s="214"/>
      <c r="P428" s="152">
        <v>0</v>
      </c>
      <c r="Q428" s="152">
        <v>0</v>
      </c>
      <c r="R428" s="152">
        <v>1</v>
      </c>
      <c r="S428" s="152">
        <v>419</v>
      </c>
    </row>
    <row r="429" spans="1:19" s="52" customFormat="1" ht="16.5" customHeight="1">
      <c r="A429" s="211">
        <v>420</v>
      </c>
      <c r="B429" s="212" t="s">
        <v>4146</v>
      </c>
      <c r="C429" s="211">
        <v>1766090</v>
      </c>
      <c r="D429" s="212" t="s">
        <v>3610</v>
      </c>
      <c r="E429" s="152" t="s">
        <v>3643</v>
      </c>
      <c r="F429" s="152" t="s">
        <v>3624</v>
      </c>
      <c r="G429" s="178" t="s">
        <v>3639</v>
      </c>
      <c r="H429" s="213" t="s">
        <v>3639</v>
      </c>
      <c r="I429" s="213" t="s">
        <v>3639</v>
      </c>
      <c r="J429" s="201">
        <f>COUNTIFS('TURMAS 2015.2'!U:U,A429)</f>
        <v>3</v>
      </c>
      <c r="K429" s="201">
        <f>SUMIFS('TURMAS 2015.2'!J:J,'TURMAS 2015.2'!U:U,A429)</f>
        <v>3</v>
      </c>
      <c r="L429" s="201">
        <f>COUNTIF('TURMAS 2015.2'!X:X,A429)</f>
        <v>4</v>
      </c>
      <c r="M429" s="201">
        <f>SUMIFS('TURMAS 2015.2'!K:K,'TURMAS 2015.2'!X:X,A429)</f>
        <v>6</v>
      </c>
      <c r="N429" s="201">
        <f t="shared" si="6"/>
        <v>9</v>
      </c>
      <c r="O429" s="214"/>
      <c r="P429" s="152">
        <v>0</v>
      </c>
      <c r="Q429" s="152">
        <v>0</v>
      </c>
      <c r="R429" s="152">
        <v>1</v>
      </c>
      <c r="S429" s="152">
        <v>420</v>
      </c>
    </row>
    <row r="430" spans="1:19" s="52" customFormat="1" ht="16.5" customHeight="1">
      <c r="A430" s="211">
        <v>421</v>
      </c>
      <c r="B430" s="212" t="s">
        <v>4147</v>
      </c>
      <c r="C430" s="211">
        <v>1996089</v>
      </c>
      <c r="D430" s="212" t="s">
        <v>3617</v>
      </c>
      <c r="E430" s="152" t="s">
        <v>3643</v>
      </c>
      <c r="F430" s="152" t="s">
        <v>3624</v>
      </c>
      <c r="G430" s="178" t="s">
        <v>3639</v>
      </c>
      <c r="H430" s="213" t="s">
        <v>3639</v>
      </c>
      <c r="I430" s="213" t="s">
        <v>3639</v>
      </c>
      <c r="J430" s="201">
        <f>COUNTIFS('TURMAS 2015.2'!U:U,A430)</f>
        <v>0</v>
      </c>
      <c r="K430" s="201">
        <f>SUMIFS('TURMAS 2015.2'!J:J,'TURMAS 2015.2'!U:U,A430)</f>
        <v>0</v>
      </c>
      <c r="L430" s="201">
        <f>COUNTIF('TURMAS 2015.2'!X:X,A430)</f>
        <v>0</v>
      </c>
      <c r="M430" s="201">
        <f>SUMIFS('TURMAS 2015.2'!K:K,'TURMAS 2015.2'!X:X,A430)</f>
        <v>0</v>
      </c>
      <c r="N430" s="201">
        <f t="shared" si="6"/>
        <v>0</v>
      </c>
      <c r="O430" s="214"/>
      <c r="P430" s="152">
        <v>0</v>
      </c>
      <c r="Q430" s="152">
        <v>0</v>
      </c>
      <c r="R430" s="152">
        <v>1</v>
      </c>
      <c r="S430" s="152">
        <v>421</v>
      </c>
    </row>
    <row r="431" spans="1:19" s="52" customFormat="1" ht="16.5" customHeight="1">
      <c r="A431" s="211">
        <v>422</v>
      </c>
      <c r="B431" s="212" t="s">
        <v>4148</v>
      </c>
      <c r="C431" s="211">
        <v>1364215</v>
      </c>
      <c r="D431" s="212" t="s">
        <v>3635</v>
      </c>
      <c r="E431" s="152" t="s">
        <v>3643</v>
      </c>
      <c r="F431" s="152" t="s">
        <v>3624</v>
      </c>
      <c r="G431" s="178" t="s">
        <v>3639</v>
      </c>
      <c r="H431" s="213" t="s">
        <v>3639</v>
      </c>
      <c r="I431" s="213" t="s">
        <v>3639</v>
      </c>
      <c r="J431" s="201">
        <f>COUNTIFS('TURMAS 2015.2'!U:U,A431)</f>
        <v>0</v>
      </c>
      <c r="K431" s="201">
        <f>SUMIFS('TURMAS 2015.2'!J:J,'TURMAS 2015.2'!U:U,A431)</f>
        <v>0</v>
      </c>
      <c r="L431" s="201">
        <f>COUNTIF('TURMAS 2015.2'!X:X,A431)</f>
        <v>0</v>
      </c>
      <c r="M431" s="201">
        <f>SUMIFS('TURMAS 2015.2'!K:K,'TURMAS 2015.2'!X:X,A431)</f>
        <v>0</v>
      </c>
      <c r="N431" s="201">
        <f t="shared" si="6"/>
        <v>0</v>
      </c>
      <c r="O431" s="214"/>
      <c r="P431" s="152" t="s">
        <v>3742</v>
      </c>
      <c r="Q431" s="152">
        <v>0.5</v>
      </c>
      <c r="R431" s="152">
        <v>0.5</v>
      </c>
      <c r="S431" s="152">
        <v>422</v>
      </c>
    </row>
    <row r="432" spans="1:19" s="52" customFormat="1" ht="16.5" customHeight="1">
      <c r="A432" s="211">
        <v>423</v>
      </c>
      <c r="B432" s="212" t="s">
        <v>4149</v>
      </c>
      <c r="C432" s="211">
        <v>2127168</v>
      </c>
      <c r="D432" s="212" t="s">
        <v>3735</v>
      </c>
      <c r="E432" s="152" t="s">
        <v>3611</v>
      </c>
      <c r="F432" s="152" t="s">
        <v>3624</v>
      </c>
      <c r="G432" s="178" t="s">
        <v>3639</v>
      </c>
      <c r="H432" s="213" t="s">
        <v>3639</v>
      </c>
      <c r="I432" s="213" t="s">
        <v>3639</v>
      </c>
      <c r="J432" s="201">
        <f>COUNTIFS('TURMAS 2015.2'!U:U,A432)</f>
        <v>0</v>
      </c>
      <c r="K432" s="201">
        <f>SUMIFS('TURMAS 2015.2'!J:J,'TURMAS 2015.2'!U:U,A432)</f>
        <v>0</v>
      </c>
      <c r="L432" s="201">
        <f>COUNTIF('TURMAS 2015.2'!X:X,A432)</f>
        <v>3</v>
      </c>
      <c r="M432" s="201">
        <f>SUMIFS('TURMAS 2015.2'!K:K,'TURMAS 2015.2'!X:X,A432)</f>
        <v>6</v>
      </c>
      <c r="N432" s="201">
        <f t="shared" si="6"/>
        <v>6</v>
      </c>
      <c r="O432" s="214"/>
      <c r="P432" s="152">
        <v>0</v>
      </c>
      <c r="Q432" s="152">
        <v>0</v>
      </c>
      <c r="R432" s="152">
        <v>1</v>
      </c>
      <c r="S432" s="152">
        <v>423</v>
      </c>
    </row>
    <row r="433" spans="1:19" s="52" customFormat="1" ht="16.5" customHeight="1">
      <c r="A433" s="211">
        <v>424</v>
      </c>
      <c r="B433" s="212" t="s">
        <v>4150</v>
      </c>
      <c r="C433" s="211">
        <v>1050288</v>
      </c>
      <c r="D433" s="212" t="s">
        <v>3653</v>
      </c>
      <c r="E433" s="152" t="s">
        <v>3611</v>
      </c>
      <c r="F433" s="152" t="s">
        <v>3624</v>
      </c>
      <c r="G433" s="178" t="s">
        <v>3639</v>
      </c>
      <c r="H433" s="213" t="s">
        <v>3639</v>
      </c>
      <c r="I433" s="213" t="s">
        <v>3639</v>
      </c>
      <c r="J433" s="201">
        <f>COUNTIFS('TURMAS 2015.2'!U:U,A433)</f>
        <v>7</v>
      </c>
      <c r="K433" s="201">
        <f>SUMIFS('TURMAS 2015.2'!J:J,'TURMAS 2015.2'!U:U,A433)</f>
        <v>10</v>
      </c>
      <c r="L433" s="201">
        <f>COUNTIF('TURMAS 2015.2'!X:X,A433)</f>
        <v>1</v>
      </c>
      <c r="M433" s="201">
        <f>SUMIFS('TURMAS 2015.2'!K:K,'TURMAS 2015.2'!X:X,A433)</f>
        <v>2</v>
      </c>
      <c r="N433" s="201">
        <f t="shared" si="6"/>
        <v>12</v>
      </c>
      <c r="O433" s="214"/>
      <c r="P433" s="152">
        <v>0</v>
      </c>
      <c r="Q433" s="152">
        <v>0</v>
      </c>
      <c r="R433" s="152">
        <v>1</v>
      </c>
      <c r="S433" s="152">
        <v>424</v>
      </c>
    </row>
    <row r="434" spans="1:19" s="52" customFormat="1" ht="16.5" customHeight="1">
      <c r="A434" s="211">
        <v>425</v>
      </c>
      <c r="B434" s="212" t="s">
        <v>4151</v>
      </c>
      <c r="C434" s="211">
        <v>2082536</v>
      </c>
      <c r="D434" s="212" t="s">
        <v>3653</v>
      </c>
      <c r="E434" s="152" t="s">
        <v>3618</v>
      </c>
      <c r="F434" s="152" t="s">
        <v>3624</v>
      </c>
      <c r="G434" s="178" t="s">
        <v>3639</v>
      </c>
      <c r="H434" s="213" t="s">
        <v>3639</v>
      </c>
      <c r="I434" s="213" t="s">
        <v>3639</v>
      </c>
      <c r="J434" s="201">
        <f>COUNTIFS('TURMAS 2015.2'!U:U,A434)</f>
        <v>3</v>
      </c>
      <c r="K434" s="201">
        <f>SUMIFS('TURMAS 2015.2'!J:J,'TURMAS 2015.2'!U:U,A434)</f>
        <v>9</v>
      </c>
      <c r="L434" s="201">
        <f>COUNTIF('TURMAS 2015.2'!X:X,A434)</f>
        <v>0</v>
      </c>
      <c r="M434" s="201">
        <f>SUMIFS('TURMAS 2015.2'!K:K,'TURMAS 2015.2'!X:X,A434)</f>
        <v>0</v>
      </c>
      <c r="N434" s="201">
        <f t="shared" si="6"/>
        <v>9</v>
      </c>
      <c r="O434" s="214"/>
      <c r="P434" s="152">
        <v>0</v>
      </c>
      <c r="Q434" s="152">
        <v>0</v>
      </c>
      <c r="R434" s="152">
        <v>1</v>
      </c>
      <c r="S434" s="152">
        <v>425</v>
      </c>
    </row>
    <row r="435" spans="1:19" s="52" customFormat="1" ht="16.5" customHeight="1">
      <c r="A435" s="211">
        <v>426</v>
      </c>
      <c r="B435" s="212" t="s">
        <v>4152</v>
      </c>
      <c r="C435" s="211">
        <v>1998471</v>
      </c>
      <c r="D435" s="212" t="s">
        <v>3617</v>
      </c>
      <c r="E435" s="152" t="s">
        <v>3643</v>
      </c>
      <c r="F435" s="152" t="s">
        <v>3624</v>
      </c>
      <c r="G435" s="178" t="s">
        <v>3639</v>
      </c>
      <c r="H435" s="213" t="s">
        <v>3639</v>
      </c>
      <c r="I435" s="213" t="s">
        <v>3639</v>
      </c>
      <c r="J435" s="201">
        <f>COUNTIFS('TURMAS 2015.2'!U:U,A435)</f>
        <v>2</v>
      </c>
      <c r="K435" s="201">
        <f>SUMIFS('TURMAS 2015.2'!J:J,'TURMAS 2015.2'!U:U,A435)</f>
        <v>8</v>
      </c>
      <c r="L435" s="201">
        <f>COUNTIF('TURMAS 2015.2'!X:X,A435)</f>
        <v>0</v>
      </c>
      <c r="M435" s="201">
        <f>SUMIFS('TURMAS 2015.2'!K:K,'TURMAS 2015.2'!X:X,A435)</f>
        <v>0</v>
      </c>
      <c r="N435" s="201">
        <f t="shared" si="6"/>
        <v>8</v>
      </c>
      <c r="O435" s="214"/>
      <c r="P435" s="152">
        <v>0</v>
      </c>
      <c r="Q435" s="152">
        <v>0</v>
      </c>
      <c r="R435" s="152">
        <v>1</v>
      </c>
      <c r="S435" s="152">
        <v>426</v>
      </c>
    </row>
    <row r="436" spans="1:19" s="52" customFormat="1" ht="16.5" customHeight="1">
      <c r="A436" s="211">
        <v>427</v>
      </c>
      <c r="B436" s="212" t="s">
        <v>4153</v>
      </c>
      <c r="C436" s="211">
        <v>1761105</v>
      </c>
      <c r="D436" s="212" t="s">
        <v>3610</v>
      </c>
      <c r="E436" s="152" t="s">
        <v>3618</v>
      </c>
      <c r="F436" s="152" t="s">
        <v>3624</v>
      </c>
      <c r="G436" s="178" t="s">
        <v>3639</v>
      </c>
      <c r="H436" s="213" t="s">
        <v>3639</v>
      </c>
      <c r="I436" s="213" t="s">
        <v>3639</v>
      </c>
      <c r="J436" s="201">
        <f>COUNTIFS('TURMAS 2015.2'!U:U,A436)</f>
        <v>1</v>
      </c>
      <c r="K436" s="201">
        <f>SUMIFS('TURMAS 2015.2'!J:J,'TURMAS 2015.2'!U:U,A436)</f>
        <v>3</v>
      </c>
      <c r="L436" s="201">
        <f>COUNTIF('TURMAS 2015.2'!X:X,A436)</f>
        <v>2</v>
      </c>
      <c r="M436" s="201">
        <f>SUMIFS('TURMAS 2015.2'!K:K,'TURMAS 2015.2'!X:X,A436)</f>
        <v>3</v>
      </c>
      <c r="N436" s="201">
        <f t="shared" si="6"/>
        <v>6</v>
      </c>
      <c r="O436" s="214"/>
      <c r="P436" s="152" t="s">
        <v>4154</v>
      </c>
      <c r="Q436" s="152">
        <v>0.3</v>
      </c>
      <c r="R436" s="152">
        <v>0.7</v>
      </c>
      <c r="S436" s="152">
        <v>427</v>
      </c>
    </row>
    <row r="437" spans="1:19" s="52" customFormat="1" ht="16.5" customHeight="1">
      <c r="A437" s="211">
        <v>428</v>
      </c>
      <c r="B437" s="212" t="s">
        <v>4155</v>
      </c>
      <c r="C437" s="211">
        <v>2123638</v>
      </c>
      <c r="D437" s="212" t="s">
        <v>3653</v>
      </c>
      <c r="E437" s="152" t="s">
        <v>3618</v>
      </c>
      <c r="F437" s="152" t="s">
        <v>3624</v>
      </c>
      <c r="G437" s="178" t="s">
        <v>3639</v>
      </c>
      <c r="H437" s="213" t="s">
        <v>3639</v>
      </c>
      <c r="I437" s="213" t="s">
        <v>3639</v>
      </c>
      <c r="J437" s="201">
        <f>COUNTIFS('TURMAS 2015.2'!U:U,A437)</f>
        <v>2</v>
      </c>
      <c r="K437" s="201">
        <f>SUMIFS('TURMAS 2015.2'!J:J,'TURMAS 2015.2'!U:U,A437)</f>
        <v>8</v>
      </c>
      <c r="L437" s="201">
        <f>COUNTIF('TURMAS 2015.2'!X:X,A437)</f>
        <v>0</v>
      </c>
      <c r="M437" s="201">
        <f>SUMIFS('TURMAS 2015.2'!K:K,'TURMAS 2015.2'!X:X,A437)</f>
        <v>0</v>
      </c>
      <c r="N437" s="201">
        <f t="shared" si="6"/>
        <v>8</v>
      </c>
      <c r="O437" s="214"/>
      <c r="P437" s="152">
        <v>0</v>
      </c>
      <c r="Q437" s="152">
        <v>0</v>
      </c>
      <c r="R437" s="152">
        <v>1</v>
      </c>
      <c r="S437" s="152">
        <v>428</v>
      </c>
    </row>
    <row r="438" spans="1:19" s="52" customFormat="1" ht="16.5" customHeight="1">
      <c r="A438" s="211">
        <v>429</v>
      </c>
      <c r="B438" s="212" t="s">
        <v>4156</v>
      </c>
      <c r="C438" s="211">
        <v>2605683</v>
      </c>
      <c r="D438" s="212" t="s">
        <v>3647</v>
      </c>
      <c r="E438" s="152" t="s">
        <v>3618</v>
      </c>
      <c r="F438" s="152" t="s">
        <v>3624</v>
      </c>
      <c r="G438" s="178" t="s">
        <v>3639</v>
      </c>
      <c r="H438" s="213" t="s">
        <v>3639</v>
      </c>
      <c r="I438" s="213" t="s">
        <v>3639</v>
      </c>
      <c r="J438" s="201">
        <f>COUNTIFS('TURMAS 2015.2'!U:U,A438)</f>
        <v>3</v>
      </c>
      <c r="K438" s="201">
        <f>SUMIFS('TURMAS 2015.2'!J:J,'TURMAS 2015.2'!U:U,A438)</f>
        <v>6</v>
      </c>
      <c r="L438" s="201">
        <f>COUNTIF('TURMAS 2015.2'!X:X,A438)</f>
        <v>3</v>
      </c>
      <c r="M438" s="201">
        <f>SUMIFS('TURMAS 2015.2'!K:K,'TURMAS 2015.2'!X:X,A438)</f>
        <v>2</v>
      </c>
      <c r="N438" s="201">
        <f t="shared" si="6"/>
        <v>8</v>
      </c>
      <c r="O438" s="214"/>
      <c r="P438" s="152">
        <v>0</v>
      </c>
      <c r="Q438" s="152">
        <v>0</v>
      </c>
      <c r="R438" s="152">
        <v>1</v>
      </c>
      <c r="S438" s="152">
        <v>429</v>
      </c>
    </row>
    <row r="439" spans="1:19" s="52" customFormat="1" ht="16.5" customHeight="1">
      <c r="A439" s="211">
        <v>430</v>
      </c>
      <c r="B439" s="212" t="s">
        <v>4157</v>
      </c>
      <c r="C439" s="211">
        <v>1762351</v>
      </c>
      <c r="D439" s="212" t="s">
        <v>3610</v>
      </c>
      <c r="E439" s="152" t="s">
        <v>3643</v>
      </c>
      <c r="F439" s="152" t="s">
        <v>3624</v>
      </c>
      <c r="G439" s="178" t="s">
        <v>3639</v>
      </c>
      <c r="H439" s="213" t="s">
        <v>3639</v>
      </c>
      <c r="I439" s="213" t="s">
        <v>3639</v>
      </c>
      <c r="J439" s="201">
        <f>COUNTIFS('TURMAS 2015.2'!U:U,A439)</f>
        <v>1</v>
      </c>
      <c r="K439" s="201">
        <f>SUMIFS('TURMAS 2015.2'!J:J,'TURMAS 2015.2'!U:U,A439)</f>
        <v>3</v>
      </c>
      <c r="L439" s="201">
        <f>COUNTIF('TURMAS 2015.2'!X:X,A439)</f>
        <v>1</v>
      </c>
      <c r="M439" s="201">
        <f>SUMIFS('TURMAS 2015.2'!K:K,'TURMAS 2015.2'!X:X,A439)</f>
        <v>2</v>
      </c>
      <c r="N439" s="201">
        <f t="shared" si="6"/>
        <v>5</v>
      </c>
      <c r="O439" s="214"/>
      <c r="P439" s="152">
        <v>0</v>
      </c>
      <c r="Q439" s="152">
        <v>0</v>
      </c>
      <c r="R439" s="152">
        <v>1</v>
      </c>
      <c r="S439" s="152">
        <v>430</v>
      </c>
    </row>
    <row r="440" spans="1:19" s="52" customFormat="1" ht="16.5" customHeight="1">
      <c r="A440" s="211">
        <v>431</v>
      </c>
      <c r="B440" s="212" t="s">
        <v>4158</v>
      </c>
      <c r="C440" s="211">
        <v>1912347</v>
      </c>
      <c r="D440" s="212" t="s">
        <v>3635</v>
      </c>
      <c r="E440" s="152" t="s">
        <v>3643</v>
      </c>
      <c r="F440" s="152" t="s">
        <v>3624</v>
      </c>
      <c r="G440" s="178" t="s">
        <v>3639</v>
      </c>
      <c r="H440" s="213" t="s">
        <v>3639</v>
      </c>
      <c r="I440" s="213" t="s">
        <v>3639</v>
      </c>
      <c r="J440" s="201">
        <f>COUNTIFS('TURMAS 2015.2'!U:U,A440)</f>
        <v>0</v>
      </c>
      <c r="K440" s="201">
        <f>SUMIFS('TURMAS 2015.2'!J:J,'TURMAS 2015.2'!U:U,A440)</f>
        <v>0</v>
      </c>
      <c r="L440" s="201">
        <f>COUNTIF('TURMAS 2015.2'!X:X,A440)</f>
        <v>2</v>
      </c>
      <c r="M440" s="201">
        <f>SUMIFS('TURMAS 2015.2'!K:K,'TURMAS 2015.2'!X:X,A440)</f>
        <v>6</v>
      </c>
      <c r="N440" s="201">
        <f t="shared" si="6"/>
        <v>6</v>
      </c>
      <c r="O440" s="214"/>
      <c r="P440" s="152">
        <v>0</v>
      </c>
      <c r="Q440" s="152">
        <v>0</v>
      </c>
      <c r="R440" s="152">
        <v>1</v>
      </c>
      <c r="S440" s="152">
        <v>431</v>
      </c>
    </row>
    <row r="441" spans="1:19" s="52" customFormat="1" ht="16.5" customHeight="1">
      <c r="A441" s="211">
        <v>432</v>
      </c>
      <c r="B441" s="212" t="s">
        <v>4159</v>
      </c>
      <c r="C441" s="211">
        <v>1763445</v>
      </c>
      <c r="D441" s="212" t="s">
        <v>3610</v>
      </c>
      <c r="E441" s="152" t="s">
        <v>3618</v>
      </c>
      <c r="F441" s="152" t="s">
        <v>3624</v>
      </c>
      <c r="G441" s="178" t="s">
        <v>3639</v>
      </c>
      <c r="H441" s="213" t="s">
        <v>3639</v>
      </c>
      <c r="I441" s="213" t="s">
        <v>3639</v>
      </c>
      <c r="J441" s="201">
        <f>COUNTIFS('TURMAS 2015.2'!U:U,A441)</f>
        <v>3</v>
      </c>
      <c r="K441" s="201">
        <f>SUMIFS('TURMAS 2015.2'!J:J,'TURMAS 2015.2'!U:U,A441)</f>
        <v>12</v>
      </c>
      <c r="L441" s="201">
        <f>COUNTIF('TURMAS 2015.2'!X:X,A441)</f>
        <v>0</v>
      </c>
      <c r="M441" s="201">
        <f>SUMIFS('TURMAS 2015.2'!K:K,'TURMAS 2015.2'!X:X,A441)</f>
        <v>0</v>
      </c>
      <c r="N441" s="201">
        <f t="shared" si="6"/>
        <v>12</v>
      </c>
      <c r="O441" s="214"/>
      <c r="P441" s="152">
        <v>0</v>
      </c>
      <c r="Q441" s="152">
        <v>0</v>
      </c>
      <c r="R441" s="152">
        <v>1</v>
      </c>
      <c r="S441" s="152">
        <v>432</v>
      </c>
    </row>
    <row r="442" spans="1:19" s="52" customFormat="1" ht="16.5" customHeight="1">
      <c r="A442" s="211">
        <v>433</v>
      </c>
      <c r="B442" s="212" t="s">
        <v>4160</v>
      </c>
      <c r="C442" s="211">
        <v>1675728</v>
      </c>
      <c r="D442" s="212" t="s">
        <v>3610</v>
      </c>
      <c r="E442" s="152" t="s">
        <v>3611</v>
      </c>
      <c r="F442" s="152" t="s">
        <v>3624</v>
      </c>
      <c r="G442" s="178" t="s">
        <v>3639</v>
      </c>
      <c r="H442" s="213" t="s">
        <v>3639</v>
      </c>
      <c r="I442" s="213" t="s">
        <v>3639</v>
      </c>
      <c r="J442" s="201">
        <f>COUNTIFS('TURMAS 2015.2'!U:U,A442)</f>
        <v>2</v>
      </c>
      <c r="K442" s="201">
        <f>SUMIFS('TURMAS 2015.2'!J:J,'TURMAS 2015.2'!U:U,A442)</f>
        <v>8</v>
      </c>
      <c r="L442" s="201">
        <f>COUNTIF('TURMAS 2015.2'!X:X,A442)</f>
        <v>0</v>
      </c>
      <c r="M442" s="201">
        <f>SUMIFS('TURMAS 2015.2'!K:K,'TURMAS 2015.2'!X:X,A442)</f>
        <v>0</v>
      </c>
      <c r="N442" s="201">
        <f t="shared" si="6"/>
        <v>8</v>
      </c>
      <c r="O442" s="214"/>
      <c r="P442" s="152">
        <v>0</v>
      </c>
      <c r="Q442" s="152">
        <v>0</v>
      </c>
      <c r="R442" s="152">
        <v>1</v>
      </c>
      <c r="S442" s="152">
        <v>433</v>
      </c>
    </row>
    <row r="443" spans="1:19" s="52" customFormat="1" ht="16.5" customHeight="1">
      <c r="A443" s="211">
        <v>434</v>
      </c>
      <c r="B443" s="212" t="s">
        <v>4161</v>
      </c>
      <c r="C443" s="211">
        <v>1674580</v>
      </c>
      <c r="D443" s="212" t="s">
        <v>3610</v>
      </c>
      <c r="E443" s="152" t="s">
        <v>3611</v>
      </c>
      <c r="F443" s="152" t="s">
        <v>3624</v>
      </c>
      <c r="G443" s="178" t="s">
        <v>3639</v>
      </c>
      <c r="H443" s="213" t="s">
        <v>3639</v>
      </c>
      <c r="I443" s="213" t="s">
        <v>3639</v>
      </c>
      <c r="J443" s="201">
        <f>COUNTIFS('TURMAS 2015.2'!U:U,A443)</f>
        <v>0</v>
      </c>
      <c r="K443" s="201">
        <f>SUMIFS('TURMAS 2015.2'!J:J,'TURMAS 2015.2'!U:U,A443)</f>
        <v>0</v>
      </c>
      <c r="L443" s="201">
        <f>COUNTIF('TURMAS 2015.2'!X:X,A443)</f>
        <v>2</v>
      </c>
      <c r="M443" s="201">
        <f>SUMIFS('TURMAS 2015.2'!K:K,'TURMAS 2015.2'!X:X,A443)</f>
        <v>4</v>
      </c>
      <c r="N443" s="201">
        <f t="shared" si="6"/>
        <v>4</v>
      </c>
      <c r="O443" s="214"/>
      <c r="P443" s="152">
        <v>0</v>
      </c>
      <c r="Q443" s="152">
        <v>0</v>
      </c>
      <c r="R443" s="152">
        <v>1</v>
      </c>
      <c r="S443" s="152">
        <v>434</v>
      </c>
    </row>
    <row r="444" spans="1:19" s="52" customFormat="1" ht="16.5" customHeight="1">
      <c r="A444" s="211">
        <v>435</v>
      </c>
      <c r="B444" s="212" t="s">
        <v>4162</v>
      </c>
      <c r="C444" s="211">
        <v>2123676</v>
      </c>
      <c r="D444" s="212" t="s">
        <v>3653</v>
      </c>
      <c r="E444" s="152" t="s">
        <v>3618</v>
      </c>
      <c r="F444" s="152" t="s">
        <v>3624</v>
      </c>
      <c r="G444" s="178" t="s">
        <v>3639</v>
      </c>
      <c r="H444" s="213" t="s">
        <v>3639</v>
      </c>
      <c r="I444" s="213" t="s">
        <v>3639</v>
      </c>
      <c r="J444" s="201">
        <f>COUNTIFS('TURMAS 2015.2'!U:U,A444)</f>
        <v>1</v>
      </c>
      <c r="K444" s="201">
        <f>SUMIFS('TURMAS 2015.2'!J:J,'TURMAS 2015.2'!U:U,A444)</f>
        <v>3</v>
      </c>
      <c r="L444" s="201">
        <f>COUNTIF('TURMAS 2015.2'!X:X,A444)</f>
        <v>1</v>
      </c>
      <c r="M444" s="201">
        <f>SUMIFS('TURMAS 2015.2'!K:K,'TURMAS 2015.2'!X:X,A444)</f>
        <v>2</v>
      </c>
      <c r="N444" s="201">
        <f t="shared" si="6"/>
        <v>5</v>
      </c>
      <c r="O444" s="214"/>
      <c r="P444" s="152">
        <v>0</v>
      </c>
      <c r="Q444" s="152">
        <v>0</v>
      </c>
      <c r="R444" s="152">
        <v>1</v>
      </c>
      <c r="S444" s="152">
        <v>435</v>
      </c>
    </row>
    <row r="445" spans="1:19" s="52" customFormat="1" ht="16.5" customHeight="1">
      <c r="A445" s="211">
        <v>436</v>
      </c>
      <c r="B445" s="203" t="s">
        <v>4163</v>
      </c>
      <c r="C445" s="202">
        <v>1768463</v>
      </c>
      <c r="D445" s="203" t="s">
        <v>3610</v>
      </c>
      <c r="E445" s="149" t="s">
        <v>3611</v>
      </c>
      <c r="F445" s="152" t="s">
        <v>3624</v>
      </c>
      <c r="G445" s="179"/>
      <c r="H445" s="216"/>
      <c r="I445" s="216"/>
      <c r="J445" s="201">
        <f>COUNTIFS('TURMAS 2015.2'!U:U,A445)</f>
        <v>2</v>
      </c>
      <c r="K445" s="201">
        <f>SUMIFS('TURMAS 2015.2'!J:J,'TURMAS 2015.2'!U:U,A445)</f>
        <v>8</v>
      </c>
      <c r="L445" s="201">
        <f>COUNTIF('TURMAS 2015.2'!X:X,A445)</f>
        <v>2</v>
      </c>
      <c r="M445" s="201">
        <f>SUMIFS('TURMAS 2015.2'!K:K,'TURMAS 2015.2'!X:X,A445)</f>
        <v>0</v>
      </c>
      <c r="N445" s="201">
        <f t="shared" si="6"/>
        <v>8</v>
      </c>
      <c r="O445" s="216"/>
      <c r="P445" s="149">
        <v>0</v>
      </c>
      <c r="Q445" s="149">
        <v>0</v>
      </c>
      <c r="R445" s="149">
        <v>1</v>
      </c>
      <c r="S445" s="152">
        <v>436</v>
      </c>
    </row>
    <row r="446" spans="1:19" s="52" customFormat="1" ht="16.5" customHeight="1">
      <c r="A446" s="211">
        <v>437</v>
      </c>
      <c r="B446" s="212" t="s">
        <v>4164</v>
      </c>
      <c r="C446" s="211">
        <v>1732836</v>
      </c>
      <c r="D446" s="212" t="s">
        <v>3610</v>
      </c>
      <c r="E446" s="152" t="s">
        <v>3618</v>
      </c>
      <c r="F446" s="152" t="s">
        <v>3624</v>
      </c>
      <c r="G446" s="178" t="s">
        <v>3639</v>
      </c>
      <c r="H446" s="213" t="s">
        <v>3639</v>
      </c>
      <c r="I446" s="213" t="s">
        <v>3639</v>
      </c>
      <c r="J446" s="201">
        <f>COUNTIFS('TURMAS 2015.2'!U:U,A446)</f>
        <v>0</v>
      </c>
      <c r="K446" s="201">
        <f>SUMIFS('TURMAS 2015.2'!J:J,'TURMAS 2015.2'!U:U,A446)</f>
        <v>0</v>
      </c>
      <c r="L446" s="201">
        <f>COUNTIF('TURMAS 2015.2'!X:X,A446)</f>
        <v>0</v>
      </c>
      <c r="M446" s="201">
        <f>SUMIFS('TURMAS 2015.2'!K:K,'TURMAS 2015.2'!X:X,A446)</f>
        <v>0</v>
      </c>
      <c r="N446" s="201">
        <f t="shared" si="6"/>
        <v>0</v>
      </c>
      <c r="O446" s="214"/>
      <c r="P446" s="152">
        <v>0</v>
      </c>
      <c r="Q446" s="152">
        <v>0</v>
      </c>
      <c r="R446" s="152">
        <v>1</v>
      </c>
      <c r="S446" s="152">
        <v>437</v>
      </c>
    </row>
    <row r="447" spans="1:19" s="52" customFormat="1" ht="16.5" customHeight="1">
      <c r="A447" s="211">
        <v>438</v>
      </c>
      <c r="B447" s="212" t="s">
        <v>4165</v>
      </c>
      <c r="C447" s="211">
        <v>1834571</v>
      </c>
      <c r="D447" s="212" t="s">
        <v>3635</v>
      </c>
      <c r="E447" s="152" t="s">
        <v>3643</v>
      </c>
      <c r="F447" s="152" t="s">
        <v>3624</v>
      </c>
      <c r="G447" s="178" t="s">
        <v>3639</v>
      </c>
      <c r="H447" s="213" t="s">
        <v>3639</v>
      </c>
      <c r="I447" s="213" t="s">
        <v>3639</v>
      </c>
      <c r="J447" s="201">
        <f>COUNTIFS('TURMAS 2015.2'!U:U,A447)</f>
        <v>2</v>
      </c>
      <c r="K447" s="201">
        <f>SUMIFS('TURMAS 2015.2'!J:J,'TURMAS 2015.2'!U:U,A447)</f>
        <v>6</v>
      </c>
      <c r="L447" s="201">
        <f>COUNTIF('TURMAS 2015.2'!X:X,A447)</f>
        <v>1</v>
      </c>
      <c r="M447" s="201">
        <f>SUMIFS('TURMAS 2015.2'!K:K,'TURMAS 2015.2'!X:X,A447)</f>
        <v>2</v>
      </c>
      <c r="N447" s="201">
        <f t="shared" si="6"/>
        <v>8</v>
      </c>
      <c r="O447" s="214"/>
      <c r="P447" s="152">
        <v>0</v>
      </c>
      <c r="Q447" s="152">
        <v>0</v>
      </c>
      <c r="R447" s="152">
        <v>1</v>
      </c>
      <c r="S447" s="152">
        <v>438</v>
      </c>
    </row>
    <row r="448" spans="1:19" s="52" customFormat="1" ht="16.5" customHeight="1">
      <c r="A448" s="211">
        <v>439</v>
      </c>
      <c r="B448" s="212" t="s">
        <v>4166</v>
      </c>
      <c r="C448" s="211">
        <v>1545415</v>
      </c>
      <c r="D448" s="212" t="s">
        <v>3635</v>
      </c>
      <c r="E448" s="152" t="s">
        <v>3643</v>
      </c>
      <c r="F448" s="152" t="s">
        <v>3624</v>
      </c>
      <c r="G448" s="178" t="s">
        <v>3639</v>
      </c>
      <c r="H448" s="213" t="s">
        <v>3639</v>
      </c>
      <c r="I448" s="213" t="s">
        <v>3639</v>
      </c>
      <c r="J448" s="201">
        <f>COUNTIFS('TURMAS 2015.2'!U:U,A448)</f>
        <v>0</v>
      </c>
      <c r="K448" s="201">
        <f>SUMIFS('TURMAS 2015.2'!J:J,'TURMAS 2015.2'!U:U,A448)</f>
        <v>0</v>
      </c>
      <c r="L448" s="201">
        <f>COUNTIF('TURMAS 2015.2'!X:X,A448)</f>
        <v>0</v>
      </c>
      <c r="M448" s="201">
        <f>SUMIFS('TURMAS 2015.2'!K:K,'TURMAS 2015.2'!X:X,A448)</f>
        <v>0</v>
      </c>
      <c r="N448" s="201">
        <f t="shared" si="6"/>
        <v>0</v>
      </c>
      <c r="O448" s="214"/>
      <c r="P448" s="152">
        <v>0</v>
      </c>
      <c r="Q448" s="152">
        <v>0</v>
      </c>
      <c r="R448" s="152">
        <v>1</v>
      </c>
      <c r="S448" s="152">
        <v>439</v>
      </c>
    </row>
    <row r="449" spans="1:19" s="52" customFormat="1" ht="16.5" customHeight="1">
      <c r="A449" s="211">
        <v>440</v>
      </c>
      <c r="B449" s="215" t="s">
        <v>4167</v>
      </c>
      <c r="C449" s="211">
        <v>1802148</v>
      </c>
      <c r="D449" s="211"/>
      <c r="E449" s="152" t="s">
        <v>3618</v>
      </c>
      <c r="F449" s="152" t="s">
        <v>3624</v>
      </c>
      <c r="G449" s="178"/>
      <c r="H449" s="213"/>
      <c r="I449" s="213"/>
      <c r="J449" s="201">
        <f>COUNTIFS('TURMAS 2015.2'!U:U,A449)</f>
        <v>0</v>
      </c>
      <c r="K449" s="201">
        <f>SUMIFS('TURMAS 2015.2'!J:J,'TURMAS 2015.2'!U:U,A449)</f>
        <v>0</v>
      </c>
      <c r="L449" s="201">
        <f>COUNTIF('TURMAS 2015.2'!X:X,A449)</f>
        <v>0</v>
      </c>
      <c r="M449" s="201">
        <f>SUMIFS('TURMAS 2015.2'!K:K,'TURMAS 2015.2'!X:X,A449)</f>
        <v>0</v>
      </c>
      <c r="N449" s="201">
        <f t="shared" si="6"/>
        <v>0</v>
      </c>
      <c r="O449" s="214"/>
      <c r="P449" s="152"/>
      <c r="Q449" s="152"/>
      <c r="R449" s="152"/>
      <c r="S449" s="152">
        <v>440</v>
      </c>
    </row>
    <row r="450" spans="1:19" s="52" customFormat="1" ht="16.5" customHeight="1">
      <c r="A450" s="211">
        <v>441</v>
      </c>
      <c r="B450" s="212" t="s">
        <v>4168</v>
      </c>
      <c r="C450" s="211">
        <v>1380717</v>
      </c>
      <c r="D450" s="212" t="s">
        <v>3617</v>
      </c>
      <c r="E450" s="152" t="s">
        <v>3618</v>
      </c>
      <c r="F450" s="152" t="s">
        <v>3624</v>
      </c>
      <c r="G450" s="178" t="s">
        <v>3639</v>
      </c>
      <c r="H450" s="213" t="s">
        <v>3639</v>
      </c>
      <c r="I450" s="213" t="s">
        <v>3639</v>
      </c>
      <c r="J450" s="201">
        <f>COUNTIFS('TURMAS 2015.2'!U:U,A450)</f>
        <v>2</v>
      </c>
      <c r="K450" s="201">
        <f>SUMIFS('TURMAS 2015.2'!J:J,'TURMAS 2015.2'!U:U,A450)</f>
        <v>8</v>
      </c>
      <c r="L450" s="201">
        <f>COUNTIF('TURMAS 2015.2'!X:X,A450)</f>
        <v>0</v>
      </c>
      <c r="M450" s="201">
        <f>SUMIFS('TURMAS 2015.2'!K:K,'TURMAS 2015.2'!X:X,A450)</f>
        <v>0</v>
      </c>
      <c r="N450" s="201">
        <f t="shared" si="6"/>
        <v>8</v>
      </c>
      <c r="O450" s="214"/>
      <c r="P450" s="152">
        <v>0</v>
      </c>
      <c r="Q450" s="152">
        <v>0</v>
      </c>
      <c r="R450" s="152">
        <v>1</v>
      </c>
      <c r="S450" s="152">
        <v>441</v>
      </c>
    </row>
    <row r="451" spans="1:19" s="52" customFormat="1" ht="16.5" customHeight="1">
      <c r="A451" s="211">
        <v>442</v>
      </c>
      <c r="B451" s="212" t="s">
        <v>4169</v>
      </c>
      <c r="C451" s="211">
        <v>1760474</v>
      </c>
      <c r="D451" s="212" t="s">
        <v>3610</v>
      </c>
      <c r="E451" s="152" t="s">
        <v>3618</v>
      </c>
      <c r="F451" s="152" t="s">
        <v>3624</v>
      </c>
      <c r="G451" s="178" t="s">
        <v>3639</v>
      </c>
      <c r="H451" s="213" t="s">
        <v>3639</v>
      </c>
      <c r="I451" s="213" t="s">
        <v>3639</v>
      </c>
      <c r="J451" s="201">
        <f>COUNTIFS('TURMAS 2015.2'!U:U,A451)</f>
        <v>1</v>
      </c>
      <c r="K451" s="201">
        <f>SUMIFS('TURMAS 2015.2'!J:J,'TURMAS 2015.2'!U:U,A451)</f>
        <v>3</v>
      </c>
      <c r="L451" s="201">
        <f>COUNTIF('TURMAS 2015.2'!X:X,A451)</f>
        <v>1</v>
      </c>
      <c r="M451" s="201">
        <f>SUMIFS('TURMAS 2015.2'!K:K,'TURMAS 2015.2'!X:X,A451)</f>
        <v>1</v>
      </c>
      <c r="N451" s="201">
        <f t="shared" si="6"/>
        <v>4</v>
      </c>
      <c r="O451" s="214"/>
      <c r="P451" s="152">
        <v>0</v>
      </c>
      <c r="Q451" s="152">
        <v>0</v>
      </c>
      <c r="R451" s="152">
        <v>1</v>
      </c>
      <c r="S451" s="152">
        <v>442</v>
      </c>
    </row>
    <row r="452" spans="1:19" s="52" customFormat="1" ht="16.5" customHeight="1">
      <c r="A452" s="211">
        <v>443</v>
      </c>
      <c r="B452" s="212" t="s">
        <v>4170</v>
      </c>
      <c r="C452" s="211">
        <v>1842803</v>
      </c>
      <c r="D452" s="212" t="s">
        <v>3635</v>
      </c>
      <c r="E452" s="152" t="s">
        <v>3618</v>
      </c>
      <c r="F452" s="152" t="s">
        <v>3624</v>
      </c>
      <c r="G452" s="178" t="s">
        <v>3639</v>
      </c>
      <c r="H452" s="213" t="s">
        <v>3639</v>
      </c>
      <c r="I452" s="213" t="s">
        <v>3639</v>
      </c>
      <c r="J452" s="201">
        <f>COUNTIFS('TURMAS 2015.2'!U:U,A452)</f>
        <v>2</v>
      </c>
      <c r="K452" s="201">
        <f>SUMIFS('TURMAS 2015.2'!J:J,'TURMAS 2015.2'!U:U,A452)</f>
        <v>4</v>
      </c>
      <c r="L452" s="201">
        <f>COUNTIF('TURMAS 2015.2'!X:X,A452)</f>
        <v>2</v>
      </c>
      <c r="M452" s="201">
        <f>SUMIFS('TURMAS 2015.2'!K:K,'TURMAS 2015.2'!X:X,A452)</f>
        <v>4</v>
      </c>
      <c r="N452" s="201">
        <f t="shared" si="6"/>
        <v>8</v>
      </c>
      <c r="O452" s="214"/>
      <c r="P452" s="152">
        <v>0</v>
      </c>
      <c r="Q452" s="152">
        <v>0</v>
      </c>
      <c r="R452" s="152">
        <v>1</v>
      </c>
      <c r="S452" s="152">
        <v>443</v>
      </c>
    </row>
    <row r="453" spans="1:19" s="52" customFormat="1" ht="16.5" customHeight="1">
      <c r="A453" s="211">
        <v>444</v>
      </c>
      <c r="B453" s="212" t="s">
        <v>4171</v>
      </c>
      <c r="C453" s="211">
        <v>2137432</v>
      </c>
      <c r="D453" s="212" t="s">
        <v>3653</v>
      </c>
      <c r="E453" s="152" t="s">
        <v>3643</v>
      </c>
      <c r="F453" s="152" t="s">
        <v>3624</v>
      </c>
      <c r="G453" s="178" t="s">
        <v>3639</v>
      </c>
      <c r="H453" s="213" t="s">
        <v>3639</v>
      </c>
      <c r="I453" s="213" t="s">
        <v>3639</v>
      </c>
      <c r="J453" s="201">
        <f>COUNTIFS('TURMAS 2015.2'!U:U,A453)</f>
        <v>0</v>
      </c>
      <c r="K453" s="201">
        <f>SUMIFS('TURMAS 2015.2'!J:J,'TURMAS 2015.2'!U:U,A453)</f>
        <v>0</v>
      </c>
      <c r="L453" s="201">
        <f>COUNTIF('TURMAS 2015.2'!X:X,A453)</f>
        <v>0</v>
      </c>
      <c r="M453" s="201">
        <f>SUMIFS('TURMAS 2015.2'!K:K,'TURMAS 2015.2'!X:X,A453)</f>
        <v>0</v>
      </c>
      <c r="N453" s="201">
        <f t="shared" si="6"/>
        <v>0</v>
      </c>
      <c r="O453" s="214"/>
      <c r="P453" s="152">
        <v>0</v>
      </c>
      <c r="Q453" s="152">
        <v>0</v>
      </c>
      <c r="R453" s="152">
        <v>1</v>
      </c>
      <c r="S453" s="152">
        <v>444</v>
      </c>
    </row>
    <row r="454" spans="1:19" s="52" customFormat="1" ht="16.5" customHeight="1">
      <c r="A454" s="211">
        <v>445</v>
      </c>
      <c r="B454" s="212" t="s">
        <v>4172</v>
      </c>
      <c r="C454" s="211">
        <v>1548095</v>
      </c>
      <c r="D454" s="212" t="s">
        <v>3647</v>
      </c>
      <c r="E454" s="152" t="s">
        <v>3643</v>
      </c>
      <c r="F454" s="152" t="s">
        <v>3624</v>
      </c>
      <c r="G454" s="178" t="s">
        <v>3639</v>
      </c>
      <c r="H454" s="213" t="s">
        <v>3639</v>
      </c>
      <c r="I454" s="213" t="s">
        <v>3639</v>
      </c>
      <c r="J454" s="201">
        <f>COUNTIFS('TURMAS 2015.2'!U:U,A454)</f>
        <v>0</v>
      </c>
      <c r="K454" s="201">
        <f>SUMIFS('TURMAS 2015.2'!J:J,'TURMAS 2015.2'!U:U,A454)</f>
        <v>0</v>
      </c>
      <c r="L454" s="201">
        <f>COUNTIF('TURMAS 2015.2'!X:X,A454)</f>
        <v>0</v>
      </c>
      <c r="M454" s="201">
        <f>SUMIFS('TURMAS 2015.2'!K:K,'TURMAS 2015.2'!X:X,A454)</f>
        <v>0</v>
      </c>
      <c r="N454" s="201">
        <f t="shared" si="6"/>
        <v>0</v>
      </c>
      <c r="O454" s="214"/>
      <c r="P454" s="152">
        <v>0</v>
      </c>
      <c r="Q454" s="152">
        <v>0</v>
      </c>
      <c r="R454" s="152">
        <v>1</v>
      </c>
      <c r="S454" s="152">
        <v>445</v>
      </c>
    </row>
    <row r="455" spans="1:19" s="52" customFormat="1" ht="16.5" customHeight="1">
      <c r="A455" s="211">
        <v>446</v>
      </c>
      <c r="B455" s="212" t="s">
        <v>4173</v>
      </c>
      <c r="C455" s="211">
        <v>1734910</v>
      </c>
      <c r="D455" s="212" t="s">
        <v>3610</v>
      </c>
      <c r="E455" s="152" t="s">
        <v>3643</v>
      </c>
      <c r="F455" s="152" t="s">
        <v>3624</v>
      </c>
      <c r="G455" s="178" t="s">
        <v>3639</v>
      </c>
      <c r="H455" s="213" t="s">
        <v>3639</v>
      </c>
      <c r="I455" s="213" t="s">
        <v>3639</v>
      </c>
      <c r="J455" s="201">
        <f>COUNTIFS('TURMAS 2015.2'!U:U,A455)</f>
        <v>2</v>
      </c>
      <c r="K455" s="201">
        <f>SUMIFS('TURMAS 2015.2'!J:J,'TURMAS 2015.2'!U:U,A455)</f>
        <v>8</v>
      </c>
      <c r="L455" s="201">
        <f>COUNTIF('TURMAS 2015.2'!X:X,A455)</f>
        <v>0</v>
      </c>
      <c r="M455" s="201">
        <f>SUMIFS('TURMAS 2015.2'!K:K,'TURMAS 2015.2'!X:X,A455)</f>
        <v>0</v>
      </c>
      <c r="N455" s="201">
        <f t="shared" si="6"/>
        <v>8</v>
      </c>
      <c r="O455" s="214"/>
      <c r="P455" s="152">
        <v>0</v>
      </c>
      <c r="Q455" s="152">
        <v>0</v>
      </c>
      <c r="R455" s="152">
        <v>1</v>
      </c>
      <c r="S455" s="152">
        <v>446</v>
      </c>
    </row>
    <row r="456" spans="1:19" s="52" customFormat="1" ht="16.5" customHeight="1">
      <c r="A456" s="211">
        <v>447</v>
      </c>
      <c r="B456" s="212" t="s">
        <v>4174</v>
      </c>
      <c r="C456" s="211">
        <v>1544340</v>
      </c>
      <c r="D456" s="212" t="s">
        <v>3610</v>
      </c>
      <c r="E456" s="152" t="s">
        <v>3618</v>
      </c>
      <c r="F456" s="152" t="s">
        <v>3624</v>
      </c>
      <c r="G456" s="178" t="s">
        <v>3639</v>
      </c>
      <c r="H456" s="213" t="s">
        <v>3639</v>
      </c>
      <c r="I456" s="213" t="s">
        <v>3639</v>
      </c>
      <c r="J456" s="201">
        <f>COUNTIFS('TURMAS 2015.2'!U:U,A456)</f>
        <v>0</v>
      </c>
      <c r="K456" s="201">
        <f>SUMIFS('TURMAS 2015.2'!J:J,'TURMAS 2015.2'!U:U,A456)</f>
        <v>0</v>
      </c>
      <c r="L456" s="201">
        <f>COUNTIF('TURMAS 2015.2'!X:X,A456)</f>
        <v>0</v>
      </c>
      <c r="M456" s="201">
        <f>SUMIFS('TURMAS 2015.2'!K:K,'TURMAS 2015.2'!X:X,A456)</f>
        <v>0</v>
      </c>
      <c r="N456" s="201">
        <f t="shared" si="6"/>
        <v>0</v>
      </c>
      <c r="O456" s="214"/>
      <c r="P456" s="152">
        <v>0</v>
      </c>
      <c r="Q456" s="152">
        <v>0</v>
      </c>
      <c r="R456" s="152">
        <v>1</v>
      </c>
      <c r="S456" s="152">
        <v>447</v>
      </c>
    </row>
    <row r="457" spans="1:19" s="52" customFormat="1" ht="16.5" customHeight="1">
      <c r="A457" s="211">
        <v>448</v>
      </c>
      <c r="B457" s="215" t="s">
        <v>4175</v>
      </c>
      <c r="C457" s="211">
        <v>2219689</v>
      </c>
      <c r="D457" s="211"/>
      <c r="E457" s="152" t="s">
        <v>3611</v>
      </c>
      <c r="F457" s="152" t="s">
        <v>3624</v>
      </c>
      <c r="G457" s="178"/>
      <c r="H457" s="213"/>
      <c r="I457" s="213"/>
      <c r="J457" s="201">
        <f>COUNTIFS('TURMAS 2015.2'!U:U,A457)</f>
        <v>2</v>
      </c>
      <c r="K457" s="201">
        <f>SUMIFS('TURMAS 2015.2'!J:J,'TURMAS 2015.2'!U:U,A457)</f>
        <v>8</v>
      </c>
      <c r="L457" s="201">
        <f>COUNTIF('TURMAS 2015.2'!X:X,A457)</f>
        <v>0</v>
      </c>
      <c r="M457" s="201">
        <f>SUMIFS('TURMAS 2015.2'!K:K,'TURMAS 2015.2'!X:X,A457)</f>
        <v>0</v>
      </c>
      <c r="N457" s="201">
        <f t="shared" si="6"/>
        <v>8</v>
      </c>
      <c r="O457" s="214"/>
      <c r="P457" s="152"/>
      <c r="Q457" s="152"/>
      <c r="R457" s="152"/>
      <c r="S457" s="152">
        <v>448</v>
      </c>
    </row>
    <row r="458" spans="1:19" s="52" customFormat="1" ht="16.5" customHeight="1">
      <c r="A458" s="211">
        <v>449</v>
      </c>
      <c r="B458" s="212" t="s">
        <v>4176</v>
      </c>
      <c r="C458" s="211">
        <v>1762344</v>
      </c>
      <c r="D458" s="212" t="s">
        <v>3610</v>
      </c>
      <c r="E458" s="152" t="s">
        <v>3611</v>
      </c>
      <c r="F458" s="152" t="s">
        <v>3624</v>
      </c>
      <c r="G458" s="178" t="s">
        <v>3639</v>
      </c>
      <c r="H458" s="213" t="s">
        <v>3639</v>
      </c>
      <c r="I458" s="213" t="s">
        <v>3639</v>
      </c>
      <c r="J458" s="201">
        <f>COUNTIFS('TURMAS 2015.2'!U:U,A458)</f>
        <v>3</v>
      </c>
      <c r="K458" s="201">
        <f>SUMIFS('TURMAS 2015.2'!J:J,'TURMAS 2015.2'!U:U,A458)</f>
        <v>8</v>
      </c>
      <c r="L458" s="201">
        <f>COUNTIF('TURMAS 2015.2'!X:X,A458)</f>
        <v>1</v>
      </c>
      <c r="M458" s="201">
        <f>SUMIFS('TURMAS 2015.2'!K:K,'TURMAS 2015.2'!X:X,A458)</f>
        <v>2</v>
      </c>
      <c r="N458" s="201">
        <f t="shared" si="6"/>
        <v>10</v>
      </c>
      <c r="O458" s="214"/>
      <c r="P458" s="152" t="s">
        <v>4177</v>
      </c>
      <c r="Q458" s="152">
        <v>0.5</v>
      </c>
      <c r="R458" s="152">
        <v>0.5</v>
      </c>
      <c r="S458" s="152">
        <v>449</v>
      </c>
    </row>
    <row r="459" spans="1:19" s="52" customFormat="1" ht="16.5" customHeight="1">
      <c r="A459" s="211">
        <v>450</v>
      </c>
      <c r="B459" s="212" t="s">
        <v>4178</v>
      </c>
      <c r="C459" s="211">
        <v>1544394</v>
      </c>
      <c r="D459" s="212" t="s">
        <v>3621</v>
      </c>
      <c r="E459" s="152" t="s">
        <v>3643</v>
      </c>
      <c r="F459" s="152" t="s">
        <v>3624</v>
      </c>
      <c r="G459" s="178" t="s">
        <v>3639</v>
      </c>
      <c r="H459" s="213" t="s">
        <v>3639</v>
      </c>
      <c r="I459" s="213" t="s">
        <v>3639</v>
      </c>
      <c r="J459" s="201">
        <f>COUNTIFS('TURMAS 2015.2'!U:U,A459)</f>
        <v>0</v>
      </c>
      <c r="K459" s="201">
        <f>SUMIFS('TURMAS 2015.2'!J:J,'TURMAS 2015.2'!U:U,A459)</f>
        <v>0</v>
      </c>
      <c r="L459" s="201">
        <f>COUNTIF('TURMAS 2015.2'!X:X,A459)</f>
        <v>0</v>
      </c>
      <c r="M459" s="201">
        <f>SUMIFS('TURMAS 2015.2'!K:K,'TURMAS 2015.2'!X:X,A459)</f>
        <v>0</v>
      </c>
      <c r="N459" s="201">
        <f t="shared" si="6"/>
        <v>0</v>
      </c>
      <c r="O459" s="214"/>
      <c r="P459" s="152" t="s">
        <v>4179</v>
      </c>
      <c r="Q459" s="152">
        <v>0.7</v>
      </c>
      <c r="R459" s="152">
        <v>0.30000000000000004</v>
      </c>
      <c r="S459" s="152">
        <v>450</v>
      </c>
    </row>
    <row r="460" spans="1:19" s="52" customFormat="1" ht="16.5" customHeight="1">
      <c r="A460" s="211">
        <v>451</v>
      </c>
      <c r="B460" s="212" t="s">
        <v>4180</v>
      </c>
      <c r="C460" s="211">
        <v>1997745</v>
      </c>
      <c r="D460" s="212" t="s">
        <v>3617</v>
      </c>
      <c r="E460" s="152" t="s">
        <v>3643</v>
      </c>
      <c r="F460" s="152" t="s">
        <v>3624</v>
      </c>
      <c r="G460" s="178" t="s">
        <v>3639</v>
      </c>
      <c r="H460" s="213" t="s">
        <v>3639</v>
      </c>
      <c r="I460" s="213" t="s">
        <v>3639</v>
      </c>
      <c r="J460" s="201">
        <f>COUNTIFS('TURMAS 2015.2'!U:U,A460)</f>
        <v>3</v>
      </c>
      <c r="K460" s="201">
        <f>SUMIFS('TURMAS 2015.2'!J:J,'TURMAS 2015.2'!U:U,A460)</f>
        <v>12</v>
      </c>
      <c r="L460" s="201">
        <f>COUNTIF('TURMAS 2015.2'!X:X,A460)</f>
        <v>0</v>
      </c>
      <c r="M460" s="201">
        <f>SUMIFS('TURMAS 2015.2'!K:K,'TURMAS 2015.2'!X:X,A460)</f>
        <v>0</v>
      </c>
      <c r="N460" s="201">
        <f t="shared" ref="N460:N523" si="7">K460+M460</f>
        <v>12</v>
      </c>
      <c r="O460" s="214"/>
      <c r="P460" s="152">
        <v>0</v>
      </c>
      <c r="Q460" s="152">
        <v>0</v>
      </c>
      <c r="R460" s="152">
        <v>1</v>
      </c>
      <c r="S460" s="152">
        <v>451</v>
      </c>
    </row>
    <row r="461" spans="1:19" s="52" customFormat="1" ht="16.5" customHeight="1">
      <c r="A461" s="211">
        <v>452</v>
      </c>
      <c r="B461" s="212" t="s">
        <v>4181</v>
      </c>
      <c r="C461" s="211">
        <v>1805246</v>
      </c>
      <c r="D461" s="212" t="s">
        <v>3635</v>
      </c>
      <c r="E461" s="152" t="s">
        <v>3643</v>
      </c>
      <c r="F461" s="152" t="s">
        <v>3624</v>
      </c>
      <c r="G461" s="178" t="s">
        <v>3639</v>
      </c>
      <c r="H461" s="213" t="s">
        <v>3639</v>
      </c>
      <c r="I461" s="213" t="s">
        <v>3639</v>
      </c>
      <c r="J461" s="201">
        <f>COUNTIFS('TURMAS 2015.2'!U:U,A461)</f>
        <v>0</v>
      </c>
      <c r="K461" s="201">
        <f>SUMIFS('TURMAS 2015.2'!J:J,'TURMAS 2015.2'!U:U,A461)</f>
        <v>0</v>
      </c>
      <c r="L461" s="201">
        <f>COUNTIF('TURMAS 2015.2'!X:X,A461)</f>
        <v>0</v>
      </c>
      <c r="M461" s="201">
        <f>SUMIFS('TURMAS 2015.2'!K:K,'TURMAS 2015.2'!X:X,A461)</f>
        <v>0</v>
      </c>
      <c r="N461" s="201">
        <f t="shared" si="7"/>
        <v>0</v>
      </c>
      <c r="O461" s="214"/>
      <c r="P461" s="152" t="s">
        <v>4182</v>
      </c>
      <c r="Q461" s="152">
        <v>0.3</v>
      </c>
      <c r="R461" s="152">
        <v>0.7</v>
      </c>
      <c r="S461" s="152">
        <v>452</v>
      </c>
    </row>
    <row r="462" spans="1:19" s="52" customFormat="1" ht="16.5" customHeight="1">
      <c r="A462" s="211">
        <v>453</v>
      </c>
      <c r="B462" s="212" t="s">
        <v>4183</v>
      </c>
      <c r="C462" s="211">
        <v>1734906</v>
      </c>
      <c r="D462" s="212" t="s">
        <v>3610</v>
      </c>
      <c r="E462" s="152" t="s">
        <v>3643</v>
      </c>
      <c r="F462" s="152" t="s">
        <v>3624</v>
      </c>
      <c r="G462" s="178" t="s">
        <v>3639</v>
      </c>
      <c r="H462" s="213" t="s">
        <v>3639</v>
      </c>
      <c r="I462" s="213" t="s">
        <v>3639</v>
      </c>
      <c r="J462" s="201">
        <f>COUNTIFS('TURMAS 2015.2'!U:U,A462)</f>
        <v>0</v>
      </c>
      <c r="K462" s="201">
        <f>SUMIFS('TURMAS 2015.2'!J:J,'TURMAS 2015.2'!U:U,A462)</f>
        <v>0</v>
      </c>
      <c r="L462" s="201">
        <f>COUNTIF('TURMAS 2015.2'!X:X,A462)</f>
        <v>0</v>
      </c>
      <c r="M462" s="201">
        <f>SUMIFS('TURMAS 2015.2'!K:K,'TURMAS 2015.2'!X:X,A462)</f>
        <v>0</v>
      </c>
      <c r="N462" s="201">
        <f t="shared" si="7"/>
        <v>0</v>
      </c>
      <c r="O462" s="214"/>
      <c r="P462" s="152" t="s">
        <v>4184</v>
      </c>
      <c r="Q462" s="152">
        <v>0.5</v>
      </c>
      <c r="R462" s="152">
        <v>0.5</v>
      </c>
      <c r="S462" s="152">
        <v>453</v>
      </c>
    </row>
    <row r="463" spans="1:19" s="52" customFormat="1" ht="16.5" customHeight="1">
      <c r="A463" s="211">
        <v>454</v>
      </c>
      <c r="B463" s="212" t="s">
        <v>4185</v>
      </c>
      <c r="C463" s="211">
        <v>2067231</v>
      </c>
      <c r="D463" s="212" t="s">
        <v>3642</v>
      </c>
      <c r="E463" s="152" t="s">
        <v>3618</v>
      </c>
      <c r="F463" s="152" t="s">
        <v>3624</v>
      </c>
      <c r="G463" s="178" t="s">
        <v>3639</v>
      </c>
      <c r="H463" s="213" t="s">
        <v>3639</v>
      </c>
      <c r="I463" s="213" t="s">
        <v>3639</v>
      </c>
      <c r="J463" s="201">
        <f>COUNTIFS('TURMAS 2015.2'!U:U,A463)</f>
        <v>0</v>
      </c>
      <c r="K463" s="201">
        <f>SUMIFS('TURMAS 2015.2'!J:J,'TURMAS 2015.2'!U:U,A463)</f>
        <v>0</v>
      </c>
      <c r="L463" s="201">
        <f>COUNTIF('TURMAS 2015.2'!X:X,A463)</f>
        <v>0</v>
      </c>
      <c r="M463" s="201">
        <f>SUMIFS('TURMAS 2015.2'!K:K,'TURMAS 2015.2'!X:X,A463)</f>
        <v>0</v>
      </c>
      <c r="N463" s="201">
        <f t="shared" si="7"/>
        <v>0</v>
      </c>
      <c r="O463" s="214"/>
      <c r="P463" s="152">
        <v>0</v>
      </c>
      <c r="Q463" s="152">
        <v>0</v>
      </c>
      <c r="R463" s="152">
        <v>1</v>
      </c>
      <c r="S463" s="152">
        <v>454</v>
      </c>
    </row>
    <row r="464" spans="1:19" s="52" customFormat="1" ht="16.5" customHeight="1">
      <c r="A464" s="211">
        <v>455</v>
      </c>
      <c r="B464" s="212" t="s">
        <v>4186</v>
      </c>
      <c r="C464" s="211">
        <v>1676343</v>
      </c>
      <c r="D464" s="212" t="s">
        <v>3610</v>
      </c>
      <c r="E464" s="152" t="s">
        <v>3643</v>
      </c>
      <c r="F464" s="152" t="s">
        <v>3624</v>
      </c>
      <c r="G464" s="178" t="s">
        <v>3639</v>
      </c>
      <c r="H464" s="213" t="s">
        <v>3639</v>
      </c>
      <c r="I464" s="213" t="s">
        <v>3639</v>
      </c>
      <c r="J464" s="201">
        <f>COUNTIFS('TURMAS 2015.2'!U:U,A464)</f>
        <v>2</v>
      </c>
      <c r="K464" s="201">
        <f>SUMIFS('TURMAS 2015.2'!J:J,'TURMAS 2015.2'!U:U,A464)</f>
        <v>8</v>
      </c>
      <c r="L464" s="201">
        <f>COUNTIF('TURMAS 2015.2'!X:X,A464)</f>
        <v>0</v>
      </c>
      <c r="M464" s="201">
        <f>SUMIFS('TURMAS 2015.2'!K:K,'TURMAS 2015.2'!X:X,A464)</f>
        <v>0</v>
      </c>
      <c r="N464" s="201">
        <f t="shared" si="7"/>
        <v>8</v>
      </c>
      <c r="O464" s="214"/>
      <c r="P464" s="152">
        <v>0</v>
      </c>
      <c r="Q464" s="152">
        <v>0</v>
      </c>
      <c r="R464" s="152">
        <v>1</v>
      </c>
      <c r="S464" s="152">
        <v>455</v>
      </c>
    </row>
    <row r="465" spans="1:19" s="52" customFormat="1" ht="16.5" customHeight="1">
      <c r="A465" s="211">
        <v>456</v>
      </c>
      <c r="B465" s="212" t="s">
        <v>4187</v>
      </c>
      <c r="C465" s="211">
        <v>1837720</v>
      </c>
      <c r="D465" s="212" t="s">
        <v>3617</v>
      </c>
      <c r="E465" s="152" t="s">
        <v>3611</v>
      </c>
      <c r="F465" s="152" t="s">
        <v>3624</v>
      </c>
      <c r="G465" s="178" t="s">
        <v>3639</v>
      </c>
      <c r="H465" s="213" t="s">
        <v>3639</v>
      </c>
      <c r="I465" s="213" t="s">
        <v>3639</v>
      </c>
      <c r="J465" s="201">
        <f>COUNTIFS('TURMAS 2015.2'!U:U,A465)</f>
        <v>0</v>
      </c>
      <c r="K465" s="201">
        <f>SUMIFS('TURMAS 2015.2'!J:J,'TURMAS 2015.2'!U:U,A465)</f>
        <v>0</v>
      </c>
      <c r="L465" s="201">
        <f>COUNTIF('TURMAS 2015.2'!X:X,A465)</f>
        <v>0</v>
      </c>
      <c r="M465" s="201">
        <f>SUMIFS('TURMAS 2015.2'!K:K,'TURMAS 2015.2'!X:X,A465)</f>
        <v>0</v>
      </c>
      <c r="N465" s="201">
        <f t="shared" si="7"/>
        <v>0</v>
      </c>
      <c r="O465" s="214"/>
      <c r="P465" s="152">
        <v>0</v>
      </c>
      <c r="Q465" s="152">
        <v>0</v>
      </c>
      <c r="R465" s="152">
        <v>1</v>
      </c>
      <c r="S465" s="152">
        <v>456</v>
      </c>
    </row>
    <row r="466" spans="1:19" s="52" customFormat="1" ht="16.5" customHeight="1">
      <c r="A466" s="211">
        <v>457</v>
      </c>
      <c r="B466" s="212" t="s">
        <v>4188</v>
      </c>
      <c r="C466" s="211">
        <v>1531381</v>
      </c>
      <c r="D466" s="212" t="s">
        <v>3610</v>
      </c>
      <c r="E466" s="152" t="s">
        <v>3618</v>
      </c>
      <c r="F466" s="152" t="s">
        <v>3624</v>
      </c>
      <c r="G466" s="178" t="s">
        <v>3639</v>
      </c>
      <c r="H466" s="213" t="s">
        <v>3639</v>
      </c>
      <c r="I466" s="213" t="s">
        <v>3639</v>
      </c>
      <c r="J466" s="201">
        <f>COUNTIFS('TURMAS 2015.2'!U:U,A466)</f>
        <v>2</v>
      </c>
      <c r="K466" s="201">
        <f>SUMIFS('TURMAS 2015.2'!J:J,'TURMAS 2015.2'!U:U,A466)</f>
        <v>6</v>
      </c>
      <c r="L466" s="201">
        <f>COUNTIF('TURMAS 2015.2'!X:X,A466)</f>
        <v>0</v>
      </c>
      <c r="M466" s="201">
        <f>SUMIFS('TURMAS 2015.2'!K:K,'TURMAS 2015.2'!X:X,A466)</f>
        <v>0</v>
      </c>
      <c r="N466" s="201">
        <f t="shared" si="7"/>
        <v>6</v>
      </c>
      <c r="O466" s="214"/>
      <c r="P466" s="152">
        <v>0</v>
      </c>
      <c r="Q466" s="152">
        <v>0</v>
      </c>
      <c r="R466" s="152">
        <v>1</v>
      </c>
      <c r="S466" s="152">
        <v>457</v>
      </c>
    </row>
    <row r="467" spans="1:19" s="52" customFormat="1" ht="16.5" customHeight="1">
      <c r="A467" s="211">
        <v>458</v>
      </c>
      <c r="B467" s="212" t="s">
        <v>4189</v>
      </c>
      <c r="C467" s="211">
        <v>1714632</v>
      </c>
      <c r="D467" s="212" t="s">
        <v>3635</v>
      </c>
      <c r="E467" s="152" t="s">
        <v>3611</v>
      </c>
      <c r="F467" s="152" t="s">
        <v>3624</v>
      </c>
      <c r="G467" s="178" t="s">
        <v>3639</v>
      </c>
      <c r="H467" s="213" t="s">
        <v>3639</v>
      </c>
      <c r="I467" s="213" t="s">
        <v>3639</v>
      </c>
      <c r="J467" s="201">
        <f>COUNTIFS('TURMAS 2015.2'!U:U,A467)</f>
        <v>1</v>
      </c>
      <c r="K467" s="201">
        <f>SUMIFS('TURMAS 2015.2'!J:J,'TURMAS 2015.2'!U:U,A467)</f>
        <v>4</v>
      </c>
      <c r="L467" s="201">
        <f>COUNTIF('TURMAS 2015.2'!X:X,A467)</f>
        <v>0</v>
      </c>
      <c r="M467" s="201">
        <f>SUMIFS('TURMAS 2015.2'!K:K,'TURMAS 2015.2'!X:X,A467)</f>
        <v>0</v>
      </c>
      <c r="N467" s="201">
        <f t="shared" si="7"/>
        <v>4</v>
      </c>
      <c r="O467" s="214"/>
      <c r="P467" s="152" t="s">
        <v>4190</v>
      </c>
      <c r="Q467" s="152">
        <v>0.3</v>
      </c>
      <c r="R467" s="152">
        <v>0.7</v>
      </c>
      <c r="S467" s="152">
        <v>458</v>
      </c>
    </row>
    <row r="468" spans="1:19" s="52" customFormat="1" ht="16.5" customHeight="1">
      <c r="A468" s="211">
        <v>459</v>
      </c>
      <c r="B468" s="212" t="s">
        <v>4191</v>
      </c>
      <c r="C468" s="211">
        <v>1687152</v>
      </c>
      <c r="D468" s="212" t="s">
        <v>3635</v>
      </c>
      <c r="E468" s="152" t="s">
        <v>3611</v>
      </c>
      <c r="F468" s="152" t="s">
        <v>3624</v>
      </c>
      <c r="G468" s="178" t="s">
        <v>3639</v>
      </c>
      <c r="H468" s="213" t="s">
        <v>3639</v>
      </c>
      <c r="I468" s="213" t="s">
        <v>3639</v>
      </c>
      <c r="J468" s="201">
        <f>COUNTIFS('TURMAS 2015.2'!U:U,A468)</f>
        <v>0</v>
      </c>
      <c r="K468" s="201">
        <f>SUMIFS('TURMAS 2015.2'!J:J,'TURMAS 2015.2'!U:U,A468)</f>
        <v>0</v>
      </c>
      <c r="L468" s="201">
        <f>COUNTIF('TURMAS 2015.2'!X:X,A468)</f>
        <v>0</v>
      </c>
      <c r="M468" s="201">
        <f>SUMIFS('TURMAS 2015.2'!K:K,'TURMAS 2015.2'!X:X,A468)</f>
        <v>0</v>
      </c>
      <c r="N468" s="201">
        <f t="shared" si="7"/>
        <v>0</v>
      </c>
      <c r="O468" s="214"/>
      <c r="P468" s="152">
        <v>0</v>
      </c>
      <c r="Q468" s="152">
        <v>0</v>
      </c>
      <c r="R468" s="152">
        <v>1</v>
      </c>
      <c r="S468" s="152">
        <v>459</v>
      </c>
    </row>
    <row r="469" spans="1:19" s="52" customFormat="1" ht="16.5" customHeight="1">
      <c r="A469" s="211">
        <v>460</v>
      </c>
      <c r="B469" s="212" t="s">
        <v>4192</v>
      </c>
      <c r="C469" s="211">
        <v>1780372</v>
      </c>
      <c r="D469" s="212" t="s">
        <v>3610</v>
      </c>
      <c r="E469" s="152" t="s">
        <v>3643</v>
      </c>
      <c r="F469" s="152" t="s">
        <v>3624</v>
      </c>
      <c r="G469" s="178" t="s">
        <v>3639</v>
      </c>
      <c r="H469" s="213" t="s">
        <v>3639</v>
      </c>
      <c r="I469" s="213" t="s">
        <v>3639</v>
      </c>
      <c r="J469" s="201">
        <f>COUNTIFS('TURMAS 2015.2'!U:U,A469)</f>
        <v>1</v>
      </c>
      <c r="K469" s="201">
        <f>SUMIFS('TURMAS 2015.2'!J:J,'TURMAS 2015.2'!U:U,A469)</f>
        <v>4</v>
      </c>
      <c r="L469" s="201">
        <f>COUNTIF('TURMAS 2015.2'!X:X,A469)</f>
        <v>0</v>
      </c>
      <c r="M469" s="201">
        <f>SUMIFS('TURMAS 2015.2'!K:K,'TURMAS 2015.2'!X:X,A469)</f>
        <v>0</v>
      </c>
      <c r="N469" s="201">
        <f t="shared" si="7"/>
        <v>4</v>
      </c>
      <c r="O469" s="214"/>
      <c r="P469" s="152">
        <v>0</v>
      </c>
      <c r="Q469" s="152">
        <v>0</v>
      </c>
      <c r="R469" s="152">
        <v>1</v>
      </c>
      <c r="S469" s="152">
        <v>460</v>
      </c>
    </row>
    <row r="470" spans="1:19" s="52" customFormat="1" ht="16.5" customHeight="1">
      <c r="A470" s="211">
        <v>461</v>
      </c>
      <c r="B470" s="212" t="s">
        <v>4193</v>
      </c>
      <c r="C470" s="211">
        <v>1614537</v>
      </c>
      <c r="D470" s="212" t="s">
        <v>3635</v>
      </c>
      <c r="E470" s="152" t="s">
        <v>3643</v>
      </c>
      <c r="F470" s="152" t="s">
        <v>3624</v>
      </c>
      <c r="G470" s="178" t="s">
        <v>3639</v>
      </c>
      <c r="H470" s="213" t="s">
        <v>3639</v>
      </c>
      <c r="I470" s="213" t="s">
        <v>3639</v>
      </c>
      <c r="J470" s="201">
        <f>COUNTIFS('TURMAS 2015.2'!U:U,A470)</f>
        <v>1</v>
      </c>
      <c r="K470" s="201">
        <f>SUMIFS('TURMAS 2015.2'!J:J,'TURMAS 2015.2'!U:U,A470)</f>
        <v>4</v>
      </c>
      <c r="L470" s="201">
        <f>COUNTIF('TURMAS 2015.2'!X:X,A470)</f>
        <v>6</v>
      </c>
      <c r="M470" s="201">
        <f>SUMIFS('TURMAS 2015.2'!K:K,'TURMAS 2015.2'!X:X,A470)</f>
        <v>12</v>
      </c>
      <c r="N470" s="201">
        <f t="shared" si="7"/>
        <v>16</v>
      </c>
      <c r="O470" s="214"/>
      <c r="P470" s="152">
        <v>0</v>
      </c>
      <c r="Q470" s="152">
        <v>0</v>
      </c>
      <c r="R470" s="152">
        <v>1</v>
      </c>
      <c r="S470" s="152">
        <v>461</v>
      </c>
    </row>
    <row r="471" spans="1:19" s="52" customFormat="1" ht="16.5" customHeight="1">
      <c r="A471" s="211">
        <v>462</v>
      </c>
      <c r="B471" s="212" t="s">
        <v>4194</v>
      </c>
      <c r="C471" s="211">
        <v>1475468</v>
      </c>
      <c r="D471" s="212" t="s">
        <v>3610</v>
      </c>
      <c r="E471" s="152" t="s">
        <v>3611</v>
      </c>
      <c r="F471" s="152" t="s">
        <v>3624</v>
      </c>
      <c r="G471" s="178" t="s">
        <v>3639</v>
      </c>
      <c r="H471" s="213" t="s">
        <v>3639</v>
      </c>
      <c r="I471" s="213" t="s">
        <v>3639</v>
      </c>
      <c r="J471" s="201">
        <f>COUNTIFS('TURMAS 2015.2'!U:U,A471)</f>
        <v>2</v>
      </c>
      <c r="K471" s="201">
        <f>SUMIFS('TURMAS 2015.2'!J:J,'TURMAS 2015.2'!U:U,A471)</f>
        <v>8</v>
      </c>
      <c r="L471" s="201">
        <f>COUNTIF('TURMAS 2015.2'!X:X,A471)</f>
        <v>0</v>
      </c>
      <c r="M471" s="201">
        <f>SUMIFS('TURMAS 2015.2'!K:K,'TURMAS 2015.2'!X:X,A471)</f>
        <v>0</v>
      </c>
      <c r="N471" s="201">
        <f t="shared" si="7"/>
        <v>8</v>
      </c>
      <c r="O471" s="214"/>
      <c r="P471" s="152" t="s">
        <v>4195</v>
      </c>
      <c r="Q471" s="152">
        <v>0.5</v>
      </c>
      <c r="R471" s="152">
        <v>0.5</v>
      </c>
      <c r="S471" s="152">
        <v>462</v>
      </c>
    </row>
    <row r="472" spans="1:19" s="52" customFormat="1" ht="16.5" customHeight="1">
      <c r="A472" s="211">
        <v>463</v>
      </c>
      <c r="B472" s="212" t="s">
        <v>4196</v>
      </c>
      <c r="C472" s="211">
        <v>1676807</v>
      </c>
      <c r="D472" s="212" t="s">
        <v>3610</v>
      </c>
      <c r="E472" s="152" t="s">
        <v>3611</v>
      </c>
      <c r="F472" s="152" t="s">
        <v>3624</v>
      </c>
      <c r="G472" s="178" t="s">
        <v>3639</v>
      </c>
      <c r="H472" s="213" t="s">
        <v>3639</v>
      </c>
      <c r="I472" s="213" t="s">
        <v>3639</v>
      </c>
      <c r="J472" s="201">
        <f>COUNTIFS('TURMAS 2015.2'!U:U,A472)</f>
        <v>2</v>
      </c>
      <c r="K472" s="201">
        <f>SUMIFS('TURMAS 2015.2'!J:J,'TURMAS 2015.2'!U:U,A472)</f>
        <v>8</v>
      </c>
      <c r="L472" s="201">
        <f>COUNTIF('TURMAS 2015.2'!X:X,A472)</f>
        <v>0</v>
      </c>
      <c r="M472" s="201">
        <f>SUMIFS('TURMAS 2015.2'!K:K,'TURMAS 2015.2'!X:X,A472)</f>
        <v>0</v>
      </c>
      <c r="N472" s="201">
        <f t="shared" si="7"/>
        <v>8</v>
      </c>
      <c r="O472" s="214"/>
      <c r="P472" s="152">
        <v>0</v>
      </c>
      <c r="Q472" s="152">
        <v>0</v>
      </c>
      <c r="R472" s="152">
        <v>1</v>
      </c>
      <c r="S472" s="152">
        <v>463</v>
      </c>
    </row>
    <row r="473" spans="1:19" s="52" customFormat="1" ht="16.5" customHeight="1">
      <c r="A473" s="211">
        <v>464</v>
      </c>
      <c r="B473" s="212" t="s">
        <v>4197</v>
      </c>
      <c r="C473" s="211">
        <v>344365</v>
      </c>
      <c r="D473" s="212" t="s">
        <v>3642</v>
      </c>
      <c r="E473" s="152" t="s">
        <v>3618</v>
      </c>
      <c r="F473" s="152" t="s">
        <v>3624</v>
      </c>
      <c r="G473" s="178" t="s">
        <v>3639</v>
      </c>
      <c r="H473" s="213" t="s">
        <v>3639</v>
      </c>
      <c r="I473" s="213" t="s">
        <v>3639</v>
      </c>
      <c r="J473" s="201">
        <f>COUNTIFS('TURMAS 2015.2'!U:U,A473)</f>
        <v>2</v>
      </c>
      <c r="K473" s="201">
        <f>SUMIFS('TURMAS 2015.2'!J:J,'TURMAS 2015.2'!U:U,A473)</f>
        <v>8</v>
      </c>
      <c r="L473" s="201">
        <f>COUNTIF('TURMAS 2015.2'!X:X,A473)</f>
        <v>0</v>
      </c>
      <c r="M473" s="201">
        <f>SUMIFS('TURMAS 2015.2'!K:K,'TURMAS 2015.2'!X:X,A473)</f>
        <v>0</v>
      </c>
      <c r="N473" s="201">
        <f t="shared" si="7"/>
        <v>8</v>
      </c>
      <c r="O473" s="214"/>
      <c r="P473" s="152" t="s">
        <v>4198</v>
      </c>
      <c r="Q473" s="152">
        <v>0.5</v>
      </c>
      <c r="R473" s="152">
        <v>0.5</v>
      </c>
      <c r="S473" s="152">
        <v>464</v>
      </c>
    </row>
    <row r="474" spans="1:19" s="52" customFormat="1" ht="16.5" customHeight="1">
      <c r="A474" s="211">
        <v>465</v>
      </c>
      <c r="B474" s="212" t="s">
        <v>4199</v>
      </c>
      <c r="C474" s="211">
        <v>1676329</v>
      </c>
      <c r="D474" s="212" t="s">
        <v>3610</v>
      </c>
      <c r="E474" s="152" t="s">
        <v>3611</v>
      </c>
      <c r="F474" s="152" t="s">
        <v>3624</v>
      </c>
      <c r="G474" s="178" t="s">
        <v>3639</v>
      </c>
      <c r="H474" s="213" t="s">
        <v>3639</v>
      </c>
      <c r="I474" s="213" t="s">
        <v>3639</v>
      </c>
      <c r="J474" s="201">
        <f>COUNTIFS('TURMAS 2015.2'!U:U,A474)</f>
        <v>1</v>
      </c>
      <c r="K474" s="201">
        <f>SUMIFS('TURMAS 2015.2'!J:J,'TURMAS 2015.2'!U:U,A474)</f>
        <v>4</v>
      </c>
      <c r="L474" s="201">
        <f>COUNTIF('TURMAS 2015.2'!X:X,A474)</f>
        <v>1</v>
      </c>
      <c r="M474" s="201">
        <f>SUMIFS('TURMAS 2015.2'!K:K,'TURMAS 2015.2'!X:X,A474)</f>
        <v>0</v>
      </c>
      <c r="N474" s="201">
        <f t="shared" si="7"/>
        <v>4</v>
      </c>
      <c r="O474" s="214"/>
      <c r="P474" s="152" t="s">
        <v>4200</v>
      </c>
      <c r="Q474" s="152">
        <v>0.5</v>
      </c>
      <c r="R474" s="152">
        <v>0.5</v>
      </c>
      <c r="S474" s="152">
        <v>465</v>
      </c>
    </row>
    <row r="475" spans="1:19" s="52" customFormat="1" ht="16.5" customHeight="1">
      <c r="A475" s="211">
        <v>466</v>
      </c>
      <c r="B475" s="212" t="s">
        <v>4201</v>
      </c>
      <c r="C475" s="211">
        <v>1676338</v>
      </c>
      <c r="D475" s="212" t="s">
        <v>3647</v>
      </c>
      <c r="E475" s="152" t="s">
        <v>3643</v>
      </c>
      <c r="F475" s="152" t="s">
        <v>3624</v>
      </c>
      <c r="G475" s="178" t="s">
        <v>3639</v>
      </c>
      <c r="H475" s="213" t="s">
        <v>3639</v>
      </c>
      <c r="I475" s="213" t="s">
        <v>3639</v>
      </c>
      <c r="J475" s="201">
        <f>COUNTIFS('TURMAS 2015.2'!U:U,A475)</f>
        <v>6</v>
      </c>
      <c r="K475" s="201">
        <f>SUMIFS('TURMAS 2015.2'!J:J,'TURMAS 2015.2'!U:U,A475)</f>
        <v>6</v>
      </c>
      <c r="L475" s="201">
        <f>COUNTIF('TURMAS 2015.2'!X:X,A475)</f>
        <v>4</v>
      </c>
      <c r="M475" s="201">
        <f>SUMIFS('TURMAS 2015.2'!K:K,'TURMAS 2015.2'!X:X,A475)</f>
        <v>8</v>
      </c>
      <c r="N475" s="201">
        <f t="shared" si="7"/>
        <v>14</v>
      </c>
      <c r="O475" s="214"/>
      <c r="P475" s="152">
        <v>0</v>
      </c>
      <c r="Q475" s="152">
        <v>0</v>
      </c>
      <c r="R475" s="152">
        <v>1</v>
      </c>
      <c r="S475" s="152">
        <v>466</v>
      </c>
    </row>
    <row r="476" spans="1:19" s="52" customFormat="1" ht="16.5" customHeight="1">
      <c r="A476" s="211">
        <v>467</v>
      </c>
      <c r="B476" s="212" t="s">
        <v>4202</v>
      </c>
      <c r="C476" s="211">
        <v>1893240</v>
      </c>
      <c r="D476" s="212" t="s">
        <v>3635</v>
      </c>
      <c r="E476" s="152" t="s">
        <v>3611</v>
      </c>
      <c r="F476" s="152" t="s">
        <v>3624</v>
      </c>
      <c r="G476" s="178" t="s">
        <v>3639</v>
      </c>
      <c r="H476" s="213" t="s">
        <v>3639</v>
      </c>
      <c r="I476" s="213" t="s">
        <v>3639</v>
      </c>
      <c r="J476" s="201">
        <f>COUNTIFS('TURMAS 2015.2'!U:U,A476)</f>
        <v>0</v>
      </c>
      <c r="K476" s="201">
        <f>SUMIFS('TURMAS 2015.2'!J:J,'TURMAS 2015.2'!U:U,A476)</f>
        <v>0</v>
      </c>
      <c r="L476" s="201">
        <f>COUNTIF('TURMAS 2015.2'!X:X,A476)</f>
        <v>0</v>
      </c>
      <c r="M476" s="201">
        <f>SUMIFS('TURMAS 2015.2'!K:K,'TURMAS 2015.2'!X:X,A476)</f>
        <v>0</v>
      </c>
      <c r="N476" s="201">
        <f t="shared" si="7"/>
        <v>0</v>
      </c>
      <c r="O476" s="214"/>
      <c r="P476" s="152">
        <v>0</v>
      </c>
      <c r="Q476" s="152">
        <v>0</v>
      </c>
      <c r="R476" s="152">
        <v>1</v>
      </c>
      <c r="S476" s="152">
        <v>467</v>
      </c>
    </row>
    <row r="477" spans="1:19" s="52" customFormat="1" ht="16.5" customHeight="1">
      <c r="A477" s="211">
        <v>468</v>
      </c>
      <c r="B477" s="212" t="s">
        <v>4203</v>
      </c>
      <c r="C477" s="211">
        <v>2133322</v>
      </c>
      <c r="D477" s="212" t="s">
        <v>3735</v>
      </c>
      <c r="E477" s="152" t="s">
        <v>3618</v>
      </c>
      <c r="F477" s="152" t="s">
        <v>3624</v>
      </c>
      <c r="G477" s="178" t="s">
        <v>3639</v>
      </c>
      <c r="H477" s="213" t="s">
        <v>3639</v>
      </c>
      <c r="I477" s="213" t="s">
        <v>3639</v>
      </c>
      <c r="J477" s="201">
        <f>COUNTIFS('TURMAS 2015.2'!U:U,A477)</f>
        <v>0</v>
      </c>
      <c r="K477" s="201">
        <f>SUMIFS('TURMAS 2015.2'!J:J,'TURMAS 2015.2'!U:U,A477)</f>
        <v>0</v>
      </c>
      <c r="L477" s="201">
        <f>COUNTIF('TURMAS 2015.2'!X:X,A477)</f>
        <v>0</v>
      </c>
      <c r="M477" s="201">
        <f>SUMIFS('TURMAS 2015.2'!K:K,'TURMAS 2015.2'!X:X,A477)</f>
        <v>0</v>
      </c>
      <c r="N477" s="201">
        <f t="shared" si="7"/>
        <v>0</v>
      </c>
      <c r="O477" s="214"/>
      <c r="P477" s="152">
        <v>0</v>
      </c>
      <c r="Q477" s="152">
        <v>0</v>
      </c>
      <c r="R477" s="152">
        <v>1</v>
      </c>
      <c r="S477" s="152">
        <v>468</v>
      </c>
    </row>
    <row r="478" spans="1:19" s="52" customFormat="1" ht="16.5" customHeight="1">
      <c r="A478" s="211">
        <v>469</v>
      </c>
      <c r="B478" s="212" t="s">
        <v>4204</v>
      </c>
      <c r="C478" s="211">
        <v>1798480</v>
      </c>
      <c r="D478" s="212" t="s">
        <v>3635</v>
      </c>
      <c r="E478" s="152" t="s">
        <v>3611</v>
      </c>
      <c r="F478" s="152" t="s">
        <v>3624</v>
      </c>
      <c r="G478" s="178" t="s">
        <v>3639</v>
      </c>
      <c r="H478" s="213" t="s">
        <v>3639</v>
      </c>
      <c r="I478" s="213" t="s">
        <v>3639</v>
      </c>
      <c r="J478" s="201">
        <f>COUNTIFS('TURMAS 2015.2'!U:U,A478)</f>
        <v>0</v>
      </c>
      <c r="K478" s="201">
        <f>SUMIFS('TURMAS 2015.2'!J:J,'TURMAS 2015.2'!U:U,A478)</f>
        <v>0</v>
      </c>
      <c r="L478" s="201">
        <f>COUNTIF('TURMAS 2015.2'!X:X,A478)</f>
        <v>0</v>
      </c>
      <c r="M478" s="201">
        <f>SUMIFS('TURMAS 2015.2'!K:K,'TURMAS 2015.2'!X:X,A478)</f>
        <v>0</v>
      </c>
      <c r="N478" s="201">
        <f t="shared" si="7"/>
        <v>0</v>
      </c>
      <c r="O478" s="214"/>
      <c r="P478" s="152">
        <v>0</v>
      </c>
      <c r="Q478" s="152">
        <v>0</v>
      </c>
      <c r="R478" s="152">
        <v>1</v>
      </c>
      <c r="S478" s="152">
        <v>469</v>
      </c>
    </row>
    <row r="479" spans="1:19" s="52" customFormat="1" ht="16.5" customHeight="1">
      <c r="A479" s="211">
        <v>470</v>
      </c>
      <c r="B479" s="212" t="s">
        <v>4205</v>
      </c>
      <c r="C479" s="211">
        <v>1544369</v>
      </c>
      <c r="D479" s="212" t="s">
        <v>3635</v>
      </c>
      <c r="E479" s="152" t="s">
        <v>3643</v>
      </c>
      <c r="F479" s="152" t="s">
        <v>3624</v>
      </c>
      <c r="G479" s="178" t="s">
        <v>3639</v>
      </c>
      <c r="H479" s="213" t="s">
        <v>3639</v>
      </c>
      <c r="I479" s="213" t="s">
        <v>3639</v>
      </c>
      <c r="J479" s="201">
        <f>COUNTIFS('TURMAS 2015.2'!U:U,A479)</f>
        <v>2</v>
      </c>
      <c r="K479" s="201">
        <f>SUMIFS('TURMAS 2015.2'!J:J,'TURMAS 2015.2'!U:U,A479)</f>
        <v>4</v>
      </c>
      <c r="L479" s="201">
        <f>COUNTIF('TURMAS 2015.2'!X:X,A479)</f>
        <v>4</v>
      </c>
      <c r="M479" s="201">
        <f>SUMIFS('TURMAS 2015.2'!K:K,'TURMAS 2015.2'!X:X,A479)</f>
        <v>8</v>
      </c>
      <c r="N479" s="201">
        <f t="shared" si="7"/>
        <v>12</v>
      </c>
      <c r="O479" s="214"/>
      <c r="P479" s="152">
        <v>0</v>
      </c>
      <c r="Q479" s="152">
        <v>0</v>
      </c>
      <c r="R479" s="152">
        <v>1</v>
      </c>
      <c r="S479" s="152">
        <v>470</v>
      </c>
    </row>
    <row r="480" spans="1:19" s="52" customFormat="1" ht="16.5" customHeight="1">
      <c r="A480" s="211">
        <v>471</v>
      </c>
      <c r="B480" s="212" t="s">
        <v>4206</v>
      </c>
      <c r="C480" s="211">
        <v>2090962</v>
      </c>
      <c r="D480" s="212" t="s">
        <v>3653</v>
      </c>
      <c r="E480" s="152" t="s">
        <v>3618</v>
      </c>
      <c r="F480" s="152" t="s">
        <v>3624</v>
      </c>
      <c r="G480" s="178" t="s">
        <v>3639</v>
      </c>
      <c r="H480" s="213" t="s">
        <v>3639</v>
      </c>
      <c r="I480" s="213" t="s">
        <v>3639</v>
      </c>
      <c r="J480" s="201">
        <f>COUNTIFS('TURMAS 2015.2'!U:U,A480)</f>
        <v>2</v>
      </c>
      <c r="K480" s="201">
        <f>SUMIFS('TURMAS 2015.2'!J:J,'TURMAS 2015.2'!U:U,A480)</f>
        <v>7</v>
      </c>
      <c r="L480" s="201">
        <f>COUNTIF('TURMAS 2015.2'!X:X,A480)</f>
        <v>1</v>
      </c>
      <c r="M480" s="201">
        <f>SUMIFS('TURMAS 2015.2'!K:K,'TURMAS 2015.2'!X:X,A480)</f>
        <v>1</v>
      </c>
      <c r="N480" s="201">
        <f t="shared" si="7"/>
        <v>8</v>
      </c>
      <c r="O480" s="214"/>
      <c r="P480" s="152">
        <v>0</v>
      </c>
      <c r="Q480" s="152">
        <v>0</v>
      </c>
      <c r="R480" s="152">
        <v>1</v>
      </c>
      <c r="S480" s="152">
        <v>471</v>
      </c>
    </row>
    <row r="481" spans="1:19" s="52" customFormat="1" ht="16.5" customHeight="1">
      <c r="A481" s="211">
        <v>472</v>
      </c>
      <c r="B481" s="212" t="s">
        <v>4207</v>
      </c>
      <c r="C481" s="211">
        <v>1600879</v>
      </c>
      <c r="D481" s="212" t="s">
        <v>3647</v>
      </c>
      <c r="E481" s="152" t="s">
        <v>3643</v>
      </c>
      <c r="F481" s="152" t="s">
        <v>3624</v>
      </c>
      <c r="G481" s="178" t="s">
        <v>3639</v>
      </c>
      <c r="H481" s="213" t="s">
        <v>3639</v>
      </c>
      <c r="I481" s="213" t="s">
        <v>3639</v>
      </c>
      <c r="J481" s="201">
        <f>COUNTIFS('TURMAS 2015.2'!U:U,A481)</f>
        <v>6</v>
      </c>
      <c r="K481" s="201">
        <f>SUMIFS('TURMAS 2015.2'!J:J,'TURMAS 2015.2'!U:U,A481)</f>
        <v>6</v>
      </c>
      <c r="L481" s="201">
        <f>COUNTIF('TURMAS 2015.2'!X:X,A481)</f>
        <v>3</v>
      </c>
      <c r="M481" s="201">
        <f>SUMIFS('TURMAS 2015.2'!K:K,'TURMAS 2015.2'!X:X,A481)</f>
        <v>6</v>
      </c>
      <c r="N481" s="201">
        <f t="shared" si="7"/>
        <v>12</v>
      </c>
      <c r="O481" s="214"/>
      <c r="P481" s="152">
        <v>0</v>
      </c>
      <c r="Q481" s="152">
        <v>0</v>
      </c>
      <c r="R481" s="152">
        <v>1</v>
      </c>
      <c r="S481" s="152">
        <v>472</v>
      </c>
    </row>
    <row r="482" spans="1:19" s="52" customFormat="1" ht="16.5" customHeight="1">
      <c r="A482" s="211">
        <v>473</v>
      </c>
      <c r="B482" s="212" t="s">
        <v>4208</v>
      </c>
      <c r="C482" s="211">
        <v>1761015</v>
      </c>
      <c r="D482" s="212" t="s">
        <v>3610</v>
      </c>
      <c r="E482" s="152" t="s">
        <v>3618</v>
      </c>
      <c r="F482" s="152" t="s">
        <v>3624</v>
      </c>
      <c r="G482" s="178" t="s">
        <v>3639</v>
      </c>
      <c r="H482" s="213" t="s">
        <v>3639</v>
      </c>
      <c r="I482" s="213" t="s">
        <v>3639</v>
      </c>
      <c r="J482" s="201">
        <f>COUNTIFS('TURMAS 2015.2'!U:U,A482)</f>
        <v>2</v>
      </c>
      <c r="K482" s="201">
        <f>SUMIFS('TURMAS 2015.2'!J:J,'TURMAS 2015.2'!U:U,A482)</f>
        <v>6</v>
      </c>
      <c r="L482" s="201">
        <f>COUNTIF('TURMAS 2015.2'!X:X,A482)</f>
        <v>2</v>
      </c>
      <c r="M482" s="201">
        <f>SUMIFS('TURMAS 2015.2'!K:K,'TURMAS 2015.2'!X:X,A482)</f>
        <v>2</v>
      </c>
      <c r="N482" s="201">
        <f t="shared" si="7"/>
        <v>8</v>
      </c>
      <c r="O482" s="214"/>
      <c r="P482" s="152" t="s">
        <v>4209</v>
      </c>
      <c r="Q482" s="152">
        <v>0.5</v>
      </c>
      <c r="R482" s="152">
        <v>0.5</v>
      </c>
      <c r="S482" s="152">
        <v>473</v>
      </c>
    </row>
    <row r="483" spans="1:19" s="52" customFormat="1" ht="16.5" customHeight="1">
      <c r="A483" s="211">
        <v>474</v>
      </c>
      <c r="B483" s="212" t="s">
        <v>4210</v>
      </c>
      <c r="C483" s="211">
        <v>2605478</v>
      </c>
      <c r="D483" s="212" t="s">
        <v>3610</v>
      </c>
      <c r="E483" s="152" t="s">
        <v>3643</v>
      </c>
      <c r="F483" s="152" t="s">
        <v>3624</v>
      </c>
      <c r="G483" s="178" t="s">
        <v>3639</v>
      </c>
      <c r="H483" s="213" t="s">
        <v>3639</v>
      </c>
      <c r="I483" s="213" t="s">
        <v>3639</v>
      </c>
      <c r="J483" s="201">
        <f>COUNTIFS('TURMAS 2015.2'!U:U,A483)</f>
        <v>0</v>
      </c>
      <c r="K483" s="201">
        <f>SUMIFS('TURMAS 2015.2'!J:J,'TURMAS 2015.2'!U:U,A483)</f>
        <v>0</v>
      </c>
      <c r="L483" s="201">
        <f>COUNTIF('TURMAS 2015.2'!X:X,A483)</f>
        <v>0</v>
      </c>
      <c r="M483" s="201">
        <f>SUMIFS('TURMAS 2015.2'!K:K,'TURMAS 2015.2'!X:X,A483)</f>
        <v>0</v>
      </c>
      <c r="N483" s="201">
        <f t="shared" si="7"/>
        <v>0</v>
      </c>
      <c r="O483" s="214"/>
      <c r="P483" s="152">
        <v>0</v>
      </c>
      <c r="Q483" s="152">
        <v>0</v>
      </c>
      <c r="R483" s="152">
        <v>1</v>
      </c>
      <c r="S483" s="152">
        <v>474</v>
      </c>
    </row>
    <row r="484" spans="1:19" s="52" customFormat="1" ht="16.5" customHeight="1">
      <c r="A484" s="211">
        <v>475</v>
      </c>
      <c r="B484" s="212" t="s">
        <v>4211</v>
      </c>
      <c r="C484" s="211">
        <v>1838194</v>
      </c>
      <c r="D484" s="212" t="s">
        <v>3635</v>
      </c>
      <c r="E484" s="152" t="s">
        <v>3643</v>
      </c>
      <c r="F484" s="152" t="s">
        <v>3624</v>
      </c>
      <c r="G484" s="178" t="s">
        <v>3639</v>
      </c>
      <c r="H484" s="213" t="s">
        <v>3639</v>
      </c>
      <c r="I484" s="213" t="s">
        <v>3639</v>
      </c>
      <c r="J484" s="201">
        <f>COUNTIFS('TURMAS 2015.2'!U:U,A484)</f>
        <v>0</v>
      </c>
      <c r="K484" s="201">
        <f>SUMIFS('TURMAS 2015.2'!J:J,'TURMAS 2015.2'!U:U,A484)</f>
        <v>0</v>
      </c>
      <c r="L484" s="201">
        <f>COUNTIF('TURMAS 2015.2'!X:X,A484)</f>
        <v>4</v>
      </c>
      <c r="M484" s="201">
        <f>SUMIFS('TURMAS 2015.2'!K:K,'TURMAS 2015.2'!X:X,A484)</f>
        <v>12</v>
      </c>
      <c r="N484" s="201">
        <f t="shared" si="7"/>
        <v>12</v>
      </c>
      <c r="O484" s="214"/>
      <c r="P484" s="152">
        <v>0</v>
      </c>
      <c r="Q484" s="152">
        <v>0</v>
      </c>
      <c r="R484" s="152">
        <v>1</v>
      </c>
      <c r="S484" s="152">
        <v>475</v>
      </c>
    </row>
    <row r="485" spans="1:19" s="52" customFormat="1" ht="16.5" customHeight="1">
      <c r="A485" s="211">
        <v>476</v>
      </c>
      <c r="B485" s="212" t="s">
        <v>4212</v>
      </c>
      <c r="C485" s="211">
        <v>1671298</v>
      </c>
      <c r="D485" s="212" t="s">
        <v>3647</v>
      </c>
      <c r="E485" s="152" t="s">
        <v>3618</v>
      </c>
      <c r="F485" s="152" t="s">
        <v>3624</v>
      </c>
      <c r="G485" s="178" t="s">
        <v>3639</v>
      </c>
      <c r="H485" s="213" t="s">
        <v>3639</v>
      </c>
      <c r="I485" s="213" t="s">
        <v>3639</v>
      </c>
      <c r="J485" s="201">
        <f>COUNTIFS('TURMAS 2015.2'!U:U,A485)</f>
        <v>1</v>
      </c>
      <c r="K485" s="201">
        <f>SUMIFS('TURMAS 2015.2'!J:J,'TURMAS 2015.2'!U:U,A485)</f>
        <v>4</v>
      </c>
      <c r="L485" s="201">
        <f>COUNTIF('TURMAS 2015.2'!X:X,A485)</f>
        <v>1</v>
      </c>
      <c r="M485" s="201">
        <f>SUMIFS('TURMAS 2015.2'!K:K,'TURMAS 2015.2'!X:X,A485)</f>
        <v>0</v>
      </c>
      <c r="N485" s="201">
        <f t="shared" si="7"/>
        <v>4</v>
      </c>
      <c r="O485" s="214"/>
      <c r="P485" s="152">
        <v>0</v>
      </c>
      <c r="Q485" s="152">
        <v>0</v>
      </c>
      <c r="R485" s="152">
        <v>1</v>
      </c>
      <c r="S485" s="152">
        <v>476</v>
      </c>
    </row>
    <row r="486" spans="1:19" s="52" customFormat="1" ht="16.5" customHeight="1">
      <c r="A486" s="211">
        <v>477</v>
      </c>
      <c r="B486" s="215" t="s">
        <v>4213</v>
      </c>
      <c r="C486" s="211">
        <v>900000004</v>
      </c>
      <c r="D486" s="211"/>
      <c r="E486" s="152" t="s">
        <v>3618</v>
      </c>
      <c r="F486" s="152" t="s">
        <v>3624</v>
      </c>
      <c r="G486" s="178"/>
      <c r="H486" s="213"/>
      <c r="I486" s="213"/>
      <c r="J486" s="201">
        <f>COUNTIFS('TURMAS 2015.2'!U:U,A486)</f>
        <v>0</v>
      </c>
      <c r="K486" s="201">
        <f>SUMIFS('TURMAS 2015.2'!J:J,'TURMAS 2015.2'!U:U,A486)</f>
        <v>0</v>
      </c>
      <c r="L486" s="201">
        <f>COUNTIF('TURMAS 2015.2'!X:X,A486)</f>
        <v>0</v>
      </c>
      <c r="M486" s="201">
        <f>SUMIFS('TURMAS 2015.2'!K:K,'TURMAS 2015.2'!X:X,A486)</f>
        <v>0</v>
      </c>
      <c r="N486" s="201">
        <f t="shared" si="7"/>
        <v>0</v>
      </c>
      <c r="O486" s="214"/>
      <c r="P486" s="152"/>
      <c r="Q486" s="152"/>
      <c r="R486" s="152"/>
      <c r="S486" s="152">
        <v>477</v>
      </c>
    </row>
    <row r="487" spans="1:19" s="52" customFormat="1" ht="16.5" customHeight="1">
      <c r="A487" s="211">
        <v>478</v>
      </c>
      <c r="B487" s="212" t="s">
        <v>4214</v>
      </c>
      <c r="C487" s="211">
        <v>1544383</v>
      </c>
      <c r="D487" s="212" t="s">
        <v>3647</v>
      </c>
      <c r="E487" s="152" t="s">
        <v>3643</v>
      </c>
      <c r="F487" s="152" t="s">
        <v>3624</v>
      </c>
      <c r="G487" s="178" t="s">
        <v>3639</v>
      </c>
      <c r="H487" s="213" t="s">
        <v>3639</v>
      </c>
      <c r="I487" s="213" t="s">
        <v>3639</v>
      </c>
      <c r="J487" s="201">
        <f>COUNTIFS('TURMAS 2015.2'!U:U,A487)</f>
        <v>3</v>
      </c>
      <c r="K487" s="201">
        <f>SUMIFS('TURMAS 2015.2'!J:J,'TURMAS 2015.2'!U:U,A487)</f>
        <v>10</v>
      </c>
      <c r="L487" s="201">
        <f>COUNTIF('TURMAS 2015.2'!X:X,A487)</f>
        <v>0</v>
      </c>
      <c r="M487" s="201">
        <f>SUMIFS('TURMAS 2015.2'!K:K,'TURMAS 2015.2'!X:X,A487)</f>
        <v>0</v>
      </c>
      <c r="N487" s="201">
        <f t="shared" si="7"/>
        <v>10</v>
      </c>
      <c r="O487" s="214"/>
      <c r="P487" s="152">
        <v>0</v>
      </c>
      <c r="Q487" s="152">
        <v>0</v>
      </c>
      <c r="R487" s="152">
        <v>1</v>
      </c>
      <c r="S487" s="152">
        <v>478</v>
      </c>
    </row>
    <row r="488" spans="1:19" s="52" customFormat="1" ht="16.5" customHeight="1">
      <c r="A488" s="211">
        <v>479</v>
      </c>
      <c r="B488" s="212" t="s">
        <v>4215</v>
      </c>
      <c r="C488" s="211">
        <v>1977178</v>
      </c>
      <c r="D488" s="212" t="s">
        <v>3635</v>
      </c>
      <c r="E488" s="152" t="s">
        <v>3618</v>
      </c>
      <c r="F488" s="152" t="s">
        <v>3624</v>
      </c>
      <c r="G488" s="178" t="s">
        <v>3639</v>
      </c>
      <c r="H488" s="213" t="s">
        <v>3639</v>
      </c>
      <c r="I488" s="213" t="s">
        <v>3639</v>
      </c>
      <c r="J488" s="201">
        <f>COUNTIFS('TURMAS 2015.2'!U:U,A488)</f>
        <v>2</v>
      </c>
      <c r="K488" s="201">
        <f>SUMIFS('TURMAS 2015.2'!J:J,'TURMAS 2015.2'!U:U,A488)</f>
        <v>6</v>
      </c>
      <c r="L488" s="201">
        <f>COUNTIF('TURMAS 2015.2'!X:X,A488)</f>
        <v>2</v>
      </c>
      <c r="M488" s="201">
        <f>SUMIFS('TURMAS 2015.2'!K:K,'TURMAS 2015.2'!X:X,A488)</f>
        <v>2</v>
      </c>
      <c r="N488" s="201">
        <f t="shared" si="7"/>
        <v>8</v>
      </c>
      <c r="O488" s="214"/>
      <c r="P488" s="152">
        <v>0</v>
      </c>
      <c r="Q488" s="152">
        <v>0</v>
      </c>
      <c r="R488" s="152">
        <v>1</v>
      </c>
      <c r="S488" s="152">
        <v>479</v>
      </c>
    </row>
    <row r="489" spans="1:19" s="52" customFormat="1" ht="16.5" customHeight="1">
      <c r="A489" s="211">
        <v>480</v>
      </c>
      <c r="B489" s="212" t="s">
        <v>4216</v>
      </c>
      <c r="C489" s="211">
        <v>1850088</v>
      </c>
      <c r="D489" s="212" t="s">
        <v>3642</v>
      </c>
      <c r="E489" s="152" t="s">
        <v>3618</v>
      </c>
      <c r="F489" s="152" t="s">
        <v>3624</v>
      </c>
      <c r="G489" s="178" t="s">
        <v>3639</v>
      </c>
      <c r="H489" s="213" t="s">
        <v>3639</v>
      </c>
      <c r="I489" s="213" t="s">
        <v>3639</v>
      </c>
      <c r="J489" s="201">
        <f>COUNTIFS('TURMAS 2015.2'!U:U,A489)</f>
        <v>0</v>
      </c>
      <c r="K489" s="201">
        <f>SUMIFS('TURMAS 2015.2'!J:J,'TURMAS 2015.2'!U:U,A489)</f>
        <v>0</v>
      </c>
      <c r="L489" s="201">
        <f>COUNTIF('TURMAS 2015.2'!X:X,A489)</f>
        <v>0</v>
      </c>
      <c r="M489" s="201">
        <f>SUMIFS('TURMAS 2015.2'!K:K,'TURMAS 2015.2'!X:X,A489)</f>
        <v>0</v>
      </c>
      <c r="N489" s="201">
        <f t="shared" si="7"/>
        <v>0</v>
      </c>
      <c r="O489" s="214"/>
      <c r="P489" s="152">
        <v>0</v>
      </c>
      <c r="Q489" s="152">
        <v>0</v>
      </c>
      <c r="R489" s="152">
        <v>1</v>
      </c>
      <c r="S489" s="152">
        <v>480</v>
      </c>
    </row>
    <row r="490" spans="1:19" s="52" customFormat="1" ht="16.5" customHeight="1">
      <c r="A490" s="211">
        <v>481</v>
      </c>
      <c r="B490" s="212" t="s">
        <v>4217</v>
      </c>
      <c r="C490" s="211">
        <v>1676265</v>
      </c>
      <c r="D490" s="212" t="s">
        <v>3610</v>
      </c>
      <c r="E490" s="152" t="s">
        <v>3643</v>
      </c>
      <c r="F490" s="152" t="s">
        <v>3624</v>
      </c>
      <c r="G490" s="178" t="s">
        <v>3639</v>
      </c>
      <c r="H490" s="213" t="s">
        <v>3639</v>
      </c>
      <c r="I490" s="213" t="s">
        <v>3639</v>
      </c>
      <c r="J490" s="201">
        <f>COUNTIFS('TURMAS 2015.2'!U:U,A490)</f>
        <v>2</v>
      </c>
      <c r="K490" s="201">
        <f>SUMIFS('TURMAS 2015.2'!J:J,'TURMAS 2015.2'!U:U,A490)</f>
        <v>6</v>
      </c>
      <c r="L490" s="201">
        <f>COUNTIF('TURMAS 2015.2'!X:X,A490)</f>
        <v>0</v>
      </c>
      <c r="M490" s="201">
        <f>SUMIFS('TURMAS 2015.2'!K:K,'TURMAS 2015.2'!X:X,A490)</f>
        <v>0</v>
      </c>
      <c r="N490" s="201">
        <f t="shared" si="7"/>
        <v>6</v>
      </c>
      <c r="O490" s="214"/>
      <c r="P490" s="152">
        <v>0</v>
      </c>
      <c r="Q490" s="152">
        <v>0</v>
      </c>
      <c r="R490" s="152">
        <v>1</v>
      </c>
      <c r="S490" s="152">
        <v>481</v>
      </c>
    </row>
    <row r="491" spans="1:19" s="52" customFormat="1" ht="16.5" customHeight="1">
      <c r="A491" s="211">
        <v>482</v>
      </c>
      <c r="B491" s="212" t="s">
        <v>4218</v>
      </c>
      <c r="C491" s="211">
        <v>1963811</v>
      </c>
      <c r="D491" s="212" t="s">
        <v>3617</v>
      </c>
      <c r="E491" s="152" t="s">
        <v>3618</v>
      </c>
      <c r="F491" s="152" t="s">
        <v>3624</v>
      </c>
      <c r="G491" s="178" t="s">
        <v>3639</v>
      </c>
      <c r="H491" s="213" t="s">
        <v>3639</v>
      </c>
      <c r="I491" s="213" t="s">
        <v>3639</v>
      </c>
      <c r="J491" s="201">
        <f>COUNTIFS('TURMAS 2015.2'!U:U,A491)</f>
        <v>0</v>
      </c>
      <c r="K491" s="201">
        <f>SUMIFS('TURMAS 2015.2'!J:J,'TURMAS 2015.2'!U:U,A491)</f>
        <v>0</v>
      </c>
      <c r="L491" s="201">
        <f>COUNTIF('TURMAS 2015.2'!X:X,A491)</f>
        <v>0</v>
      </c>
      <c r="M491" s="201">
        <f>SUMIFS('TURMAS 2015.2'!K:K,'TURMAS 2015.2'!X:X,A491)</f>
        <v>0</v>
      </c>
      <c r="N491" s="201">
        <f t="shared" si="7"/>
        <v>0</v>
      </c>
      <c r="O491" s="214"/>
      <c r="P491" s="152">
        <v>0</v>
      </c>
      <c r="Q491" s="152">
        <v>0</v>
      </c>
      <c r="R491" s="152">
        <v>1</v>
      </c>
      <c r="S491" s="152">
        <v>482</v>
      </c>
    </row>
    <row r="492" spans="1:19" s="52" customFormat="1" ht="16.5" customHeight="1">
      <c r="A492" s="211">
        <v>483</v>
      </c>
      <c r="B492" s="212" t="s">
        <v>4219</v>
      </c>
      <c r="C492" s="211">
        <v>2162610</v>
      </c>
      <c r="D492" s="212" t="s">
        <v>3653</v>
      </c>
      <c r="E492" s="152" t="s">
        <v>3618</v>
      </c>
      <c r="F492" s="152" t="s">
        <v>3624</v>
      </c>
      <c r="G492" s="178" t="s">
        <v>3639</v>
      </c>
      <c r="H492" s="213" t="s">
        <v>3639</v>
      </c>
      <c r="I492" s="213" t="s">
        <v>3639</v>
      </c>
      <c r="J492" s="201">
        <f>COUNTIFS('TURMAS 2015.2'!U:U,A492)</f>
        <v>2</v>
      </c>
      <c r="K492" s="201">
        <f>SUMIFS('TURMAS 2015.2'!J:J,'TURMAS 2015.2'!U:U,A492)</f>
        <v>8</v>
      </c>
      <c r="L492" s="201">
        <f>COUNTIF('TURMAS 2015.2'!X:X,A492)</f>
        <v>0</v>
      </c>
      <c r="M492" s="201">
        <f>SUMIFS('TURMAS 2015.2'!K:K,'TURMAS 2015.2'!X:X,A492)</f>
        <v>0</v>
      </c>
      <c r="N492" s="201">
        <f t="shared" si="7"/>
        <v>8</v>
      </c>
      <c r="O492" s="214"/>
      <c r="P492" s="152">
        <v>0</v>
      </c>
      <c r="Q492" s="152">
        <v>0</v>
      </c>
      <c r="R492" s="152">
        <v>1</v>
      </c>
      <c r="S492" s="152">
        <v>483</v>
      </c>
    </row>
    <row r="493" spans="1:19" s="52" customFormat="1" ht="16.5" customHeight="1">
      <c r="A493" s="211">
        <v>484</v>
      </c>
      <c r="B493" s="212" t="s">
        <v>4220</v>
      </c>
      <c r="C493" s="211">
        <v>1545354</v>
      </c>
      <c r="D493" s="212" t="s">
        <v>3647</v>
      </c>
      <c r="E493" s="152" t="s">
        <v>3618</v>
      </c>
      <c r="F493" s="152" t="s">
        <v>3624</v>
      </c>
      <c r="G493" s="178" t="s">
        <v>3639</v>
      </c>
      <c r="H493" s="213" t="s">
        <v>3639</v>
      </c>
      <c r="I493" s="213" t="s">
        <v>3639</v>
      </c>
      <c r="J493" s="201">
        <f>COUNTIFS('TURMAS 2015.2'!U:U,A493)</f>
        <v>2</v>
      </c>
      <c r="K493" s="201">
        <f>SUMIFS('TURMAS 2015.2'!J:J,'TURMAS 2015.2'!U:U,A493)</f>
        <v>6</v>
      </c>
      <c r="L493" s="201">
        <f>COUNTIF('TURMAS 2015.2'!X:X,A493)</f>
        <v>2</v>
      </c>
      <c r="M493" s="201">
        <f>SUMIFS('TURMAS 2015.2'!K:K,'TURMAS 2015.2'!X:X,A493)</f>
        <v>3</v>
      </c>
      <c r="N493" s="201">
        <f t="shared" si="7"/>
        <v>9</v>
      </c>
      <c r="O493" s="214"/>
      <c r="P493" s="152">
        <v>0</v>
      </c>
      <c r="Q493" s="152">
        <v>0</v>
      </c>
      <c r="R493" s="152">
        <v>1</v>
      </c>
      <c r="S493" s="152">
        <v>484</v>
      </c>
    </row>
    <row r="494" spans="1:19" s="52" customFormat="1" ht="16.5" customHeight="1">
      <c r="A494" s="211">
        <v>485</v>
      </c>
      <c r="B494" s="212" t="s">
        <v>4221</v>
      </c>
      <c r="C494" s="211">
        <v>2563994</v>
      </c>
      <c r="D494" s="212" t="s">
        <v>3642</v>
      </c>
      <c r="E494" s="152" t="s">
        <v>3618</v>
      </c>
      <c r="F494" s="152" t="s">
        <v>3624</v>
      </c>
      <c r="G494" s="178" t="s">
        <v>3639</v>
      </c>
      <c r="H494" s="213" t="s">
        <v>3639</v>
      </c>
      <c r="I494" s="213" t="s">
        <v>3639</v>
      </c>
      <c r="J494" s="201">
        <f>COUNTIFS('TURMAS 2015.2'!U:U,A494)</f>
        <v>1</v>
      </c>
      <c r="K494" s="201">
        <f>SUMIFS('TURMAS 2015.2'!J:J,'TURMAS 2015.2'!U:U,A494)</f>
        <v>3</v>
      </c>
      <c r="L494" s="201">
        <f>COUNTIF('TURMAS 2015.2'!X:X,A494)</f>
        <v>2</v>
      </c>
      <c r="M494" s="201">
        <f>SUMIFS('TURMAS 2015.2'!K:K,'TURMAS 2015.2'!X:X,A494)</f>
        <v>3</v>
      </c>
      <c r="N494" s="201">
        <f t="shared" si="7"/>
        <v>6</v>
      </c>
      <c r="O494" s="214"/>
      <c r="P494" s="152">
        <v>0</v>
      </c>
      <c r="Q494" s="152">
        <v>0</v>
      </c>
      <c r="R494" s="152">
        <v>1</v>
      </c>
      <c r="S494" s="152">
        <v>485</v>
      </c>
    </row>
    <row r="495" spans="1:19" s="52" customFormat="1" ht="16.5" customHeight="1">
      <c r="A495" s="211">
        <v>486</v>
      </c>
      <c r="B495" s="212" t="s">
        <v>4222</v>
      </c>
      <c r="C495" s="211">
        <v>1603909</v>
      </c>
      <c r="D495" s="212" t="s">
        <v>3635</v>
      </c>
      <c r="E495" s="152" t="s">
        <v>3618</v>
      </c>
      <c r="F495" s="152" t="s">
        <v>3624</v>
      </c>
      <c r="G495" s="178" t="s">
        <v>3639</v>
      </c>
      <c r="H495" s="213" t="s">
        <v>3639</v>
      </c>
      <c r="I495" s="213" t="s">
        <v>3639</v>
      </c>
      <c r="J495" s="201">
        <f>COUNTIFS('TURMAS 2015.2'!U:U,A495)</f>
        <v>0</v>
      </c>
      <c r="K495" s="201">
        <f>SUMIFS('TURMAS 2015.2'!J:J,'TURMAS 2015.2'!U:U,A495)</f>
        <v>0</v>
      </c>
      <c r="L495" s="201">
        <f>COUNTIF('TURMAS 2015.2'!X:X,A495)</f>
        <v>0</v>
      </c>
      <c r="M495" s="201">
        <f>SUMIFS('TURMAS 2015.2'!K:K,'TURMAS 2015.2'!X:X,A495)</f>
        <v>0</v>
      </c>
      <c r="N495" s="201">
        <f t="shared" si="7"/>
        <v>0</v>
      </c>
      <c r="O495" s="214"/>
      <c r="P495" s="152">
        <v>0</v>
      </c>
      <c r="Q495" s="152">
        <v>0</v>
      </c>
      <c r="R495" s="152">
        <v>1</v>
      </c>
      <c r="S495" s="152">
        <v>486</v>
      </c>
    </row>
    <row r="496" spans="1:19" s="52" customFormat="1" ht="16.5" customHeight="1">
      <c r="A496" s="211">
        <v>487</v>
      </c>
      <c r="B496" s="212" t="s">
        <v>4223</v>
      </c>
      <c r="C496" s="211">
        <v>1765195</v>
      </c>
      <c r="D496" s="212" t="s">
        <v>3635</v>
      </c>
      <c r="E496" s="152" t="s">
        <v>3643</v>
      </c>
      <c r="F496" s="152" t="s">
        <v>3624</v>
      </c>
      <c r="G496" s="178" t="s">
        <v>3639</v>
      </c>
      <c r="H496" s="213" t="s">
        <v>3639</v>
      </c>
      <c r="I496" s="213" t="s">
        <v>3639</v>
      </c>
      <c r="J496" s="201">
        <f>COUNTIFS('TURMAS 2015.2'!U:U,A496)</f>
        <v>2</v>
      </c>
      <c r="K496" s="201">
        <f>SUMIFS('TURMAS 2015.2'!J:J,'TURMAS 2015.2'!U:U,A496)</f>
        <v>8</v>
      </c>
      <c r="L496" s="201">
        <f>COUNTIF('TURMAS 2015.2'!X:X,A496)</f>
        <v>0</v>
      </c>
      <c r="M496" s="201">
        <f>SUMIFS('TURMAS 2015.2'!K:K,'TURMAS 2015.2'!X:X,A496)</f>
        <v>0</v>
      </c>
      <c r="N496" s="201">
        <f t="shared" si="7"/>
        <v>8</v>
      </c>
      <c r="O496" s="214"/>
      <c r="P496" s="152">
        <v>0</v>
      </c>
      <c r="Q496" s="152">
        <v>0</v>
      </c>
      <c r="R496" s="152">
        <v>1</v>
      </c>
      <c r="S496" s="152">
        <v>487</v>
      </c>
    </row>
    <row r="497" spans="1:19" s="52" customFormat="1" ht="16.5" customHeight="1">
      <c r="A497" s="211">
        <v>488</v>
      </c>
      <c r="B497" s="212" t="s">
        <v>4224</v>
      </c>
      <c r="C497" s="211">
        <v>1761107</v>
      </c>
      <c r="D497" s="212" t="s">
        <v>3610</v>
      </c>
      <c r="E497" s="152" t="s">
        <v>3618</v>
      </c>
      <c r="F497" s="152" t="s">
        <v>3624</v>
      </c>
      <c r="G497" s="178" t="s">
        <v>3639</v>
      </c>
      <c r="H497" s="213" t="s">
        <v>3639</v>
      </c>
      <c r="I497" s="213" t="s">
        <v>3639</v>
      </c>
      <c r="J497" s="201">
        <f>COUNTIFS('TURMAS 2015.2'!U:U,A497)</f>
        <v>2</v>
      </c>
      <c r="K497" s="201">
        <f>SUMIFS('TURMAS 2015.2'!J:J,'TURMAS 2015.2'!U:U,A497)</f>
        <v>7</v>
      </c>
      <c r="L497" s="201">
        <f>COUNTIF('TURMAS 2015.2'!X:X,A497)</f>
        <v>6</v>
      </c>
      <c r="M497" s="201">
        <f>SUMIFS('TURMAS 2015.2'!K:K,'TURMAS 2015.2'!X:X,A497)</f>
        <v>8</v>
      </c>
      <c r="N497" s="201">
        <f t="shared" si="7"/>
        <v>15</v>
      </c>
      <c r="O497" s="214"/>
      <c r="P497" s="152" t="s">
        <v>4225</v>
      </c>
      <c r="Q497" s="152">
        <v>0.5</v>
      </c>
      <c r="R497" s="152">
        <v>0.5</v>
      </c>
      <c r="S497" s="152">
        <v>488</v>
      </c>
    </row>
    <row r="498" spans="1:19" s="52" customFormat="1" ht="16.5" customHeight="1">
      <c r="A498" s="211">
        <v>489</v>
      </c>
      <c r="B498" s="212" t="s">
        <v>4226</v>
      </c>
      <c r="C498" s="211">
        <v>1546003</v>
      </c>
      <c r="D498" s="212" t="s">
        <v>3647</v>
      </c>
      <c r="E498" s="152" t="s">
        <v>3618</v>
      </c>
      <c r="F498" s="152" t="s">
        <v>3624</v>
      </c>
      <c r="G498" s="178" t="s">
        <v>3639</v>
      </c>
      <c r="H498" s="213" t="s">
        <v>3639</v>
      </c>
      <c r="I498" s="213" t="s">
        <v>3639</v>
      </c>
      <c r="J498" s="201">
        <f>COUNTIFS('TURMAS 2015.2'!U:U,A498)</f>
        <v>1</v>
      </c>
      <c r="K498" s="201">
        <f>SUMIFS('TURMAS 2015.2'!J:J,'TURMAS 2015.2'!U:U,A498)</f>
        <v>3</v>
      </c>
      <c r="L498" s="201">
        <f>COUNTIF('TURMAS 2015.2'!X:X,A498)</f>
        <v>2</v>
      </c>
      <c r="M498" s="201">
        <f>SUMIFS('TURMAS 2015.2'!K:K,'TURMAS 2015.2'!X:X,A498)</f>
        <v>5</v>
      </c>
      <c r="N498" s="201">
        <f t="shared" si="7"/>
        <v>8</v>
      </c>
      <c r="O498" s="214"/>
      <c r="P498" s="152" t="s">
        <v>4227</v>
      </c>
      <c r="Q498" s="152">
        <v>0.5</v>
      </c>
      <c r="R498" s="152">
        <v>0.5</v>
      </c>
      <c r="S498" s="152">
        <v>489</v>
      </c>
    </row>
    <row r="499" spans="1:19" s="52" customFormat="1" ht="16.5" customHeight="1">
      <c r="A499" s="211">
        <v>490</v>
      </c>
      <c r="B499" s="212" t="s">
        <v>4228</v>
      </c>
      <c r="C499" s="211">
        <v>1760432</v>
      </c>
      <c r="D499" s="212" t="s">
        <v>3610</v>
      </c>
      <c r="E499" s="152" t="s">
        <v>3618</v>
      </c>
      <c r="F499" s="152" t="s">
        <v>3624</v>
      </c>
      <c r="G499" s="178" t="s">
        <v>3639</v>
      </c>
      <c r="H499" s="213" t="s">
        <v>3639</v>
      </c>
      <c r="I499" s="213" t="s">
        <v>3639</v>
      </c>
      <c r="J499" s="201">
        <f>COUNTIFS('TURMAS 2015.2'!U:U,A499)</f>
        <v>1</v>
      </c>
      <c r="K499" s="201">
        <f>SUMIFS('TURMAS 2015.2'!J:J,'TURMAS 2015.2'!U:U,A499)</f>
        <v>3</v>
      </c>
      <c r="L499" s="201">
        <f>COUNTIF('TURMAS 2015.2'!X:X,A499)</f>
        <v>1</v>
      </c>
      <c r="M499" s="201">
        <f>SUMIFS('TURMAS 2015.2'!K:K,'TURMAS 2015.2'!X:X,A499)</f>
        <v>2</v>
      </c>
      <c r="N499" s="201">
        <f t="shared" si="7"/>
        <v>5</v>
      </c>
      <c r="O499" s="214"/>
      <c r="P499" s="152">
        <v>0</v>
      </c>
      <c r="Q499" s="152">
        <v>0</v>
      </c>
      <c r="R499" s="152">
        <v>1</v>
      </c>
      <c r="S499" s="152">
        <v>490</v>
      </c>
    </row>
    <row r="500" spans="1:19" ht="16.5" customHeight="1">
      <c r="A500" s="211">
        <v>491</v>
      </c>
      <c r="B500" s="212" t="s">
        <v>4229</v>
      </c>
      <c r="C500" s="211">
        <v>1544235</v>
      </c>
      <c r="D500" s="212" t="s">
        <v>3647</v>
      </c>
      <c r="E500" s="152" t="s">
        <v>3643</v>
      </c>
      <c r="F500" s="152" t="s">
        <v>3624</v>
      </c>
      <c r="G500" s="178" t="s">
        <v>3639</v>
      </c>
      <c r="H500" s="213" t="s">
        <v>3639</v>
      </c>
      <c r="I500" s="213" t="s">
        <v>3639</v>
      </c>
      <c r="J500" s="201">
        <f>COUNTIFS('TURMAS 2015.2'!U:U,A500)</f>
        <v>1</v>
      </c>
      <c r="K500" s="201">
        <f>SUMIFS('TURMAS 2015.2'!J:J,'TURMAS 2015.2'!U:U,A500)</f>
        <v>4</v>
      </c>
      <c r="L500" s="201">
        <f>COUNTIF('TURMAS 2015.2'!X:X,A500)</f>
        <v>3</v>
      </c>
      <c r="M500" s="201">
        <f>SUMIFS('TURMAS 2015.2'!K:K,'TURMAS 2015.2'!X:X,A500)</f>
        <v>6</v>
      </c>
      <c r="N500" s="201">
        <f t="shared" si="7"/>
        <v>10</v>
      </c>
      <c r="O500" s="214"/>
      <c r="P500" s="152">
        <v>0</v>
      </c>
      <c r="Q500" s="152">
        <v>0</v>
      </c>
      <c r="R500" s="152">
        <v>1</v>
      </c>
      <c r="S500" s="152">
        <v>491</v>
      </c>
    </row>
    <row r="501" spans="1:19" s="52" customFormat="1" ht="16.5" customHeight="1">
      <c r="A501" s="211">
        <v>492</v>
      </c>
      <c r="B501" s="212" t="s">
        <v>4230</v>
      </c>
      <c r="C501" s="211">
        <v>1601026</v>
      </c>
      <c r="D501" s="212" t="s">
        <v>3647</v>
      </c>
      <c r="E501" s="152" t="s">
        <v>3611</v>
      </c>
      <c r="F501" s="152" t="s">
        <v>3624</v>
      </c>
      <c r="G501" s="178" t="s">
        <v>3639</v>
      </c>
      <c r="H501" s="213" t="s">
        <v>3639</v>
      </c>
      <c r="I501" s="213" t="s">
        <v>3639</v>
      </c>
      <c r="J501" s="201">
        <f>COUNTIFS('TURMAS 2015.2'!U:U,A501)</f>
        <v>0</v>
      </c>
      <c r="K501" s="201">
        <f>SUMIFS('TURMAS 2015.2'!J:J,'TURMAS 2015.2'!U:U,A501)</f>
        <v>0</v>
      </c>
      <c r="L501" s="201">
        <f>COUNTIF('TURMAS 2015.2'!X:X,A501)</f>
        <v>0</v>
      </c>
      <c r="M501" s="201">
        <f>SUMIFS('TURMAS 2015.2'!K:K,'TURMAS 2015.2'!X:X,A501)</f>
        <v>0</v>
      </c>
      <c r="N501" s="201">
        <f t="shared" si="7"/>
        <v>0</v>
      </c>
      <c r="O501" s="214"/>
      <c r="P501" s="152">
        <v>0</v>
      </c>
      <c r="Q501" s="152">
        <v>0</v>
      </c>
      <c r="R501" s="152">
        <v>1</v>
      </c>
      <c r="S501" s="152">
        <v>492</v>
      </c>
    </row>
    <row r="502" spans="1:19" s="52" customFormat="1" ht="16.5" customHeight="1">
      <c r="A502" s="211">
        <v>493</v>
      </c>
      <c r="B502" s="212" t="s">
        <v>4231</v>
      </c>
      <c r="C502" s="211">
        <v>1936815</v>
      </c>
      <c r="D502" s="212" t="s">
        <v>3635</v>
      </c>
      <c r="E502" s="152" t="s">
        <v>3611</v>
      </c>
      <c r="F502" s="152" t="s">
        <v>3624</v>
      </c>
      <c r="G502" s="178" t="s">
        <v>3639</v>
      </c>
      <c r="H502" s="213" t="s">
        <v>3639</v>
      </c>
      <c r="I502" s="213" t="s">
        <v>3639</v>
      </c>
      <c r="J502" s="201">
        <f>COUNTIFS('TURMAS 2015.2'!U:U,A502)</f>
        <v>2</v>
      </c>
      <c r="K502" s="201">
        <f>SUMIFS('TURMAS 2015.2'!J:J,'TURMAS 2015.2'!U:U,A502)</f>
        <v>8</v>
      </c>
      <c r="L502" s="201">
        <f>COUNTIF('TURMAS 2015.2'!X:X,A502)</f>
        <v>3</v>
      </c>
      <c r="M502" s="201">
        <f>SUMIFS('TURMAS 2015.2'!K:K,'TURMAS 2015.2'!X:X,A502)</f>
        <v>2</v>
      </c>
      <c r="N502" s="201">
        <f t="shared" si="7"/>
        <v>10</v>
      </c>
      <c r="O502" s="214"/>
      <c r="P502" s="152">
        <v>0</v>
      </c>
      <c r="Q502" s="152">
        <v>0</v>
      </c>
      <c r="R502" s="152">
        <v>1</v>
      </c>
      <c r="S502" s="152">
        <v>493</v>
      </c>
    </row>
    <row r="503" spans="1:19" s="52" customFormat="1" ht="16.5" customHeight="1">
      <c r="A503" s="211">
        <v>494</v>
      </c>
      <c r="B503" s="212" t="s">
        <v>4232</v>
      </c>
      <c r="C503" s="211">
        <v>1837715</v>
      </c>
      <c r="D503" s="212" t="s">
        <v>3635</v>
      </c>
      <c r="E503" s="152" t="s">
        <v>3611</v>
      </c>
      <c r="F503" s="152" t="s">
        <v>3624</v>
      </c>
      <c r="G503" s="178" t="s">
        <v>3639</v>
      </c>
      <c r="H503" s="213" t="s">
        <v>3639</v>
      </c>
      <c r="I503" s="213" t="s">
        <v>3639</v>
      </c>
      <c r="J503" s="201">
        <f>COUNTIFS('TURMAS 2015.2'!U:U,A503)</f>
        <v>1</v>
      </c>
      <c r="K503" s="201">
        <f>SUMIFS('TURMAS 2015.2'!J:J,'TURMAS 2015.2'!U:U,A503)</f>
        <v>4</v>
      </c>
      <c r="L503" s="201">
        <f>COUNTIF('TURMAS 2015.2'!X:X,A503)</f>
        <v>0</v>
      </c>
      <c r="M503" s="201">
        <f>SUMIFS('TURMAS 2015.2'!K:K,'TURMAS 2015.2'!X:X,A503)</f>
        <v>0</v>
      </c>
      <c r="N503" s="201">
        <f t="shared" si="7"/>
        <v>4</v>
      </c>
      <c r="O503" s="214"/>
      <c r="P503" s="152" t="s">
        <v>4233</v>
      </c>
      <c r="Q503" s="152">
        <v>0.5</v>
      </c>
      <c r="R503" s="152">
        <v>0.5</v>
      </c>
      <c r="S503" s="152">
        <v>494</v>
      </c>
    </row>
    <row r="504" spans="1:19" s="52" customFormat="1" ht="16.5" customHeight="1">
      <c r="A504" s="211">
        <v>495</v>
      </c>
      <c r="B504" s="212" t="s">
        <v>4234</v>
      </c>
      <c r="C504" s="211">
        <v>1623562</v>
      </c>
      <c r="D504" s="212" t="s">
        <v>3610</v>
      </c>
      <c r="E504" s="152" t="s">
        <v>3643</v>
      </c>
      <c r="F504" s="152" t="s">
        <v>3624</v>
      </c>
      <c r="G504" s="178" t="s">
        <v>3639</v>
      </c>
      <c r="H504" s="213" t="s">
        <v>3639</v>
      </c>
      <c r="I504" s="213" t="s">
        <v>3639</v>
      </c>
      <c r="J504" s="201">
        <f>COUNTIFS('TURMAS 2015.2'!U:U,A504)</f>
        <v>1</v>
      </c>
      <c r="K504" s="201">
        <f>SUMIFS('TURMAS 2015.2'!J:J,'TURMAS 2015.2'!U:U,A504)</f>
        <v>3</v>
      </c>
      <c r="L504" s="201">
        <f>COUNTIF('TURMAS 2015.2'!X:X,A504)</f>
        <v>0</v>
      </c>
      <c r="M504" s="201">
        <f>SUMIFS('TURMAS 2015.2'!K:K,'TURMAS 2015.2'!X:X,A504)</f>
        <v>0</v>
      </c>
      <c r="N504" s="201">
        <f t="shared" si="7"/>
        <v>3</v>
      </c>
      <c r="O504" s="214"/>
      <c r="P504" s="152">
        <v>0</v>
      </c>
      <c r="Q504" s="152">
        <v>0</v>
      </c>
      <c r="R504" s="152">
        <v>1</v>
      </c>
      <c r="S504" s="152">
        <v>495</v>
      </c>
    </row>
    <row r="505" spans="1:19" s="52" customFormat="1" ht="16.5" customHeight="1">
      <c r="A505" s="211">
        <v>496</v>
      </c>
      <c r="B505" s="212" t="s">
        <v>4235</v>
      </c>
      <c r="C505" s="211">
        <v>1764199</v>
      </c>
      <c r="D505" s="212" t="s">
        <v>3635</v>
      </c>
      <c r="E505" s="152" t="s">
        <v>3643</v>
      </c>
      <c r="F505" s="152" t="s">
        <v>3624</v>
      </c>
      <c r="G505" s="178" t="s">
        <v>3639</v>
      </c>
      <c r="H505" s="213" t="s">
        <v>3639</v>
      </c>
      <c r="I505" s="213" t="s">
        <v>3639</v>
      </c>
      <c r="J505" s="201">
        <f>COUNTIFS('TURMAS 2015.2'!U:U,A505)</f>
        <v>2</v>
      </c>
      <c r="K505" s="201">
        <f>SUMIFS('TURMAS 2015.2'!J:J,'TURMAS 2015.2'!U:U,A505)</f>
        <v>6</v>
      </c>
      <c r="L505" s="201">
        <f>COUNTIF('TURMAS 2015.2'!X:X,A505)</f>
        <v>0</v>
      </c>
      <c r="M505" s="201">
        <f>SUMIFS('TURMAS 2015.2'!K:K,'TURMAS 2015.2'!X:X,A505)</f>
        <v>0</v>
      </c>
      <c r="N505" s="201">
        <f t="shared" si="7"/>
        <v>6</v>
      </c>
      <c r="O505" s="214"/>
      <c r="P505" s="152">
        <v>0</v>
      </c>
      <c r="Q505" s="152">
        <v>0</v>
      </c>
      <c r="R505" s="152">
        <v>1</v>
      </c>
      <c r="S505" s="152">
        <v>496</v>
      </c>
    </row>
    <row r="506" spans="1:19" s="56" customFormat="1" ht="16.5" customHeight="1">
      <c r="A506" s="211">
        <v>497</v>
      </c>
      <c r="B506" s="212" t="s">
        <v>4236</v>
      </c>
      <c r="C506" s="211">
        <v>1544396</v>
      </c>
      <c r="D506" s="212" t="s">
        <v>3647</v>
      </c>
      <c r="E506" s="152" t="s">
        <v>3618</v>
      </c>
      <c r="F506" s="152" t="s">
        <v>3624</v>
      </c>
      <c r="G506" s="178" t="s">
        <v>3639</v>
      </c>
      <c r="H506" s="213" t="s">
        <v>3639</v>
      </c>
      <c r="I506" s="213" t="s">
        <v>3639</v>
      </c>
      <c r="J506" s="201">
        <f>COUNTIFS('TURMAS 2015.2'!U:U,A506)</f>
        <v>1</v>
      </c>
      <c r="K506" s="201">
        <f>SUMIFS('TURMAS 2015.2'!J:J,'TURMAS 2015.2'!U:U,A506)</f>
        <v>4</v>
      </c>
      <c r="L506" s="201">
        <f>COUNTIF('TURMAS 2015.2'!X:X,A506)</f>
        <v>1</v>
      </c>
      <c r="M506" s="201">
        <f>SUMIFS('TURMAS 2015.2'!K:K,'TURMAS 2015.2'!X:X,A506)</f>
        <v>2</v>
      </c>
      <c r="N506" s="201">
        <f t="shared" si="7"/>
        <v>6</v>
      </c>
      <c r="O506" s="214"/>
      <c r="P506" s="152">
        <v>0</v>
      </c>
      <c r="Q506" s="152">
        <v>0</v>
      </c>
      <c r="R506" s="152">
        <v>1</v>
      </c>
      <c r="S506" s="152">
        <v>497</v>
      </c>
    </row>
    <row r="507" spans="1:19" s="52" customFormat="1" ht="16.5" customHeight="1">
      <c r="A507" s="211">
        <v>498</v>
      </c>
      <c r="B507" s="212" t="s">
        <v>4237</v>
      </c>
      <c r="C507" s="211">
        <v>1689966</v>
      </c>
      <c r="D507" s="212" t="s">
        <v>3610</v>
      </c>
      <c r="E507" s="152" t="s">
        <v>3611</v>
      </c>
      <c r="F507" s="152" t="s">
        <v>3624</v>
      </c>
      <c r="G507" s="178" t="s">
        <v>3639</v>
      </c>
      <c r="H507" s="213" t="s">
        <v>3639</v>
      </c>
      <c r="I507" s="213" t="s">
        <v>3639</v>
      </c>
      <c r="J507" s="201">
        <f>COUNTIFS('TURMAS 2015.2'!U:U,A507)</f>
        <v>1</v>
      </c>
      <c r="K507" s="201">
        <f>SUMIFS('TURMAS 2015.2'!J:J,'TURMAS 2015.2'!U:U,A507)</f>
        <v>4</v>
      </c>
      <c r="L507" s="201">
        <f>COUNTIF('TURMAS 2015.2'!X:X,A507)</f>
        <v>4</v>
      </c>
      <c r="M507" s="201">
        <f>SUMIFS('TURMAS 2015.2'!K:K,'TURMAS 2015.2'!X:X,A507)</f>
        <v>6</v>
      </c>
      <c r="N507" s="201">
        <f t="shared" si="7"/>
        <v>10</v>
      </c>
      <c r="O507" s="214"/>
      <c r="P507" s="152">
        <v>0</v>
      </c>
      <c r="Q507" s="152">
        <v>0</v>
      </c>
      <c r="R507" s="152">
        <v>1</v>
      </c>
      <c r="S507" s="152">
        <v>498</v>
      </c>
    </row>
    <row r="508" spans="1:19" s="52" customFormat="1" ht="16.5" customHeight="1">
      <c r="A508" s="211">
        <v>499</v>
      </c>
      <c r="B508" s="212" t="s">
        <v>4238</v>
      </c>
      <c r="C508" s="211">
        <v>1574260</v>
      </c>
      <c r="D508" s="212" t="s">
        <v>3647</v>
      </c>
      <c r="E508" s="152" t="s">
        <v>3611</v>
      </c>
      <c r="F508" s="152" t="s">
        <v>3624</v>
      </c>
      <c r="G508" s="178" t="s">
        <v>3639</v>
      </c>
      <c r="H508" s="213" t="s">
        <v>3639</v>
      </c>
      <c r="I508" s="213" t="s">
        <v>3639</v>
      </c>
      <c r="J508" s="201">
        <f>COUNTIFS('TURMAS 2015.2'!U:U,A508)</f>
        <v>0</v>
      </c>
      <c r="K508" s="201">
        <f>SUMIFS('TURMAS 2015.2'!J:J,'TURMAS 2015.2'!U:U,A508)</f>
        <v>0</v>
      </c>
      <c r="L508" s="201">
        <f>COUNTIF('TURMAS 2015.2'!X:X,A508)</f>
        <v>0</v>
      </c>
      <c r="M508" s="201">
        <f>SUMIFS('TURMAS 2015.2'!K:K,'TURMAS 2015.2'!X:X,A508)</f>
        <v>0</v>
      </c>
      <c r="N508" s="201">
        <f t="shared" si="7"/>
        <v>0</v>
      </c>
      <c r="O508" s="214"/>
      <c r="P508" s="152">
        <v>0</v>
      </c>
      <c r="Q508" s="152">
        <v>0</v>
      </c>
      <c r="R508" s="152">
        <v>1</v>
      </c>
      <c r="S508" s="152">
        <v>499</v>
      </c>
    </row>
    <row r="509" spans="1:19" s="52" customFormat="1" ht="16.5" customHeight="1">
      <c r="A509" s="211">
        <v>500</v>
      </c>
      <c r="B509" s="212" t="s">
        <v>4239</v>
      </c>
      <c r="C509" s="211">
        <v>1673092</v>
      </c>
      <c r="D509" s="212" t="s">
        <v>3647</v>
      </c>
      <c r="E509" s="152" t="s">
        <v>3611</v>
      </c>
      <c r="F509" s="152" t="s">
        <v>3624</v>
      </c>
      <c r="G509" s="178" t="s">
        <v>3639</v>
      </c>
      <c r="H509" s="213" t="s">
        <v>3639</v>
      </c>
      <c r="I509" s="213" t="s">
        <v>3639</v>
      </c>
      <c r="J509" s="201">
        <f>COUNTIFS('TURMAS 2015.2'!U:U,A509)</f>
        <v>3</v>
      </c>
      <c r="K509" s="201">
        <f>SUMIFS('TURMAS 2015.2'!J:J,'TURMAS 2015.2'!U:U,A509)</f>
        <v>3</v>
      </c>
      <c r="L509" s="201">
        <f>COUNTIF('TURMAS 2015.2'!X:X,A509)</f>
        <v>1</v>
      </c>
      <c r="M509" s="201">
        <f>SUMIFS('TURMAS 2015.2'!K:K,'TURMAS 2015.2'!X:X,A509)</f>
        <v>2</v>
      </c>
      <c r="N509" s="201">
        <f t="shared" si="7"/>
        <v>5</v>
      </c>
      <c r="O509" s="214"/>
      <c r="P509" s="152" t="s">
        <v>4240</v>
      </c>
      <c r="Q509" s="152">
        <v>0.5</v>
      </c>
      <c r="R509" s="152">
        <v>0.5</v>
      </c>
      <c r="S509" s="152">
        <v>500</v>
      </c>
    </row>
    <row r="510" spans="1:19" s="52" customFormat="1" ht="16.5" customHeight="1">
      <c r="A510" s="211">
        <v>501</v>
      </c>
      <c r="B510" s="212" t="s">
        <v>4241</v>
      </c>
      <c r="C510" s="211">
        <v>2105686</v>
      </c>
      <c r="D510" s="212" t="s">
        <v>3735</v>
      </c>
      <c r="E510" s="152" t="s">
        <v>3643</v>
      </c>
      <c r="F510" s="152" t="s">
        <v>3624</v>
      </c>
      <c r="G510" s="178" t="s">
        <v>3639</v>
      </c>
      <c r="H510" s="213" t="s">
        <v>3639</v>
      </c>
      <c r="I510" s="213" t="s">
        <v>3639</v>
      </c>
      <c r="J510" s="201">
        <f>COUNTIFS('TURMAS 2015.2'!U:U,A510)</f>
        <v>2</v>
      </c>
      <c r="K510" s="201">
        <f>SUMIFS('TURMAS 2015.2'!J:J,'TURMAS 2015.2'!U:U,A510)</f>
        <v>6</v>
      </c>
      <c r="L510" s="201">
        <f>COUNTIF('TURMAS 2015.2'!X:X,A510)</f>
        <v>0</v>
      </c>
      <c r="M510" s="201">
        <f>SUMIFS('TURMAS 2015.2'!K:K,'TURMAS 2015.2'!X:X,A510)</f>
        <v>0</v>
      </c>
      <c r="N510" s="201">
        <f t="shared" si="7"/>
        <v>6</v>
      </c>
      <c r="O510" s="214"/>
      <c r="P510" s="152">
        <v>0</v>
      </c>
      <c r="Q510" s="152">
        <v>0</v>
      </c>
      <c r="R510" s="152">
        <v>1</v>
      </c>
      <c r="S510" s="152">
        <v>501</v>
      </c>
    </row>
    <row r="511" spans="1:19" s="52" customFormat="1" ht="16.5" customHeight="1">
      <c r="A511" s="211">
        <v>502</v>
      </c>
      <c r="B511" s="212" t="s">
        <v>4242</v>
      </c>
      <c r="C511" s="211">
        <v>1350754</v>
      </c>
      <c r="D511" s="212" t="s">
        <v>3751</v>
      </c>
      <c r="E511" s="152" t="s">
        <v>3643</v>
      </c>
      <c r="F511" s="152" t="s">
        <v>3624</v>
      </c>
      <c r="G511" s="178" t="s">
        <v>3639</v>
      </c>
      <c r="H511" s="213" t="s">
        <v>3639</v>
      </c>
      <c r="I511" s="213" t="s">
        <v>3639</v>
      </c>
      <c r="J511" s="201">
        <f>COUNTIFS('TURMAS 2015.2'!U:U,A511)</f>
        <v>0</v>
      </c>
      <c r="K511" s="201">
        <f>SUMIFS('TURMAS 2015.2'!J:J,'TURMAS 2015.2'!U:U,A511)</f>
        <v>0</v>
      </c>
      <c r="L511" s="201">
        <f>COUNTIF('TURMAS 2015.2'!X:X,A511)</f>
        <v>0</v>
      </c>
      <c r="M511" s="201">
        <f>SUMIFS('TURMAS 2015.2'!K:K,'TURMAS 2015.2'!X:X,A511)</f>
        <v>0</v>
      </c>
      <c r="N511" s="201">
        <f t="shared" si="7"/>
        <v>0</v>
      </c>
      <c r="O511" s="214"/>
      <c r="P511" s="152" t="s">
        <v>4243</v>
      </c>
      <c r="Q511" s="152">
        <v>1</v>
      </c>
      <c r="R511" s="152">
        <v>0</v>
      </c>
      <c r="S511" s="152">
        <v>502</v>
      </c>
    </row>
    <row r="512" spans="1:19" s="52" customFormat="1" ht="16.5" customHeight="1">
      <c r="A512" s="211">
        <v>503</v>
      </c>
      <c r="B512" s="212" t="s">
        <v>4244</v>
      </c>
      <c r="C512" s="211">
        <v>1957691</v>
      </c>
      <c r="D512" s="212" t="s">
        <v>3635</v>
      </c>
      <c r="E512" s="152" t="s">
        <v>3618</v>
      </c>
      <c r="F512" s="152" t="s">
        <v>3624</v>
      </c>
      <c r="G512" s="178" t="s">
        <v>3639</v>
      </c>
      <c r="H512" s="213" t="s">
        <v>3639</v>
      </c>
      <c r="I512" s="213" t="s">
        <v>3639</v>
      </c>
      <c r="J512" s="201">
        <f>COUNTIFS('TURMAS 2015.2'!U:U,A512)</f>
        <v>3</v>
      </c>
      <c r="K512" s="201">
        <f>SUMIFS('TURMAS 2015.2'!J:J,'TURMAS 2015.2'!U:U,A512)</f>
        <v>8</v>
      </c>
      <c r="L512" s="201">
        <f>COUNTIF('TURMAS 2015.2'!X:X,A512)</f>
        <v>3</v>
      </c>
      <c r="M512" s="201">
        <f>SUMIFS('TURMAS 2015.2'!K:K,'TURMAS 2015.2'!X:X,A512)</f>
        <v>4</v>
      </c>
      <c r="N512" s="201">
        <f t="shared" si="7"/>
        <v>12</v>
      </c>
      <c r="O512" s="214"/>
      <c r="P512" s="152">
        <v>0</v>
      </c>
      <c r="Q512" s="152">
        <v>0</v>
      </c>
      <c r="R512" s="152">
        <v>1</v>
      </c>
      <c r="S512" s="152">
        <v>503</v>
      </c>
    </row>
    <row r="513" spans="1:19" s="52" customFormat="1" ht="16.5" customHeight="1">
      <c r="A513" s="211">
        <v>504</v>
      </c>
      <c r="B513" s="212" t="s">
        <v>4245</v>
      </c>
      <c r="C513" s="211">
        <v>1734912</v>
      </c>
      <c r="D513" s="212" t="s">
        <v>3635</v>
      </c>
      <c r="E513" s="152" t="s">
        <v>3643</v>
      </c>
      <c r="F513" s="152" t="s">
        <v>3624</v>
      </c>
      <c r="G513" s="178" t="s">
        <v>3639</v>
      </c>
      <c r="H513" s="213" t="s">
        <v>3639</v>
      </c>
      <c r="I513" s="213" t="s">
        <v>3639</v>
      </c>
      <c r="J513" s="201">
        <f>COUNTIFS('TURMAS 2015.2'!U:U,A513)</f>
        <v>1</v>
      </c>
      <c r="K513" s="201">
        <f>SUMIFS('TURMAS 2015.2'!J:J,'TURMAS 2015.2'!U:U,A513)</f>
        <v>0</v>
      </c>
      <c r="L513" s="201">
        <f>COUNTIF('TURMAS 2015.2'!X:X,A513)</f>
        <v>6</v>
      </c>
      <c r="M513" s="201">
        <f>SUMIFS('TURMAS 2015.2'!K:K,'TURMAS 2015.2'!X:X,A513)</f>
        <v>12</v>
      </c>
      <c r="N513" s="201">
        <f t="shared" si="7"/>
        <v>12</v>
      </c>
      <c r="O513" s="214"/>
      <c r="P513" s="152">
        <v>0</v>
      </c>
      <c r="Q513" s="152">
        <v>0</v>
      </c>
      <c r="R513" s="152">
        <v>1</v>
      </c>
      <c r="S513" s="152">
        <v>504</v>
      </c>
    </row>
    <row r="514" spans="1:19" s="52" customFormat="1" ht="16.5" customHeight="1">
      <c r="A514" s="211">
        <v>505</v>
      </c>
      <c r="B514" s="212" t="s">
        <v>4246</v>
      </c>
      <c r="C514" s="211">
        <v>1546875</v>
      </c>
      <c r="D514" s="212" t="s">
        <v>3617</v>
      </c>
      <c r="E514" s="152" t="s">
        <v>3643</v>
      </c>
      <c r="F514" s="152" t="s">
        <v>3624</v>
      </c>
      <c r="G514" s="178" t="s">
        <v>3639</v>
      </c>
      <c r="H514" s="213" t="s">
        <v>3639</v>
      </c>
      <c r="I514" s="213" t="s">
        <v>3639</v>
      </c>
      <c r="J514" s="201">
        <f>COUNTIFS('TURMAS 2015.2'!U:U,A514)</f>
        <v>3</v>
      </c>
      <c r="K514" s="201">
        <f>SUMIFS('TURMAS 2015.2'!J:J,'TURMAS 2015.2'!U:U,A514)</f>
        <v>12</v>
      </c>
      <c r="L514" s="201">
        <f>COUNTIF('TURMAS 2015.2'!X:X,A514)</f>
        <v>0</v>
      </c>
      <c r="M514" s="201">
        <f>SUMIFS('TURMAS 2015.2'!K:K,'TURMAS 2015.2'!X:X,A514)</f>
        <v>0</v>
      </c>
      <c r="N514" s="201">
        <f t="shared" si="7"/>
        <v>12</v>
      </c>
      <c r="O514" s="214"/>
      <c r="P514" s="152">
        <v>0</v>
      </c>
      <c r="Q514" s="152">
        <v>0</v>
      </c>
      <c r="R514" s="152">
        <v>1</v>
      </c>
      <c r="S514" s="152">
        <v>505</v>
      </c>
    </row>
    <row r="515" spans="1:19" s="52" customFormat="1" ht="16.5" customHeight="1">
      <c r="A515" s="211">
        <v>506</v>
      </c>
      <c r="B515" s="212" t="s">
        <v>4247</v>
      </c>
      <c r="C515" s="211">
        <v>1671277</v>
      </c>
      <c r="D515" s="212" t="s">
        <v>3610</v>
      </c>
      <c r="E515" s="152" t="s">
        <v>3618</v>
      </c>
      <c r="F515" s="152" t="s">
        <v>3624</v>
      </c>
      <c r="G515" s="178" t="s">
        <v>3639</v>
      </c>
      <c r="H515" s="213" t="s">
        <v>3639</v>
      </c>
      <c r="I515" s="213" t="s">
        <v>3639</v>
      </c>
      <c r="J515" s="201">
        <f>COUNTIFS('TURMAS 2015.2'!U:U,A515)</f>
        <v>1</v>
      </c>
      <c r="K515" s="201">
        <f>SUMIFS('TURMAS 2015.2'!J:J,'TURMAS 2015.2'!U:U,A515)</f>
        <v>0</v>
      </c>
      <c r="L515" s="201">
        <f>COUNTIF('TURMAS 2015.2'!X:X,A515)</f>
        <v>1</v>
      </c>
      <c r="M515" s="201">
        <f>SUMIFS('TURMAS 2015.2'!K:K,'TURMAS 2015.2'!X:X,A515)</f>
        <v>4</v>
      </c>
      <c r="N515" s="201">
        <f t="shared" si="7"/>
        <v>4</v>
      </c>
      <c r="O515" s="214"/>
      <c r="P515" s="152" t="s">
        <v>4248</v>
      </c>
      <c r="Q515" s="152">
        <v>1</v>
      </c>
      <c r="R515" s="152">
        <v>0</v>
      </c>
      <c r="S515" s="152">
        <v>506</v>
      </c>
    </row>
    <row r="516" spans="1:19" s="52" customFormat="1" ht="16.5" customHeight="1">
      <c r="A516" s="211">
        <v>507</v>
      </c>
      <c r="B516" s="212" t="s">
        <v>4249</v>
      </c>
      <c r="C516" s="211">
        <v>1646410</v>
      </c>
      <c r="D516" s="212" t="s">
        <v>3647</v>
      </c>
      <c r="E516" s="152" t="s">
        <v>3618</v>
      </c>
      <c r="F516" s="152" t="s">
        <v>3624</v>
      </c>
      <c r="G516" s="178" t="s">
        <v>3639</v>
      </c>
      <c r="H516" s="213" t="s">
        <v>3639</v>
      </c>
      <c r="I516" s="213" t="s">
        <v>3639</v>
      </c>
      <c r="J516" s="201">
        <f>COUNTIFS('TURMAS 2015.2'!U:U,A516)</f>
        <v>1</v>
      </c>
      <c r="K516" s="201">
        <f>SUMIFS('TURMAS 2015.2'!J:J,'TURMAS 2015.2'!U:U,A516)</f>
        <v>3</v>
      </c>
      <c r="L516" s="201">
        <f>COUNTIF('TURMAS 2015.2'!X:X,A516)</f>
        <v>1</v>
      </c>
      <c r="M516" s="201">
        <f>SUMIFS('TURMAS 2015.2'!K:K,'TURMAS 2015.2'!X:X,A516)</f>
        <v>3</v>
      </c>
      <c r="N516" s="201">
        <f t="shared" si="7"/>
        <v>6</v>
      </c>
      <c r="O516" s="214"/>
      <c r="P516" s="152" t="s">
        <v>4250</v>
      </c>
      <c r="Q516" s="152">
        <v>0.3</v>
      </c>
      <c r="R516" s="152">
        <v>0.7</v>
      </c>
      <c r="S516" s="152">
        <v>507</v>
      </c>
    </row>
    <row r="517" spans="1:19" s="52" customFormat="1" ht="16.5" customHeight="1">
      <c r="A517" s="211">
        <v>508</v>
      </c>
      <c r="B517" s="212" t="s">
        <v>4251</v>
      </c>
      <c r="C517" s="211">
        <v>1671811</v>
      </c>
      <c r="D517" s="212" t="s">
        <v>3647</v>
      </c>
      <c r="E517" s="152" t="s">
        <v>3618</v>
      </c>
      <c r="F517" s="152" t="s">
        <v>3624</v>
      </c>
      <c r="G517" s="178" t="s">
        <v>3639</v>
      </c>
      <c r="H517" s="213" t="s">
        <v>3639</v>
      </c>
      <c r="I517" s="213" t="s">
        <v>3639</v>
      </c>
      <c r="J517" s="201">
        <f>COUNTIFS('TURMAS 2015.2'!U:U,A517)</f>
        <v>0</v>
      </c>
      <c r="K517" s="201">
        <f>SUMIFS('TURMAS 2015.2'!J:J,'TURMAS 2015.2'!U:U,A517)</f>
        <v>0</v>
      </c>
      <c r="L517" s="201">
        <f>COUNTIF('TURMAS 2015.2'!X:X,A517)</f>
        <v>0</v>
      </c>
      <c r="M517" s="201">
        <f>SUMIFS('TURMAS 2015.2'!K:K,'TURMAS 2015.2'!X:X,A517)</f>
        <v>0</v>
      </c>
      <c r="N517" s="201">
        <f t="shared" si="7"/>
        <v>0</v>
      </c>
      <c r="O517" s="214"/>
      <c r="P517" s="152">
        <v>0</v>
      </c>
      <c r="Q517" s="152">
        <v>0</v>
      </c>
      <c r="R517" s="152">
        <v>1</v>
      </c>
      <c r="S517" s="152">
        <v>508</v>
      </c>
    </row>
    <row r="518" spans="1:19" s="52" customFormat="1" ht="16.5" customHeight="1">
      <c r="A518" s="211">
        <v>509</v>
      </c>
      <c r="B518" s="212" t="s">
        <v>4252</v>
      </c>
      <c r="C518" s="211">
        <v>1762416</v>
      </c>
      <c r="D518" s="212" t="s">
        <v>3610</v>
      </c>
      <c r="E518" s="152" t="s">
        <v>3611</v>
      </c>
      <c r="F518" s="152" t="s">
        <v>3624</v>
      </c>
      <c r="G518" s="178" t="s">
        <v>3639</v>
      </c>
      <c r="H518" s="213" t="s">
        <v>3639</v>
      </c>
      <c r="I518" s="213" t="s">
        <v>3639</v>
      </c>
      <c r="J518" s="201">
        <f>COUNTIFS('TURMAS 2015.2'!U:U,A518)</f>
        <v>0</v>
      </c>
      <c r="K518" s="201">
        <f>SUMIFS('TURMAS 2015.2'!J:J,'TURMAS 2015.2'!U:U,A518)</f>
        <v>0</v>
      </c>
      <c r="L518" s="201">
        <f>COUNTIF('TURMAS 2015.2'!X:X,A518)</f>
        <v>0</v>
      </c>
      <c r="M518" s="201">
        <f>SUMIFS('TURMAS 2015.2'!K:K,'TURMAS 2015.2'!X:X,A518)</f>
        <v>0</v>
      </c>
      <c r="N518" s="201">
        <f t="shared" si="7"/>
        <v>0</v>
      </c>
      <c r="O518" s="214"/>
      <c r="P518" s="152" t="s">
        <v>4253</v>
      </c>
      <c r="Q518" s="152">
        <v>0.5</v>
      </c>
      <c r="R518" s="152">
        <v>0.5</v>
      </c>
      <c r="S518" s="152">
        <v>509</v>
      </c>
    </row>
    <row r="519" spans="1:19" s="52" customFormat="1" ht="16.5" customHeight="1">
      <c r="A519" s="211">
        <v>510</v>
      </c>
      <c r="B519" s="215" t="s">
        <v>4254</v>
      </c>
      <c r="C519" s="211">
        <v>2187287</v>
      </c>
      <c r="D519" s="211"/>
      <c r="E519" s="152" t="s">
        <v>3618</v>
      </c>
      <c r="F519" s="152" t="s">
        <v>3624</v>
      </c>
      <c r="G519" s="178"/>
      <c r="H519" s="213"/>
      <c r="I519" s="213"/>
      <c r="J519" s="201">
        <f>COUNTIFS('TURMAS 2015.2'!U:U,A519)</f>
        <v>2</v>
      </c>
      <c r="K519" s="201">
        <f>SUMIFS('TURMAS 2015.2'!J:J,'TURMAS 2015.2'!U:U,A519)</f>
        <v>8</v>
      </c>
      <c r="L519" s="201">
        <f>COUNTIF('TURMAS 2015.2'!X:X,A519)</f>
        <v>0</v>
      </c>
      <c r="M519" s="201">
        <f>SUMIFS('TURMAS 2015.2'!K:K,'TURMAS 2015.2'!X:X,A519)</f>
        <v>0</v>
      </c>
      <c r="N519" s="201">
        <f t="shared" si="7"/>
        <v>8</v>
      </c>
      <c r="O519" s="214"/>
      <c r="P519" s="152"/>
      <c r="Q519" s="152"/>
      <c r="R519" s="152"/>
      <c r="S519" s="152">
        <v>510</v>
      </c>
    </row>
    <row r="520" spans="1:19" s="52" customFormat="1" ht="16.5" customHeight="1">
      <c r="A520" s="211">
        <v>511</v>
      </c>
      <c r="B520" s="212" t="s">
        <v>4255</v>
      </c>
      <c r="C520" s="211">
        <v>1569593</v>
      </c>
      <c r="D520" s="212" t="s">
        <v>3647</v>
      </c>
      <c r="E520" s="152" t="s">
        <v>3618</v>
      </c>
      <c r="F520" s="152" t="s">
        <v>3624</v>
      </c>
      <c r="G520" s="178" t="s">
        <v>3639</v>
      </c>
      <c r="H520" s="213" t="s">
        <v>3639</v>
      </c>
      <c r="I520" s="213" t="s">
        <v>3639</v>
      </c>
      <c r="J520" s="201">
        <f>COUNTIFS('TURMAS 2015.2'!U:U,A520)</f>
        <v>4</v>
      </c>
      <c r="K520" s="201">
        <f>SUMIFS('TURMAS 2015.2'!J:J,'TURMAS 2015.2'!U:U,A520)</f>
        <v>12</v>
      </c>
      <c r="L520" s="201">
        <f>COUNTIF('TURMAS 2015.2'!X:X,A520)</f>
        <v>4</v>
      </c>
      <c r="M520" s="201">
        <f>SUMIFS('TURMAS 2015.2'!K:K,'TURMAS 2015.2'!X:X,A520)</f>
        <v>4</v>
      </c>
      <c r="N520" s="201">
        <f t="shared" si="7"/>
        <v>16</v>
      </c>
      <c r="O520" s="214"/>
      <c r="P520" s="152">
        <v>0</v>
      </c>
      <c r="Q520" s="152">
        <v>0</v>
      </c>
      <c r="R520" s="152">
        <v>1</v>
      </c>
      <c r="S520" s="152">
        <v>511</v>
      </c>
    </row>
    <row r="521" spans="1:19" s="52" customFormat="1" ht="16.5" customHeight="1">
      <c r="A521" s="211">
        <v>512</v>
      </c>
      <c r="B521" s="212" t="s">
        <v>4256</v>
      </c>
      <c r="C521" s="211">
        <v>1763487</v>
      </c>
      <c r="D521" s="212" t="s">
        <v>3635</v>
      </c>
      <c r="E521" s="152" t="s">
        <v>3618</v>
      </c>
      <c r="F521" s="152" t="s">
        <v>3624</v>
      </c>
      <c r="G521" s="178" t="s">
        <v>3639</v>
      </c>
      <c r="H521" s="213" t="s">
        <v>3639</v>
      </c>
      <c r="I521" s="213" t="s">
        <v>3639</v>
      </c>
      <c r="J521" s="201">
        <f>COUNTIFS('TURMAS 2015.2'!U:U,A521)</f>
        <v>2</v>
      </c>
      <c r="K521" s="201">
        <f>SUMIFS('TURMAS 2015.2'!J:J,'TURMAS 2015.2'!U:U,A521)</f>
        <v>8</v>
      </c>
      <c r="L521" s="201">
        <f>COUNTIF('TURMAS 2015.2'!X:X,A521)</f>
        <v>0</v>
      </c>
      <c r="M521" s="201">
        <f>SUMIFS('TURMAS 2015.2'!K:K,'TURMAS 2015.2'!X:X,A521)</f>
        <v>0</v>
      </c>
      <c r="N521" s="201">
        <f t="shared" si="7"/>
        <v>8</v>
      </c>
      <c r="O521" s="214"/>
      <c r="P521" s="152" t="s">
        <v>4257</v>
      </c>
      <c r="Q521" s="152">
        <v>0.5</v>
      </c>
      <c r="R521" s="152">
        <v>0.5</v>
      </c>
      <c r="S521" s="152">
        <v>512</v>
      </c>
    </row>
    <row r="522" spans="1:19" s="52" customFormat="1" ht="16.5" customHeight="1">
      <c r="A522" s="211">
        <v>513</v>
      </c>
      <c r="B522" s="212" t="s">
        <v>4258</v>
      </c>
      <c r="C522" s="211">
        <v>1957719</v>
      </c>
      <c r="D522" s="212" t="s">
        <v>3635</v>
      </c>
      <c r="E522" s="152" t="s">
        <v>3611</v>
      </c>
      <c r="F522" s="152" t="s">
        <v>3624</v>
      </c>
      <c r="G522" s="178" t="s">
        <v>3639</v>
      </c>
      <c r="H522" s="213" t="s">
        <v>3639</v>
      </c>
      <c r="I522" s="213" t="s">
        <v>3639</v>
      </c>
      <c r="J522" s="201">
        <f>COUNTIFS('TURMAS 2015.2'!U:U,A522)</f>
        <v>2</v>
      </c>
      <c r="K522" s="201">
        <f>SUMIFS('TURMAS 2015.2'!J:J,'TURMAS 2015.2'!U:U,A522)</f>
        <v>6</v>
      </c>
      <c r="L522" s="201">
        <f>COUNTIF('TURMAS 2015.2'!X:X,A522)</f>
        <v>0</v>
      </c>
      <c r="M522" s="201">
        <f>SUMIFS('TURMAS 2015.2'!K:K,'TURMAS 2015.2'!X:X,A522)</f>
        <v>0</v>
      </c>
      <c r="N522" s="201">
        <f t="shared" si="7"/>
        <v>6</v>
      </c>
      <c r="O522" s="214"/>
      <c r="P522" s="152">
        <v>0</v>
      </c>
      <c r="Q522" s="152">
        <v>0</v>
      </c>
      <c r="R522" s="152">
        <v>1</v>
      </c>
      <c r="S522" s="152">
        <v>513</v>
      </c>
    </row>
    <row r="523" spans="1:19" s="52" customFormat="1" ht="16.5" customHeight="1">
      <c r="A523" s="211">
        <v>514</v>
      </c>
      <c r="B523" s="212" t="s">
        <v>4259</v>
      </c>
      <c r="C523" s="211">
        <v>2605446</v>
      </c>
      <c r="D523" s="212" t="s">
        <v>3610</v>
      </c>
      <c r="E523" s="152" t="s">
        <v>3618</v>
      </c>
      <c r="F523" s="152" t="s">
        <v>3624</v>
      </c>
      <c r="G523" s="178" t="s">
        <v>3639</v>
      </c>
      <c r="H523" s="213" t="s">
        <v>3639</v>
      </c>
      <c r="I523" s="213" t="s">
        <v>3639</v>
      </c>
      <c r="J523" s="201">
        <f>COUNTIFS('TURMAS 2015.2'!U:U,A523)</f>
        <v>2</v>
      </c>
      <c r="K523" s="201">
        <f>SUMIFS('TURMAS 2015.2'!J:J,'TURMAS 2015.2'!U:U,A523)</f>
        <v>3</v>
      </c>
      <c r="L523" s="201">
        <f>COUNTIF('TURMAS 2015.2'!X:X,A523)</f>
        <v>1</v>
      </c>
      <c r="M523" s="201">
        <f>SUMIFS('TURMAS 2015.2'!K:K,'TURMAS 2015.2'!X:X,A523)</f>
        <v>1</v>
      </c>
      <c r="N523" s="201">
        <f t="shared" si="7"/>
        <v>4</v>
      </c>
      <c r="O523" s="214"/>
      <c r="P523" s="152">
        <v>0</v>
      </c>
      <c r="Q523" s="152">
        <v>0</v>
      </c>
      <c r="R523" s="152">
        <v>1</v>
      </c>
      <c r="S523" s="152">
        <v>514</v>
      </c>
    </row>
    <row r="524" spans="1:19" s="52" customFormat="1" ht="16.5" customHeight="1">
      <c r="A524" s="211">
        <v>515</v>
      </c>
      <c r="B524" s="212" t="s">
        <v>4260</v>
      </c>
      <c r="C524" s="211">
        <v>1369256</v>
      </c>
      <c r="D524" s="212" t="s">
        <v>3610</v>
      </c>
      <c r="E524" s="152" t="s">
        <v>3618</v>
      </c>
      <c r="F524" s="152" t="s">
        <v>3624</v>
      </c>
      <c r="G524" s="178" t="s">
        <v>3639</v>
      </c>
      <c r="H524" s="213" t="s">
        <v>3639</v>
      </c>
      <c r="I524" s="213" t="s">
        <v>3639</v>
      </c>
      <c r="J524" s="201">
        <f>COUNTIFS('TURMAS 2015.2'!U:U,A524)</f>
        <v>0</v>
      </c>
      <c r="K524" s="201">
        <f>SUMIFS('TURMAS 2015.2'!J:J,'TURMAS 2015.2'!U:U,A524)</f>
        <v>0</v>
      </c>
      <c r="L524" s="201">
        <f>COUNTIF('TURMAS 2015.2'!X:X,A524)</f>
        <v>0</v>
      </c>
      <c r="M524" s="201">
        <f>SUMIFS('TURMAS 2015.2'!K:K,'TURMAS 2015.2'!X:X,A524)</f>
        <v>0</v>
      </c>
      <c r="N524" s="201">
        <f t="shared" ref="N524:N577" si="8">K524+M524</f>
        <v>0</v>
      </c>
      <c r="O524" s="214"/>
      <c r="P524" s="152">
        <v>0</v>
      </c>
      <c r="Q524" s="152">
        <v>0</v>
      </c>
      <c r="R524" s="152">
        <v>1</v>
      </c>
      <c r="S524" s="152">
        <v>515</v>
      </c>
    </row>
    <row r="525" spans="1:19" s="52" customFormat="1" ht="16.5" customHeight="1">
      <c r="A525" s="211">
        <v>516</v>
      </c>
      <c r="B525" s="212" t="s">
        <v>4261</v>
      </c>
      <c r="C525" s="211">
        <v>1305186</v>
      </c>
      <c r="D525" s="212" t="s">
        <v>3647</v>
      </c>
      <c r="E525" s="152" t="s">
        <v>3618</v>
      </c>
      <c r="F525" s="152" t="s">
        <v>3624</v>
      </c>
      <c r="G525" s="178" t="s">
        <v>3639</v>
      </c>
      <c r="H525" s="213" t="s">
        <v>3639</v>
      </c>
      <c r="I525" s="213" t="s">
        <v>3639</v>
      </c>
      <c r="J525" s="201">
        <f>COUNTIFS('TURMAS 2015.2'!U:U,A525)</f>
        <v>0</v>
      </c>
      <c r="K525" s="201">
        <f>SUMIFS('TURMAS 2015.2'!J:J,'TURMAS 2015.2'!U:U,A525)</f>
        <v>0</v>
      </c>
      <c r="L525" s="201">
        <f>COUNTIF('TURMAS 2015.2'!X:X,A525)</f>
        <v>0</v>
      </c>
      <c r="M525" s="201">
        <f>SUMIFS('TURMAS 2015.2'!K:K,'TURMAS 2015.2'!X:X,A525)</f>
        <v>0</v>
      </c>
      <c r="N525" s="201">
        <f t="shared" si="8"/>
        <v>0</v>
      </c>
      <c r="O525" s="214"/>
      <c r="P525" s="152">
        <v>0</v>
      </c>
      <c r="Q525" s="152">
        <v>0</v>
      </c>
      <c r="R525" s="152">
        <v>1</v>
      </c>
      <c r="S525" s="152">
        <v>516</v>
      </c>
    </row>
    <row r="526" spans="1:19" s="52" customFormat="1" ht="16.5" customHeight="1">
      <c r="A526" s="211">
        <v>517</v>
      </c>
      <c r="B526" s="212" t="s">
        <v>4262</v>
      </c>
      <c r="C526" s="211">
        <v>2605490</v>
      </c>
      <c r="D526" s="212" t="s">
        <v>3610</v>
      </c>
      <c r="E526" s="152" t="s">
        <v>3643</v>
      </c>
      <c r="F526" s="152" t="s">
        <v>3624</v>
      </c>
      <c r="G526" s="178" t="s">
        <v>3639</v>
      </c>
      <c r="H526" s="213" t="s">
        <v>3639</v>
      </c>
      <c r="I526" s="213" t="s">
        <v>3639</v>
      </c>
      <c r="J526" s="201">
        <f>COUNTIFS('TURMAS 2015.2'!U:U,A526)</f>
        <v>0</v>
      </c>
      <c r="K526" s="201">
        <f>SUMIFS('TURMAS 2015.2'!J:J,'TURMAS 2015.2'!U:U,A526)</f>
        <v>0</v>
      </c>
      <c r="L526" s="201">
        <f>COUNTIF('TURMAS 2015.2'!X:X,A526)</f>
        <v>0</v>
      </c>
      <c r="M526" s="201">
        <f>SUMIFS('TURMAS 2015.2'!K:K,'TURMAS 2015.2'!X:X,A526)</f>
        <v>0</v>
      </c>
      <c r="N526" s="201">
        <f t="shared" si="8"/>
        <v>0</v>
      </c>
      <c r="O526" s="214"/>
      <c r="P526" s="152">
        <v>0</v>
      </c>
      <c r="Q526" s="152">
        <v>0</v>
      </c>
      <c r="R526" s="152">
        <v>1</v>
      </c>
      <c r="S526" s="152">
        <v>517</v>
      </c>
    </row>
    <row r="527" spans="1:19" s="52" customFormat="1" ht="16.5" customHeight="1">
      <c r="A527" s="211">
        <v>518</v>
      </c>
      <c r="B527" s="212" t="s">
        <v>4263</v>
      </c>
      <c r="C527" s="211">
        <v>1550494</v>
      </c>
      <c r="D527" s="212" t="s">
        <v>3647</v>
      </c>
      <c r="E527" s="152" t="s">
        <v>3643</v>
      </c>
      <c r="F527" s="152" t="s">
        <v>3624</v>
      </c>
      <c r="G527" s="178" t="s">
        <v>3639</v>
      </c>
      <c r="H527" s="213" t="s">
        <v>3639</v>
      </c>
      <c r="I527" s="213" t="s">
        <v>3639</v>
      </c>
      <c r="J527" s="201">
        <f>COUNTIFS('TURMAS 2015.2'!U:U,A527)</f>
        <v>3</v>
      </c>
      <c r="K527" s="201">
        <f>SUMIFS('TURMAS 2015.2'!J:J,'TURMAS 2015.2'!U:U,A527)</f>
        <v>8</v>
      </c>
      <c r="L527" s="201">
        <f>COUNTIF('TURMAS 2015.2'!X:X,A527)</f>
        <v>0</v>
      </c>
      <c r="M527" s="201">
        <f>SUMIFS('TURMAS 2015.2'!K:K,'TURMAS 2015.2'!X:X,A527)</f>
        <v>0</v>
      </c>
      <c r="N527" s="201">
        <f t="shared" si="8"/>
        <v>8</v>
      </c>
      <c r="O527" s="214"/>
      <c r="P527" s="152">
        <v>0</v>
      </c>
      <c r="Q527" s="152">
        <v>0</v>
      </c>
      <c r="R527" s="152">
        <v>1</v>
      </c>
      <c r="S527" s="152">
        <v>518</v>
      </c>
    </row>
    <row r="528" spans="1:19" s="52" customFormat="1" ht="16.5" customHeight="1">
      <c r="A528" s="211">
        <v>519</v>
      </c>
      <c r="B528" s="212" t="s">
        <v>4264</v>
      </c>
      <c r="C528" s="211">
        <v>1544274</v>
      </c>
      <c r="D528" s="212" t="s">
        <v>3635</v>
      </c>
      <c r="E528" s="152" t="s">
        <v>3618</v>
      </c>
      <c r="F528" s="152" t="s">
        <v>3624</v>
      </c>
      <c r="G528" s="178" t="s">
        <v>3639</v>
      </c>
      <c r="H528" s="213" t="s">
        <v>3639</v>
      </c>
      <c r="I528" s="213" t="s">
        <v>3639</v>
      </c>
      <c r="J528" s="201">
        <f>COUNTIFS('TURMAS 2015.2'!U:U,A528)</f>
        <v>4</v>
      </c>
      <c r="K528" s="201">
        <f>SUMIFS('TURMAS 2015.2'!J:J,'TURMAS 2015.2'!U:U,A528)</f>
        <v>8</v>
      </c>
      <c r="L528" s="201">
        <f>COUNTIF('TURMAS 2015.2'!X:X,A528)</f>
        <v>2</v>
      </c>
      <c r="M528" s="201">
        <f>SUMIFS('TURMAS 2015.2'!K:K,'TURMAS 2015.2'!X:X,A528)</f>
        <v>0</v>
      </c>
      <c r="N528" s="201">
        <f t="shared" si="8"/>
        <v>8</v>
      </c>
      <c r="O528" s="214"/>
      <c r="P528" s="152">
        <v>0</v>
      </c>
      <c r="Q528" s="152">
        <v>0</v>
      </c>
      <c r="R528" s="152">
        <v>1</v>
      </c>
      <c r="S528" s="152">
        <v>519</v>
      </c>
    </row>
    <row r="529" spans="1:19" s="52" customFormat="1" ht="16.5" customHeight="1">
      <c r="A529" s="211">
        <v>520</v>
      </c>
      <c r="B529" s="212" t="s">
        <v>4265</v>
      </c>
      <c r="C529" s="211">
        <v>2605733</v>
      </c>
      <c r="D529" s="212" t="s">
        <v>3610</v>
      </c>
      <c r="E529" s="152" t="s">
        <v>3618</v>
      </c>
      <c r="F529" s="152" t="s">
        <v>3624</v>
      </c>
      <c r="G529" s="178" t="s">
        <v>3639</v>
      </c>
      <c r="H529" s="213" t="s">
        <v>3639</v>
      </c>
      <c r="I529" s="213" t="s">
        <v>3639</v>
      </c>
      <c r="J529" s="201">
        <f>COUNTIFS('TURMAS 2015.2'!U:U,A529)</f>
        <v>0</v>
      </c>
      <c r="K529" s="201">
        <f>SUMIFS('TURMAS 2015.2'!J:J,'TURMAS 2015.2'!U:U,A529)</f>
        <v>0</v>
      </c>
      <c r="L529" s="201">
        <f>COUNTIF('TURMAS 2015.2'!X:X,A529)</f>
        <v>0</v>
      </c>
      <c r="M529" s="201">
        <f>SUMIFS('TURMAS 2015.2'!K:K,'TURMAS 2015.2'!X:X,A529)</f>
        <v>0</v>
      </c>
      <c r="N529" s="201">
        <f t="shared" si="8"/>
        <v>0</v>
      </c>
      <c r="O529" s="214"/>
      <c r="P529" s="152" t="s">
        <v>4266</v>
      </c>
      <c r="Q529" s="152">
        <v>0.3</v>
      </c>
      <c r="R529" s="152">
        <v>0.7</v>
      </c>
      <c r="S529" s="152">
        <v>520</v>
      </c>
    </row>
    <row r="530" spans="1:19" s="52" customFormat="1" ht="16.5" customHeight="1">
      <c r="A530" s="211">
        <v>521</v>
      </c>
      <c r="B530" s="212" t="s">
        <v>4267</v>
      </c>
      <c r="C530" s="211">
        <v>1941775</v>
      </c>
      <c r="D530" s="212" t="s">
        <v>3617</v>
      </c>
      <c r="E530" s="152" t="s">
        <v>3618</v>
      </c>
      <c r="F530" s="152" t="s">
        <v>3624</v>
      </c>
      <c r="G530" s="178" t="s">
        <v>3639</v>
      </c>
      <c r="H530" s="213" t="s">
        <v>3639</v>
      </c>
      <c r="I530" s="213" t="s">
        <v>3639</v>
      </c>
      <c r="J530" s="201">
        <f>COUNTIFS('TURMAS 2015.2'!U:U,A530)</f>
        <v>0</v>
      </c>
      <c r="K530" s="201">
        <f>SUMIFS('TURMAS 2015.2'!J:J,'TURMAS 2015.2'!U:U,A530)</f>
        <v>0</v>
      </c>
      <c r="L530" s="201">
        <f>COUNTIF('TURMAS 2015.2'!X:X,A530)</f>
        <v>0</v>
      </c>
      <c r="M530" s="201">
        <f>SUMIFS('TURMAS 2015.2'!K:K,'TURMAS 2015.2'!X:X,A530)</f>
        <v>0</v>
      </c>
      <c r="N530" s="201">
        <f t="shared" si="8"/>
        <v>0</v>
      </c>
      <c r="O530" s="214"/>
      <c r="P530" s="152">
        <v>0</v>
      </c>
      <c r="Q530" s="152">
        <v>0</v>
      </c>
      <c r="R530" s="152">
        <v>1</v>
      </c>
      <c r="S530" s="152">
        <v>521</v>
      </c>
    </row>
    <row r="531" spans="1:19" s="52" customFormat="1" ht="16.5" customHeight="1">
      <c r="A531" s="211">
        <v>522</v>
      </c>
      <c r="B531" s="212" t="s">
        <v>4268</v>
      </c>
      <c r="C531" s="211">
        <v>1544389</v>
      </c>
      <c r="D531" s="212" t="s">
        <v>3647</v>
      </c>
      <c r="E531" s="152" t="s">
        <v>3618</v>
      </c>
      <c r="F531" s="152" t="s">
        <v>3624</v>
      </c>
      <c r="G531" s="178" t="s">
        <v>3639</v>
      </c>
      <c r="H531" s="213" t="s">
        <v>3639</v>
      </c>
      <c r="I531" s="213" t="s">
        <v>3639</v>
      </c>
      <c r="J531" s="201">
        <f>COUNTIFS('TURMAS 2015.2'!U:U,A531)</f>
        <v>0</v>
      </c>
      <c r="K531" s="201">
        <f>SUMIFS('TURMAS 2015.2'!J:J,'TURMAS 2015.2'!U:U,A531)</f>
        <v>0</v>
      </c>
      <c r="L531" s="201">
        <f>COUNTIF('TURMAS 2015.2'!X:X,A531)</f>
        <v>0</v>
      </c>
      <c r="M531" s="201">
        <f>SUMIFS('TURMAS 2015.2'!K:K,'TURMAS 2015.2'!X:X,A531)</f>
        <v>0</v>
      </c>
      <c r="N531" s="201">
        <f t="shared" si="8"/>
        <v>0</v>
      </c>
      <c r="O531" s="214"/>
      <c r="P531" s="152">
        <v>0</v>
      </c>
      <c r="Q531" s="152">
        <v>0</v>
      </c>
      <c r="R531" s="152">
        <v>1</v>
      </c>
      <c r="S531" s="152">
        <v>522</v>
      </c>
    </row>
    <row r="532" spans="1:19" s="52" customFormat="1" ht="16.5" customHeight="1">
      <c r="A532" s="211">
        <v>523</v>
      </c>
      <c r="B532" s="212" t="s">
        <v>4269</v>
      </c>
      <c r="C532" s="211">
        <v>1764378</v>
      </c>
      <c r="D532" s="212" t="s">
        <v>3635</v>
      </c>
      <c r="E532" s="152" t="s">
        <v>3618</v>
      </c>
      <c r="F532" s="152" t="s">
        <v>3624</v>
      </c>
      <c r="G532" s="178" t="s">
        <v>3639</v>
      </c>
      <c r="H532" s="213" t="s">
        <v>3639</v>
      </c>
      <c r="I532" s="213" t="s">
        <v>3639</v>
      </c>
      <c r="J532" s="201">
        <f>COUNTIFS('TURMAS 2015.2'!U:U,A532)</f>
        <v>2</v>
      </c>
      <c r="K532" s="201">
        <f>SUMIFS('TURMAS 2015.2'!J:J,'TURMAS 2015.2'!U:U,A532)</f>
        <v>6</v>
      </c>
      <c r="L532" s="201">
        <f>COUNTIF('TURMAS 2015.2'!X:X,A532)</f>
        <v>0</v>
      </c>
      <c r="M532" s="201">
        <f>SUMIFS('TURMAS 2015.2'!K:K,'TURMAS 2015.2'!X:X,A532)</f>
        <v>0</v>
      </c>
      <c r="N532" s="201">
        <f t="shared" si="8"/>
        <v>6</v>
      </c>
      <c r="O532" s="214"/>
      <c r="P532" s="152" t="s">
        <v>4270</v>
      </c>
      <c r="Q532" s="152">
        <v>0.3</v>
      </c>
      <c r="R532" s="152">
        <v>0.7</v>
      </c>
      <c r="S532" s="152">
        <v>523</v>
      </c>
    </row>
    <row r="533" spans="1:19" s="52" customFormat="1" ht="16.5" customHeight="1">
      <c r="A533" s="211">
        <v>524</v>
      </c>
      <c r="B533" s="212" t="s">
        <v>4271</v>
      </c>
      <c r="C533" s="211">
        <v>1838756</v>
      </c>
      <c r="D533" s="212" t="s">
        <v>3635</v>
      </c>
      <c r="E533" s="152" t="s">
        <v>3611</v>
      </c>
      <c r="F533" s="152" t="s">
        <v>3624</v>
      </c>
      <c r="G533" s="178" t="s">
        <v>3639</v>
      </c>
      <c r="H533" s="213" t="s">
        <v>3639</v>
      </c>
      <c r="I533" s="213" t="s">
        <v>3639</v>
      </c>
      <c r="J533" s="201">
        <f>COUNTIFS('TURMAS 2015.2'!U:U,A533)</f>
        <v>2</v>
      </c>
      <c r="K533" s="201">
        <f>SUMIFS('TURMAS 2015.2'!J:J,'TURMAS 2015.2'!U:U,A533)</f>
        <v>6</v>
      </c>
      <c r="L533" s="201">
        <f>COUNTIF('TURMAS 2015.2'!X:X,A533)</f>
        <v>3</v>
      </c>
      <c r="M533" s="201">
        <f>SUMIFS('TURMAS 2015.2'!K:K,'TURMAS 2015.2'!X:X,A533)</f>
        <v>6</v>
      </c>
      <c r="N533" s="201">
        <f t="shared" si="8"/>
        <v>12</v>
      </c>
      <c r="O533" s="214"/>
      <c r="P533" s="152">
        <v>0</v>
      </c>
      <c r="Q533" s="152">
        <v>0</v>
      </c>
      <c r="R533" s="152">
        <v>1</v>
      </c>
      <c r="S533" s="152">
        <v>524</v>
      </c>
    </row>
    <row r="534" spans="1:19" s="52" customFormat="1" ht="16.5" customHeight="1">
      <c r="A534" s="211">
        <v>525</v>
      </c>
      <c r="B534" s="212" t="s">
        <v>4272</v>
      </c>
      <c r="C534" s="211">
        <v>1760502</v>
      </c>
      <c r="D534" s="212" t="s">
        <v>3635</v>
      </c>
      <c r="E534" s="152" t="s">
        <v>3618</v>
      </c>
      <c r="F534" s="152" t="s">
        <v>3624</v>
      </c>
      <c r="G534" s="178" t="s">
        <v>3639</v>
      </c>
      <c r="H534" s="213" t="s">
        <v>3639</v>
      </c>
      <c r="I534" s="213" t="s">
        <v>3639</v>
      </c>
      <c r="J534" s="201">
        <f>COUNTIFS('TURMAS 2015.2'!U:U,A534)</f>
        <v>3</v>
      </c>
      <c r="K534" s="201">
        <f>SUMIFS('TURMAS 2015.2'!J:J,'TURMAS 2015.2'!U:U,A534)</f>
        <v>12</v>
      </c>
      <c r="L534" s="201">
        <f>COUNTIF('TURMAS 2015.2'!X:X,A534)</f>
        <v>3</v>
      </c>
      <c r="M534" s="201">
        <f>SUMIFS('TURMAS 2015.2'!K:K,'TURMAS 2015.2'!X:X,A534)</f>
        <v>0</v>
      </c>
      <c r="N534" s="201">
        <f t="shared" si="8"/>
        <v>12</v>
      </c>
      <c r="O534" s="214"/>
      <c r="P534" s="152" t="s">
        <v>4273</v>
      </c>
      <c r="Q534" s="152">
        <v>0.3</v>
      </c>
      <c r="R534" s="152">
        <v>0.7</v>
      </c>
      <c r="S534" s="152">
        <v>525</v>
      </c>
    </row>
    <row r="535" spans="1:19" s="52" customFormat="1" ht="16.5" customHeight="1">
      <c r="A535" s="211">
        <v>526</v>
      </c>
      <c r="B535" s="212" t="s">
        <v>4274</v>
      </c>
      <c r="C535" s="211">
        <v>1653014</v>
      </c>
      <c r="D535" s="212" t="s">
        <v>3610</v>
      </c>
      <c r="E535" s="152" t="s">
        <v>3618</v>
      </c>
      <c r="F535" s="152" t="s">
        <v>3624</v>
      </c>
      <c r="G535" s="178" t="s">
        <v>3639</v>
      </c>
      <c r="H535" s="213" t="s">
        <v>3639</v>
      </c>
      <c r="I535" s="213" t="s">
        <v>3639</v>
      </c>
      <c r="J535" s="201">
        <f>COUNTIFS('TURMAS 2015.2'!U:U,A535)</f>
        <v>2</v>
      </c>
      <c r="K535" s="201">
        <f>SUMIFS('TURMAS 2015.2'!J:J,'TURMAS 2015.2'!U:U,A535)</f>
        <v>8</v>
      </c>
      <c r="L535" s="201">
        <f>COUNTIF('TURMAS 2015.2'!X:X,A535)</f>
        <v>0</v>
      </c>
      <c r="M535" s="201">
        <f>SUMIFS('TURMAS 2015.2'!K:K,'TURMAS 2015.2'!X:X,A535)</f>
        <v>0</v>
      </c>
      <c r="N535" s="201">
        <f t="shared" si="8"/>
        <v>8</v>
      </c>
      <c r="O535" s="214"/>
      <c r="P535" s="152">
        <v>0</v>
      </c>
      <c r="Q535" s="152">
        <v>0</v>
      </c>
      <c r="R535" s="152">
        <v>1</v>
      </c>
      <c r="S535" s="152">
        <v>526</v>
      </c>
    </row>
    <row r="536" spans="1:19" s="52" customFormat="1" ht="16.5" customHeight="1">
      <c r="A536" s="211">
        <v>527</v>
      </c>
      <c r="B536" s="212" t="s">
        <v>4275</v>
      </c>
      <c r="C536" s="211">
        <v>1658925</v>
      </c>
      <c r="D536" s="212" t="s">
        <v>3610</v>
      </c>
      <c r="E536" s="152" t="s">
        <v>3643</v>
      </c>
      <c r="F536" s="152" t="s">
        <v>3624</v>
      </c>
      <c r="G536" s="178" t="s">
        <v>3639</v>
      </c>
      <c r="H536" s="213" t="s">
        <v>3639</v>
      </c>
      <c r="I536" s="213" t="s">
        <v>3639</v>
      </c>
      <c r="J536" s="201">
        <f>COUNTIFS('TURMAS 2015.2'!U:U,A536)</f>
        <v>0</v>
      </c>
      <c r="K536" s="201">
        <f>SUMIFS('TURMAS 2015.2'!J:J,'TURMAS 2015.2'!U:U,A536)</f>
        <v>0</v>
      </c>
      <c r="L536" s="201">
        <f>COUNTIF('TURMAS 2015.2'!X:X,A536)</f>
        <v>0</v>
      </c>
      <c r="M536" s="201">
        <f>SUMIFS('TURMAS 2015.2'!K:K,'TURMAS 2015.2'!X:X,A536)</f>
        <v>0</v>
      </c>
      <c r="N536" s="201">
        <f t="shared" si="8"/>
        <v>0</v>
      </c>
      <c r="O536" s="214"/>
      <c r="P536" s="152">
        <v>0</v>
      </c>
      <c r="Q536" s="152">
        <v>0</v>
      </c>
      <c r="R536" s="152">
        <v>1</v>
      </c>
      <c r="S536" s="152">
        <v>527</v>
      </c>
    </row>
    <row r="537" spans="1:19" s="52" customFormat="1" ht="16.5" customHeight="1">
      <c r="A537" s="211">
        <v>528</v>
      </c>
      <c r="B537" s="212" t="s">
        <v>4276</v>
      </c>
      <c r="C537" s="211">
        <v>1734928</v>
      </c>
      <c r="D537" s="212" t="s">
        <v>3610</v>
      </c>
      <c r="E537" s="152" t="s">
        <v>3611</v>
      </c>
      <c r="F537" s="152" t="s">
        <v>3624</v>
      </c>
      <c r="G537" s="178" t="s">
        <v>3639</v>
      </c>
      <c r="H537" s="213" t="s">
        <v>3639</v>
      </c>
      <c r="I537" s="213" t="s">
        <v>3639</v>
      </c>
      <c r="J537" s="201">
        <f>COUNTIFS('TURMAS 2015.2'!U:U,A537)</f>
        <v>0</v>
      </c>
      <c r="K537" s="201">
        <f>SUMIFS('TURMAS 2015.2'!J:J,'TURMAS 2015.2'!U:U,A537)</f>
        <v>0</v>
      </c>
      <c r="L537" s="201">
        <f>COUNTIF('TURMAS 2015.2'!X:X,A537)</f>
        <v>0</v>
      </c>
      <c r="M537" s="201">
        <f>SUMIFS('TURMAS 2015.2'!K:K,'TURMAS 2015.2'!X:X,A537)</f>
        <v>0</v>
      </c>
      <c r="N537" s="201">
        <f t="shared" si="8"/>
        <v>0</v>
      </c>
      <c r="O537" s="214"/>
      <c r="P537" s="152" t="s">
        <v>4277</v>
      </c>
      <c r="Q537" s="152">
        <v>0.3</v>
      </c>
      <c r="R537" s="152">
        <v>0.7</v>
      </c>
      <c r="S537" s="152">
        <v>528</v>
      </c>
    </row>
    <row r="538" spans="1:19" s="52" customFormat="1" ht="16.5" customHeight="1">
      <c r="A538" s="211">
        <v>529</v>
      </c>
      <c r="B538" s="212" t="s">
        <v>4278</v>
      </c>
      <c r="C538" s="211">
        <v>1604317</v>
      </c>
      <c r="D538" s="212" t="s">
        <v>3647</v>
      </c>
      <c r="E538" s="152" t="s">
        <v>3618</v>
      </c>
      <c r="F538" s="152" t="s">
        <v>3624</v>
      </c>
      <c r="G538" s="178" t="s">
        <v>3639</v>
      </c>
      <c r="H538" s="213" t="s">
        <v>3639</v>
      </c>
      <c r="I538" s="213" t="s">
        <v>3639</v>
      </c>
      <c r="J538" s="201">
        <f>COUNTIFS('TURMAS 2015.2'!U:U,A538)</f>
        <v>1</v>
      </c>
      <c r="K538" s="201">
        <f>SUMIFS('TURMAS 2015.2'!J:J,'TURMAS 2015.2'!U:U,A538)</f>
        <v>3</v>
      </c>
      <c r="L538" s="201">
        <f>COUNTIF('TURMAS 2015.2'!X:X,A538)</f>
        <v>1</v>
      </c>
      <c r="M538" s="201">
        <f>SUMIFS('TURMAS 2015.2'!K:K,'TURMAS 2015.2'!X:X,A538)</f>
        <v>1</v>
      </c>
      <c r="N538" s="201">
        <f t="shared" si="8"/>
        <v>4</v>
      </c>
      <c r="O538" s="214"/>
      <c r="P538" s="152" t="s">
        <v>4279</v>
      </c>
      <c r="Q538" s="152">
        <v>0.3</v>
      </c>
      <c r="R538" s="152">
        <v>0.7</v>
      </c>
      <c r="S538" s="152">
        <v>529</v>
      </c>
    </row>
    <row r="539" spans="1:19" s="52" customFormat="1" ht="16.5" customHeight="1">
      <c r="A539" s="211">
        <v>530</v>
      </c>
      <c r="B539" s="212" t="s">
        <v>4280</v>
      </c>
      <c r="C539" s="211">
        <v>1546550</v>
      </c>
      <c r="D539" s="212" t="s">
        <v>3617</v>
      </c>
      <c r="E539" s="152" t="s">
        <v>3618</v>
      </c>
      <c r="F539" s="152" t="s">
        <v>3624</v>
      </c>
      <c r="G539" s="178" t="s">
        <v>3639</v>
      </c>
      <c r="H539" s="213" t="s">
        <v>3639</v>
      </c>
      <c r="I539" s="213" t="s">
        <v>3639</v>
      </c>
      <c r="J539" s="201">
        <f>COUNTIFS('TURMAS 2015.2'!U:U,A539)</f>
        <v>0</v>
      </c>
      <c r="K539" s="201">
        <f>SUMIFS('TURMAS 2015.2'!J:J,'TURMAS 2015.2'!U:U,A539)</f>
        <v>0</v>
      </c>
      <c r="L539" s="201">
        <f>COUNTIF('TURMAS 2015.2'!X:X,A539)</f>
        <v>0</v>
      </c>
      <c r="M539" s="201">
        <f>SUMIFS('TURMAS 2015.2'!K:K,'TURMAS 2015.2'!X:X,A539)</f>
        <v>0</v>
      </c>
      <c r="N539" s="201">
        <f t="shared" si="8"/>
        <v>0</v>
      </c>
      <c r="O539" s="214"/>
      <c r="P539" s="152">
        <v>0</v>
      </c>
      <c r="Q539" s="152">
        <v>0</v>
      </c>
      <c r="R539" s="152">
        <v>1</v>
      </c>
      <c r="S539" s="152">
        <v>530</v>
      </c>
    </row>
    <row r="540" spans="1:19" s="52" customFormat="1" ht="16.5" customHeight="1">
      <c r="A540" s="211">
        <v>531</v>
      </c>
      <c r="B540" s="215" t="s">
        <v>4281</v>
      </c>
      <c r="C540" s="211">
        <v>2190978</v>
      </c>
      <c r="D540" s="211"/>
      <c r="E540" s="152" t="s">
        <v>3611</v>
      </c>
      <c r="F540" s="152" t="s">
        <v>3624</v>
      </c>
      <c r="G540" s="178"/>
      <c r="H540" s="213"/>
      <c r="I540" s="213"/>
      <c r="J540" s="201">
        <f>COUNTIFS('TURMAS 2015.2'!U:U,A540)</f>
        <v>2</v>
      </c>
      <c r="K540" s="201">
        <f>SUMIFS('TURMAS 2015.2'!J:J,'TURMAS 2015.2'!U:U,A540)</f>
        <v>8</v>
      </c>
      <c r="L540" s="201">
        <f>COUNTIF('TURMAS 2015.2'!X:X,A540)</f>
        <v>0</v>
      </c>
      <c r="M540" s="201">
        <f>SUMIFS('TURMAS 2015.2'!K:K,'TURMAS 2015.2'!X:X,A540)</f>
        <v>0</v>
      </c>
      <c r="N540" s="201">
        <f t="shared" si="8"/>
        <v>8</v>
      </c>
      <c r="O540" s="214"/>
      <c r="P540" s="152"/>
      <c r="Q540" s="152"/>
      <c r="R540" s="152"/>
      <c r="S540" s="152">
        <v>531</v>
      </c>
    </row>
    <row r="541" spans="1:19" s="52" customFormat="1" ht="16.5" customHeight="1">
      <c r="A541" s="211">
        <v>532</v>
      </c>
      <c r="B541" s="212" t="s">
        <v>4282</v>
      </c>
      <c r="C541" s="211">
        <v>1730526</v>
      </c>
      <c r="D541" s="212" t="s">
        <v>3610</v>
      </c>
      <c r="E541" s="152" t="s">
        <v>3618</v>
      </c>
      <c r="F541" s="152" t="s">
        <v>3624</v>
      </c>
      <c r="G541" s="178" t="s">
        <v>3639</v>
      </c>
      <c r="H541" s="213" t="s">
        <v>3639</v>
      </c>
      <c r="I541" s="213" t="s">
        <v>3639</v>
      </c>
      <c r="J541" s="201">
        <f>COUNTIFS('TURMAS 2015.2'!U:U,A541)</f>
        <v>0</v>
      </c>
      <c r="K541" s="201">
        <f>SUMIFS('TURMAS 2015.2'!J:J,'TURMAS 2015.2'!U:U,A541)</f>
        <v>0</v>
      </c>
      <c r="L541" s="201">
        <f>COUNTIF('TURMAS 2015.2'!X:X,A541)</f>
        <v>1</v>
      </c>
      <c r="M541" s="201">
        <f>SUMIFS('TURMAS 2015.2'!K:K,'TURMAS 2015.2'!X:X,A541)</f>
        <v>1</v>
      </c>
      <c r="N541" s="201">
        <f t="shared" si="8"/>
        <v>1</v>
      </c>
      <c r="O541" s="214"/>
      <c r="P541" s="152">
        <v>0</v>
      </c>
      <c r="Q541" s="152">
        <v>0</v>
      </c>
      <c r="R541" s="152">
        <v>1</v>
      </c>
      <c r="S541" s="152">
        <v>532</v>
      </c>
    </row>
    <row r="542" spans="1:19" s="52" customFormat="1" ht="16.5" customHeight="1">
      <c r="A542" s="211">
        <v>533</v>
      </c>
      <c r="B542" s="215" t="s">
        <v>4283</v>
      </c>
      <c r="C542" s="211">
        <v>2218002</v>
      </c>
      <c r="D542" s="211"/>
      <c r="E542" s="152" t="s">
        <v>3618</v>
      </c>
      <c r="F542" s="152" t="s">
        <v>3624</v>
      </c>
      <c r="G542" s="178"/>
      <c r="H542" s="213"/>
      <c r="I542" s="213"/>
      <c r="J542" s="201">
        <f>COUNTIFS('TURMAS 2015.2'!U:U,A542)</f>
        <v>0</v>
      </c>
      <c r="K542" s="201">
        <f>SUMIFS('TURMAS 2015.2'!J:J,'TURMAS 2015.2'!U:U,A542)</f>
        <v>0</v>
      </c>
      <c r="L542" s="201">
        <f>COUNTIF('TURMAS 2015.2'!X:X,A542)</f>
        <v>0</v>
      </c>
      <c r="M542" s="201">
        <f>SUMIFS('TURMAS 2015.2'!K:K,'TURMAS 2015.2'!X:X,A542)</f>
        <v>0</v>
      </c>
      <c r="N542" s="201">
        <f t="shared" si="8"/>
        <v>0</v>
      </c>
      <c r="O542" s="214"/>
      <c r="P542" s="152"/>
      <c r="Q542" s="152"/>
      <c r="R542" s="152"/>
      <c r="S542" s="152">
        <v>533</v>
      </c>
    </row>
    <row r="543" spans="1:19" ht="16.5" customHeight="1">
      <c r="A543" s="211">
        <v>2001</v>
      </c>
      <c r="B543" s="215" t="s">
        <v>4284</v>
      </c>
      <c r="C543" s="211" t="s">
        <v>4285</v>
      </c>
      <c r="D543" s="211" t="s">
        <v>4285</v>
      </c>
      <c r="E543" s="152" t="s">
        <v>4285</v>
      </c>
      <c r="F543" s="152" t="s">
        <v>4285</v>
      </c>
      <c r="G543" s="178" t="s">
        <v>4285</v>
      </c>
      <c r="H543" s="213"/>
      <c r="I543" s="213"/>
      <c r="J543" s="201">
        <f>COUNTIFS('TURMAS 2015.2'!U:U,A543)</f>
        <v>0</v>
      </c>
      <c r="K543" s="201">
        <f>SUMIFS('TURMAS 2015.2'!J:J,'TURMAS 2015.2'!U:U,A543)</f>
        <v>0</v>
      </c>
      <c r="L543" s="201">
        <f>COUNTIF('TURMAS 2015.2'!X:X,A543)</f>
        <v>0</v>
      </c>
      <c r="M543" s="201">
        <f>SUMIFS('TURMAS 2015.2'!K:K,'TURMAS 2015.2'!X:X,A543)</f>
        <v>0</v>
      </c>
      <c r="N543" s="201">
        <f t="shared" si="8"/>
        <v>0</v>
      </c>
      <c r="O543" s="214"/>
      <c r="P543" s="152">
        <v>0</v>
      </c>
      <c r="Q543" s="152">
        <v>0</v>
      </c>
      <c r="R543" s="152">
        <v>1</v>
      </c>
      <c r="S543" s="152">
        <v>534</v>
      </c>
    </row>
    <row r="544" spans="1:19" ht="16.5" customHeight="1">
      <c r="A544" s="211">
        <v>535</v>
      </c>
      <c r="B544" s="215" t="s">
        <v>4286</v>
      </c>
      <c r="C544" s="211">
        <v>2187291</v>
      </c>
      <c r="D544" s="211" t="s">
        <v>3608</v>
      </c>
      <c r="E544" s="152" t="s">
        <v>3618</v>
      </c>
      <c r="F544" s="152" t="s">
        <v>3624</v>
      </c>
      <c r="G544" s="178"/>
      <c r="H544" s="213"/>
      <c r="I544" s="213"/>
      <c r="J544" s="201">
        <f>COUNTIFS('TURMAS 2015.2'!U:U,A544)</f>
        <v>2</v>
      </c>
      <c r="K544" s="201">
        <f>SUMIFS('TURMAS 2015.2'!J:J,'TURMAS 2015.2'!U:U,A544)</f>
        <v>8</v>
      </c>
      <c r="L544" s="201">
        <f>COUNTIF('TURMAS 2015.2'!X:X,A544)</f>
        <v>0</v>
      </c>
      <c r="M544" s="201">
        <f>SUMIFS('TURMAS 2015.2'!K:K,'TURMAS 2015.2'!X:X,A544)</f>
        <v>0</v>
      </c>
      <c r="N544" s="201">
        <f t="shared" si="8"/>
        <v>8</v>
      </c>
      <c r="O544" s="214"/>
      <c r="P544" s="152">
        <v>0</v>
      </c>
      <c r="Q544" s="152">
        <v>0</v>
      </c>
      <c r="R544" s="152">
        <v>1</v>
      </c>
      <c r="S544" s="152">
        <v>535</v>
      </c>
    </row>
    <row r="545" spans="1:19" ht="16.5" customHeight="1">
      <c r="A545" s="211">
        <v>536</v>
      </c>
      <c r="B545" s="212" t="s">
        <v>4287</v>
      </c>
      <c r="C545" s="211">
        <v>1676320</v>
      </c>
      <c r="D545" s="212" t="s">
        <v>3610</v>
      </c>
      <c r="E545" s="152" t="s">
        <v>3611</v>
      </c>
      <c r="F545" s="152" t="s">
        <v>3624</v>
      </c>
      <c r="G545" s="178" t="s">
        <v>3639</v>
      </c>
      <c r="H545" s="213" t="s">
        <v>3639</v>
      </c>
      <c r="I545" s="213" t="s">
        <v>3639</v>
      </c>
      <c r="J545" s="201">
        <f>COUNTIFS('TURMAS 2015.2'!U:U,A545)</f>
        <v>0</v>
      </c>
      <c r="K545" s="201">
        <f>SUMIFS('TURMAS 2015.2'!J:J,'TURMAS 2015.2'!U:U,A545)</f>
        <v>0</v>
      </c>
      <c r="L545" s="201">
        <f>COUNTIF('TURMAS 2015.2'!X:X,A545)</f>
        <v>0</v>
      </c>
      <c r="M545" s="201">
        <f>SUMIFS('TURMAS 2015.2'!K:K,'TURMAS 2015.2'!X:X,A545)</f>
        <v>0</v>
      </c>
      <c r="N545" s="201">
        <f t="shared" si="8"/>
        <v>0</v>
      </c>
      <c r="O545" s="214"/>
      <c r="P545" s="152">
        <v>0</v>
      </c>
      <c r="Q545" s="152">
        <v>0</v>
      </c>
      <c r="R545" s="152">
        <v>1</v>
      </c>
      <c r="S545" s="152">
        <v>536</v>
      </c>
    </row>
    <row r="546" spans="1:19" ht="16.5" customHeight="1">
      <c r="A546" s="211">
        <v>537</v>
      </c>
      <c r="B546" s="212" t="s">
        <v>4288</v>
      </c>
      <c r="C546" s="211">
        <v>1809833</v>
      </c>
      <c r="D546" s="212" t="s">
        <v>3610</v>
      </c>
      <c r="E546" s="152" t="s">
        <v>3618</v>
      </c>
      <c r="F546" s="152" t="s">
        <v>3624</v>
      </c>
      <c r="G546" s="178" t="s">
        <v>3639</v>
      </c>
      <c r="H546" s="213" t="s">
        <v>3639</v>
      </c>
      <c r="I546" s="213" t="s">
        <v>3639</v>
      </c>
      <c r="J546" s="201">
        <f>COUNTIFS('TURMAS 2015.2'!U:U,A546)</f>
        <v>1</v>
      </c>
      <c r="K546" s="201">
        <f>SUMIFS('TURMAS 2015.2'!J:J,'TURMAS 2015.2'!U:U,A546)</f>
        <v>2</v>
      </c>
      <c r="L546" s="201">
        <f>COUNTIF('TURMAS 2015.2'!X:X,A546)</f>
        <v>2</v>
      </c>
      <c r="M546" s="201">
        <f>SUMIFS('TURMAS 2015.2'!K:K,'TURMAS 2015.2'!X:X,A546)</f>
        <v>5</v>
      </c>
      <c r="N546" s="201">
        <f t="shared" si="8"/>
        <v>7</v>
      </c>
      <c r="O546" s="214"/>
      <c r="P546" s="152">
        <v>0</v>
      </c>
      <c r="Q546" s="152">
        <v>0</v>
      </c>
      <c r="R546" s="152">
        <v>1</v>
      </c>
      <c r="S546" s="152">
        <v>537</v>
      </c>
    </row>
    <row r="547" spans="1:19" ht="16.5" customHeight="1">
      <c r="A547" s="211">
        <v>538</v>
      </c>
      <c r="B547" s="215" t="s">
        <v>4289</v>
      </c>
      <c r="C547" s="211">
        <v>1775532</v>
      </c>
      <c r="D547" s="211"/>
      <c r="E547" s="152" t="s">
        <v>3618</v>
      </c>
      <c r="F547" s="152" t="s">
        <v>3624</v>
      </c>
      <c r="G547" s="178"/>
      <c r="H547" s="213"/>
      <c r="I547" s="213"/>
      <c r="J547" s="201">
        <f>COUNTIFS('TURMAS 2015.2'!U:U,A547)</f>
        <v>0</v>
      </c>
      <c r="K547" s="201">
        <f>SUMIFS('TURMAS 2015.2'!J:J,'TURMAS 2015.2'!U:U,A547)</f>
        <v>0</v>
      </c>
      <c r="L547" s="201">
        <f>COUNTIF('TURMAS 2015.2'!X:X,A547)</f>
        <v>0</v>
      </c>
      <c r="M547" s="201">
        <f>SUMIFS('TURMAS 2015.2'!K:K,'TURMAS 2015.2'!X:X,A547)</f>
        <v>0</v>
      </c>
      <c r="N547" s="201">
        <f t="shared" si="8"/>
        <v>0</v>
      </c>
      <c r="O547" s="214"/>
      <c r="P547" s="152"/>
      <c r="Q547" s="152"/>
      <c r="R547" s="152"/>
      <c r="S547" s="152">
        <v>538</v>
      </c>
    </row>
    <row r="548" spans="1:19" ht="16.5" customHeight="1">
      <c r="A548" s="211">
        <v>539</v>
      </c>
      <c r="B548" s="212" t="s">
        <v>4290</v>
      </c>
      <c r="C548" s="211">
        <v>1876380</v>
      </c>
      <c r="D548" s="212" t="s">
        <v>3635</v>
      </c>
      <c r="E548" s="152" t="s">
        <v>3618</v>
      </c>
      <c r="F548" s="152" t="s">
        <v>3624</v>
      </c>
      <c r="G548" s="178" t="s">
        <v>3639</v>
      </c>
      <c r="H548" s="213" t="s">
        <v>3639</v>
      </c>
      <c r="I548" s="213" t="s">
        <v>3639</v>
      </c>
      <c r="J548" s="201">
        <f>COUNTIFS('TURMAS 2015.2'!U:U,A548)</f>
        <v>0</v>
      </c>
      <c r="K548" s="201">
        <f>SUMIFS('TURMAS 2015.2'!J:J,'TURMAS 2015.2'!U:U,A548)</f>
        <v>0</v>
      </c>
      <c r="L548" s="201">
        <f>COUNTIF('TURMAS 2015.2'!X:X,A548)</f>
        <v>0</v>
      </c>
      <c r="M548" s="201">
        <f>SUMIFS('TURMAS 2015.2'!K:K,'TURMAS 2015.2'!X:X,A548)</f>
        <v>0</v>
      </c>
      <c r="N548" s="201">
        <f t="shared" si="8"/>
        <v>0</v>
      </c>
      <c r="O548" s="214"/>
      <c r="P548" s="152">
        <v>0</v>
      </c>
      <c r="Q548" s="152">
        <v>0</v>
      </c>
      <c r="R548" s="152">
        <v>1</v>
      </c>
      <c r="S548" s="152">
        <v>539</v>
      </c>
    </row>
    <row r="549" spans="1:19" ht="16.5" customHeight="1">
      <c r="A549" s="211">
        <v>540</v>
      </c>
      <c r="B549" s="212" t="s">
        <v>4291</v>
      </c>
      <c r="C549" s="211">
        <v>2083043</v>
      </c>
      <c r="D549" s="212" t="s">
        <v>3653</v>
      </c>
      <c r="E549" s="152" t="s">
        <v>3618</v>
      </c>
      <c r="F549" s="152" t="s">
        <v>3624</v>
      </c>
      <c r="G549" s="178" t="s">
        <v>3639</v>
      </c>
      <c r="H549" s="213" t="s">
        <v>3639</v>
      </c>
      <c r="I549" s="213" t="s">
        <v>3639</v>
      </c>
      <c r="J549" s="201">
        <f>COUNTIFS('TURMAS 2015.2'!U:U,A549)</f>
        <v>2</v>
      </c>
      <c r="K549" s="201">
        <f>SUMIFS('TURMAS 2015.2'!J:J,'TURMAS 2015.2'!U:U,A549)</f>
        <v>8</v>
      </c>
      <c r="L549" s="201">
        <f>COUNTIF('TURMAS 2015.2'!X:X,A549)</f>
        <v>0</v>
      </c>
      <c r="M549" s="201">
        <f>SUMIFS('TURMAS 2015.2'!K:K,'TURMAS 2015.2'!X:X,A549)</f>
        <v>0</v>
      </c>
      <c r="N549" s="201">
        <f t="shared" si="8"/>
        <v>8</v>
      </c>
      <c r="O549" s="214"/>
      <c r="P549" s="152">
        <v>0</v>
      </c>
      <c r="Q549" s="152">
        <v>0</v>
      </c>
      <c r="R549" s="152">
        <v>1</v>
      </c>
      <c r="S549" s="152">
        <v>540</v>
      </c>
    </row>
    <row r="550" spans="1:19" ht="16.5" customHeight="1">
      <c r="A550" s="211">
        <v>541</v>
      </c>
      <c r="B550" s="212" t="s">
        <v>4292</v>
      </c>
      <c r="C550" s="211">
        <v>1545114</v>
      </c>
      <c r="D550" s="212" t="s">
        <v>3635</v>
      </c>
      <c r="E550" s="152" t="s">
        <v>3611</v>
      </c>
      <c r="F550" s="152" t="s">
        <v>3624</v>
      </c>
      <c r="G550" s="178" t="s">
        <v>3639</v>
      </c>
      <c r="H550" s="213" t="s">
        <v>3639</v>
      </c>
      <c r="I550" s="213" t="s">
        <v>3639</v>
      </c>
      <c r="J550" s="201">
        <f>COUNTIFS('TURMAS 2015.2'!U:U,A550)</f>
        <v>2</v>
      </c>
      <c r="K550" s="201">
        <f>SUMIFS('TURMAS 2015.2'!J:J,'TURMAS 2015.2'!U:U,A550)</f>
        <v>6</v>
      </c>
      <c r="L550" s="201">
        <f>COUNTIF('TURMAS 2015.2'!X:X,A550)</f>
        <v>0</v>
      </c>
      <c r="M550" s="201">
        <f>SUMIFS('TURMAS 2015.2'!K:K,'TURMAS 2015.2'!X:X,A550)</f>
        <v>0</v>
      </c>
      <c r="N550" s="201">
        <f t="shared" si="8"/>
        <v>6</v>
      </c>
      <c r="O550" s="214"/>
      <c r="P550" s="152">
        <v>0</v>
      </c>
      <c r="Q550" s="152">
        <v>0</v>
      </c>
      <c r="R550" s="152">
        <v>1</v>
      </c>
      <c r="S550" s="152">
        <v>541</v>
      </c>
    </row>
    <row r="551" spans="1:19" ht="16.5" customHeight="1">
      <c r="A551" s="211">
        <v>542</v>
      </c>
      <c r="B551" s="212" t="s">
        <v>4293</v>
      </c>
      <c r="C551" s="211">
        <v>1674592</v>
      </c>
      <c r="D551" s="212" t="s">
        <v>3610</v>
      </c>
      <c r="E551" s="152" t="s">
        <v>3643</v>
      </c>
      <c r="F551" s="152" t="s">
        <v>3624</v>
      </c>
      <c r="G551" s="178" t="s">
        <v>3639</v>
      </c>
      <c r="H551" s="213" t="s">
        <v>3639</v>
      </c>
      <c r="I551" s="213" t="s">
        <v>3639</v>
      </c>
      <c r="J551" s="201">
        <f>COUNTIFS('TURMAS 2015.2'!U:U,A551)</f>
        <v>0</v>
      </c>
      <c r="K551" s="201">
        <f>SUMIFS('TURMAS 2015.2'!J:J,'TURMAS 2015.2'!U:U,A551)</f>
        <v>0</v>
      </c>
      <c r="L551" s="201">
        <f>COUNTIF('TURMAS 2015.2'!X:X,A551)</f>
        <v>3</v>
      </c>
      <c r="M551" s="201">
        <f>SUMIFS('TURMAS 2015.2'!K:K,'TURMAS 2015.2'!X:X,A551)</f>
        <v>6</v>
      </c>
      <c r="N551" s="201">
        <f t="shared" si="8"/>
        <v>6</v>
      </c>
      <c r="O551" s="214"/>
      <c r="P551" s="152">
        <v>0</v>
      </c>
      <c r="Q551" s="152">
        <v>0</v>
      </c>
      <c r="R551" s="152">
        <v>1</v>
      </c>
      <c r="S551" s="152">
        <v>542</v>
      </c>
    </row>
    <row r="552" spans="1:19" ht="16.5" customHeight="1">
      <c r="A552" s="211">
        <v>543</v>
      </c>
      <c r="B552" s="212" t="s">
        <v>4294</v>
      </c>
      <c r="C552" s="211">
        <v>395123</v>
      </c>
      <c r="D552" s="212" t="s">
        <v>3642</v>
      </c>
      <c r="E552" s="152" t="s">
        <v>3611</v>
      </c>
      <c r="F552" s="152" t="s">
        <v>3624</v>
      </c>
      <c r="G552" s="178" t="s">
        <v>3639</v>
      </c>
      <c r="H552" s="213" t="s">
        <v>3639</v>
      </c>
      <c r="I552" s="213" t="s">
        <v>3639</v>
      </c>
      <c r="J552" s="201">
        <f>COUNTIFS('TURMAS 2015.2'!U:U,A552)</f>
        <v>2</v>
      </c>
      <c r="K552" s="201">
        <f>SUMIFS('TURMAS 2015.2'!J:J,'TURMAS 2015.2'!U:U,A552)</f>
        <v>6</v>
      </c>
      <c r="L552" s="201">
        <f>COUNTIF('TURMAS 2015.2'!X:X,A552)</f>
        <v>0</v>
      </c>
      <c r="M552" s="201">
        <f>SUMIFS('TURMAS 2015.2'!K:K,'TURMAS 2015.2'!X:X,A552)</f>
        <v>0</v>
      </c>
      <c r="N552" s="201">
        <f t="shared" si="8"/>
        <v>6</v>
      </c>
      <c r="O552" s="214"/>
      <c r="P552" s="152">
        <v>0</v>
      </c>
      <c r="Q552" s="152">
        <v>0</v>
      </c>
      <c r="R552" s="152">
        <v>1</v>
      </c>
      <c r="S552" s="152">
        <v>543</v>
      </c>
    </row>
    <row r="553" spans="1:19" ht="16.5" customHeight="1">
      <c r="A553" s="211">
        <v>544</v>
      </c>
      <c r="B553" s="212" t="s">
        <v>4295</v>
      </c>
      <c r="C553" s="211">
        <v>1763446</v>
      </c>
      <c r="D553" s="212" t="s">
        <v>3610</v>
      </c>
      <c r="E553" s="152" t="s">
        <v>3618</v>
      </c>
      <c r="F553" s="152" t="s">
        <v>3624</v>
      </c>
      <c r="G553" s="178" t="s">
        <v>3639</v>
      </c>
      <c r="H553" s="213" t="s">
        <v>3639</v>
      </c>
      <c r="I553" s="213" t="s">
        <v>3639</v>
      </c>
      <c r="J553" s="201">
        <f>COUNTIFS('TURMAS 2015.2'!U:U,A553)</f>
        <v>2</v>
      </c>
      <c r="K553" s="201">
        <f>SUMIFS('TURMAS 2015.2'!J:J,'TURMAS 2015.2'!U:U,A553)</f>
        <v>6</v>
      </c>
      <c r="L553" s="201">
        <f>COUNTIF('TURMAS 2015.2'!X:X,A553)</f>
        <v>2</v>
      </c>
      <c r="M553" s="201">
        <f>SUMIFS('TURMAS 2015.2'!K:K,'TURMAS 2015.2'!X:X,A553)</f>
        <v>2</v>
      </c>
      <c r="N553" s="201">
        <f t="shared" si="8"/>
        <v>8</v>
      </c>
      <c r="O553" s="214"/>
      <c r="P553" s="152">
        <v>0</v>
      </c>
      <c r="Q553" s="152">
        <v>0</v>
      </c>
      <c r="R553" s="152">
        <v>1</v>
      </c>
      <c r="S553" s="152">
        <v>544</v>
      </c>
    </row>
    <row r="554" spans="1:19" ht="16.5" customHeight="1">
      <c r="A554" s="211">
        <v>545</v>
      </c>
      <c r="B554" s="212" t="s">
        <v>4296</v>
      </c>
      <c r="C554" s="211">
        <v>1574074</v>
      </c>
      <c r="D554" s="212" t="s">
        <v>3647</v>
      </c>
      <c r="E554" s="152" t="s">
        <v>3611</v>
      </c>
      <c r="F554" s="152" t="s">
        <v>3624</v>
      </c>
      <c r="G554" s="178" t="s">
        <v>3639</v>
      </c>
      <c r="H554" s="213" t="s">
        <v>3639</v>
      </c>
      <c r="I554" s="213" t="s">
        <v>3639</v>
      </c>
      <c r="J554" s="201">
        <f>COUNTIFS('TURMAS 2015.2'!U:U,A554)</f>
        <v>2</v>
      </c>
      <c r="K554" s="201">
        <f>SUMIFS('TURMAS 2015.2'!J:J,'TURMAS 2015.2'!U:U,A554)</f>
        <v>6</v>
      </c>
      <c r="L554" s="201">
        <f>COUNTIF('TURMAS 2015.2'!X:X,A554)</f>
        <v>1</v>
      </c>
      <c r="M554" s="201">
        <f>SUMIFS('TURMAS 2015.2'!K:K,'TURMAS 2015.2'!X:X,A554)</f>
        <v>2</v>
      </c>
      <c r="N554" s="201">
        <f t="shared" si="8"/>
        <v>8</v>
      </c>
      <c r="O554" s="214"/>
      <c r="P554" s="152">
        <v>0</v>
      </c>
      <c r="Q554" s="152">
        <v>0</v>
      </c>
      <c r="R554" s="152">
        <v>1</v>
      </c>
      <c r="S554" s="152">
        <v>545</v>
      </c>
    </row>
    <row r="555" spans="1:19" ht="16.5" customHeight="1">
      <c r="A555" s="211">
        <v>546</v>
      </c>
      <c r="B555" s="212" t="s">
        <v>4297</v>
      </c>
      <c r="C555" s="211">
        <v>2608929</v>
      </c>
      <c r="D555" s="212" t="s">
        <v>3647</v>
      </c>
      <c r="E555" s="152" t="s">
        <v>3643</v>
      </c>
      <c r="F555" s="152" t="s">
        <v>3624</v>
      </c>
      <c r="G555" s="178" t="s">
        <v>3639</v>
      </c>
      <c r="H555" s="213" t="s">
        <v>3639</v>
      </c>
      <c r="I555" s="213" t="s">
        <v>3639</v>
      </c>
      <c r="J555" s="201">
        <f>COUNTIFS('TURMAS 2015.2'!U:U,A555)</f>
        <v>0</v>
      </c>
      <c r="K555" s="201">
        <f>SUMIFS('TURMAS 2015.2'!J:J,'TURMAS 2015.2'!U:U,A555)</f>
        <v>0</v>
      </c>
      <c r="L555" s="201">
        <f>COUNTIF('TURMAS 2015.2'!X:X,A555)</f>
        <v>0</v>
      </c>
      <c r="M555" s="201">
        <f>SUMIFS('TURMAS 2015.2'!K:K,'TURMAS 2015.2'!X:X,A555)</f>
        <v>0</v>
      </c>
      <c r="N555" s="201">
        <f t="shared" si="8"/>
        <v>0</v>
      </c>
      <c r="O555" s="214"/>
      <c r="P555" s="152">
        <v>0</v>
      </c>
      <c r="Q555" s="152">
        <v>0</v>
      </c>
      <c r="R555" s="152">
        <v>1</v>
      </c>
      <c r="S555" s="152">
        <v>546</v>
      </c>
    </row>
    <row r="556" spans="1:19" ht="16.5" customHeight="1">
      <c r="A556" s="211">
        <v>547</v>
      </c>
      <c r="B556" s="215" t="s">
        <v>4298</v>
      </c>
      <c r="C556" s="211">
        <v>2187294</v>
      </c>
      <c r="D556" s="211" t="s">
        <v>3608</v>
      </c>
      <c r="E556" s="152" t="s">
        <v>3618</v>
      </c>
      <c r="F556" s="152" t="s">
        <v>3624</v>
      </c>
      <c r="G556" s="178"/>
      <c r="H556" s="213"/>
      <c r="I556" s="213"/>
      <c r="J556" s="201">
        <f>COUNTIFS('TURMAS 2015.2'!U:U,A556)</f>
        <v>3</v>
      </c>
      <c r="K556" s="201">
        <f>SUMIFS('TURMAS 2015.2'!J:J,'TURMAS 2015.2'!U:U,A556)</f>
        <v>12</v>
      </c>
      <c r="L556" s="201">
        <f>COUNTIF('TURMAS 2015.2'!X:X,A556)</f>
        <v>0</v>
      </c>
      <c r="M556" s="201">
        <f>SUMIFS('TURMAS 2015.2'!K:K,'TURMAS 2015.2'!X:X,A556)</f>
        <v>0</v>
      </c>
      <c r="N556" s="201">
        <f t="shared" si="8"/>
        <v>12</v>
      </c>
      <c r="O556" s="214"/>
      <c r="P556" s="152">
        <v>0</v>
      </c>
      <c r="Q556" s="152">
        <v>0</v>
      </c>
      <c r="R556" s="152">
        <v>1</v>
      </c>
      <c r="S556" s="152">
        <v>547</v>
      </c>
    </row>
    <row r="557" spans="1:19" ht="16.5" customHeight="1">
      <c r="A557" s="211">
        <v>548</v>
      </c>
      <c r="B557" s="212" t="s">
        <v>4299</v>
      </c>
      <c r="C557" s="211">
        <v>1917110</v>
      </c>
      <c r="D557" s="212" t="s">
        <v>3635</v>
      </c>
      <c r="E557" s="152" t="s">
        <v>3618</v>
      </c>
      <c r="F557" s="152" t="s">
        <v>3624</v>
      </c>
      <c r="G557" s="178" t="s">
        <v>3639</v>
      </c>
      <c r="H557" s="213" t="s">
        <v>3639</v>
      </c>
      <c r="I557" s="213" t="s">
        <v>3639</v>
      </c>
      <c r="J557" s="201">
        <f>COUNTIFS('TURMAS 2015.2'!U:U,A557)</f>
        <v>0</v>
      </c>
      <c r="K557" s="201">
        <f>SUMIFS('TURMAS 2015.2'!J:J,'TURMAS 2015.2'!U:U,A557)</f>
        <v>0</v>
      </c>
      <c r="L557" s="201">
        <f>COUNTIF('TURMAS 2015.2'!X:X,A557)</f>
        <v>0</v>
      </c>
      <c r="M557" s="201">
        <f>SUMIFS('TURMAS 2015.2'!K:K,'TURMAS 2015.2'!X:X,A557)</f>
        <v>0</v>
      </c>
      <c r="N557" s="201">
        <f t="shared" si="8"/>
        <v>0</v>
      </c>
      <c r="O557" s="214"/>
      <c r="P557" s="152">
        <v>0</v>
      </c>
      <c r="Q557" s="152">
        <v>0</v>
      </c>
      <c r="R557" s="152">
        <v>1</v>
      </c>
      <c r="S557" s="152">
        <v>548</v>
      </c>
    </row>
    <row r="558" spans="1:19" ht="16.5" customHeight="1">
      <c r="A558" s="211">
        <v>549</v>
      </c>
      <c r="B558" s="212" t="s">
        <v>4300</v>
      </c>
      <c r="C558" s="211">
        <v>1734923</v>
      </c>
      <c r="D558" s="212" t="s">
        <v>3610</v>
      </c>
      <c r="E558" s="152" t="s">
        <v>3618</v>
      </c>
      <c r="F558" s="152" t="s">
        <v>3624</v>
      </c>
      <c r="G558" s="178" t="s">
        <v>3639</v>
      </c>
      <c r="H558" s="213" t="s">
        <v>3639</v>
      </c>
      <c r="I558" s="213" t="s">
        <v>3639</v>
      </c>
      <c r="J558" s="201">
        <f>COUNTIFS('TURMAS 2015.2'!U:U,A558)</f>
        <v>1</v>
      </c>
      <c r="K558" s="201">
        <f>SUMIFS('TURMAS 2015.2'!J:J,'TURMAS 2015.2'!U:U,A558)</f>
        <v>3</v>
      </c>
      <c r="L558" s="201">
        <f>COUNTIF('TURMAS 2015.2'!X:X,A558)</f>
        <v>0</v>
      </c>
      <c r="M558" s="201">
        <f>SUMIFS('TURMAS 2015.2'!K:K,'TURMAS 2015.2'!X:X,A558)</f>
        <v>0</v>
      </c>
      <c r="N558" s="201">
        <f t="shared" si="8"/>
        <v>3</v>
      </c>
      <c r="O558" s="214"/>
      <c r="P558" s="152" t="s">
        <v>4301</v>
      </c>
      <c r="Q558" s="152">
        <v>0.7</v>
      </c>
      <c r="R558" s="152">
        <v>0.30000000000000004</v>
      </c>
      <c r="S558" s="152">
        <v>549</v>
      </c>
    </row>
    <row r="559" spans="1:19" ht="16.5" customHeight="1">
      <c r="A559" s="211">
        <v>550</v>
      </c>
      <c r="B559" s="212" t="s">
        <v>4302</v>
      </c>
      <c r="C559" s="211">
        <v>1763457</v>
      </c>
      <c r="D559" s="212" t="s">
        <v>3635</v>
      </c>
      <c r="E559" s="152" t="s">
        <v>3643</v>
      </c>
      <c r="F559" s="152" t="s">
        <v>3624</v>
      </c>
      <c r="G559" s="178" t="s">
        <v>3639</v>
      </c>
      <c r="H559" s="213" t="s">
        <v>3639</v>
      </c>
      <c r="I559" s="213" t="s">
        <v>3639</v>
      </c>
      <c r="J559" s="201">
        <f>COUNTIFS('TURMAS 2015.2'!U:U,A559)</f>
        <v>2</v>
      </c>
      <c r="K559" s="201">
        <f>SUMIFS('TURMAS 2015.2'!J:J,'TURMAS 2015.2'!U:U,A559)</f>
        <v>6</v>
      </c>
      <c r="L559" s="201">
        <f>COUNTIF('TURMAS 2015.2'!X:X,A559)</f>
        <v>0</v>
      </c>
      <c r="M559" s="201">
        <f>SUMIFS('TURMAS 2015.2'!K:K,'TURMAS 2015.2'!X:X,A559)</f>
        <v>0</v>
      </c>
      <c r="N559" s="201">
        <f t="shared" si="8"/>
        <v>6</v>
      </c>
      <c r="O559" s="214"/>
      <c r="P559" s="152">
        <v>0</v>
      </c>
      <c r="Q559" s="152">
        <v>0</v>
      </c>
      <c r="R559" s="152">
        <v>1</v>
      </c>
      <c r="S559" s="152">
        <v>550</v>
      </c>
    </row>
    <row r="560" spans="1:19" ht="16.5" customHeight="1">
      <c r="A560" s="211">
        <v>551</v>
      </c>
      <c r="B560" s="212" t="s">
        <v>4303</v>
      </c>
      <c r="C560" s="211">
        <v>2140164</v>
      </c>
      <c r="D560" s="212" t="s">
        <v>3653</v>
      </c>
      <c r="E560" s="152" t="s">
        <v>3618</v>
      </c>
      <c r="F560" s="152" t="s">
        <v>3624</v>
      </c>
      <c r="G560" s="178" t="s">
        <v>3639</v>
      </c>
      <c r="H560" s="213" t="s">
        <v>3639</v>
      </c>
      <c r="I560" s="213" t="s">
        <v>3639</v>
      </c>
      <c r="J560" s="201">
        <f>COUNTIFS('TURMAS 2015.2'!U:U,A560)</f>
        <v>1</v>
      </c>
      <c r="K560" s="201">
        <f>SUMIFS('TURMAS 2015.2'!J:J,'TURMAS 2015.2'!U:U,A560)</f>
        <v>4</v>
      </c>
      <c r="L560" s="201">
        <f>COUNTIF('TURMAS 2015.2'!X:X,A560)</f>
        <v>0</v>
      </c>
      <c r="M560" s="201">
        <f>SUMIFS('TURMAS 2015.2'!K:K,'TURMAS 2015.2'!X:X,A560)</f>
        <v>0</v>
      </c>
      <c r="N560" s="201">
        <f t="shared" si="8"/>
        <v>4</v>
      </c>
      <c r="O560" s="214"/>
      <c r="P560" s="152">
        <v>0</v>
      </c>
      <c r="Q560" s="152">
        <v>0</v>
      </c>
      <c r="R560" s="152">
        <v>1</v>
      </c>
      <c r="S560" s="152">
        <v>551</v>
      </c>
    </row>
    <row r="561" spans="1:19" ht="16.5" customHeight="1">
      <c r="A561" s="211">
        <v>552</v>
      </c>
      <c r="B561" s="212" t="s">
        <v>4304</v>
      </c>
      <c r="C561" s="211">
        <v>1544344</v>
      </c>
      <c r="D561" s="212" t="s">
        <v>3621</v>
      </c>
      <c r="E561" s="152" t="s">
        <v>3643</v>
      </c>
      <c r="F561" s="152" t="s">
        <v>3624</v>
      </c>
      <c r="G561" s="178" t="s">
        <v>3639</v>
      </c>
      <c r="H561" s="213" t="s">
        <v>3639</v>
      </c>
      <c r="I561" s="213" t="s">
        <v>3639</v>
      </c>
      <c r="J561" s="201">
        <f>COUNTIFS('TURMAS 2015.2'!U:U,A561)</f>
        <v>0</v>
      </c>
      <c r="K561" s="201">
        <f>SUMIFS('TURMAS 2015.2'!J:J,'TURMAS 2015.2'!U:U,A561)</f>
        <v>0</v>
      </c>
      <c r="L561" s="201">
        <f>COUNTIF('TURMAS 2015.2'!X:X,A561)</f>
        <v>0</v>
      </c>
      <c r="M561" s="201">
        <f>SUMIFS('TURMAS 2015.2'!K:K,'TURMAS 2015.2'!X:X,A561)</f>
        <v>0</v>
      </c>
      <c r="N561" s="201">
        <f t="shared" si="8"/>
        <v>0</v>
      </c>
      <c r="O561" s="214"/>
      <c r="P561" s="152" t="s">
        <v>4305</v>
      </c>
      <c r="Q561" s="152">
        <v>0.5</v>
      </c>
      <c r="R561" s="152">
        <v>0.5</v>
      </c>
      <c r="S561" s="152">
        <v>552</v>
      </c>
    </row>
    <row r="562" spans="1:19" ht="16.5" customHeight="1">
      <c r="A562" s="211">
        <v>553</v>
      </c>
      <c r="B562" s="212" t="s">
        <v>4306</v>
      </c>
      <c r="C562" s="211">
        <v>1948454</v>
      </c>
      <c r="D562" s="212" t="s">
        <v>3635</v>
      </c>
      <c r="E562" s="152" t="s">
        <v>3618</v>
      </c>
      <c r="F562" s="152" t="s">
        <v>3624</v>
      </c>
      <c r="G562" s="178" t="s">
        <v>3639</v>
      </c>
      <c r="H562" s="213" t="s">
        <v>3639</v>
      </c>
      <c r="I562" s="213" t="s">
        <v>3639</v>
      </c>
      <c r="J562" s="201">
        <f>COUNTIFS('TURMAS 2015.2'!U:U,A562)</f>
        <v>1</v>
      </c>
      <c r="K562" s="201">
        <f>SUMIFS('TURMAS 2015.2'!J:J,'TURMAS 2015.2'!U:U,A562)</f>
        <v>3</v>
      </c>
      <c r="L562" s="201">
        <f>COUNTIF('TURMAS 2015.2'!X:X,A562)</f>
        <v>1</v>
      </c>
      <c r="M562" s="201">
        <f>SUMIFS('TURMAS 2015.2'!K:K,'TURMAS 2015.2'!X:X,A562)</f>
        <v>1</v>
      </c>
      <c r="N562" s="201">
        <f t="shared" si="8"/>
        <v>4</v>
      </c>
      <c r="O562" s="214"/>
      <c r="P562" s="152">
        <v>0</v>
      </c>
      <c r="Q562" s="152">
        <v>0</v>
      </c>
      <c r="R562" s="152">
        <v>1</v>
      </c>
      <c r="S562" s="152">
        <v>553</v>
      </c>
    </row>
    <row r="563" spans="1:19" ht="16.5" customHeight="1">
      <c r="A563" s="211">
        <v>554</v>
      </c>
      <c r="B563" s="212" t="s">
        <v>4307</v>
      </c>
      <c r="C563" s="211">
        <v>1768313</v>
      </c>
      <c r="D563" s="212" t="s">
        <v>3617</v>
      </c>
      <c r="E563" s="152" t="s">
        <v>3611</v>
      </c>
      <c r="F563" s="152" t="s">
        <v>3624</v>
      </c>
      <c r="G563" s="178" t="s">
        <v>3639</v>
      </c>
      <c r="H563" s="213" t="s">
        <v>3639</v>
      </c>
      <c r="I563" s="213" t="s">
        <v>3639</v>
      </c>
      <c r="J563" s="201">
        <f>COUNTIFS('TURMAS 2015.2'!U:U,A563)</f>
        <v>4</v>
      </c>
      <c r="K563" s="201">
        <f>SUMIFS('TURMAS 2015.2'!J:J,'TURMAS 2015.2'!U:U,A563)</f>
        <v>5</v>
      </c>
      <c r="L563" s="201">
        <f>COUNTIF('TURMAS 2015.2'!X:X,A563)</f>
        <v>3</v>
      </c>
      <c r="M563" s="201">
        <f>SUMIFS('TURMAS 2015.2'!K:K,'TURMAS 2015.2'!X:X,A563)</f>
        <v>6</v>
      </c>
      <c r="N563" s="201">
        <f t="shared" si="8"/>
        <v>11</v>
      </c>
      <c r="O563" s="214"/>
      <c r="P563" s="152">
        <v>0</v>
      </c>
      <c r="Q563" s="152">
        <v>0</v>
      </c>
      <c r="R563" s="152">
        <v>1</v>
      </c>
      <c r="S563" s="152">
        <v>554</v>
      </c>
    </row>
    <row r="564" spans="1:19" ht="16.5" customHeight="1">
      <c r="A564" s="211">
        <v>555</v>
      </c>
      <c r="B564" s="212" t="s">
        <v>4308</v>
      </c>
      <c r="C564" s="211">
        <v>1762333</v>
      </c>
      <c r="D564" s="212" t="s">
        <v>3610</v>
      </c>
      <c r="E564" s="152" t="s">
        <v>3618</v>
      </c>
      <c r="F564" s="152" t="s">
        <v>3624</v>
      </c>
      <c r="G564" s="178" t="s">
        <v>3639</v>
      </c>
      <c r="H564" s="213" t="s">
        <v>3639</v>
      </c>
      <c r="I564" s="213" t="s">
        <v>3639</v>
      </c>
      <c r="J564" s="201">
        <f>COUNTIFS('TURMAS 2015.2'!U:U,A564)</f>
        <v>2</v>
      </c>
      <c r="K564" s="201">
        <f>SUMIFS('TURMAS 2015.2'!J:J,'TURMAS 2015.2'!U:U,A564)</f>
        <v>6</v>
      </c>
      <c r="L564" s="201">
        <f>COUNTIF('TURMAS 2015.2'!X:X,A564)</f>
        <v>2</v>
      </c>
      <c r="M564" s="201">
        <f>SUMIFS('TURMAS 2015.2'!K:K,'TURMAS 2015.2'!X:X,A564)</f>
        <v>3</v>
      </c>
      <c r="N564" s="201">
        <f t="shared" si="8"/>
        <v>9</v>
      </c>
      <c r="O564" s="214"/>
      <c r="P564" s="152">
        <v>0</v>
      </c>
      <c r="Q564" s="152">
        <v>0</v>
      </c>
      <c r="R564" s="152">
        <v>1</v>
      </c>
      <c r="S564" s="152">
        <v>555</v>
      </c>
    </row>
    <row r="565" spans="1:19" ht="16.5" customHeight="1">
      <c r="A565" s="211">
        <v>556</v>
      </c>
      <c r="B565" s="212" t="s">
        <v>4309</v>
      </c>
      <c r="C565" s="211">
        <v>382324</v>
      </c>
      <c r="D565" s="212" t="s">
        <v>4034</v>
      </c>
      <c r="E565" s="152" t="s">
        <v>3643</v>
      </c>
      <c r="F565" s="152" t="s">
        <v>3624</v>
      </c>
      <c r="G565" s="178" t="s">
        <v>3639</v>
      </c>
      <c r="H565" s="213" t="s">
        <v>3639</v>
      </c>
      <c r="I565" s="213" t="s">
        <v>3639</v>
      </c>
      <c r="J565" s="201">
        <f>COUNTIFS('TURMAS 2015.2'!U:U,A565)</f>
        <v>0</v>
      </c>
      <c r="K565" s="201">
        <f>SUMIFS('TURMAS 2015.2'!J:J,'TURMAS 2015.2'!U:U,A565)</f>
        <v>0</v>
      </c>
      <c r="L565" s="201">
        <f>COUNTIF('TURMAS 2015.2'!X:X,A565)</f>
        <v>0</v>
      </c>
      <c r="M565" s="201">
        <f>SUMIFS('TURMAS 2015.2'!K:K,'TURMAS 2015.2'!X:X,A565)</f>
        <v>0</v>
      </c>
      <c r="N565" s="201">
        <f t="shared" si="8"/>
        <v>0</v>
      </c>
      <c r="O565" s="214"/>
      <c r="P565" s="152">
        <v>0</v>
      </c>
      <c r="Q565" s="152">
        <v>0</v>
      </c>
      <c r="R565" s="152">
        <v>1</v>
      </c>
      <c r="S565" s="152">
        <v>556</v>
      </c>
    </row>
    <row r="566" spans="1:19" ht="16.5" customHeight="1">
      <c r="A566" s="211">
        <v>557</v>
      </c>
      <c r="B566" s="212" t="s">
        <v>4310</v>
      </c>
      <c r="C566" s="211">
        <v>1762345</v>
      </c>
      <c r="D566" s="212" t="s">
        <v>3610</v>
      </c>
      <c r="E566" s="152" t="s">
        <v>3611</v>
      </c>
      <c r="F566" s="152" t="s">
        <v>3624</v>
      </c>
      <c r="G566" s="178" t="s">
        <v>3639</v>
      </c>
      <c r="H566" s="213" t="s">
        <v>3639</v>
      </c>
      <c r="I566" s="213" t="s">
        <v>3639</v>
      </c>
      <c r="J566" s="201">
        <f>COUNTIFS('TURMAS 2015.2'!U:U,A566)</f>
        <v>2</v>
      </c>
      <c r="K566" s="201">
        <f>SUMIFS('TURMAS 2015.2'!J:J,'TURMAS 2015.2'!U:U,A566)</f>
        <v>8</v>
      </c>
      <c r="L566" s="201">
        <f>COUNTIF('TURMAS 2015.2'!X:X,A566)</f>
        <v>0</v>
      </c>
      <c r="M566" s="201">
        <f>SUMIFS('TURMAS 2015.2'!K:K,'TURMAS 2015.2'!X:X,A566)</f>
        <v>0</v>
      </c>
      <c r="N566" s="201">
        <f t="shared" si="8"/>
        <v>8</v>
      </c>
      <c r="O566" s="214"/>
      <c r="P566" s="152">
        <v>0</v>
      </c>
      <c r="Q566" s="152">
        <v>0</v>
      </c>
      <c r="R566" s="152">
        <v>1</v>
      </c>
      <c r="S566" s="152">
        <v>557</v>
      </c>
    </row>
    <row r="567" spans="1:19" ht="16.5" customHeight="1">
      <c r="A567" s="211">
        <v>558</v>
      </c>
      <c r="B567" s="212" t="s">
        <v>4311</v>
      </c>
      <c r="C567" s="211">
        <v>1679016</v>
      </c>
      <c r="D567" s="212" t="s">
        <v>3610</v>
      </c>
      <c r="E567" s="152" t="s">
        <v>3611</v>
      </c>
      <c r="F567" s="152" t="s">
        <v>3624</v>
      </c>
      <c r="G567" s="178" t="s">
        <v>3639</v>
      </c>
      <c r="H567" s="213" t="s">
        <v>3639</v>
      </c>
      <c r="I567" s="213" t="s">
        <v>3639</v>
      </c>
      <c r="J567" s="201">
        <f>COUNTIFS('TURMAS 2015.2'!U:U,A567)</f>
        <v>0</v>
      </c>
      <c r="K567" s="201">
        <f>SUMIFS('TURMAS 2015.2'!J:J,'TURMAS 2015.2'!U:U,A567)</f>
        <v>0</v>
      </c>
      <c r="L567" s="201">
        <f>COUNTIF('TURMAS 2015.2'!X:X,A567)</f>
        <v>0</v>
      </c>
      <c r="M567" s="201">
        <f>SUMIFS('TURMAS 2015.2'!K:K,'TURMAS 2015.2'!X:X,A567)</f>
        <v>0</v>
      </c>
      <c r="N567" s="201">
        <f t="shared" si="8"/>
        <v>0</v>
      </c>
      <c r="O567" s="214"/>
      <c r="P567" s="152" t="s">
        <v>4312</v>
      </c>
      <c r="Q567" s="152">
        <v>0.8</v>
      </c>
      <c r="R567" s="152">
        <v>0.19999999999999996</v>
      </c>
      <c r="S567" s="152">
        <v>558</v>
      </c>
    </row>
    <row r="568" spans="1:19" ht="16.5" customHeight="1">
      <c r="A568" s="211">
        <v>559</v>
      </c>
      <c r="B568" s="212" t="s">
        <v>4313</v>
      </c>
      <c r="C568" s="211">
        <v>1580011</v>
      </c>
      <c r="D568" s="212" t="s">
        <v>3610</v>
      </c>
      <c r="E568" s="152" t="s">
        <v>3618</v>
      </c>
      <c r="F568" s="152" t="s">
        <v>3624</v>
      </c>
      <c r="G568" s="178" t="s">
        <v>3639</v>
      </c>
      <c r="H568" s="213" t="s">
        <v>3639</v>
      </c>
      <c r="I568" s="213" t="s">
        <v>3639</v>
      </c>
      <c r="J568" s="201">
        <f>COUNTIFS('TURMAS 2015.2'!U:U,A568)</f>
        <v>0</v>
      </c>
      <c r="K568" s="201">
        <f>SUMIFS('TURMAS 2015.2'!J:J,'TURMAS 2015.2'!U:U,A568)</f>
        <v>0</v>
      </c>
      <c r="L568" s="201">
        <f>COUNTIF('TURMAS 2015.2'!X:X,A568)</f>
        <v>0</v>
      </c>
      <c r="M568" s="201">
        <f>SUMIFS('TURMAS 2015.2'!K:K,'TURMAS 2015.2'!X:X,A568)</f>
        <v>0</v>
      </c>
      <c r="N568" s="201">
        <f t="shared" si="8"/>
        <v>0</v>
      </c>
      <c r="O568" s="214"/>
      <c r="P568" s="152">
        <v>0</v>
      </c>
      <c r="Q568" s="152">
        <v>0</v>
      </c>
      <c r="R568" s="152">
        <v>1</v>
      </c>
      <c r="S568" s="152">
        <v>559</v>
      </c>
    </row>
    <row r="569" spans="1:19" ht="16.5" customHeight="1">
      <c r="A569" s="211">
        <v>560</v>
      </c>
      <c r="B569" s="212" t="s">
        <v>4314</v>
      </c>
      <c r="C569" s="211">
        <v>1760989</v>
      </c>
      <c r="D569" s="212" t="s">
        <v>3610</v>
      </c>
      <c r="E569" s="152" t="s">
        <v>3618</v>
      </c>
      <c r="F569" s="152" t="s">
        <v>3624</v>
      </c>
      <c r="G569" s="178" t="s">
        <v>3639</v>
      </c>
      <c r="H569" s="213" t="s">
        <v>3639</v>
      </c>
      <c r="I569" s="213" t="s">
        <v>3639</v>
      </c>
      <c r="J569" s="201">
        <f>COUNTIFS('TURMAS 2015.2'!U:U,A569)</f>
        <v>2</v>
      </c>
      <c r="K569" s="201">
        <f>SUMIFS('TURMAS 2015.2'!J:J,'TURMAS 2015.2'!U:U,A569)</f>
        <v>8</v>
      </c>
      <c r="L569" s="201">
        <f>COUNTIF('TURMAS 2015.2'!X:X,A569)</f>
        <v>0</v>
      </c>
      <c r="M569" s="201">
        <f>SUMIFS('TURMAS 2015.2'!K:K,'TURMAS 2015.2'!X:X,A569)</f>
        <v>0</v>
      </c>
      <c r="N569" s="201">
        <f t="shared" si="8"/>
        <v>8</v>
      </c>
      <c r="O569" s="214"/>
      <c r="P569" s="152" t="s">
        <v>4315</v>
      </c>
      <c r="Q569" s="152">
        <v>1</v>
      </c>
      <c r="R569" s="152">
        <v>0</v>
      </c>
      <c r="S569" s="152">
        <v>560</v>
      </c>
    </row>
    <row r="570" spans="1:19" ht="16.5" customHeight="1">
      <c r="A570" s="211">
        <v>561</v>
      </c>
      <c r="B570" s="212" t="s">
        <v>4316</v>
      </c>
      <c r="C570" s="211">
        <v>1287571</v>
      </c>
      <c r="D570" s="212" t="s">
        <v>3610</v>
      </c>
      <c r="E570" s="152" t="s">
        <v>3643</v>
      </c>
      <c r="F570" s="152" t="s">
        <v>3624</v>
      </c>
      <c r="G570" s="178" t="s">
        <v>3639</v>
      </c>
      <c r="H570" s="213" t="s">
        <v>3639</v>
      </c>
      <c r="I570" s="213" t="s">
        <v>3639</v>
      </c>
      <c r="J570" s="201">
        <f>COUNTIFS('TURMAS 2015.2'!U:U,A570)</f>
        <v>0</v>
      </c>
      <c r="K570" s="201">
        <f>SUMIFS('TURMAS 2015.2'!J:J,'TURMAS 2015.2'!U:U,A570)</f>
        <v>0</v>
      </c>
      <c r="L570" s="201">
        <f>COUNTIF('TURMAS 2015.2'!X:X,A570)</f>
        <v>0</v>
      </c>
      <c r="M570" s="201">
        <f>SUMIFS('TURMAS 2015.2'!K:K,'TURMAS 2015.2'!X:X,A570)</f>
        <v>0</v>
      </c>
      <c r="N570" s="201">
        <f t="shared" si="8"/>
        <v>0</v>
      </c>
      <c r="O570" s="214"/>
      <c r="P570" s="152">
        <v>0</v>
      </c>
      <c r="Q570" s="152">
        <v>0</v>
      </c>
      <c r="R570" s="152">
        <v>1</v>
      </c>
      <c r="S570" s="152">
        <v>561</v>
      </c>
    </row>
    <row r="571" spans="1:19" ht="16.5" customHeight="1">
      <c r="A571" s="211">
        <v>562</v>
      </c>
      <c r="B571" s="212" t="s">
        <v>4317</v>
      </c>
      <c r="C571" s="211">
        <v>1998501</v>
      </c>
      <c r="D571" s="212" t="s">
        <v>3617</v>
      </c>
      <c r="E571" s="152" t="s">
        <v>3611</v>
      </c>
      <c r="F571" s="152" t="s">
        <v>3624</v>
      </c>
      <c r="G571" s="178" t="s">
        <v>3639</v>
      </c>
      <c r="H571" s="213" t="s">
        <v>3639</v>
      </c>
      <c r="I571" s="213" t="s">
        <v>3639</v>
      </c>
      <c r="J571" s="201">
        <f>COUNTIFS('TURMAS 2015.2'!U:U,A571)</f>
        <v>2</v>
      </c>
      <c r="K571" s="201">
        <f>SUMIFS('TURMAS 2015.2'!J:J,'TURMAS 2015.2'!U:U,A571)</f>
        <v>8</v>
      </c>
      <c r="L571" s="201">
        <f>COUNTIF('TURMAS 2015.2'!X:X,A571)</f>
        <v>0</v>
      </c>
      <c r="M571" s="201">
        <f>SUMIFS('TURMAS 2015.2'!K:K,'TURMAS 2015.2'!X:X,A571)</f>
        <v>0</v>
      </c>
      <c r="N571" s="201">
        <f t="shared" si="8"/>
        <v>8</v>
      </c>
      <c r="O571" s="214"/>
      <c r="P571" s="152">
        <v>0</v>
      </c>
      <c r="Q571" s="152">
        <v>0</v>
      </c>
      <c r="R571" s="152">
        <v>1</v>
      </c>
      <c r="S571" s="152">
        <v>562</v>
      </c>
    </row>
    <row r="572" spans="1:19" ht="16.5" customHeight="1">
      <c r="A572" s="211">
        <v>563</v>
      </c>
      <c r="B572" s="212" t="s">
        <v>4318</v>
      </c>
      <c r="C572" s="211">
        <v>1446514</v>
      </c>
      <c r="D572" s="212" t="s">
        <v>3647</v>
      </c>
      <c r="E572" s="152" t="s">
        <v>3611</v>
      </c>
      <c r="F572" s="152" t="s">
        <v>3624</v>
      </c>
      <c r="G572" s="178" t="s">
        <v>3639</v>
      </c>
      <c r="H572" s="213" t="s">
        <v>3639</v>
      </c>
      <c r="I572" s="213" t="s">
        <v>3639</v>
      </c>
      <c r="J572" s="201">
        <f>COUNTIFS('TURMAS 2015.2'!U:U,A572)</f>
        <v>2</v>
      </c>
      <c r="K572" s="201">
        <f>SUMIFS('TURMAS 2015.2'!J:J,'TURMAS 2015.2'!U:U,A572)</f>
        <v>6</v>
      </c>
      <c r="L572" s="201">
        <f>COUNTIF('TURMAS 2015.2'!X:X,A572)</f>
        <v>0</v>
      </c>
      <c r="M572" s="201">
        <f>SUMIFS('TURMAS 2015.2'!K:K,'TURMAS 2015.2'!X:X,A572)</f>
        <v>0</v>
      </c>
      <c r="N572" s="201">
        <f t="shared" si="8"/>
        <v>6</v>
      </c>
      <c r="O572" s="214"/>
      <c r="P572" s="152">
        <v>0</v>
      </c>
      <c r="Q572" s="152">
        <v>0</v>
      </c>
      <c r="R572" s="152">
        <v>1</v>
      </c>
      <c r="S572" s="152">
        <v>563</v>
      </c>
    </row>
    <row r="573" spans="1:19" ht="16.5" customHeight="1">
      <c r="A573" s="211">
        <v>564</v>
      </c>
      <c r="B573" s="212" t="s">
        <v>4319</v>
      </c>
      <c r="C573" s="211">
        <v>1822937</v>
      </c>
      <c r="D573" s="212" t="s">
        <v>3610</v>
      </c>
      <c r="E573" s="152" t="s">
        <v>3611</v>
      </c>
      <c r="F573" s="152" t="s">
        <v>3624</v>
      </c>
      <c r="G573" s="178" t="s">
        <v>3639</v>
      </c>
      <c r="H573" s="213" t="s">
        <v>3639</v>
      </c>
      <c r="I573" s="213" t="s">
        <v>3639</v>
      </c>
      <c r="J573" s="201">
        <f>COUNTIFS('TURMAS 2015.2'!U:U,A573)</f>
        <v>4</v>
      </c>
      <c r="K573" s="201">
        <f>SUMIFS('TURMAS 2015.2'!J:J,'TURMAS 2015.2'!U:U,A573)</f>
        <v>16</v>
      </c>
      <c r="L573" s="201">
        <f>COUNTIF('TURMAS 2015.2'!X:X,A573)</f>
        <v>0</v>
      </c>
      <c r="M573" s="201">
        <f>SUMIFS('TURMAS 2015.2'!K:K,'TURMAS 2015.2'!X:X,A573)</f>
        <v>0</v>
      </c>
      <c r="N573" s="201">
        <f t="shared" si="8"/>
        <v>16</v>
      </c>
      <c r="O573" s="214"/>
      <c r="P573" s="152">
        <v>0</v>
      </c>
      <c r="Q573" s="152">
        <v>0</v>
      </c>
      <c r="R573" s="152">
        <v>1</v>
      </c>
      <c r="S573" s="152">
        <v>564</v>
      </c>
    </row>
    <row r="574" spans="1:19" ht="16.5" customHeight="1">
      <c r="A574" s="211">
        <v>565</v>
      </c>
      <c r="B574" s="212" t="s">
        <v>4320</v>
      </c>
      <c r="C574" s="211">
        <v>1601156</v>
      </c>
      <c r="D574" s="212" t="s">
        <v>3647</v>
      </c>
      <c r="E574" s="152" t="s">
        <v>3643</v>
      </c>
      <c r="F574" s="152" t="s">
        <v>3624</v>
      </c>
      <c r="G574" s="178" t="s">
        <v>3639</v>
      </c>
      <c r="H574" s="213" t="s">
        <v>3639</v>
      </c>
      <c r="I574" s="213" t="s">
        <v>3639</v>
      </c>
      <c r="J574" s="201">
        <f>COUNTIFS('TURMAS 2015.2'!U:U,A574)</f>
        <v>0</v>
      </c>
      <c r="K574" s="201">
        <f>SUMIFS('TURMAS 2015.2'!J:J,'TURMAS 2015.2'!U:U,A574)</f>
        <v>0</v>
      </c>
      <c r="L574" s="201">
        <f>COUNTIF('TURMAS 2015.2'!X:X,A574)</f>
        <v>2</v>
      </c>
      <c r="M574" s="201">
        <f>SUMIFS('TURMAS 2015.2'!K:K,'TURMAS 2015.2'!X:X,A574)</f>
        <v>4</v>
      </c>
      <c r="N574" s="201">
        <f t="shared" si="8"/>
        <v>4</v>
      </c>
      <c r="O574" s="214"/>
      <c r="P574" s="152" t="s">
        <v>4321</v>
      </c>
      <c r="Q574" s="152">
        <v>0.5</v>
      </c>
      <c r="R574" s="152">
        <v>0.5</v>
      </c>
      <c r="S574" s="152">
        <v>565</v>
      </c>
    </row>
    <row r="575" spans="1:19" ht="16.5" customHeight="1">
      <c r="A575" s="211">
        <v>566</v>
      </c>
      <c r="B575" s="215" t="s">
        <v>4322</v>
      </c>
      <c r="C575" s="211">
        <v>2187299</v>
      </c>
      <c r="D575" s="211" t="s">
        <v>3608</v>
      </c>
      <c r="E575" s="152" t="s">
        <v>3618</v>
      </c>
      <c r="F575" s="152" t="s">
        <v>3624</v>
      </c>
      <c r="G575" s="178"/>
      <c r="H575" s="213"/>
      <c r="I575" s="213"/>
      <c r="J575" s="201">
        <f>COUNTIFS('TURMAS 2015.2'!U:U,A575)</f>
        <v>1</v>
      </c>
      <c r="K575" s="201">
        <f>SUMIFS('TURMAS 2015.2'!J:J,'TURMAS 2015.2'!U:U,A575)</f>
        <v>2</v>
      </c>
      <c r="L575" s="201">
        <f>COUNTIF('TURMAS 2015.2'!X:X,A575)</f>
        <v>2</v>
      </c>
      <c r="M575" s="201">
        <f>SUMIFS('TURMAS 2015.2'!K:K,'TURMAS 2015.2'!X:X,A575)</f>
        <v>5</v>
      </c>
      <c r="N575" s="201">
        <f t="shared" si="8"/>
        <v>7</v>
      </c>
      <c r="O575" s="214"/>
      <c r="P575" s="152">
        <v>0</v>
      </c>
      <c r="Q575" s="152">
        <v>0</v>
      </c>
      <c r="R575" s="152">
        <v>1</v>
      </c>
      <c r="S575" s="152">
        <v>566</v>
      </c>
    </row>
    <row r="576" spans="1:19" ht="16.5" customHeight="1">
      <c r="A576" s="211">
        <v>567</v>
      </c>
      <c r="B576" s="212" t="s">
        <v>4323</v>
      </c>
      <c r="C576" s="211">
        <v>1762339</v>
      </c>
      <c r="D576" s="212" t="s">
        <v>3610</v>
      </c>
      <c r="E576" s="152" t="s">
        <v>3611</v>
      </c>
      <c r="F576" s="152" t="s">
        <v>3624</v>
      </c>
      <c r="G576" s="178" t="s">
        <v>3639</v>
      </c>
      <c r="H576" s="213" t="s">
        <v>3639</v>
      </c>
      <c r="I576" s="213" t="s">
        <v>3639</v>
      </c>
      <c r="J576" s="201">
        <f>COUNTIFS('TURMAS 2015.2'!U:U,A576)</f>
        <v>0</v>
      </c>
      <c r="K576" s="201">
        <f>SUMIFS('TURMAS 2015.2'!J:J,'TURMAS 2015.2'!U:U,A576)</f>
        <v>0</v>
      </c>
      <c r="L576" s="201">
        <f>COUNTIF('TURMAS 2015.2'!X:X,A576)</f>
        <v>3</v>
      </c>
      <c r="M576" s="201">
        <f>SUMIFS('TURMAS 2015.2'!K:K,'TURMAS 2015.2'!X:X,A576)</f>
        <v>6</v>
      </c>
      <c r="N576" s="201">
        <f t="shared" si="8"/>
        <v>6</v>
      </c>
      <c r="O576" s="214"/>
      <c r="P576" s="152">
        <v>0</v>
      </c>
      <c r="Q576" s="152">
        <v>0</v>
      </c>
      <c r="R576" s="152">
        <v>1</v>
      </c>
      <c r="S576" s="152">
        <v>567</v>
      </c>
    </row>
    <row r="577" spans="1:19" ht="16.5" customHeight="1">
      <c r="A577" s="211">
        <v>568</v>
      </c>
      <c r="B577" s="212" t="s">
        <v>4324</v>
      </c>
      <c r="C577" s="211">
        <v>1763495</v>
      </c>
      <c r="D577" s="212" t="s">
        <v>3610</v>
      </c>
      <c r="E577" s="152" t="s">
        <v>3643</v>
      </c>
      <c r="F577" s="152" t="s">
        <v>3624</v>
      </c>
      <c r="G577" s="178" t="s">
        <v>3639</v>
      </c>
      <c r="H577" s="213" t="s">
        <v>3639</v>
      </c>
      <c r="I577" s="213" t="s">
        <v>3639</v>
      </c>
      <c r="J577" s="201">
        <f>COUNTIFS('TURMAS 2015.2'!U:U,A577)</f>
        <v>3</v>
      </c>
      <c r="K577" s="201">
        <f>SUMIFS('TURMAS 2015.2'!J:J,'TURMAS 2015.2'!U:U,A577)</f>
        <v>3</v>
      </c>
      <c r="L577" s="201">
        <f>COUNTIF('TURMAS 2015.2'!X:X,A577)</f>
        <v>2</v>
      </c>
      <c r="M577" s="201">
        <f>SUMIFS('TURMAS 2015.2'!K:K,'TURMAS 2015.2'!X:X,A577)</f>
        <v>4</v>
      </c>
      <c r="N577" s="201">
        <f t="shared" si="8"/>
        <v>7</v>
      </c>
      <c r="O577" s="214"/>
      <c r="P577" s="152">
        <v>0</v>
      </c>
      <c r="Q577" s="152">
        <v>0</v>
      </c>
      <c r="R577" s="152">
        <v>1</v>
      </c>
      <c r="S577" s="152">
        <v>568</v>
      </c>
    </row>
    <row r="578" spans="1:19" ht="16.5" customHeight="1">
      <c r="A578" s="211">
        <v>569</v>
      </c>
      <c r="B578" s="212" t="s">
        <v>4325</v>
      </c>
      <c r="C578" s="211">
        <v>1982735</v>
      </c>
      <c r="D578" s="212" t="s">
        <v>3617</v>
      </c>
      <c r="E578" s="152" t="s">
        <v>3611</v>
      </c>
      <c r="F578" s="152" t="s">
        <v>3624</v>
      </c>
      <c r="G578" s="178" t="s">
        <v>3639</v>
      </c>
      <c r="H578" s="213" t="s">
        <v>3639</v>
      </c>
      <c r="I578" s="213" t="s">
        <v>3639</v>
      </c>
      <c r="J578" s="201">
        <f>COUNTIFS('TURMAS 2015.2'!U:U,A578)</f>
        <v>0</v>
      </c>
      <c r="K578" s="201">
        <f>SUMIFS('TURMAS 2015.2'!J:J,'TURMAS 2015.2'!U:U,A578)</f>
        <v>0</v>
      </c>
      <c r="L578" s="201">
        <f>COUNTIF('TURMAS 2015.2'!X:X,A578)</f>
        <v>0</v>
      </c>
      <c r="M578" s="201">
        <f>SUMIFS('TURMAS 2015.2'!K:K,'TURMAS 2015.2'!X:X,A578)</f>
        <v>0</v>
      </c>
      <c r="N578" s="201">
        <f t="shared" ref="N578:N599" si="9">K578+M578</f>
        <v>0</v>
      </c>
      <c r="O578" s="214"/>
      <c r="P578" s="152">
        <v>0</v>
      </c>
      <c r="Q578" s="152">
        <v>0</v>
      </c>
      <c r="R578" s="152">
        <v>1</v>
      </c>
      <c r="S578" s="152">
        <v>569</v>
      </c>
    </row>
    <row r="579" spans="1:19" ht="16.5" customHeight="1">
      <c r="A579" s="211">
        <v>570</v>
      </c>
      <c r="B579" s="212" t="s">
        <v>4326</v>
      </c>
      <c r="C579" s="211">
        <v>1544341</v>
      </c>
      <c r="D579" s="212" t="s">
        <v>3621</v>
      </c>
      <c r="E579" s="152" t="s">
        <v>3643</v>
      </c>
      <c r="F579" s="152" t="s">
        <v>3624</v>
      </c>
      <c r="G579" s="178" t="s">
        <v>3639</v>
      </c>
      <c r="H579" s="213" t="s">
        <v>3639</v>
      </c>
      <c r="I579" s="213" t="s">
        <v>3639</v>
      </c>
      <c r="J579" s="201">
        <f>COUNTIFS('TURMAS 2015.2'!U:U,A579)</f>
        <v>0</v>
      </c>
      <c r="K579" s="201">
        <f>SUMIFS('TURMAS 2015.2'!J:J,'TURMAS 2015.2'!U:U,A579)</f>
        <v>0</v>
      </c>
      <c r="L579" s="201">
        <f>COUNTIF('TURMAS 2015.2'!X:X,A579)</f>
        <v>2</v>
      </c>
      <c r="M579" s="201">
        <f>SUMIFS('TURMAS 2015.2'!K:K,'TURMAS 2015.2'!X:X,A579)</f>
        <v>4</v>
      </c>
      <c r="N579" s="201">
        <f t="shared" si="9"/>
        <v>4</v>
      </c>
      <c r="O579" s="214"/>
      <c r="P579" s="152" t="s">
        <v>4327</v>
      </c>
      <c r="Q579" s="152">
        <v>0.3</v>
      </c>
      <c r="R579" s="152">
        <v>0.7</v>
      </c>
      <c r="S579" s="152">
        <v>570</v>
      </c>
    </row>
    <row r="580" spans="1:19" ht="16.5" customHeight="1">
      <c r="A580" s="211">
        <v>571</v>
      </c>
      <c r="B580" s="212" t="s">
        <v>4328</v>
      </c>
      <c r="C580" s="211">
        <v>1763423</v>
      </c>
      <c r="D580" s="212" t="s">
        <v>3610</v>
      </c>
      <c r="E580" s="152" t="s">
        <v>3618</v>
      </c>
      <c r="F580" s="152" t="s">
        <v>3624</v>
      </c>
      <c r="G580" s="178" t="s">
        <v>3639</v>
      </c>
      <c r="H580" s="213" t="s">
        <v>3639</v>
      </c>
      <c r="I580" s="213" t="s">
        <v>3639</v>
      </c>
      <c r="J580" s="201">
        <f>COUNTIFS('TURMAS 2015.2'!U:U,A580)</f>
        <v>3</v>
      </c>
      <c r="K580" s="201">
        <f>SUMIFS('TURMAS 2015.2'!J:J,'TURMAS 2015.2'!U:U,A580)</f>
        <v>7</v>
      </c>
      <c r="L580" s="201">
        <f>COUNTIF('TURMAS 2015.2'!X:X,A580)</f>
        <v>3</v>
      </c>
      <c r="M580" s="201">
        <f>SUMIFS('TURMAS 2015.2'!K:K,'TURMAS 2015.2'!X:X,A580)</f>
        <v>5</v>
      </c>
      <c r="N580" s="201">
        <f t="shared" si="9"/>
        <v>12</v>
      </c>
      <c r="O580" s="214"/>
      <c r="P580" s="152" t="s">
        <v>4329</v>
      </c>
      <c r="Q580" s="152">
        <v>0.5</v>
      </c>
      <c r="R580" s="152">
        <v>0.5</v>
      </c>
      <c r="S580" s="152">
        <v>571</v>
      </c>
    </row>
    <row r="581" spans="1:19" ht="16.5" customHeight="1">
      <c r="A581" s="211">
        <v>572</v>
      </c>
      <c r="B581" s="212" t="s">
        <v>4330</v>
      </c>
      <c r="C581" s="211">
        <v>1998470</v>
      </c>
      <c r="D581" s="212" t="s">
        <v>3617</v>
      </c>
      <c r="E581" s="152" t="s">
        <v>3643</v>
      </c>
      <c r="F581" s="152" t="s">
        <v>3624</v>
      </c>
      <c r="G581" s="178" t="s">
        <v>3639</v>
      </c>
      <c r="H581" s="213" t="s">
        <v>3639</v>
      </c>
      <c r="I581" s="213" t="s">
        <v>3639</v>
      </c>
      <c r="J581" s="201">
        <f>COUNTIFS('TURMAS 2015.2'!U:U,A581)</f>
        <v>2</v>
      </c>
      <c r="K581" s="201">
        <f>SUMIFS('TURMAS 2015.2'!J:J,'TURMAS 2015.2'!U:U,A581)</f>
        <v>8</v>
      </c>
      <c r="L581" s="201">
        <f>COUNTIF('TURMAS 2015.2'!X:X,A581)</f>
        <v>0</v>
      </c>
      <c r="M581" s="201">
        <f>SUMIFS('TURMAS 2015.2'!K:K,'TURMAS 2015.2'!X:X,A581)</f>
        <v>0</v>
      </c>
      <c r="N581" s="201">
        <f t="shared" si="9"/>
        <v>8</v>
      </c>
      <c r="O581" s="214"/>
      <c r="P581" s="152">
        <v>0</v>
      </c>
      <c r="Q581" s="152">
        <v>0</v>
      </c>
      <c r="R581" s="152">
        <v>1</v>
      </c>
      <c r="S581" s="152">
        <v>572</v>
      </c>
    </row>
    <row r="582" spans="1:19" ht="16.5" customHeight="1">
      <c r="A582" s="211">
        <v>573</v>
      </c>
      <c r="B582" s="212" t="s">
        <v>4331</v>
      </c>
      <c r="C582" s="211">
        <v>1674604</v>
      </c>
      <c r="D582" s="212" t="s">
        <v>3610</v>
      </c>
      <c r="E582" s="152" t="s">
        <v>3611</v>
      </c>
      <c r="F582" s="152" t="s">
        <v>3624</v>
      </c>
      <c r="G582" s="178" t="s">
        <v>3639</v>
      </c>
      <c r="H582" s="213" t="s">
        <v>3639</v>
      </c>
      <c r="I582" s="213" t="s">
        <v>3639</v>
      </c>
      <c r="J582" s="201">
        <f>COUNTIFS('TURMAS 2015.2'!U:U,A582)</f>
        <v>1</v>
      </c>
      <c r="K582" s="201">
        <f>SUMIFS('TURMAS 2015.2'!J:J,'TURMAS 2015.2'!U:U,A582)</f>
        <v>4</v>
      </c>
      <c r="L582" s="201">
        <f>COUNTIF('TURMAS 2015.2'!X:X,A582)</f>
        <v>3</v>
      </c>
      <c r="M582" s="201">
        <f>SUMIFS('TURMAS 2015.2'!K:K,'TURMAS 2015.2'!X:X,A582)</f>
        <v>4</v>
      </c>
      <c r="N582" s="201">
        <f t="shared" si="9"/>
        <v>8</v>
      </c>
      <c r="O582" s="214"/>
      <c r="P582" s="152" t="s">
        <v>4332</v>
      </c>
      <c r="Q582" s="152">
        <v>0.3</v>
      </c>
      <c r="R582" s="152">
        <v>0.7</v>
      </c>
      <c r="S582" s="152">
        <v>573</v>
      </c>
    </row>
    <row r="583" spans="1:19" ht="16.5" customHeight="1">
      <c r="A583" s="211">
        <v>574</v>
      </c>
      <c r="B583" s="212" t="s">
        <v>4333</v>
      </c>
      <c r="C583" s="211">
        <v>1674595</v>
      </c>
      <c r="D583" s="212" t="s">
        <v>3610</v>
      </c>
      <c r="E583" s="152" t="s">
        <v>3611</v>
      </c>
      <c r="F583" s="152" t="s">
        <v>3624</v>
      </c>
      <c r="G583" s="178" t="s">
        <v>3639</v>
      </c>
      <c r="H583" s="213" t="s">
        <v>3639</v>
      </c>
      <c r="I583" s="213" t="s">
        <v>3639</v>
      </c>
      <c r="J583" s="201">
        <f>COUNTIFS('TURMAS 2015.2'!U:U,A583)</f>
        <v>3</v>
      </c>
      <c r="K583" s="201">
        <f>SUMIFS('TURMAS 2015.2'!J:J,'TURMAS 2015.2'!U:U,A583)</f>
        <v>8</v>
      </c>
      <c r="L583" s="201">
        <f>COUNTIF('TURMAS 2015.2'!X:X,A583)</f>
        <v>0</v>
      </c>
      <c r="M583" s="201">
        <f>SUMIFS('TURMAS 2015.2'!K:K,'TURMAS 2015.2'!X:X,A583)</f>
        <v>0</v>
      </c>
      <c r="N583" s="201">
        <f t="shared" si="9"/>
        <v>8</v>
      </c>
      <c r="O583" s="214"/>
      <c r="P583" s="152">
        <v>0</v>
      </c>
      <c r="Q583" s="152">
        <v>0</v>
      </c>
      <c r="R583" s="152">
        <v>1</v>
      </c>
      <c r="S583" s="152">
        <v>574</v>
      </c>
    </row>
    <row r="584" spans="1:19" ht="16.5" customHeight="1">
      <c r="A584" s="211">
        <v>1001</v>
      </c>
      <c r="B584" s="212" t="s">
        <v>4334</v>
      </c>
      <c r="C584" s="211"/>
      <c r="D584" s="212"/>
      <c r="E584" s="152" t="s">
        <v>4335</v>
      </c>
      <c r="F584" s="152" t="s">
        <v>3624</v>
      </c>
      <c r="G584" s="178"/>
      <c r="H584" s="213"/>
      <c r="I584" s="213"/>
      <c r="J584" s="201">
        <f>COUNTIFS('TURMAS 2015.2'!U:U,A584)</f>
        <v>2</v>
      </c>
      <c r="K584" s="201">
        <f>SUMIFS('TURMAS 2015.2'!J:J,'TURMAS 2015.2'!U:U,A584)</f>
        <v>8</v>
      </c>
      <c r="L584" s="201">
        <f>COUNTIF('TURMAS 2015.2'!X:X,A584)</f>
        <v>0</v>
      </c>
      <c r="M584" s="201">
        <f>SUMIFS('TURMAS 2015.2'!K:K,'TURMAS 2015.2'!X:X,A584)</f>
        <v>0</v>
      </c>
      <c r="N584" s="201">
        <f t="shared" si="9"/>
        <v>8</v>
      </c>
      <c r="O584" s="214"/>
      <c r="P584" s="152"/>
      <c r="Q584" s="152"/>
      <c r="R584" s="152"/>
      <c r="S584" s="152">
        <v>1001</v>
      </c>
    </row>
    <row r="585" spans="1:19" ht="16.5" customHeight="1">
      <c r="A585" s="211">
        <v>1002</v>
      </c>
      <c r="B585" s="212" t="s">
        <v>4336</v>
      </c>
      <c r="C585" s="211"/>
      <c r="D585" s="212"/>
      <c r="E585" s="152" t="s">
        <v>4335</v>
      </c>
      <c r="F585" s="152" t="s">
        <v>3624</v>
      </c>
      <c r="G585" s="178"/>
      <c r="H585" s="213"/>
      <c r="I585" s="213"/>
      <c r="J585" s="201">
        <f>COUNTIFS('TURMAS 2015.2'!U:U,A585)</f>
        <v>2</v>
      </c>
      <c r="K585" s="201">
        <f>SUMIFS('TURMAS 2015.2'!J:J,'TURMAS 2015.2'!U:U,A585)</f>
        <v>7</v>
      </c>
      <c r="L585" s="201">
        <f>COUNTIF('TURMAS 2015.2'!X:X,A585)</f>
        <v>0</v>
      </c>
      <c r="M585" s="201">
        <f>SUMIFS('TURMAS 2015.2'!K:K,'TURMAS 2015.2'!X:X,A585)</f>
        <v>0</v>
      </c>
      <c r="N585" s="201">
        <f t="shared" si="9"/>
        <v>7</v>
      </c>
      <c r="O585" s="214"/>
      <c r="P585" s="152"/>
      <c r="Q585" s="152"/>
      <c r="R585" s="152"/>
      <c r="S585" s="152">
        <v>1002</v>
      </c>
    </row>
    <row r="586" spans="1:19" ht="16.5" customHeight="1">
      <c r="A586" s="211">
        <v>1003</v>
      </c>
      <c r="B586" s="212" t="s">
        <v>4337</v>
      </c>
      <c r="C586" s="211"/>
      <c r="D586" s="212"/>
      <c r="E586" s="152" t="s">
        <v>4335</v>
      </c>
      <c r="F586" s="152" t="s">
        <v>3624</v>
      </c>
      <c r="G586" s="178"/>
      <c r="H586" s="213"/>
      <c r="I586" s="213"/>
      <c r="J586" s="201">
        <f>COUNTIFS('TURMAS 2015.2'!U:U,A586)</f>
        <v>3</v>
      </c>
      <c r="K586" s="201">
        <f>SUMIFS('TURMAS 2015.2'!J:J,'TURMAS 2015.2'!U:U,A586)</f>
        <v>8</v>
      </c>
      <c r="L586" s="201">
        <f>COUNTIF('TURMAS 2015.2'!X:X,A586)</f>
        <v>1</v>
      </c>
      <c r="M586" s="201">
        <f>SUMIFS('TURMAS 2015.2'!K:K,'TURMAS 2015.2'!X:X,A586)</f>
        <v>3</v>
      </c>
      <c r="N586" s="201">
        <f t="shared" si="9"/>
        <v>11</v>
      </c>
      <c r="O586" s="214"/>
      <c r="P586" s="152"/>
      <c r="Q586" s="152"/>
      <c r="R586" s="152"/>
      <c r="S586" s="152">
        <v>1003</v>
      </c>
    </row>
    <row r="587" spans="1:19" ht="16.5" customHeight="1">
      <c r="A587" s="211">
        <v>1004</v>
      </c>
      <c r="B587" s="212" t="s">
        <v>4338</v>
      </c>
      <c r="C587" s="211"/>
      <c r="D587" s="212"/>
      <c r="E587" s="152" t="s">
        <v>4335</v>
      </c>
      <c r="F587" s="152" t="s">
        <v>3624</v>
      </c>
      <c r="G587" s="178"/>
      <c r="H587" s="213"/>
      <c r="I587" s="213"/>
      <c r="J587" s="201">
        <f>COUNTIFS('TURMAS 2015.2'!U:U,A587)</f>
        <v>3</v>
      </c>
      <c r="K587" s="201">
        <f>SUMIFS('TURMAS 2015.2'!J:J,'TURMAS 2015.2'!U:U,A587)</f>
        <v>9</v>
      </c>
      <c r="L587" s="201">
        <f>COUNTIF('TURMAS 2015.2'!X:X,A587)</f>
        <v>0</v>
      </c>
      <c r="M587" s="201">
        <f>SUMIFS('TURMAS 2015.2'!K:K,'TURMAS 2015.2'!X:X,A587)</f>
        <v>0</v>
      </c>
      <c r="N587" s="201">
        <f t="shared" si="9"/>
        <v>9</v>
      </c>
      <c r="O587" s="214"/>
      <c r="P587" s="152"/>
      <c r="Q587" s="152"/>
      <c r="R587" s="152"/>
      <c r="S587" s="152">
        <v>1004</v>
      </c>
    </row>
    <row r="588" spans="1:19" ht="16.5" customHeight="1">
      <c r="A588" s="211">
        <v>1005</v>
      </c>
      <c r="B588" s="212" t="s">
        <v>4339</v>
      </c>
      <c r="C588" s="211"/>
      <c r="D588" s="212"/>
      <c r="E588" s="152" t="s">
        <v>4340</v>
      </c>
      <c r="F588" s="152" t="s">
        <v>3624</v>
      </c>
      <c r="G588" s="178"/>
      <c r="H588" s="213"/>
      <c r="I588" s="213"/>
      <c r="J588" s="201">
        <f>COUNTIFS('TURMAS 2015.2'!U:U,A588)</f>
        <v>1</v>
      </c>
      <c r="K588" s="201">
        <f>SUMIFS('TURMAS 2015.2'!J:J,'TURMAS 2015.2'!U:U,A588)</f>
        <v>3</v>
      </c>
      <c r="L588" s="201">
        <f>COUNTIF('TURMAS 2015.2'!X:X,A588)</f>
        <v>0</v>
      </c>
      <c r="M588" s="201">
        <f>SUMIFS('TURMAS 2015.2'!K:K,'TURMAS 2015.2'!X:X,A588)</f>
        <v>0</v>
      </c>
      <c r="N588" s="201">
        <f t="shared" si="9"/>
        <v>3</v>
      </c>
      <c r="O588" s="214"/>
      <c r="P588" s="152"/>
      <c r="Q588" s="152"/>
      <c r="R588" s="152"/>
      <c r="S588" s="152">
        <v>1005</v>
      </c>
    </row>
    <row r="589" spans="1:19" ht="16.5" customHeight="1">
      <c r="A589" s="211">
        <v>1006</v>
      </c>
      <c r="B589" s="212" t="s">
        <v>4341</v>
      </c>
      <c r="C589" s="211"/>
      <c r="D589" s="212"/>
      <c r="E589" s="152" t="s">
        <v>4340</v>
      </c>
      <c r="F589" s="152" t="s">
        <v>3624</v>
      </c>
      <c r="G589" s="178"/>
      <c r="H589" s="213"/>
      <c r="I589" s="213"/>
      <c r="J589" s="201">
        <f>COUNTIFS('TURMAS 2015.2'!U:U,A589)</f>
        <v>3</v>
      </c>
      <c r="K589" s="201">
        <f>SUMIFS('TURMAS 2015.2'!J:J,'TURMAS 2015.2'!U:U,A589)</f>
        <v>12</v>
      </c>
      <c r="L589" s="201">
        <f>COUNTIF('TURMAS 2015.2'!X:X,A589)</f>
        <v>0</v>
      </c>
      <c r="M589" s="201">
        <f>SUMIFS('TURMAS 2015.2'!K:K,'TURMAS 2015.2'!X:X,A589)</f>
        <v>0</v>
      </c>
      <c r="N589" s="201">
        <f t="shared" si="9"/>
        <v>12</v>
      </c>
      <c r="O589" s="214"/>
      <c r="P589" s="152"/>
      <c r="Q589" s="152"/>
      <c r="R589" s="152"/>
      <c r="S589" s="152">
        <v>1006</v>
      </c>
    </row>
    <row r="590" spans="1:19" ht="16.5" customHeight="1">
      <c r="A590" s="211">
        <v>1007</v>
      </c>
      <c r="B590" s="212" t="s">
        <v>4342</v>
      </c>
      <c r="C590" s="211"/>
      <c r="D590" s="212"/>
      <c r="E590" s="152" t="s">
        <v>4340</v>
      </c>
      <c r="F590" s="152" t="s">
        <v>3624</v>
      </c>
      <c r="G590" s="178"/>
      <c r="H590" s="213"/>
      <c r="I590" s="213"/>
      <c r="J590" s="201">
        <f>COUNTIFS('TURMAS 2015.2'!U:U,A590)</f>
        <v>4</v>
      </c>
      <c r="K590" s="201">
        <f>SUMIFS('TURMAS 2015.2'!J:J,'TURMAS 2015.2'!U:U,A590)</f>
        <v>12</v>
      </c>
      <c r="L590" s="201">
        <f>COUNTIF('TURMAS 2015.2'!X:X,A590)</f>
        <v>0</v>
      </c>
      <c r="M590" s="201">
        <f>SUMIFS('TURMAS 2015.2'!K:K,'TURMAS 2015.2'!X:X,A590)</f>
        <v>0</v>
      </c>
      <c r="N590" s="201">
        <f t="shared" si="9"/>
        <v>12</v>
      </c>
      <c r="O590" s="214"/>
      <c r="P590" s="152"/>
      <c r="Q590" s="152"/>
      <c r="R590" s="152"/>
      <c r="S590" s="152">
        <v>1007</v>
      </c>
    </row>
    <row r="591" spans="1:19" ht="16.5" customHeight="1">
      <c r="A591" s="211">
        <v>1008</v>
      </c>
      <c r="B591" s="212" t="s">
        <v>4343</v>
      </c>
      <c r="C591" s="211"/>
      <c r="D591" s="212"/>
      <c r="E591" s="152" t="s">
        <v>4340</v>
      </c>
      <c r="F591" s="152" t="s">
        <v>3624</v>
      </c>
      <c r="G591" s="178"/>
      <c r="H591" s="213"/>
      <c r="I591" s="213"/>
      <c r="J591" s="201">
        <f>COUNTIFS('TURMAS 2015.2'!U:U,A591)</f>
        <v>0</v>
      </c>
      <c r="K591" s="201">
        <f>SUMIFS('TURMAS 2015.2'!J:J,'TURMAS 2015.2'!U:U,A591)</f>
        <v>0</v>
      </c>
      <c r="L591" s="201">
        <f>COUNTIF('TURMAS 2015.2'!X:X,A591)</f>
        <v>4</v>
      </c>
      <c r="M591" s="201">
        <f>SUMIFS('TURMAS 2015.2'!K:K,'TURMAS 2015.2'!X:X,A591)</f>
        <v>12</v>
      </c>
      <c r="N591" s="201">
        <f t="shared" si="9"/>
        <v>12</v>
      </c>
      <c r="O591" s="214"/>
      <c r="P591" s="152"/>
      <c r="Q591" s="152"/>
      <c r="R591" s="152"/>
      <c r="S591" s="211">
        <v>1008</v>
      </c>
    </row>
    <row r="592" spans="1:19" ht="16.5" customHeight="1">
      <c r="A592" s="211">
        <v>1009</v>
      </c>
      <c r="B592" s="212" t="s">
        <v>4344</v>
      </c>
      <c r="C592" s="211"/>
      <c r="D592" s="212"/>
      <c r="E592" s="152" t="s">
        <v>4340</v>
      </c>
      <c r="F592" s="152" t="s">
        <v>3624</v>
      </c>
      <c r="G592" s="178"/>
      <c r="H592" s="213"/>
      <c r="I592" s="213"/>
      <c r="J592" s="201">
        <f>COUNTIFS('TURMAS 2015.2'!U:U,A592)</f>
        <v>0</v>
      </c>
      <c r="K592" s="201">
        <f>SUMIFS('TURMAS 2015.2'!J:J,'TURMAS 2015.2'!U:U,A592)</f>
        <v>0</v>
      </c>
      <c r="L592" s="201">
        <f>COUNTIF('TURMAS 2015.2'!X:X,A592)</f>
        <v>4</v>
      </c>
      <c r="M592" s="201">
        <f>SUMIFS('TURMAS 2015.2'!K:K,'TURMAS 2015.2'!X:X,A592)</f>
        <v>12</v>
      </c>
      <c r="N592" s="201">
        <f t="shared" si="9"/>
        <v>12</v>
      </c>
      <c r="O592" s="214"/>
      <c r="P592" s="152"/>
      <c r="Q592" s="152"/>
      <c r="R592" s="152"/>
      <c r="S592" s="211">
        <v>1009</v>
      </c>
    </row>
    <row r="593" spans="1:19" ht="16.5" customHeight="1">
      <c r="A593" s="211">
        <v>1010</v>
      </c>
      <c r="B593" s="212" t="s">
        <v>4345</v>
      </c>
      <c r="C593" s="211"/>
      <c r="D593" s="212"/>
      <c r="E593" s="152" t="s">
        <v>4340</v>
      </c>
      <c r="F593" s="152" t="s">
        <v>3624</v>
      </c>
      <c r="G593" s="178"/>
      <c r="H593" s="213"/>
      <c r="I593" s="213"/>
      <c r="J593" s="201">
        <f>COUNTIFS('TURMAS 2015.2'!U:U,A593)</f>
        <v>1</v>
      </c>
      <c r="K593" s="201">
        <f>SUMIFS('TURMAS 2015.2'!J:J,'TURMAS 2015.2'!U:U,A593)</f>
        <v>3</v>
      </c>
      <c r="L593" s="201">
        <f>COUNTIF('TURMAS 2015.2'!X:X,A593)</f>
        <v>2</v>
      </c>
      <c r="M593" s="201">
        <f>SUMIFS('TURMAS 2015.2'!K:K,'TURMAS 2015.2'!X:X,A593)</f>
        <v>6</v>
      </c>
      <c r="N593" s="201">
        <f t="shared" si="9"/>
        <v>9</v>
      </c>
      <c r="O593" s="214"/>
      <c r="P593" s="152"/>
      <c r="Q593" s="152"/>
      <c r="R593" s="152"/>
      <c r="S593" s="211">
        <v>1010</v>
      </c>
    </row>
    <row r="594" spans="1:19" ht="16.5" customHeight="1">
      <c r="A594" s="211">
        <v>1011</v>
      </c>
      <c r="B594" s="212" t="s">
        <v>4346</v>
      </c>
      <c r="C594" s="211"/>
      <c r="D594" s="212"/>
      <c r="E594" s="152" t="s">
        <v>4340</v>
      </c>
      <c r="F594" s="152" t="s">
        <v>3624</v>
      </c>
      <c r="G594" s="178"/>
      <c r="H594" s="213"/>
      <c r="I594" s="213"/>
      <c r="J594" s="201">
        <f>COUNTIFS('TURMAS 2015.2'!U:U,A594)</f>
        <v>0</v>
      </c>
      <c r="K594" s="201">
        <f>SUMIFS('TURMAS 2015.2'!J:J,'TURMAS 2015.2'!U:U,A594)</f>
        <v>0</v>
      </c>
      <c r="L594" s="201">
        <f>COUNTIF('TURMAS 2015.2'!X:X,A594)</f>
        <v>3</v>
      </c>
      <c r="M594" s="201">
        <f>SUMIFS('TURMAS 2015.2'!K:K,'TURMAS 2015.2'!X:X,A594)</f>
        <v>9</v>
      </c>
      <c r="N594" s="201">
        <f t="shared" si="9"/>
        <v>9</v>
      </c>
      <c r="O594" s="214"/>
      <c r="P594" s="152"/>
      <c r="Q594" s="152"/>
      <c r="R594" s="152"/>
      <c r="S594" s="211">
        <v>1011</v>
      </c>
    </row>
    <row r="595" spans="1:19" s="86" customFormat="1" ht="16.5" customHeight="1">
      <c r="A595" s="217">
        <v>1012</v>
      </c>
      <c r="B595" s="218" t="s">
        <v>4030</v>
      </c>
      <c r="C595" s="217"/>
      <c r="D595" s="218"/>
      <c r="E595" s="219" t="s">
        <v>3643</v>
      </c>
      <c r="F595" s="219" t="s">
        <v>3624</v>
      </c>
      <c r="G595" s="220"/>
      <c r="H595" s="221"/>
      <c r="I595" s="221"/>
      <c r="J595" s="222">
        <f>COUNTIFS('TURMAS 2015.2'!U:U,A595)</f>
        <v>1</v>
      </c>
      <c r="K595" s="222">
        <f>SUMIFS('TURMAS 2015.2'!J:J,'TURMAS 2015.2'!U:U,A595)</f>
        <v>3</v>
      </c>
      <c r="L595" s="222">
        <f>COUNTIF('TURMAS 2015.2'!X:X,A595)</f>
        <v>1</v>
      </c>
      <c r="M595" s="222">
        <f>SUMIFS('TURMAS 2015.2'!K:K,'TURMAS 2015.2'!X:X,A595)</f>
        <v>1</v>
      </c>
      <c r="N595" s="222">
        <f t="shared" si="9"/>
        <v>4</v>
      </c>
      <c r="O595" s="223"/>
      <c r="P595" s="219"/>
      <c r="Q595" s="219"/>
      <c r="R595" s="219"/>
      <c r="S595" s="217">
        <v>1012</v>
      </c>
    </row>
    <row r="596" spans="1:19" ht="16.5" customHeight="1">
      <c r="A596" s="152">
        <v>1013</v>
      </c>
      <c r="B596" s="167" t="s">
        <v>4347</v>
      </c>
      <c r="C596" s="152"/>
      <c r="D596" s="167"/>
      <c r="E596" s="152" t="s">
        <v>4340</v>
      </c>
      <c r="F596" s="152" t="s">
        <v>3624</v>
      </c>
      <c r="G596" s="178"/>
      <c r="H596" s="213"/>
      <c r="I596" s="213"/>
      <c r="J596" s="201">
        <f>COUNTIFS('TURMAS 2015.2'!U:U,A596)</f>
        <v>0</v>
      </c>
      <c r="K596" s="201">
        <f>SUMIFS('TURMAS 2015.2'!J:J,'TURMAS 2015.2'!U:U,A596)</f>
        <v>0</v>
      </c>
      <c r="L596" s="201">
        <f>COUNTIF('TURMAS 2015.2'!X:X,A596)</f>
        <v>1</v>
      </c>
      <c r="M596" s="201">
        <f>SUMIFS('TURMAS 2015.2'!K:K,'TURMAS 2015.2'!X:X,A596)</f>
        <v>2</v>
      </c>
      <c r="N596" s="201">
        <f t="shared" si="9"/>
        <v>2</v>
      </c>
      <c r="O596" s="214"/>
      <c r="P596" s="152"/>
      <c r="Q596" s="152"/>
      <c r="R596" s="152"/>
      <c r="S596" s="211">
        <v>1013</v>
      </c>
    </row>
    <row r="597" spans="1:19" ht="16.5" customHeight="1">
      <c r="A597" s="211">
        <v>1014</v>
      </c>
      <c r="B597" s="212" t="s">
        <v>4348</v>
      </c>
      <c r="C597" s="211"/>
      <c r="D597" s="212" t="s">
        <v>3735</v>
      </c>
      <c r="E597" s="152"/>
      <c r="F597" s="152"/>
      <c r="G597" s="178"/>
      <c r="H597" s="213"/>
      <c r="I597" s="213"/>
      <c r="J597" s="201">
        <f>COUNTIFS('TURMAS 2015.2'!U:U,A597)</f>
        <v>1</v>
      </c>
      <c r="K597" s="201">
        <f>SUMIFS('TURMAS 2015.2'!J:J,'TURMAS 2015.2'!U:U,A597)</f>
        <v>3</v>
      </c>
      <c r="L597" s="201">
        <f>COUNTIF('TURMAS 2015.2'!X:X,A597)</f>
        <v>0</v>
      </c>
      <c r="M597" s="201">
        <f>SUMIFS('TURMAS 2015.2'!K:K,'TURMAS 2015.2'!X:X,A597)</f>
        <v>0</v>
      </c>
      <c r="N597" s="201">
        <f t="shared" si="9"/>
        <v>3</v>
      </c>
      <c r="O597" s="214"/>
      <c r="P597" s="152"/>
      <c r="Q597" s="152"/>
      <c r="R597" s="152"/>
      <c r="S597" s="152"/>
    </row>
    <row r="598" spans="1:19" ht="16.5" customHeight="1">
      <c r="A598" s="211">
        <v>1015</v>
      </c>
      <c r="B598" s="212" t="s">
        <v>4349</v>
      </c>
      <c r="C598" s="211"/>
      <c r="D598" s="212"/>
      <c r="E598" s="152" t="s">
        <v>4340</v>
      </c>
      <c r="F598" s="152"/>
      <c r="G598" s="178"/>
      <c r="H598" s="213"/>
      <c r="I598" s="213"/>
      <c r="J598" s="201">
        <f>COUNTIFS('TURMAS 2015.2'!U:U,A598)</f>
        <v>2</v>
      </c>
      <c r="K598" s="201">
        <f>SUMIFS('TURMAS 2015.2'!J:J,'TURMAS 2015.2'!U:U,A598)</f>
        <v>6</v>
      </c>
      <c r="L598" s="201">
        <f>COUNTIF('TURMAS 2015.2'!X:X,A598)</f>
        <v>0</v>
      </c>
      <c r="M598" s="201">
        <f>SUMIFS('TURMAS 2015.2'!K:K,'TURMAS 2015.2'!X:X,A598)</f>
        <v>0</v>
      </c>
      <c r="N598" s="201">
        <f t="shared" si="9"/>
        <v>6</v>
      </c>
      <c r="O598" s="214"/>
      <c r="P598" s="152"/>
      <c r="Q598" s="152"/>
      <c r="R598" s="152"/>
      <c r="S598" s="152"/>
    </row>
    <row r="599" spans="1:19" ht="16.5" customHeight="1">
      <c r="A599" s="211">
        <v>1016</v>
      </c>
      <c r="B599" s="212" t="s">
        <v>4350</v>
      </c>
      <c r="C599" s="211"/>
      <c r="D599" s="212"/>
      <c r="E599" s="152"/>
      <c r="F599" s="152"/>
      <c r="G599" s="178"/>
      <c r="H599" s="213"/>
      <c r="I599" s="213"/>
      <c r="J599" s="201">
        <f>COUNTIFS('TURMAS 2015.2'!U:U,A599)</f>
        <v>2</v>
      </c>
      <c r="K599" s="201">
        <f>SUMIFS('TURMAS 2015.2'!J:J,'TURMAS 2015.2'!U:U,A599)</f>
        <v>8</v>
      </c>
      <c r="L599" s="201">
        <f>COUNTIF('TURMAS 2015.2'!X:X,A599)</f>
        <v>0</v>
      </c>
      <c r="M599" s="201">
        <f>SUMIFS('TURMAS 2015.2'!K:K,'TURMAS 2015.2'!X:X,A599)</f>
        <v>0</v>
      </c>
      <c r="N599" s="201">
        <f t="shared" si="9"/>
        <v>8</v>
      </c>
      <c r="O599" s="214"/>
      <c r="P599" s="152"/>
      <c r="Q599" s="152"/>
      <c r="R599" s="152"/>
      <c r="S599" s="152"/>
    </row>
    <row r="600" spans="1:19" ht="16.5" customHeight="1">
      <c r="A600" s="211">
        <v>1017</v>
      </c>
      <c r="B600" s="212" t="s">
        <v>4351</v>
      </c>
      <c r="C600" s="211"/>
      <c r="D600" s="212"/>
      <c r="E600" s="152"/>
      <c r="F600" s="152"/>
      <c r="G600" s="178"/>
      <c r="H600" s="213"/>
      <c r="I600" s="213"/>
      <c r="J600" s="201">
        <f>COUNTIFS('TURMAS 2015.2'!U:U,A600)</f>
        <v>2</v>
      </c>
      <c r="K600" s="201">
        <f>SUMIFS('TURMAS 2015.2'!J:J,'TURMAS 2015.2'!U:U,A600)</f>
        <v>8</v>
      </c>
      <c r="L600" s="201">
        <f>COUNTIF('TURMAS 2015.2'!X:X,A600)</f>
        <v>0</v>
      </c>
      <c r="M600" s="201">
        <f>SUMIFS('TURMAS 2015.2'!K:K,'TURMAS 2015.2'!X:X,A600)</f>
        <v>0</v>
      </c>
      <c r="N600" s="201">
        <f t="shared" ref="N600:N605" si="10">K600+M600</f>
        <v>8</v>
      </c>
      <c r="O600" s="214"/>
      <c r="P600" s="152"/>
      <c r="Q600" s="152"/>
      <c r="R600" s="152"/>
      <c r="S600" s="152"/>
    </row>
    <row r="601" spans="1:19" ht="16.5" customHeight="1">
      <c r="A601" s="211" t="s">
        <v>4352</v>
      </c>
      <c r="B601" s="212"/>
      <c r="C601" s="211"/>
      <c r="D601" s="212"/>
      <c r="E601" s="152"/>
      <c r="F601" s="152"/>
      <c r="G601" s="178"/>
      <c r="H601" s="213"/>
      <c r="I601" s="213"/>
      <c r="J601" s="201">
        <f>COUNTIFS('TURMAS 2015.2'!U:U,A601)</f>
        <v>0</v>
      </c>
      <c r="K601" s="201">
        <f>SUMIFS('TURMAS 2015.2'!J:J,'TURMAS 2015.2'!U:U,A601)</f>
        <v>0</v>
      </c>
      <c r="L601" s="201">
        <f>COUNTIF('TURMAS 2015.2'!X:X,A601)</f>
        <v>0</v>
      </c>
      <c r="M601" s="201">
        <f>SUMIFS('TURMAS 2015.2'!K:K,'TURMAS 2015.2'!X:X,A601)</f>
        <v>0</v>
      </c>
      <c r="N601" s="201">
        <f t="shared" si="10"/>
        <v>0</v>
      </c>
      <c r="O601" s="214"/>
      <c r="P601" s="152"/>
      <c r="Q601" s="152"/>
      <c r="R601" s="152"/>
      <c r="S601" s="152"/>
    </row>
    <row r="602" spans="1:19" ht="16.5" customHeight="1">
      <c r="A602" s="211" t="s">
        <v>4352</v>
      </c>
      <c r="B602" s="212"/>
      <c r="C602" s="211"/>
      <c r="D602" s="212"/>
      <c r="E602" s="152"/>
      <c r="F602" s="152"/>
      <c r="G602" s="178"/>
      <c r="H602" s="213"/>
      <c r="I602" s="213"/>
      <c r="J602" s="201">
        <f>COUNTIFS('TURMAS 2015.2'!U:U,A602)</f>
        <v>0</v>
      </c>
      <c r="K602" s="201">
        <f>SUMIFS('TURMAS 2015.2'!J:J,'TURMAS 2015.2'!U:U,A602)</f>
        <v>0</v>
      </c>
      <c r="L602" s="201">
        <f>COUNTIF('TURMAS 2015.2'!X:X,A602)</f>
        <v>0</v>
      </c>
      <c r="M602" s="201">
        <f>SUMIFS('TURMAS 2015.2'!K:K,'TURMAS 2015.2'!X:X,A602)</f>
        <v>0</v>
      </c>
      <c r="N602" s="201">
        <f t="shared" si="10"/>
        <v>0</v>
      </c>
      <c r="O602" s="214"/>
      <c r="P602" s="152"/>
      <c r="Q602" s="152"/>
      <c r="R602" s="152"/>
      <c r="S602" s="152"/>
    </row>
    <row r="603" spans="1:19" ht="16.5" customHeight="1">
      <c r="A603" s="211" t="s">
        <v>4352</v>
      </c>
      <c r="B603" s="212"/>
      <c r="C603" s="211"/>
      <c r="D603" s="212"/>
      <c r="E603" s="152"/>
      <c r="F603" s="152"/>
      <c r="G603" s="178"/>
      <c r="H603" s="213"/>
      <c r="I603" s="213"/>
      <c r="J603" s="201">
        <f>COUNTIFS('TURMAS 2015.2'!U:U,A603)</f>
        <v>0</v>
      </c>
      <c r="K603" s="201">
        <f>SUMIFS('TURMAS 2015.2'!J:J,'TURMAS 2015.2'!U:U,A603)</f>
        <v>0</v>
      </c>
      <c r="L603" s="201">
        <f>COUNTIF('TURMAS 2015.2'!X:X,A603)</f>
        <v>0</v>
      </c>
      <c r="M603" s="201">
        <f>SUMIFS('TURMAS 2015.2'!K:K,'TURMAS 2015.2'!X:X,A603)</f>
        <v>0</v>
      </c>
      <c r="N603" s="201">
        <f t="shared" si="10"/>
        <v>0</v>
      </c>
      <c r="O603" s="214"/>
      <c r="P603" s="152"/>
      <c r="Q603" s="152"/>
      <c r="R603" s="152"/>
      <c r="S603" s="152"/>
    </row>
    <row r="604" spans="1:19" ht="16.5" customHeight="1">
      <c r="A604" s="211" t="s">
        <v>4352</v>
      </c>
      <c r="B604" s="212"/>
      <c r="C604" s="211"/>
      <c r="D604" s="212"/>
      <c r="E604" s="152"/>
      <c r="F604" s="152"/>
      <c r="G604" s="178"/>
      <c r="H604" s="213"/>
      <c r="I604" s="213"/>
      <c r="J604" s="201">
        <f>COUNTIFS('TURMAS 2015.2'!U:U,A604)</f>
        <v>0</v>
      </c>
      <c r="K604" s="201">
        <f>SUMIFS('TURMAS 2015.2'!J:J,'TURMAS 2015.2'!U:U,A604)</f>
        <v>0</v>
      </c>
      <c r="L604" s="201">
        <f>COUNTIF('TURMAS 2015.2'!X:X,A604)</f>
        <v>0</v>
      </c>
      <c r="M604" s="201">
        <f>SUMIFS('TURMAS 2015.2'!K:K,'TURMAS 2015.2'!X:X,A604)</f>
        <v>0</v>
      </c>
      <c r="N604" s="201">
        <f t="shared" si="10"/>
        <v>0</v>
      </c>
      <c r="O604" s="214"/>
      <c r="P604" s="152"/>
      <c r="Q604" s="152"/>
      <c r="R604" s="152"/>
      <c r="S604" s="152"/>
    </row>
    <row r="605" spans="1:19" ht="16.5" customHeight="1">
      <c r="A605" s="152" t="s">
        <v>4352</v>
      </c>
      <c r="B605" s="167"/>
      <c r="C605" s="152"/>
      <c r="D605" s="167"/>
      <c r="E605" s="152"/>
      <c r="F605" s="152"/>
      <c r="G605" s="178" t="s">
        <v>3639</v>
      </c>
      <c r="H605" s="213" t="s">
        <v>3639</v>
      </c>
      <c r="I605" s="213" t="s">
        <v>3639</v>
      </c>
      <c r="J605" s="201">
        <f>COUNTIFS('TURMAS 2015.2'!U:U,A605)</f>
        <v>0</v>
      </c>
      <c r="K605" s="201">
        <f>SUMIFS('TURMAS 2015.2'!J:J,'TURMAS 2015.2'!U:U,A605)</f>
        <v>0</v>
      </c>
      <c r="L605" s="201">
        <f>COUNTIF('TURMAS 2015.2'!X:X,A605)</f>
        <v>0</v>
      </c>
      <c r="M605" s="201">
        <f>SUMIFS('TURMAS 2015.2'!K:K,'TURMAS 2015.2'!X:X,A605)</f>
        <v>0</v>
      </c>
      <c r="N605" s="201">
        <f t="shared" si="10"/>
        <v>0</v>
      </c>
      <c r="O605" s="214"/>
      <c r="P605" s="152"/>
      <c r="Q605" s="152"/>
      <c r="R605" s="152"/>
      <c r="S605" s="152"/>
    </row>
    <row r="606" spans="1:19" ht="16.5" customHeight="1">
      <c r="A606" s="78"/>
      <c r="B606" s="79"/>
      <c r="C606" s="78"/>
      <c r="D606" s="78"/>
      <c r="E606" s="78"/>
      <c r="F606" s="78"/>
      <c r="G606" s="80"/>
      <c r="H606" s="81"/>
      <c r="I606" s="81" t="s">
        <v>4353</v>
      </c>
      <c r="J606" s="201">
        <f>SUM(J2:J605)</f>
        <v>726</v>
      </c>
      <c r="K606" s="201">
        <f t="shared" ref="K606:N606" si="11">SUM(K2:K605)</f>
        <v>2115</v>
      </c>
      <c r="L606" s="201">
        <f t="shared" si="11"/>
        <v>496</v>
      </c>
      <c r="M606" s="201">
        <f t="shared" si="11"/>
        <v>878</v>
      </c>
      <c r="N606" s="201">
        <f t="shared" si="11"/>
        <v>2993</v>
      </c>
      <c r="O606" s="83"/>
      <c r="P606" s="78"/>
      <c r="Q606" s="78"/>
      <c r="R606" s="78"/>
      <c r="S606" s="78"/>
    </row>
    <row r="607" spans="1:19" ht="16.5" customHeight="1">
      <c r="A607" s="78"/>
      <c r="B607" s="79"/>
      <c r="C607" s="78"/>
      <c r="D607" s="78"/>
      <c r="E607" s="78"/>
      <c r="F607" s="78"/>
      <c r="G607" s="80"/>
      <c r="H607" s="81"/>
      <c r="I607" s="81"/>
      <c r="J607" s="82"/>
      <c r="K607" s="82"/>
      <c r="L607" s="82"/>
      <c r="M607" s="82"/>
      <c r="N607" s="82"/>
      <c r="O607" s="83"/>
      <c r="P607" s="78"/>
      <c r="Q607" s="78"/>
      <c r="R607" s="78"/>
      <c r="S607" s="78"/>
    </row>
    <row r="608" spans="1:19" ht="16.5" customHeight="1">
      <c r="A608" s="78"/>
      <c r="B608" s="79"/>
      <c r="C608" s="78"/>
      <c r="D608" s="78"/>
      <c r="E608" s="78"/>
      <c r="F608" s="78"/>
      <c r="G608" s="80"/>
      <c r="H608" s="81"/>
      <c r="I608" s="81"/>
      <c r="J608" s="82"/>
      <c r="K608" s="82"/>
      <c r="L608" s="82"/>
      <c r="M608" s="82"/>
      <c r="N608" s="82"/>
      <c r="O608" s="83"/>
      <c r="P608" s="78"/>
      <c r="Q608" s="78"/>
      <c r="R608" s="78"/>
      <c r="S608" s="78"/>
    </row>
    <row r="609" spans="1:19" ht="15">
      <c r="S609" s="78"/>
    </row>
    <row r="610" spans="1:19" ht="15" customHeight="1">
      <c r="A610" s="59"/>
      <c r="B610" s="58" t="s">
        <v>4354</v>
      </c>
      <c r="C610" s="59">
        <v>594</v>
      </c>
      <c r="S610" s="78"/>
    </row>
    <row r="611" spans="1:19" ht="15" customHeight="1">
      <c r="A611" s="61"/>
      <c r="B611" s="60" t="s">
        <v>4355</v>
      </c>
      <c r="C611" s="61">
        <f>G598+COUNTIF(F:F,"EM EXERCÍCIO")</f>
        <v>586</v>
      </c>
      <c r="S611" s="78"/>
    </row>
    <row r="612" spans="1:19" ht="15" customHeight="1">
      <c r="A612" s="63"/>
      <c r="B612" s="62" t="s">
        <v>4356</v>
      </c>
      <c r="C612" s="63">
        <f>C610-C611</f>
        <v>8</v>
      </c>
      <c r="S612" s="78"/>
    </row>
    <row r="622" spans="1:19" ht="15">
      <c r="B622"/>
    </row>
    <row r="623" spans="1:19" ht="15">
      <c r="B623"/>
    </row>
    <row r="624" spans="1:19" ht="15">
      <c r="B624"/>
    </row>
    <row r="625" spans="2:2" ht="15">
      <c r="B625"/>
    </row>
    <row r="626" spans="2:2" ht="15">
      <c r="B626"/>
    </row>
    <row r="629" spans="2:2" ht="15">
      <c r="B629"/>
    </row>
    <row r="630" spans="2:2" ht="15">
      <c r="B630"/>
    </row>
    <row r="631" spans="2:2" ht="15">
      <c r="B631"/>
    </row>
    <row r="632" spans="2:2" ht="15">
      <c r="B632"/>
    </row>
    <row r="633" spans="2:2" ht="15">
      <c r="B633"/>
    </row>
    <row r="634" spans="2:2" ht="15">
      <c r="B634"/>
    </row>
    <row r="635" spans="2:2" ht="15">
      <c r="B635"/>
    </row>
    <row r="636" spans="2:2" ht="15">
      <c r="B636"/>
    </row>
    <row r="637" spans="2:2" ht="15">
      <c r="B637"/>
    </row>
  </sheetData>
  <autoFilter ref="A1:S606"/>
  <sortState ref="A12:T585">
    <sortCondition ref="B12:B585"/>
  </sortState>
  <conditionalFormatting sqref="B638:B1048576 B1:B577 B600:B621">
    <cfRule type="duplicateValues" dxfId="1" priority="2"/>
  </conditionalFormatting>
  <conditionalFormatting sqref="B578:B599">
    <cfRule type="duplicateValues" dxfId="0" priority="1"/>
  </conditionalFormatting>
  <pageMargins left="0.70866141732283472" right="0.70866141732283472" top="0.74803149606299213" bottom="0.74803149606299213" header="0.31496062992125984" footer="0.31496062992125984"/>
  <pageSetup paperSize="9" scale="50" orientation="landscape" verticalDpi="599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J289"/>
  <sheetViews>
    <sheetView topLeftCell="A262" workbookViewId="0">
      <selection activeCell="D291" sqref="D291"/>
    </sheetView>
  </sheetViews>
  <sheetFormatPr defaultRowHeight="15"/>
  <cols>
    <col min="1" max="1" width="11.85546875" bestFit="1" customWidth="1"/>
    <col min="2" max="2" width="68.140625" bestFit="1" customWidth="1"/>
    <col min="3" max="3" width="12.7109375" style="27" customWidth="1"/>
    <col min="4" max="4" width="14.140625" style="27" bestFit="1" customWidth="1"/>
    <col min="5" max="5" width="10.5703125" style="27" bestFit="1" customWidth="1"/>
    <col min="6" max="6" width="53.28515625" style="77" bestFit="1" customWidth="1"/>
    <col min="7" max="7" width="12.7109375" style="27" bestFit="1" customWidth="1"/>
    <col min="8" max="8" width="4" bestFit="1" customWidth="1"/>
    <col min="9" max="9" width="26" bestFit="1" customWidth="1"/>
    <col min="10" max="10" width="6" bestFit="1" customWidth="1"/>
  </cols>
  <sheetData>
    <row r="1" spans="1:9" s="26" customFormat="1">
      <c r="A1" s="224" t="s">
        <v>4357</v>
      </c>
      <c r="B1" s="224" t="s">
        <v>4358</v>
      </c>
      <c r="C1" s="225" t="s">
        <v>4359</v>
      </c>
      <c r="D1" s="225" t="s">
        <v>4360</v>
      </c>
      <c r="E1" s="225" t="s">
        <v>4357</v>
      </c>
      <c r="F1" s="226" t="s">
        <v>4361</v>
      </c>
      <c r="G1" s="225" t="s">
        <v>3595</v>
      </c>
    </row>
    <row r="2" spans="1:9">
      <c r="A2" s="133" t="s">
        <v>54</v>
      </c>
      <c r="B2" s="133" t="s">
        <v>55</v>
      </c>
      <c r="C2" s="227">
        <f>COUNTIF('TURMAS 2015.2'!C:C,A2)</f>
        <v>1</v>
      </c>
      <c r="D2" s="227">
        <f>IF(C2&gt;15,3,(VLOOKUP(C2,H:I,2,FALSE)))</f>
        <v>0</v>
      </c>
      <c r="E2" s="227"/>
      <c r="F2" s="228"/>
      <c r="G2" s="227"/>
      <c r="H2" s="28">
        <v>1</v>
      </c>
      <c r="I2" s="28">
        <v>0</v>
      </c>
    </row>
    <row r="3" spans="1:9">
      <c r="A3" s="133" t="s">
        <v>64</v>
      </c>
      <c r="B3" s="133" t="s">
        <v>65</v>
      </c>
      <c r="C3" s="227">
        <f>COUNTIF('TURMAS 2015.2'!C:C,A3)</f>
        <v>1</v>
      </c>
      <c r="D3" s="227">
        <f>IF(C3&gt;15,3,(VLOOKUP(C3,H:I,2,FALSE)))</f>
        <v>0</v>
      </c>
      <c r="E3" s="227"/>
      <c r="F3" s="228"/>
      <c r="G3" s="227"/>
      <c r="H3" s="28">
        <v>2</v>
      </c>
      <c r="I3" s="28">
        <v>0</v>
      </c>
    </row>
    <row r="4" spans="1:9">
      <c r="A4" s="133" t="s">
        <v>73</v>
      </c>
      <c r="B4" s="133" t="s">
        <v>74</v>
      </c>
      <c r="C4" s="227">
        <f>COUNTIF('TURMAS 2015.2'!C:C,A4)</f>
        <v>1</v>
      </c>
      <c r="D4" s="227">
        <f>IF(C4&gt;15,3,(VLOOKUP(C4,H:I,2,FALSE)))</f>
        <v>0</v>
      </c>
      <c r="E4" s="227"/>
      <c r="F4" s="228"/>
      <c r="G4" s="227"/>
      <c r="H4" s="28">
        <v>3</v>
      </c>
      <c r="I4" s="28">
        <v>0</v>
      </c>
    </row>
    <row r="5" spans="1:9">
      <c r="A5" s="133" t="s">
        <v>80</v>
      </c>
      <c r="B5" s="133" t="s">
        <v>81</v>
      </c>
      <c r="C5" s="227">
        <f>COUNTIF('TURMAS 2015.2'!C:C,A5)</f>
        <v>5</v>
      </c>
      <c r="D5" s="227">
        <f>IF(C5&gt;15,3,(VLOOKUP(C5,H:I,2,FALSE)))</f>
        <v>1</v>
      </c>
      <c r="E5" s="227"/>
      <c r="F5" s="228"/>
      <c r="G5" s="227"/>
      <c r="H5" s="28">
        <v>4</v>
      </c>
      <c r="I5" s="28">
        <v>0</v>
      </c>
    </row>
    <row r="6" spans="1:9">
      <c r="A6" s="133" t="s">
        <v>94</v>
      </c>
      <c r="B6" s="133" t="s">
        <v>95</v>
      </c>
      <c r="C6" s="227">
        <f>COUNTIF('TURMAS 2015.2'!C:C,A6)</f>
        <v>2</v>
      </c>
      <c r="D6" s="227">
        <f>IF(C6&gt;15,3,(VLOOKUP(C6,H:I,2,FALSE)))</f>
        <v>0</v>
      </c>
      <c r="E6" s="227"/>
      <c r="F6" s="228"/>
      <c r="G6" s="227"/>
      <c r="H6" s="28">
        <v>5</v>
      </c>
      <c r="I6" s="28">
        <v>1</v>
      </c>
    </row>
    <row r="7" spans="1:9">
      <c r="A7" s="133" t="s">
        <v>116</v>
      </c>
      <c r="B7" s="133" t="s">
        <v>117</v>
      </c>
      <c r="C7" s="227">
        <f>COUNTIF('TURMAS 2015.2'!C:C,A7)</f>
        <v>2</v>
      </c>
      <c r="D7" s="227">
        <f>IF(C7&gt;15,3,(VLOOKUP(C7,H:I,2,FALSE)))</f>
        <v>0</v>
      </c>
      <c r="E7" s="227"/>
      <c r="F7" s="228"/>
      <c r="G7" s="227"/>
      <c r="H7" s="28">
        <v>6</v>
      </c>
      <c r="I7" s="28">
        <v>1</v>
      </c>
    </row>
    <row r="8" spans="1:9">
      <c r="A8" s="133" t="s">
        <v>130</v>
      </c>
      <c r="B8" s="133" t="s">
        <v>131</v>
      </c>
      <c r="C8" s="227">
        <f>COUNTIF('TURMAS 2015.2'!C:C,A8)</f>
        <v>1</v>
      </c>
      <c r="D8" s="227">
        <f>IF(C8&gt;15,3,(VLOOKUP(C8,H:I,2,FALSE)))</f>
        <v>0</v>
      </c>
      <c r="E8" s="227"/>
      <c r="F8" s="228"/>
      <c r="G8" s="227"/>
      <c r="H8" s="28">
        <v>7</v>
      </c>
      <c r="I8" s="28">
        <v>1</v>
      </c>
    </row>
    <row r="9" spans="1:9">
      <c r="A9" s="133" t="s">
        <v>136</v>
      </c>
      <c r="B9" s="133" t="s">
        <v>137</v>
      </c>
      <c r="C9" s="227">
        <f>COUNTIF('TURMAS 2015.2'!C:C,A9)</f>
        <v>1</v>
      </c>
      <c r="D9" s="227">
        <f>IF(C9&gt;15,3,(VLOOKUP(C9,H:I,2,FALSE)))</f>
        <v>0</v>
      </c>
      <c r="E9" s="227"/>
      <c r="F9" s="228"/>
      <c r="G9" s="227"/>
      <c r="H9" s="28">
        <v>8</v>
      </c>
      <c r="I9" s="28">
        <v>1</v>
      </c>
    </row>
    <row r="10" spans="1:9">
      <c r="A10" s="133" t="s">
        <v>142</v>
      </c>
      <c r="B10" s="133" t="s">
        <v>143</v>
      </c>
      <c r="C10" s="227">
        <f>COUNTIF('TURMAS 2015.2'!C:C,A10)</f>
        <v>2</v>
      </c>
      <c r="D10" s="227">
        <f>IF(C10&gt;15,3,(VLOOKUP(C10,H:I,2,FALSE)))</f>
        <v>0</v>
      </c>
      <c r="E10" s="227"/>
      <c r="F10" s="228"/>
      <c r="G10" s="227"/>
      <c r="H10" s="28">
        <v>9</v>
      </c>
      <c r="I10" s="28">
        <v>1</v>
      </c>
    </row>
    <row r="11" spans="1:9">
      <c r="A11" s="133" t="s">
        <v>150</v>
      </c>
      <c r="B11" s="133" t="s">
        <v>151</v>
      </c>
      <c r="C11" s="227">
        <f>COUNTIF('TURMAS 2015.2'!C:C,A11)</f>
        <v>2</v>
      </c>
      <c r="D11" s="227">
        <f>IF(C11&gt;15,3,(VLOOKUP(C11,H:I,2,FALSE)))</f>
        <v>0</v>
      </c>
      <c r="E11" s="227"/>
      <c r="F11" s="228"/>
      <c r="G11" s="227"/>
      <c r="H11" s="28">
        <v>10</v>
      </c>
      <c r="I11" s="28">
        <v>2</v>
      </c>
    </row>
    <row r="12" spans="1:9">
      <c r="A12" s="133" t="s">
        <v>159</v>
      </c>
      <c r="B12" s="133" t="s">
        <v>160</v>
      </c>
      <c r="C12" s="227">
        <f>COUNTIF('TURMAS 2015.2'!C:C,A12)</f>
        <v>1</v>
      </c>
      <c r="D12" s="227">
        <f>IF(C12&gt;15,3,(VLOOKUP(C12,H:I,2,FALSE)))</f>
        <v>0</v>
      </c>
      <c r="E12" s="227"/>
      <c r="F12" s="228"/>
      <c r="G12" s="227"/>
      <c r="H12" s="28">
        <v>11</v>
      </c>
      <c r="I12" s="28">
        <v>2</v>
      </c>
    </row>
    <row r="13" spans="1:9">
      <c r="A13" s="133" t="s">
        <v>164</v>
      </c>
      <c r="B13" s="133" t="s">
        <v>165</v>
      </c>
      <c r="C13" s="227">
        <f>COUNTIF('TURMAS 2015.2'!C:C,A13)</f>
        <v>1</v>
      </c>
      <c r="D13" s="227">
        <f>IF(C13&gt;15,3,(VLOOKUP(C13,H:I,2,FALSE)))</f>
        <v>0</v>
      </c>
      <c r="E13" s="227"/>
      <c r="F13" s="228"/>
      <c r="G13" s="227"/>
      <c r="H13" s="28">
        <v>12</v>
      </c>
      <c r="I13" s="28">
        <v>2</v>
      </c>
    </row>
    <row r="14" spans="1:9">
      <c r="A14" s="133" t="s">
        <v>170</v>
      </c>
      <c r="B14" s="133" t="s">
        <v>171</v>
      </c>
      <c r="C14" s="227">
        <f>COUNTIF('TURMAS 2015.2'!C:C,A14)</f>
        <v>2</v>
      </c>
      <c r="D14" s="227">
        <f>IF(C14&gt;15,3,(VLOOKUP(C14,H:I,2,FALSE)))</f>
        <v>0</v>
      </c>
      <c r="E14" s="227"/>
      <c r="F14" s="228"/>
      <c r="G14" s="227"/>
      <c r="H14" s="28">
        <v>13</v>
      </c>
      <c r="I14" s="28">
        <v>2</v>
      </c>
    </row>
    <row r="15" spans="1:9">
      <c r="A15" s="133" t="s">
        <v>180</v>
      </c>
      <c r="B15" s="133" t="s">
        <v>181</v>
      </c>
      <c r="C15" s="227">
        <f>COUNTIF('TURMAS 2015.2'!C:C,A15)</f>
        <v>1</v>
      </c>
      <c r="D15" s="227">
        <f>IF(C15&gt;15,3,(VLOOKUP(C15,H:I,2,FALSE)))</f>
        <v>0</v>
      </c>
      <c r="E15" s="227"/>
      <c r="F15" s="228"/>
      <c r="G15" s="227"/>
      <c r="H15" s="28">
        <v>14</v>
      </c>
      <c r="I15" s="28">
        <v>2</v>
      </c>
    </row>
    <row r="16" spans="1:9">
      <c r="A16" s="133" t="s">
        <v>186</v>
      </c>
      <c r="B16" s="133" t="s">
        <v>187</v>
      </c>
      <c r="C16" s="227">
        <f>COUNTIF('TURMAS 2015.2'!C:C,A16)</f>
        <v>2</v>
      </c>
      <c r="D16" s="227">
        <f>IF(C16&gt;15,3,(VLOOKUP(C16,H:I,2,FALSE)))</f>
        <v>0</v>
      </c>
      <c r="E16" s="227"/>
      <c r="F16" s="228"/>
      <c r="G16" s="227"/>
      <c r="H16" s="28">
        <v>15</v>
      </c>
      <c r="I16" s="28">
        <v>3</v>
      </c>
    </row>
    <row r="17" spans="1:7">
      <c r="A17" s="133" t="s">
        <v>195</v>
      </c>
      <c r="B17" s="133" t="s">
        <v>196</v>
      </c>
      <c r="C17" s="227">
        <f>COUNTIF('TURMAS 2015.2'!C:C,A17)</f>
        <v>2</v>
      </c>
      <c r="D17" s="227">
        <f>IF(C17&gt;15,3,(VLOOKUP(C17,H:I,2,FALSE)))</f>
        <v>0</v>
      </c>
      <c r="E17" s="227"/>
      <c r="F17" s="228"/>
      <c r="G17" s="227"/>
    </row>
    <row r="18" spans="1:7">
      <c r="A18" s="133" t="s">
        <v>203</v>
      </c>
      <c r="B18" s="133" t="s">
        <v>204</v>
      </c>
      <c r="C18" s="227">
        <f>COUNTIF('TURMAS 2015.2'!C:C,A18)</f>
        <v>1</v>
      </c>
      <c r="D18" s="227">
        <f>IF(C18&gt;15,3,(VLOOKUP(C18,H:I,2,FALSE)))</f>
        <v>0</v>
      </c>
      <c r="E18" s="227"/>
      <c r="F18" s="228"/>
      <c r="G18" s="227"/>
    </row>
    <row r="19" spans="1:7">
      <c r="A19" s="133" t="s">
        <v>209</v>
      </c>
      <c r="B19" s="133" t="s">
        <v>210</v>
      </c>
      <c r="C19" s="227">
        <f>COUNTIF('TURMAS 2015.2'!C:C,A19)</f>
        <v>2</v>
      </c>
      <c r="D19" s="227">
        <f>IF(C19&gt;15,3,(VLOOKUP(C19,H:I,2,FALSE)))</f>
        <v>0</v>
      </c>
      <c r="E19" s="227"/>
      <c r="F19" s="228"/>
      <c r="G19" s="227"/>
    </row>
    <row r="20" spans="1:7">
      <c r="A20" s="133" t="s">
        <v>224</v>
      </c>
      <c r="B20" s="133" t="s">
        <v>225</v>
      </c>
      <c r="C20" s="227">
        <f>COUNTIF('TURMAS 2015.2'!C:C,A20)</f>
        <v>52</v>
      </c>
      <c r="D20" s="227">
        <f>IF(C20&gt;15,3,(VLOOKUP(C20,H:I,2,FALSE)))</f>
        <v>3</v>
      </c>
      <c r="E20" s="227"/>
      <c r="F20" s="228"/>
      <c r="G20" s="227"/>
    </row>
    <row r="21" spans="1:7">
      <c r="A21" s="133" t="s">
        <v>389</v>
      </c>
      <c r="B21" s="133" t="s">
        <v>390</v>
      </c>
      <c r="C21" s="227">
        <f>COUNTIF('TURMAS 2015.2'!C:C,A21)</f>
        <v>52</v>
      </c>
      <c r="D21" s="227">
        <f>IF(C21&gt;15,3,(VLOOKUP(C21,H:I,2,FALSE)))</f>
        <v>3</v>
      </c>
      <c r="E21" s="227"/>
      <c r="F21" s="228"/>
      <c r="G21" s="227"/>
    </row>
    <row r="22" spans="1:7">
      <c r="A22" s="133" t="s">
        <v>549</v>
      </c>
      <c r="B22" s="133" t="s">
        <v>550</v>
      </c>
      <c r="C22" s="227">
        <f>COUNTIF('TURMAS 2015.2'!C:C,A22)</f>
        <v>6</v>
      </c>
      <c r="D22" s="227">
        <f>IF(C22&gt;15,3,(VLOOKUP(C22,H:I,2,FALSE)))</f>
        <v>1</v>
      </c>
      <c r="E22" s="227"/>
      <c r="F22" s="228"/>
      <c r="G22" s="227"/>
    </row>
    <row r="23" spans="1:7">
      <c r="A23" s="133" t="s">
        <v>569</v>
      </c>
      <c r="B23" s="133" t="s">
        <v>570</v>
      </c>
      <c r="C23" s="227">
        <f>COUNTIF('TURMAS 2015.2'!C:C,A23)</f>
        <v>21</v>
      </c>
      <c r="D23" s="227">
        <f>IF(C23&gt;15,3,(VLOOKUP(C23,H:I,2,FALSE)))</f>
        <v>3</v>
      </c>
      <c r="E23" s="227"/>
      <c r="F23" s="228"/>
      <c r="G23" s="227"/>
    </row>
    <row r="24" spans="1:7">
      <c r="A24" s="133" t="s">
        <v>638</v>
      </c>
      <c r="B24" s="133" t="s">
        <v>639</v>
      </c>
      <c r="C24" s="227">
        <f>COUNTIF('TURMAS 2015.2'!C:C,A24)</f>
        <v>1</v>
      </c>
      <c r="D24" s="227">
        <f>IF(C24&gt;15,3,(VLOOKUP(C24,H:I,2,FALSE)))</f>
        <v>0</v>
      </c>
      <c r="E24" s="227"/>
      <c r="F24" s="228"/>
      <c r="G24" s="227"/>
    </row>
    <row r="25" spans="1:7">
      <c r="A25" s="133" t="s">
        <v>648</v>
      </c>
      <c r="B25" s="133" t="s">
        <v>649</v>
      </c>
      <c r="C25" s="227">
        <f>COUNTIF('TURMAS 2015.2'!C:C,A25)</f>
        <v>2</v>
      </c>
      <c r="D25" s="227">
        <f>IF(C25&gt;15,3,(VLOOKUP(C25,H:I,2,FALSE)))</f>
        <v>0</v>
      </c>
      <c r="E25" s="227"/>
      <c r="F25" s="228"/>
      <c r="G25" s="227"/>
    </row>
    <row r="26" spans="1:7">
      <c r="A26" s="133" t="s">
        <v>658</v>
      </c>
      <c r="B26" s="133" t="s">
        <v>659</v>
      </c>
      <c r="C26" s="227">
        <f>COUNTIF('TURMAS 2015.2'!C:C,A26)</f>
        <v>2</v>
      </c>
      <c r="D26" s="227">
        <f>IF(C26&gt;15,3,(VLOOKUP(C26,H:I,2,FALSE)))</f>
        <v>0</v>
      </c>
      <c r="E26" s="227"/>
      <c r="F26" s="228"/>
      <c r="G26" s="227"/>
    </row>
    <row r="27" spans="1:7">
      <c r="A27" s="133" t="s">
        <v>666</v>
      </c>
      <c r="B27" s="133" t="s">
        <v>667</v>
      </c>
      <c r="C27" s="227">
        <f>COUNTIF('TURMAS 2015.2'!C:C,A27)</f>
        <v>2</v>
      </c>
      <c r="D27" s="227">
        <f>IF(C27&gt;15,3,(VLOOKUP(C27,H:I,2,FALSE)))</f>
        <v>0</v>
      </c>
      <c r="E27" s="227"/>
      <c r="F27" s="228"/>
      <c r="G27" s="227"/>
    </row>
    <row r="28" spans="1:7">
      <c r="A28" s="133" t="s">
        <v>677</v>
      </c>
      <c r="B28" s="133" t="s">
        <v>678</v>
      </c>
      <c r="C28" s="227">
        <f>COUNTIF('TURMAS 2015.2'!C:C,A28)</f>
        <v>2</v>
      </c>
      <c r="D28" s="227">
        <f>IF(C28&gt;15,3,(VLOOKUP(C28,H:I,2,FALSE)))</f>
        <v>0</v>
      </c>
      <c r="E28" s="227"/>
      <c r="F28" s="228"/>
      <c r="G28" s="227"/>
    </row>
    <row r="29" spans="1:7">
      <c r="A29" s="133" t="s">
        <v>685</v>
      </c>
      <c r="B29" s="133" t="s">
        <v>686</v>
      </c>
      <c r="C29" s="227">
        <f>COUNTIF('TURMAS 2015.2'!C:C,A29)</f>
        <v>2</v>
      </c>
      <c r="D29" s="227">
        <f>IF(C29&gt;15,3,(VLOOKUP(C29,H:I,2,FALSE)))</f>
        <v>0</v>
      </c>
      <c r="E29" s="227"/>
      <c r="F29" s="228"/>
      <c r="G29" s="227"/>
    </row>
    <row r="30" spans="1:7">
      <c r="A30" s="133" t="s">
        <v>694</v>
      </c>
      <c r="B30" s="133" t="s">
        <v>695</v>
      </c>
      <c r="C30" s="227">
        <f>COUNTIF('TURMAS 2015.2'!C:C,A30)</f>
        <v>6</v>
      </c>
      <c r="D30" s="227">
        <f>IF(C30&gt;15,3,(VLOOKUP(C30,H:I,2,FALSE)))</f>
        <v>1</v>
      </c>
      <c r="E30" s="227"/>
      <c r="F30" s="228"/>
      <c r="G30" s="227"/>
    </row>
    <row r="31" spans="1:7">
      <c r="A31" s="133" t="s">
        <v>715</v>
      </c>
      <c r="B31" s="133" t="s">
        <v>716</v>
      </c>
      <c r="C31" s="227">
        <f>COUNTIF('TURMAS 2015.2'!C:C,A31)</f>
        <v>12</v>
      </c>
      <c r="D31" s="227">
        <f>IF(C31&gt;15,3,(VLOOKUP(C31,H:I,2,FALSE)))</f>
        <v>2</v>
      </c>
      <c r="E31" s="227"/>
      <c r="F31" s="228"/>
      <c r="G31" s="227"/>
    </row>
    <row r="32" spans="1:7">
      <c r="A32" s="133" t="s">
        <v>766</v>
      </c>
      <c r="B32" s="133" t="s">
        <v>767</v>
      </c>
      <c r="C32" s="227">
        <f>COUNTIF('TURMAS 2015.2'!C:C,A32)</f>
        <v>2</v>
      </c>
      <c r="D32" s="227">
        <f>IF(C32&gt;15,3,(VLOOKUP(C32,H:I,2,FALSE)))</f>
        <v>0</v>
      </c>
      <c r="E32" s="227"/>
      <c r="F32" s="228"/>
      <c r="G32" s="227"/>
    </row>
    <row r="33" spans="1:7">
      <c r="A33" s="133" t="s">
        <v>776</v>
      </c>
      <c r="B33" s="133" t="s">
        <v>777</v>
      </c>
      <c r="C33" s="227">
        <f>COUNTIF('TURMAS 2015.2'!C:C,A33)</f>
        <v>8</v>
      </c>
      <c r="D33" s="227">
        <f>IF(C33&gt;15,3,(VLOOKUP(C33,H:I,2,FALSE)))</f>
        <v>1</v>
      </c>
      <c r="E33" s="227"/>
      <c r="F33" s="228"/>
      <c r="G33" s="227"/>
    </row>
    <row r="34" spans="1:7">
      <c r="A34" s="133" t="s">
        <v>807</v>
      </c>
      <c r="B34" s="133" t="s">
        <v>808</v>
      </c>
      <c r="C34" s="227">
        <f>COUNTIF('TURMAS 2015.2'!C:C,A34)</f>
        <v>1</v>
      </c>
      <c r="D34" s="227">
        <f>IF(C34&gt;15,3,(VLOOKUP(C34,H:I,2,FALSE)))</f>
        <v>0</v>
      </c>
      <c r="E34" s="227"/>
      <c r="F34" s="228"/>
      <c r="G34" s="227"/>
    </row>
    <row r="35" spans="1:7">
      <c r="A35" s="133" t="s">
        <v>814</v>
      </c>
      <c r="B35" s="133" t="s">
        <v>815</v>
      </c>
      <c r="C35" s="227">
        <f>COUNTIF('TURMAS 2015.2'!C:C,A35)</f>
        <v>2</v>
      </c>
      <c r="D35" s="227">
        <f>IF(C35&gt;15,3,(VLOOKUP(C35,H:I,2,FALSE)))</f>
        <v>0</v>
      </c>
      <c r="E35" s="227"/>
      <c r="F35" s="228"/>
      <c r="G35" s="227"/>
    </row>
    <row r="36" spans="1:7">
      <c r="A36" s="133" t="s">
        <v>826</v>
      </c>
      <c r="B36" s="133" t="s">
        <v>827</v>
      </c>
      <c r="C36" s="227">
        <f>COUNTIF('TURMAS 2015.2'!C:C,A36)</f>
        <v>1</v>
      </c>
      <c r="D36" s="227">
        <f>IF(C36&gt;15,3,(VLOOKUP(C36,H:I,2,FALSE)))</f>
        <v>0</v>
      </c>
      <c r="E36" s="227"/>
      <c r="F36" s="228"/>
      <c r="G36" s="227"/>
    </row>
    <row r="37" spans="1:7">
      <c r="A37" s="133" t="s">
        <v>832</v>
      </c>
      <c r="B37" s="133" t="s">
        <v>833</v>
      </c>
      <c r="C37" s="227">
        <f>COUNTIF('TURMAS 2015.2'!C:C,A37)</f>
        <v>2</v>
      </c>
      <c r="D37" s="227">
        <f>IF(C37&gt;15,3,(VLOOKUP(C37,H:I,2,FALSE)))</f>
        <v>0</v>
      </c>
      <c r="E37" s="227"/>
      <c r="F37" s="228"/>
      <c r="G37" s="227"/>
    </row>
    <row r="38" spans="1:7">
      <c r="A38" s="133" t="s">
        <v>842</v>
      </c>
      <c r="B38" s="133" t="s">
        <v>843</v>
      </c>
      <c r="C38" s="227">
        <f>COUNTIF('TURMAS 2015.2'!C:C,A38)</f>
        <v>11</v>
      </c>
      <c r="D38" s="227">
        <f>IF(C38&gt;15,3,(VLOOKUP(C38,H:I,2,FALSE)))</f>
        <v>2</v>
      </c>
      <c r="E38" s="227"/>
      <c r="F38" s="228"/>
      <c r="G38" s="227"/>
    </row>
    <row r="39" spans="1:7">
      <c r="A39" s="133" t="s">
        <v>886</v>
      </c>
      <c r="B39" s="133" t="s">
        <v>887</v>
      </c>
      <c r="C39" s="227">
        <f>COUNTIF('TURMAS 2015.2'!C:C,A39)</f>
        <v>2</v>
      </c>
      <c r="D39" s="227">
        <f>IF(C39&gt;15,3,(VLOOKUP(C39,H:I,2,FALSE)))</f>
        <v>0</v>
      </c>
      <c r="E39" s="227"/>
      <c r="F39" s="228"/>
      <c r="G39" s="227"/>
    </row>
    <row r="40" spans="1:7">
      <c r="A40" s="133" t="s">
        <v>896</v>
      </c>
      <c r="B40" s="133" t="s">
        <v>897</v>
      </c>
      <c r="C40" s="227">
        <f>COUNTIF('TURMAS 2015.2'!C:C,A40)</f>
        <v>2</v>
      </c>
      <c r="D40" s="227">
        <f>IF(C40&gt;15,3,(VLOOKUP(C40,H:I,2,FALSE)))</f>
        <v>0</v>
      </c>
      <c r="E40" s="227"/>
      <c r="F40" s="228"/>
      <c r="G40" s="227"/>
    </row>
    <row r="41" spans="1:7">
      <c r="A41" s="133" t="s">
        <v>906</v>
      </c>
      <c r="B41" s="133" t="s">
        <v>907</v>
      </c>
      <c r="C41" s="227">
        <f>COUNTIF('TURMAS 2015.2'!C:C,A41)</f>
        <v>2</v>
      </c>
      <c r="D41" s="227">
        <f>IF(C41&gt;15,3,(VLOOKUP(C41,H:I,2,FALSE)))</f>
        <v>0</v>
      </c>
      <c r="E41" s="227"/>
      <c r="F41" s="228"/>
      <c r="G41" s="227"/>
    </row>
    <row r="42" spans="1:7">
      <c r="A42" s="133" t="s">
        <v>917</v>
      </c>
      <c r="B42" s="133" t="s">
        <v>918</v>
      </c>
      <c r="C42" s="227">
        <f>COUNTIF('TURMAS 2015.2'!C:C,A42)</f>
        <v>5</v>
      </c>
      <c r="D42" s="227">
        <f>IF(C42&gt;15,3,(VLOOKUP(C42,H:I,2,FALSE)))</f>
        <v>1</v>
      </c>
      <c r="E42" s="227"/>
      <c r="F42" s="228"/>
      <c r="G42" s="227"/>
    </row>
    <row r="43" spans="1:7">
      <c r="A43" s="133" t="s">
        <v>934</v>
      </c>
      <c r="B43" s="133" t="s">
        <v>935</v>
      </c>
      <c r="C43" s="227">
        <f>COUNTIF('TURMAS 2015.2'!C:C,A43)</f>
        <v>2</v>
      </c>
      <c r="D43" s="227">
        <f>IF(C43&gt;15,3,(VLOOKUP(C43,H:I,2,FALSE)))</f>
        <v>0</v>
      </c>
      <c r="E43" s="227"/>
      <c r="F43" s="228"/>
      <c r="G43" s="227"/>
    </row>
    <row r="44" spans="1:7">
      <c r="A44" s="133" t="s">
        <v>943</v>
      </c>
      <c r="B44" s="133" t="s">
        <v>944</v>
      </c>
      <c r="C44" s="227">
        <f>COUNTIF('TURMAS 2015.2'!C:C,A44)</f>
        <v>1</v>
      </c>
      <c r="D44" s="227">
        <f>IF(C44&gt;15,3,(VLOOKUP(C44,H:I,2,FALSE)))</f>
        <v>0</v>
      </c>
      <c r="E44" s="227"/>
      <c r="F44" s="228"/>
      <c r="G44" s="227"/>
    </row>
    <row r="45" spans="1:7">
      <c r="A45" s="133" t="s">
        <v>949</v>
      </c>
      <c r="B45" s="133" t="s">
        <v>950</v>
      </c>
      <c r="C45" s="227">
        <f>COUNTIF('TURMAS 2015.2'!C:C,A45)</f>
        <v>1</v>
      </c>
      <c r="D45" s="227">
        <f>IF(C45&gt;15,3,(VLOOKUP(C45,H:I,2,FALSE)))</f>
        <v>0</v>
      </c>
      <c r="E45" s="227"/>
      <c r="F45" s="228"/>
      <c r="G45" s="227"/>
    </row>
    <row r="46" spans="1:7">
      <c r="A46" s="133" t="s">
        <v>955</v>
      </c>
      <c r="B46" s="133" t="s">
        <v>956</v>
      </c>
      <c r="C46" s="227">
        <f>COUNTIF('TURMAS 2015.2'!C:C,A46)</f>
        <v>1</v>
      </c>
      <c r="D46" s="227">
        <f>IF(C46&gt;15,3,(VLOOKUP(C46,H:I,2,FALSE)))</f>
        <v>0</v>
      </c>
      <c r="E46" s="227"/>
      <c r="F46" s="228"/>
      <c r="G46" s="227"/>
    </row>
    <row r="47" spans="1:7">
      <c r="A47" s="133" t="s">
        <v>960</v>
      </c>
      <c r="B47" s="133" t="s">
        <v>961</v>
      </c>
      <c r="C47" s="227">
        <f>COUNTIF('TURMAS 2015.2'!C:C,A47)</f>
        <v>5</v>
      </c>
      <c r="D47" s="227">
        <f>IF(C47&gt;15,3,(VLOOKUP(C47,H:I,2,FALSE)))</f>
        <v>1</v>
      </c>
      <c r="E47" s="227"/>
      <c r="F47" s="228"/>
      <c r="G47" s="227"/>
    </row>
    <row r="48" spans="1:7">
      <c r="A48" s="133" t="s">
        <v>982</v>
      </c>
      <c r="B48" s="133" t="s">
        <v>983</v>
      </c>
      <c r="C48" s="227">
        <f>COUNTIF('TURMAS 2015.2'!C:C,A48)</f>
        <v>1</v>
      </c>
      <c r="D48" s="227">
        <f>IF(C48&gt;15,3,(VLOOKUP(C48,H:I,2,FALSE)))</f>
        <v>0</v>
      </c>
      <c r="E48" s="227"/>
      <c r="F48" s="228"/>
      <c r="G48" s="227"/>
    </row>
    <row r="49" spans="1:7">
      <c r="A49" s="133" t="s">
        <v>989</v>
      </c>
      <c r="B49" s="133" t="s">
        <v>990</v>
      </c>
      <c r="C49" s="227">
        <f>COUNTIF('TURMAS 2015.2'!C:C,A49)</f>
        <v>1</v>
      </c>
      <c r="D49" s="227">
        <f>IF(C49&gt;15,3,(VLOOKUP(C49,H:I,2,FALSE)))</f>
        <v>0</v>
      </c>
      <c r="E49" s="227"/>
      <c r="F49" s="228"/>
      <c r="G49" s="227"/>
    </row>
    <row r="50" spans="1:7">
      <c r="A50" s="133" t="s">
        <v>995</v>
      </c>
      <c r="B50" s="133" t="s">
        <v>996</v>
      </c>
      <c r="C50" s="227">
        <f>COUNTIF('TURMAS 2015.2'!C:C,A50)</f>
        <v>1</v>
      </c>
      <c r="D50" s="227">
        <f>IF(C50&gt;15,3,(VLOOKUP(C50,H:I,2,FALSE)))</f>
        <v>0</v>
      </c>
      <c r="E50" s="227"/>
      <c r="F50" s="228"/>
      <c r="G50" s="227"/>
    </row>
    <row r="51" spans="1:7">
      <c r="A51" s="133" t="s">
        <v>1002</v>
      </c>
      <c r="B51" s="133" t="s">
        <v>1003</v>
      </c>
      <c r="C51" s="227">
        <f>COUNTIF('TURMAS 2015.2'!C:C,A51)</f>
        <v>6</v>
      </c>
      <c r="D51" s="227">
        <f>IF(C51&gt;15,3,(VLOOKUP(C51,H:I,2,FALSE)))</f>
        <v>1</v>
      </c>
      <c r="E51" s="227"/>
      <c r="F51" s="228"/>
      <c r="G51" s="227"/>
    </row>
    <row r="52" spans="1:7">
      <c r="A52" s="133" t="s">
        <v>1026</v>
      </c>
      <c r="B52" s="133" t="s">
        <v>1027</v>
      </c>
      <c r="C52" s="227">
        <f>COUNTIF('TURMAS 2015.2'!C:C,A52)</f>
        <v>2</v>
      </c>
      <c r="D52" s="227">
        <f>IF(C52&gt;15,3,(VLOOKUP(C52,H:I,2,FALSE)))</f>
        <v>0</v>
      </c>
      <c r="E52" s="227"/>
      <c r="F52" s="228"/>
      <c r="G52" s="227"/>
    </row>
    <row r="53" spans="1:7">
      <c r="A53" s="133" t="s">
        <v>1034</v>
      </c>
      <c r="B53" s="133" t="s">
        <v>1035</v>
      </c>
      <c r="C53" s="227">
        <f>COUNTIF('TURMAS 2015.2'!C:C,A53)</f>
        <v>1</v>
      </c>
      <c r="D53" s="227">
        <f>IF(C53&gt;15,3,(VLOOKUP(C53,H:I,2,FALSE)))</f>
        <v>0</v>
      </c>
      <c r="E53" s="227"/>
      <c r="F53" s="228"/>
      <c r="G53" s="227"/>
    </row>
    <row r="54" spans="1:7">
      <c r="A54" s="133" t="s">
        <v>1039</v>
      </c>
      <c r="B54" s="133" t="s">
        <v>1040</v>
      </c>
      <c r="C54" s="227">
        <f>COUNTIF('TURMAS 2015.2'!C:C,A54)</f>
        <v>1</v>
      </c>
      <c r="D54" s="227">
        <f>IF(C54&gt;15,3,(VLOOKUP(C54,H:I,2,FALSE)))</f>
        <v>0</v>
      </c>
      <c r="E54" s="227"/>
      <c r="F54" s="228"/>
      <c r="G54" s="227"/>
    </row>
    <row r="55" spans="1:7">
      <c r="A55" s="133" t="s">
        <v>1044</v>
      </c>
      <c r="B55" s="133" t="s">
        <v>1045</v>
      </c>
      <c r="C55" s="227">
        <f>COUNTIF('TURMAS 2015.2'!C:C,A55)</f>
        <v>1</v>
      </c>
      <c r="D55" s="227">
        <f>IF(C55&gt;15,3,(VLOOKUP(C55,H:I,2,FALSE)))</f>
        <v>0</v>
      </c>
      <c r="E55" s="227"/>
      <c r="F55" s="228"/>
      <c r="G55" s="227"/>
    </row>
    <row r="56" spans="1:7">
      <c r="A56" s="133" t="s">
        <v>1049</v>
      </c>
      <c r="B56" s="133" t="s">
        <v>1050</v>
      </c>
      <c r="C56" s="227">
        <f>COUNTIF('TURMAS 2015.2'!C:C,A56)</f>
        <v>3</v>
      </c>
      <c r="D56" s="227">
        <f>IF(C56&gt;15,3,(VLOOKUP(C56,H:I,2,FALSE)))</f>
        <v>0</v>
      </c>
      <c r="E56" s="227"/>
      <c r="F56" s="228"/>
      <c r="G56" s="227"/>
    </row>
    <row r="57" spans="1:7">
      <c r="A57" s="133" t="s">
        <v>1066</v>
      </c>
      <c r="B57" s="133" t="s">
        <v>1067</v>
      </c>
      <c r="C57" s="227">
        <f>COUNTIF('TURMAS 2015.2'!C:C,A57)</f>
        <v>2</v>
      </c>
      <c r="D57" s="227">
        <f>IF(C57&gt;15,3,(VLOOKUP(C57,H:I,2,FALSE)))</f>
        <v>0</v>
      </c>
      <c r="E57" s="227"/>
      <c r="F57" s="228"/>
      <c r="G57" s="227"/>
    </row>
    <row r="58" spans="1:7">
      <c r="A58" s="133" t="s">
        <v>1074</v>
      </c>
      <c r="B58" s="133" t="s">
        <v>1075</v>
      </c>
      <c r="C58" s="227">
        <f>COUNTIF('TURMAS 2015.2'!C:C,A58)</f>
        <v>1</v>
      </c>
      <c r="D58" s="227">
        <f>IF(C58&gt;15,3,(VLOOKUP(C58,H:I,2,FALSE)))</f>
        <v>0</v>
      </c>
      <c r="E58" s="227"/>
      <c r="F58" s="228"/>
      <c r="G58" s="227"/>
    </row>
    <row r="59" spans="1:7">
      <c r="A59" s="133" t="s">
        <v>1079</v>
      </c>
      <c r="B59" s="133" t="s">
        <v>1080</v>
      </c>
      <c r="C59" s="227">
        <f>COUNTIF('TURMAS 2015.2'!C:C,A59)</f>
        <v>3</v>
      </c>
      <c r="D59" s="227">
        <f>IF(C59&gt;15,3,(VLOOKUP(C59,H:I,2,FALSE)))</f>
        <v>0</v>
      </c>
      <c r="E59" s="227"/>
      <c r="F59" s="228"/>
      <c r="G59" s="227"/>
    </row>
    <row r="60" spans="1:7">
      <c r="A60" s="133" t="s">
        <v>1091</v>
      </c>
      <c r="B60" s="133" t="s">
        <v>1092</v>
      </c>
      <c r="C60" s="227">
        <f>COUNTIF('TURMAS 2015.2'!C:C,A60)</f>
        <v>2</v>
      </c>
      <c r="D60" s="227">
        <f>IF(C60&gt;15,3,(VLOOKUP(C60,H:I,2,FALSE)))</f>
        <v>0</v>
      </c>
      <c r="E60" s="227"/>
      <c r="F60" s="228"/>
      <c r="G60" s="227"/>
    </row>
    <row r="61" spans="1:7">
      <c r="A61" s="133" t="s">
        <v>1099</v>
      </c>
      <c r="B61" s="133" t="s">
        <v>1100</v>
      </c>
      <c r="C61" s="227">
        <f>COUNTIF('TURMAS 2015.2'!C:C,A61)</f>
        <v>2</v>
      </c>
      <c r="D61" s="227">
        <f>IF(C61&gt;15,3,(VLOOKUP(C61,H:I,2,FALSE)))</f>
        <v>0</v>
      </c>
      <c r="E61" s="227"/>
      <c r="F61" s="228"/>
      <c r="G61" s="227"/>
    </row>
    <row r="62" spans="1:7">
      <c r="A62" s="133" t="s">
        <v>1107</v>
      </c>
      <c r="B62" s="133" t="s">
        <v>1108</v>
      </c>
      <c r="C62" s="227">
        <f>COUNTIF('TURMAS 2015.2'!C:C,A62)</f>
        <v>1</v>
      </c>
      <c r="D62" s="227">
        <f>IF(C62&gt;15,3,(VLOOKUP(C62,H:I,2,FALSE)))</f>
        <v>0</v>
      </c>
      <c r="E62" s="227"/>
      <c r="F62" s="228"/>
      <c r="G62" s="227"/>
    </row>
    <row r="63" spans="1:7">
      <c r="A63" s="133" t="s">
        <v>1112</v>
      </c>
      <c r="B63" s="133" t="s">
        <v>1113</v>
      </c>
      <c r="C63" s="227">
        <f>COUNTIF('TURMAS 2015.2'!C:C,A63)</f>
        <v>2</v>
      </c>
      <c r="D63" s="227">
        <f>IF(C63&gt;15,3,(VLOOKUP(C63,H:I,2,FALSE)))</f>
        <v>0</v>
      </c>
      <c r="E63" s="227"/>
      <c r="F63" s="228"/>
      <c r="G63" s="227"/>
    </row>
    <row r="64" spans="1:7">
      <c r="A64" s="133" t="s">
        <v>1122</v>
      </c>
      <c r="B64" s="133" t="s">
        <v>1123</v>
      </c>
      <c r="C64" s="227">
        <f>COUNTIF('TURMAS 2015.2'!C:C,A64)</f>
        <v>1</v>
      </c>
      <c r="D64" s="227">
        <f>IF(C64&gt;15,3,(VLOOKUP(C64,H:I,2,FALSE)))</f>
        <v>0</v>
      </c>
      <c r="E64" s="227"/>
      <c r="F64" s="228"/>
      <c r="G64" s="227"/>
    </row>
    <row r="65" spans="1:7">
      <c r="A65" s="133" t="s">
        <v>1128</v>
      </c>
      <c r="B65" s="133" t="s">
        <v>1129</v>
      </c>
      <c r="C65" s="227">
        <f>COUNTIF('TURMAS 2015.2'!C:C,A65)</f>
        <v>2</v>
      </c>
      <c r="D65" s="227">
        <f>IF(C65&gt;15,3,(VLOOKUP(C65,H:I,2,FALSE)))</f>
        <v>0</v>
      </c>
      <c r="E65" s="227"/>
      <c r="F65" s="228"/>
      <c r="G65" s="227"/>
    </row>
    <row r="66" spans="1:7">
      <c r="A66" s="133" t="s">
        <v>1138</v>
      </c>
      <c r="B66" s="133" t="s">
        <v>1139</v>
      </c>
      <c r="C66" s="227">
        <f>COUNTIF('TURMAS 2015.2'!C:C,A66)</f>
        <v>4</v>
      </c>
      <c r="D66" s="227">
        <f>IF(C66&gt;15,3,(VLOOKUP(C66,H:I,2,FALSE)))</f>
        <v>0</v>
      </c>
      <c r="E66" s="227"/>
      <c r="F66" s="228"/>
      <c r="G66" s="227"/>
    </row>
    <row r="67" spans="1:7">
      <c r="A67" s="133" t="s">
        <v>1159</v>
      </c>
      <c r="B67" s="133" t="s">
        <v>1160</v>
      </c>
      <c r="C67" s="227">
        <f>COUNTIF('TURMAS 2015.2'!C:C,A67)</f>
        <v>4</v>
      </c>
      <c r="D67" s="227">
        <f>IF(C67&gt;15,3,(VLOOKUP(C67,H:I,2,FALSE)))</f>
        <v>0</v>
      </c>
      <c r="E67" s="227"/>
      <c r="F67" s="228"/>
      <c r="G67" s="227"/>
    </row>
    <row r="68" spans="1:7">
      <c r="A68" s="133" t="s">
        <v>1177</v>
      </c>
      <c r="B68" s="133" t="s">
        <v>1178</v>
      </c>
      <c r="C68" s="227">
        <f>COUNTIF('TURMAS 2015.2'!C:C,A68)</f>
        <v>1</v>
      </c>
      <c r="D68" s="227">
        <f>IF(C68&gt;15,3,(VLOOKUP(C68,H:I,2,FALSE)))</f>
        <v>0</v>
      </c>
      <c r="E68" s="227"/>
      <c r="F68" s="228"/>
      <c r="G68" s="227"/>
    </row>
    <row r="69" spans="1:7">
      <c r="A69" s="133" t="s">
        <v>1182</v>
      </c>
      <c r="B69" s="133" t="s">
        <v>1183</v>
      </c>
      <c r="C69" s="227">
        <f>COUNTIF('TURMAS 2015.2'!C:C,A69)</f>
        <v>1</v>
      </c>
      <c r="D69" s="227">
        <f>IF(C69&gt;15,3,(VLOOKUP(C69,H:I,2,FALSE)))</f>
        <v>0</v>
      </c>
      <c r="E69" s="227"/>
      <c r="F69" s="228"/>
      <c r="G69" s="227"/>
    </row>
    <row r="70" spans="1:7">
      <c r="A70" s="133" t="s">
        <v>1187</v>
      </c>
      <c r="B70" s="133" t="s">
        <v>1188</v>
      </c>
      <c r="C70" s="227">
        <f>COUNTIF('TURMAS 2015.2'!C:C,A70)</f>
        <v>1</v>
      </c>
      <c r="D70" s="227">
        <f>IF(C70&gt;15,3,(VLOOKUP(C70,H:I,2,FALSE)))</f>
        <v>0</v>
      </c>
      <c r="E70" s="227"/>
      <c r="F70" s="228"/>
      <c r="G70" s="227"/>
    </row>
    <row r="71" spans="1:7">
      <c r="A71" s="133" t="s">
        <v>1192</v>
      </c>
      <c r="B71" s="133" t="s">
        <v>1193</v>
      </c>
      <c r="C71" s="227">
        <f>COUNTIF('TURMAS 2015.2'!C:C,A71)</f>
        <v>7</v>
      </c>
      <c r="D71" s="227">
        <f>IF(C71&gt;15,3,(VLOOKUP(C71,H:I,2,FALSE)))</f>
        <v>1</v>
      </c>
      <c r="E71" s="227"/>
      <c r="F71" s="228"/>
      <c r="G71" s="227"/>
    </row>
    <row r="72" spans="1:7">
      <c r="A72" s="133" t="s">
        <v>1217</v>
      </c>
      <c r="B72" s="133" t="s">
        <v>1218</v>
      </c>
      <c r="C72" s="227">
        <f>COUNTIF('TURMAS 2015.2'!C:C,A72)</f>
        <v>1</v>
      </c>
      <c r="D72" s="227">
        <f>IF(C72&gt;15,3,(VLOOKUP(C72,H:I,2,FALSE)))</f>
        <v>0</v>
      </c>
      <c r="E72" s="227"/>
      <c r="F72" s="228"/>
      <c r="G72" s="227"/>
    </row>
    <row r="73" spans="1:7">
      <c r="A73" s="133" t="s">
        <v>1222</v>
      </c>
      <c r="B73" s="133" t="s">
        <v>1223</v>
      </c>
      <c r="C73" s="227">
        <f>COUNTIF('TURMAS 2015.2'!C:C,A73)</f>
        <v>2</v>
      </c>
      <c r="D73" s="227">
        <f>IF(C73&gt;15,3,(VLOOKUP(C73,H:I,2,FALSE)))</f>
        <v>0</v>
      </c>
      <c r="E73" s="227"/>
      <c r="F73" s="228"/>
      <c r="G73" s="227"/>
    </row>
    <row r="74" spans="1:7">
      <c r="A74" s="133" t="s">
        <v>1232</v>
      </c>
      <c r="B74" s="133" t="s">
        <v>1233</v>
      </c>
      <c r="C74" s="227">
        <f>COUNTIF('TURMAS 2015.2'!C:C,A74)</f>
        <v>3</v>
      </c>
      <c r="D74" s="227">
        <f>IF(C74&gt;15,3,(VLOOKUP(C74,H:I,2,FALSE)))</f>
        <v>0</v>
      </c>
      <c r="E74" s="227"/>
      <c r="F74" s="228"/>
      <c r="G74" s="227"/>
    </row>
    <row r="75" spans="1:7">
      <c r="A75" s="133" t="s">
        <v>1243</v>
      </c>
      <c r="B75" s="133" t="s">
        <v>1244</v>
      </c>
      <c r="C75" s="227">
        <f>COUNTIF('TURMAS 2015.2'!C:C,A75)</f>
        <v>1</v>
      </c>
      <c r="D75" s="227">
        <f>IF(C75&gt;15,3,(VLOOKUP(C75,H:I,2,FALSE)))</f>
        <v>0</v>
      </c>
      <c r="E75" s="227"/>
      <c r="F75" s="228"/>
      <c r="G75" s="227"/>
    </row>
    <row r="76" spans="1:7">
      <c r="A76" s="133" t="s">
        <v>1248</v>
      </c>
      <c r="B76" s="133" t="s">
        <v>1249</v>
      </c>
      <c r="C76" s="227">
        <f>COUNTIF('TURMAS 2015.2'!C:C,A76)</f>
        <v>6</v>
      </c>
      <c r="D76" s="227">
        <f>IF(C76&gt;15,3,(VLOOKUP(C76,H:I,2,FALSE)))</f>
        <v>1</v>
      </c>
      <c r="E76" s="227"/>
      <c r="F76" s="228"/>
      <c r="G76" s="227"/>
    </row>
    <row r="77" spans="1:7">
      <c r="A77" s="133" t="s">
        <v>1268</v>
      </c>
      <c r="B77" s="133" t="s">
        <v>1269</v>
      </c>
      <c r="C77" s="227">
        <f>COUNTIF('TURMAS 2015.2'!C:C,A77)</f>
        <v>8</v>
      </c>
      <c r="D77" s="227">
        <f>IF(C77&gt;15,3,(VLOOKUP(C77,H:I,2,FALSE)))</f>
        <v>1</v>
      </c>
      <c r="E77" s="227"/>
      <c r="F77" s="228"/>
      <c r="G77" s="227"/>
    </row>
    <row r="78" spans="1:7">
      <c r="A78" s="133" t="s">
        <v>1294</v>
      </c>
      <c r="B78" s="133" t="s">
        <v>1295</v>
      </c>
      <c r="C78" s="227">
        <f>COUNTIF('TURMAS 2015.2'!C:C,A78)</f>
        <v>1</v>
      </c>
      <c r="D78" s="227">
        <f>IF(C78&gt;15,3,(VLOOKUP(C78,H:I,2,FALSE)))</f>
        <v>0</v>
      </c>
      <c r="E78" s="227"/>
      <c r="F78" s="228"/>
      <c r="G78" s="227"/>
    </row>
    <row r="79" spans="1:7">
      <c r="A79" s="133" t="s">
        <v>1299</v>
      </c>
      <c r="B79" s="133" t="s">
        <v>1300</v>
      </c>
      <c r="C79" s="227">
        <f>COUNTIF('TURMAS 2015.2'!C:C,A79)</f>
        <v>2</v>
      </c>
      <c r="D79" s="227">
        <f>IF(C79&gt;15,3,(VLOOKUP(C79,H:I,2,FALSE)))</f>
        <v>0</v>
      </c>
      <c r="E79" s="227"/>
      <c r="F79" s="228"/>
      <c r="G79" s="227"/>
    </row>
    <row r="80" spans="1:7">
      <c r="A80" s="133" t="s">
        <v>1309</v>
      </c>
      <c r="B80" s="133" t="s">
        <v>1310</v>
      </c>
      <c r="C80" s="227">
        <f>COUNTIF('TURMAS 2015.2'!C:C,A80)</f>
        <v>1</v>
      </c>
      <c r="D80" s="227">
        <f>IF(C80&gt;15,3,(VLOOKUP(C80,H:I,2,FALSE)))</f>
        <v>0</v>
      </c>
      <c r="E80" s="227"/>
      <c r="F80" s="228"/>
      <c r="G80" s="227"/>
    </row>
    <row r="81" spans="1:10">
      <c r="A81" s="133" t="s">
        <v>1314</v>
      </c>
      <c r="B81" s="133" t="s">
        <v>1315</v>
      </c>
      <c r="C81" s="227">
        <f>COUNTIF('TURMAS 2015.2'!C:C,A81)</f>
        <v>2</v>
      </c>
      <c r="D81" s="227">
        <f>IF(C81&gt;15,3,(VLOOKUP(C81,H:I,2,FALSE)))</f>
        <v>0</v>
      </c>
      <c r="E81" s="227"/>
      <c r="F81" s="228"/>
      <c r="G81" s="227"/>
    </row>
    <row r="82" spans="1:10">
      <c r="A82" s="133" t="s">
        <v>1323</v>
      </c>
      <c r="B82" s="133" t="s">
        <v>1324</v>
      </c>
      <c r="C82" s="227">
        <f>COUNTIF('TURMAS 2015.2'!C:C,A82)</f>
        <v>4</v>
      </c>
      <c r="D82" s="227">
        <f>IF(C82&gt;15,3,(VLOOKUP(C82,H:I,2,FALSE)))</f>
        <v>0</v>
      </c>
      <c r="E82" s="227"/>
      <c r="F82" s="228"/>
      <c r="G82" s="227"/>
    </row>
    <row r="83" spans="1:10">
      <c r="A83" s="133" t="s">
        <v>1338</v>
      </c>
      <c r="B83" s="133" t="s">
        <v>1339</v>
      </c>
      <c r="C83" s="227">
        <f>COUNTIF('TURMAS 2015.2'!C:C,A83)</f>
        <v>2</v>
      </c>
      <c r="D83" s="227">
        <f>IF(C83&gt;15,3,(VLOOKUP(C83,H:I,2,FALSE)))</f>
        <v>0</v>
      </c>
      <c r="E83" s="227"/>
      <c r="F83" s="228"/>
      <c r="G83" s="227"/>
    </row>
    <row r="84" spans="1:10">
      <c r="A84" s="133" t="s">
        <v>1346</v>
      </c>
      <c r="B84" s="133" t="s">
        <v>1347</v>
      </c>
      <c r="C84" s="227">
        <f>COUNTIF('TURMAS 2015.2'!C:C,A84)</f>
        <v>18</v>
      </c>
      <c r="D84" s="227">
        <f>IF(C84&gt;15,3,(VLOOKUP(C84,H:I,2,FALSE)))</f>
        <v>3</v>
      </c>
      <c r="E84" s="227"/>
      <c r="F84" s="228"/>
      <c r="G84" s="227"/>
    </row>
    <row r="85" spans="1:10">
      <c r="A85" s="133" t="s">
        <v>1404</v>
      </c>
      <c r="B85" s="133" t="s">
        <v>1405</v>
      </c>
      <c r="C85" s="227">
        <f>COUNTIF('TURMAS 2015.2'!C:C,A85)</f>
        <v>6</v>
      </c>
      <c r="D85" s="227">
        <f>IF(C85&gt;15,3,(VLOOKUP(C85,H:I,2,FALSE)))</f>
        <v>1</v>
      </c>
      <c r="E85" s="227"/>
      <c r="F85" s="228"/>
      <c r="G85" s="227"/>
    </row>
    <row r="86" spans="1:10">
      <c r="A86" s="133" t="s">
        <v>1424</v>
      </c>
      <c r="B86" s="133" t="s">
        <v>1425</v>
      </c>
      <c r="C86" s="227">
        <f>COUNTIF('TURMAS 2015.2'!C:C,A86)</f>
        <v>2</v>
      </c>
      <c r="D86" s="227">
        <f>IF(C86&gt;15,3,(VLOOKUP(C86,H:I,2,FALSE)))</f>
        <v>0</v>
      </c>
      <c r="E86" s="227"/>
      <c r="F86" s="228"/>
      <c r="G86" s="227"/>
    </row>
    <row r="87" spans="1:10">
      <c r="A87" s="133" t="s">
        <v>1432</v>
      </c>
      <c r="B87" s="133" t="s">
        <v>1433</v>
      </c>
      <c r="C87" s="227">
        <f>COUNTIF('TURMAS 2015.2'!C:C,A87)</f>
        <v>1</v>
      </c>
      <c r="D87" s="227">
        <f>IF(C87&gt;15,3,(VLOOKUP(C87,H:I,2,FALSE)))</f>
        <v>0</v>
      </c>
      <c r="E87" s="227"/>
      <c r="F87" s="228"/>
      <c r="G87" s="227"/>
    </row>
    <row r="88" spans="1:10">
      <c r="A88" s="133" t="s">
        <v>1438</v>
      </c>
      <c r="B88" s="133" t="s">
        <v>1439</v>
      </c>
      <c r="C88" s="227">
        <f>COUNTIF('TURMAS 2015.2'!C:C,A88)</f>
        <v>1</v>
      </c>
      <c r="D88" s="227">
        <f>IF(C88&gt;15,3,(VLOOKUP(C88,H:I,2,FALSE)))</f>
        <v>0</v>
      </c>
      <c r="E88" s="227"/>
      <c r="F88" s="228"/>
      <c r="G88" s="227"/>
    </row>
    <row r="89" spans="1:10">
      <c r="A89" s="133" t="s">
        <v>1443</v>
      </c>
      <c r="B89" s="133" t="s">
        <v>1444</v>
      </c>
      <c r="C89" s="227">
        <f>COUNTIF('TURMAS 2015.2'!C:C,A89)</f>
        <v>2</v>
      </c>
      <c r="D89" s="227">
        <f>IF(C89&gt;15,3,(VLOOKUP(C89,H:I,2,FALSE)))</f>
        <v>0</v>
      </c>
      <c r="E89" s="227"/>
      <c r="F89" s="228"/>
      <c r="G89" s="227"/>
    </row>
    <row r="90" spans="1:10">
      <c r="A90" s="133" t="s">
        <v>1451</v>
      </c>
      <c r="B90" s="133" t="s">
        <v>1452</v>
      </c>
      <c r="C90" s="227">
        <f>COUNTIF('TURMAS 2015.2'!C:C,A90)</f>
        <v>47</v>
      </c>
      <c r="D90" s="227">
        <f>IF(C90&gt;15,3,(VLOOKUP(C90,H:I,2,FALSE)))</f>
        <v>3</v>
      </c>
      <c r="E90" s="227"/>
      <c r="F90" s="228"/>
      <c r="G90" s="227"/>
    </row>
    <row r="91" spans="1:10">
      <c r="A91" s="133" t="s">
        <v>1613</v>
      </c>
      <c r="B91" s="133" t="s">
        <v>1614</v>
      </c>
      <c r="C91" s="227">
        <f>COUNTIF('TURMAS 2015.2'!C:C,A91)</f>
        <v>2</v>
      </c>
      <c r="D91" s="227">
        <f>IF(C91&gt;15,3,(VLOOKUP(C91,H:I,2,FALSE)))</f>
        <v>0</v>
      </c>
      <c r="E91" s="227"/>
      <c r="F91" s="228"/>
      <c r="G91" s="227"/>
    </row>
    <row r="92" spans="1:10">
      <c r="A92" s="133" t="s">
        <v>1621</v>
      </c>
      <c r="B92" s="133" t="s">
        <v>1622</v>
      </c>
      <c r="C92" s="227">
        <f>COUNTIF('TURMAS 2015.2'!C:C,A92)</f>
        <v>2</v>
      </c>
      <c r="D92" s="227">
        <f>IF(C92&gt;15,3,(VLOOKUP(C92,H:I,2,FALSE)))</f>
        <v>0</v>
      </c>
      <c r="E92" s="227"/>
      <c r="F92" s="228"/>
      <c r="G92" s="227"/>
    </row>
    <row r="93" spans="1:10">
      <c r="A93" s="133" t="s">
        <v>1630</v>
      </c>
      <c r="B93" s="133" t="s">
        <v>1631</v>
      </c>
      <c r="C93" s="227">
        <f>COUNTIF('TURMAS 2015.2'!C:C,A93)</f>
        <v>2</v>
      </c>
      <c r="D93" s="227">
        <f>IF(C93&gt;15,3,(VLOOKUP(C93,H:I,2,FALSE)))</f>
        <v>0</v>
      </c>
      <c r="E93" s="227"/>
      <c r="F93" s="228"/>
      <c r="G93" s="227"/>
    </row>
    <row r="94" spans="1:10">
      <c r="A94" s="133" t="s">
        <v>1638</v>
      </c>
      <c r="B94" s="133" t="s">
        <v>1639</v>
      </c>
      <c r="C94" s="227">
        <f>COUNTIF('TURMAS 2015.2'!C:C,A94)</f>
        <v>2</v>
      </c>
      <c r="D94" s="227">
        <f>IF(C94&gt;15,3,(VLOOKUP(C94,H:I,2,FALSE)))</f>
        <v>0</v>
      </c>
      <c r="E94" s="227"/>
      <c r="F94" s="228"/>
      <c r="G94" s="227"/>
    </row>
    <row r="95" spans="1:10">
      <c r="A95" s="133" t="s">
        <v>1646</v>
      </c>
      <c r="B95" s="133" t="s">
        <v>1647</v>
      </c>
      <c r="C95" s="227">
        <f>COUNTIF('TURMAS 2015.2'!C:C,A95)</f>
        <v>2</v>
      </c>
      <c r="D95" s="227">
        <f>IF(C95&gt;15,3,(VLOOKUP(C95,H:I,2,FALSE)))</f>
        <v>0</v>
      </c>
      <c r="E95" s="227"/>
      <c r="F95" s="228"/>
      <c r="G95" s="227"/>
      <c r="H95">
        <v>364</v>
      </c>
      <c r="I95" s="227" t="str">
        <f>VLOOKUP($H95,docentes!A:H,2,0)</f>
        <v>MARCELO SALVADOR CAETANO</v>
      </c>
      <c r="J95" s="227" t="str">
        <f>VLOOKUP($H95,docentes!A:H,5,0)</f>
        <v>CMCC</v>
      </c>
    </row>
    <row r="96" spans="1:10">
      <c r="A96" s="133" t="s">
        <v>1654</v>
      </c>
      <c r="B96" s="133" t="s">
        <v>1655</v>
      </c>
      <c r="C96" s="227">
        <f>COUNTIF('TURMAS 2015.2'!C:C,A96)</f>
        <v>2</v>
      </c>
      <c r="D96" s="227">
        <f>IF(C96&gt;15,3,(VLOOKUP(C96,H:I,2,FALSE)))</f>
        <v>0</v>
      </c>
      <c r="E96" s="227"/>
      <c r="F96" s="228"/>
      <c r="G96" s="227"/>
      <c r="H96">
        <v>192</v>
      </c>
      <c r="I96" s="227" t="str">
        <f>VLOOKUP($H96,docentes!A:H,2,0)</f>
        <v>FERNANDO ROCHA NOGUEIRA</v>
      </c>
      <c r="J96" s="227" t="str">
        <f>VLOOKUP($H96,docentes!A:H,5,0)</f>
        <v>CECS</v>
      </c>
    </row>
    <row r="97" spans="1:7">
      <c r="A97" s="133" t="s">
        <v>1662</v>
      </c>
      <c r="B97" s="133" t="s">
        <v>1663</v>
      </c>
      <c r="C97" s="227">
        <f>COUNTIF('TURMAS 2015.2'!C:C,A97)</f>
        <v>2</v>
      </c>
      <c r="D97" s="227">
        <f>IF(C97&gt;15,3,(VLOOKUP(C97,H:I,2,FALSE)))</f>
        <v>0</v>
      </c>
      <c r="E97" s="227"/>
      <c r="F97" s="228"/>
      <c r="G97" s="227"/>
    </row>
    <row r="98" spans="1:7">
      <c r="A98" s="133" t="s">
        <v>1670</v>
      </c>
      <c r="B98" s="133" t="s">
        <v>1671</v>
      </c>
      <c r="C98" s="227">
        <f>COUNTIF('TURMAS 2015.2'!C:C,A98)</f>
        <v>1</v>
      </c>
      <c r="D98" s="227">
        <f>IF(C98&gt;15,3,(VLOOKUP(C98,H:I,2,FALSE)))</f>
        <v>0</v>
      </c>
      <c r="E98" s="227"/>
      <c r="F98" s="228"/>
      <c r="G98" s="227"/>
    </row>
    <row r="99" spans="1:7">
      <c r="A99" s="133" t="s">
        <v>1675</v>
      </c>
      <c r="B99" s="133" t="s">
        <v>1676</v>
      </c>
      <c r="C99" s="227">
        <f>COUNTIF('TURMAS 2015.2'!C:C,A99)</f>
        <v>1</v>
      </c>
      <c r="D99" s="227">
        <f>IF(C99&gt;15,3,(VLOOKUP(C99,H:I,2,FALSE)))</f>
        <v>0</v>
      </c>
      <c r="E99" s="227"/>
      <c r="F99" s="228"/>
      <c r="G99" s="227"/>
    </row>
    <row r="100" spans="1:7">
      <c r="A100" s="133" t="s">
        <v>1681</v>
      </c>
      <c r="B100" s="133" t="s">
        <v>1682</v>
      </c>
      <c r="C100" s="227">
        <f>COUNTIF('TURMAS 2015.2'!C:C,A100)</f>
        <v>2</v>
      </c>
      <c r="D100" s="227">
        <f>IF(C100&gt;15,3,(VLOOKUP(C100,H:I,2,FALSE)))</f>
        <v>0</v>
      </c>
      <c r="E100" s="227"/>
      <c r="F100" s="228"/>
      <c r="G100" s="227"/>
    </row>
    <row r="101" spans="1:7">
      <c r="A101" s="133" t="s">
        <v>1692</v>
      </c>
      <c r="B101" s="133" t="s">
        <v>1693</v>
      </c>
      <c r="C101" s="227">
        <f>COUNTIF('TURMAS 2015.2'!C:C,A101)</f>
        <v>2</v>
      </c>
      <c r="D101" s="227">
        <f>IF(C101&gt;15,3,(VLOOKUP(C101,H:I,2,FALSE)))</f>
        <v>0</v>
      </c>
      <c r="E101" s="227"/>
      <c r="F101" s="228"/>
      <c r="G101" s="227"/>
    </row>
    <row r="102" spans="1:7">
      <c r="A102" s="133" t="s">
        <v>1700</v>
      </c>
      <c r="B102" s="133" t="s">
        <v>1701</v>
      </c>
      <c r="C102" s="227">
        <f>COUNTIF('TURMAS 2015.2'!C:C,A102)</f>
        <v>2</v>
      </c>
      <c r="D102" s="227">
        <f>IF(C102&gt;15,3,(VLOOKUP(C102,H:I,2,FALSE)))</f>
        <v>0</v>
      </c>
      <c r="E102" s="227"/>
      <c r="F102" s="228"/>
      <c r="G102" s="227"/>
    </row>
    <row r="103" spans="1:7">
      <c r="A103" s="133" t="s">
        <v>1708</v>
      </c>
      <c r="B103" s="133" t="s">
        <v>1709</v>
      </c>
      <c r="C103" s="227">
        <f>COUNTIF('TURMAS 2015.2'!C:C,A103)</f>
        <v>1</v>
      </c>
      <c r="D103" s="227">
        <f>IF(C103&gt;15,3,(VLOOKUP(C103,H:I,2,FALSE)))</f>
        <v>0</v>
      </c>
      <c r="E103" s="227"/>
      <c r="F103" s="228"/>
      <c r="G103" s="227"/>
    </row>
    <row r="104" spans="1:7">
      <c r="A104" s="133" t="s">
        <v>1713</v>
      </c>
      <c r="B104" s="133" t="s">
        <v>1714</v>
      </c>
      <c r="C104" s="227">
        <f>COUNTIF('TURMAS 2015.2'!C:C,A104)</f>
        <v>1</v>
      </c>
      <c r="D104" s="227">
        <f>IF(C104&gt;15,3,(VLOOKUP(C104,H:I,2,FALSE)))</f>
        <v>0</v>
      </c>
      <c r="E104" s="227"/>
      <c r="F104" s="228"/>
      <c r="G104" s="227"/>
    </row>
    <row r="105" spans="1:7">
      <c r="A105" s="133" t="s">
        <v>1719</v>
      </c>
      <c r="B105" s="133" t="s">
        <v>1714</v>
      </c>
      <c r="C105" s="227">
        <f>COUNTIF('TURMAS 2015.2'!C:C,A105)</f>
        <v>1</v>
      </c>
      <c r="D105" s="227">
        <f>IF(C105&gt;15,3,(VLOOKUP(C105,H:I,2,FALSE)))</f>
        <v>0</v>
      </c>
      <c r="E105" s="227"/>
      <c r="F105" s="228"/>
      <c r="G105" s="227"/>
    </row>
    <row r="106" spans="1:7">
      <c r="A106" s="133" t="s">
        <v>1724</v>
      </c>
      <c r="B106" s="133" t="s">
        <v>1725</v>
      </c>
      <c r="C106" s="227">
        <f>COUNTIF('TURMAS 2015.2'!C:C,A106)</f>
        <v>2</v>
      </c>
      <c r="D106" s="227">
        <f>IF(C106&gt;15,3,(VLOOKUP(C106,H:I,2,FALSE)))</f>
        <v>0</v>
      </c>
      <c r="E106" s="227"/>
      <c r="F106" s="228"/>
      <c r="G106" s="227"/>
    </row>
    <row r="107" spans="1:7">
      <c r="A107" s="133" t="s">
        <v>1732</v>
      </c>
      <c r="B107" s="133" t="s">
        <v>1733</v>
      </c>
      <c r="C107" s="227">
        <f>COUNTIF('TURMAS 2015.2'!C:C,A107)</f>
        <v>2</v>
      </c>
      <c r="D107" s="227">
        <f>IF(C107&gt;15,3,(VLOOKUP(C107,H:I,2,FALSE)))</f>
        <v>0</v>
      </c>
      <c r="E107" s="227"/>
      <c r="F107" s="228"/>
      <c r="G107" s="227"/>
    </row>
    <row r="108" spans="1:7">
      <c r="A108" s="133" t="s">
        <v>1740</v>
      </c>
      <c r="B108" s="133" t="s">
        <v>1741</v>
      </c>
      <c r="C108" s="227">
        <f>COUNTIF('TURMAS 2015.2'!C:C,A108)</f>
        <v>4</v>
      </c>
      <c r="D108" s="227">
        <f>IF(C108&gt;15,3,(VLOOKUP(C108,H:I,2,FALSE)))</f>
        <v>0</v>
      </c>
      <c r="E108" s="227"/>
      <c r="F108" s="228"/>
      <c r="G108" s="227"/>
    </row>
    <row r="109" spans="1:7">
      <c r="A109" s="133" t="s">
        <v>1754</v>
      </c>
      <c r="B109" s="133" t="s">
        <v>1755</v>
      </c>
      <c r="C109" s="227">
        <f>COUNTIF('TURMAS 2015.2'!C:C,A109)</f>
        <v>7</v>
      </c>
      <c r="D109" s="227">
        <f>IF(C109&gt;15,3,(VLOOKUP(C109,H:I,2,FALSE)))</f>
        <v>1</v>
      </c>
      <c r="E109" s="227"/>
      <c r="F109" s="228"/>
      <c r="G109" s="227"/>
    </row>
    <row r="110" spans="1:7">
      <c r="A110" s="133" t="s">
        <v>1780</v>
      </c>
      <c r="B110" s="133" t="s">
        <v>1781</v>
      </c>
      <c r="C110" s="227">
        <f>COUNTIF('TURMAS 2015.2'!C:C,A110)</f>
        <v>2</v>
      </c>
      <c r="D110" s="227">
        <f>IF(C110&gt;15,3,(VLOOKUP(C110,H:I,2,FALSE)))</f>
        <v>0</v>
      </c>
      <c r="E110" s="227"/>
      <c r="F110" s="228"/>
      <c r="G110" s="227"/>
    </row>
    <row r="111" spans="1:7">
      <c r="A111" s="133" t="s">
        <v>1788</v>
      </c>
      <c r="B111" s="133" t="s">
        <v>1789</v>
      </c>
      <c r="C111" s="227">
        <f>COUNTIF('TURMAS 2015.2'!C:C,A111)</f>
        <v>2</v>
      </c>
      <c r="D111" s="227">
        <f>IF(C111&gt;15,3,(VLOOKUP(C111,H:I,2,FALSE)))</f>
        <v>0</v>
      </c>
      <c r="E111" s="227"/>
      <c r="F111" s="228"/>
      <c r="G111" s="227"/>
    </row>
    <row r="112" spans="1:7">
      <c r="A112" s="133" t="s">
        <v>1796</v>
      </c>
      <c r="B112" s="133" t="s">
        <v>1797</v>
      </c>
      <c r="C112" s="227">
        <f>COUNTIF('TURMAS 2015.2'!C:C,A112)</f>
        <v>1</v>
      </c>
      <c r="D112" s="227">
        <f>IF(C112&gt;15,3,(VLOOKUP(C112,H:I,2,FALSE)))</f>
        <v>0</v>
      </c>
      <c r="E112" s="227"/>
      <c r="F112" s="228"/>
      <c r="G112" s="227"/>
    </row>
    <row r="113" spans="1:7">
      <c r="A113" s="133" t="s">
        <v>1805</v>
      </c>
      <c r="B113" s="133" t="s">
        <v>1801</v>
      </c>
      <c r="C113" s="227">
        <f>COUNTIF('TURMAS 2015.2'!C:C,A113)</f>
        <v>1</v>
      </c>
      <c r="D113" s="227">
        <f>IF(C113&gt;15,3,(VLOOKUP(C113,H:I,2,FALSE)))</f>
        <v>0</v>
      </c>
      <c r="E113" s="227"/>
      <c r="F113" s="228"/>
      <c r="G113" s="227"/>
    </row>
    <row r="114" spans="1:7">
      <c r="A114" s="133" t="s">
        <v>1809</v>
      </c>
      <c r="B114" s="133" t="s">
        <v>1810</v>
      </c>
      <c r="C114" s="227">
        <f>COUNTIF('TURMAS 2015.2'!C:C,A114)</f>
        <v>1</v>
      </c>
      <c r="D114" s="227">
        <f>IF(C114&gt;15,3,(VLOOKUP(C114,H:I,2,FALSE)))</f>
        <v>0</v>
      </c>
      <c r="E114" s="227"/>
      <c r="F114" s="228"/>
      <c r="G114" s="227"/>
    </row>
    <row r="115" spans="1:7">
      <c r="A115" s="133" t="s">
        <v>1814</v>
      </c>
      <c r="B115" s="133" t="s">
        <v>1815</v>
      </c>
      <c r="C115" s="227">
        <f>COUNTIF('TURMAS 2015.2'!C:C,A115)</f>
        <v>7</v>
      </c>
      <c r="D115" s="227">
        <f>IF(C115&gt;15,3,(VLOOKUP(C115,H:I,2,FALSE)))</f>
        <v>1</v>
      </c>
      <c r="E115" s="227"/>
      <c r="F115" s="228"/>
      <c r="G115" s="227"/>
    </row>
    <row r="116" spans="1:7">
      <c r="A116" s="133" t="s">
        <v>1844</v>
      </c>
      <c r="B116" s="133" t="s">
        <v>1845</v>
      </c>
      <c r="C116" s="227">
        <f>COUNTIF('TURMAS 2015.2'!C:C,A116)</f>
        <v>2</v>
      </c>
      <c r="D116" s="227">
        <f>IF(C116&gt;15,3,(VLOOKUP(C116,H:I,2,FALSE)))</f>
        <v>0</v>
      </c>
      <c r="E116" s="227"/>
      <c r="F116" s="228"/>
      <c r="G116" s="227"/>
    </row>
    <row r="117" spans="1:7">
      <c r="A117" s="133" t="s">
        <v>1853</v>
      </c>
      <c r="B117" s="133" t="s">
        <v>1854</v>
      </c>
      <c r="C117" s="227">
        <f>COUNTIF('TURMAS 2015.2'!C:C,A117)</f>
        <v>2</v>
      </c>
      <c r="D117" s="227">
        <f>IF(C117&gt;15,3,(VLOOKUP(C117,H:I,2,FALSE)))</f>
        <v>0</v>
      </c>
      <c r="E117" s="227"/>
      <c r="F117" s="228"/>
      <c r="G117" s="227"/>
    </row>
    <row r="118" spans="1:7">
      <c r="A118" s="133" t="s">
        <v>1863</v>
      </c>
      <c r="B118" s="133" t="s">
        <v>1864</v>
      </c>
      <c r="C118" s="227">
        <f>COUNTIF('TURMAS 2015.2'!C:C,A118)</f>
        <v>2</v>
      </c>
      <c r="D118" s="227">
        <f>IF(C118&gt;15,3,(VLOOKUP(C118,H:I,2,FALSE)))</f>
        <v>0</v>
      </c>
      <c r="E118" s="227"/>
      <c r="F118" s="228"/>
      <c r="G118" s="227"/>
    </row>
    <row r="119" spans="1:7">
      <c r="A119" s="133" t="s">
        <v>1871</v>
      </c>
      <c r="B119" s="133" t="s">
        <v>1872</v>
      </c>
      <c r="C119" s="227">
        <f>COUNTIF('TURMAS 2015.2'!C:C,A119)</f>
        <v>2</v>
      </c>
      <c r="D119" s="227">
        <f>IF(C119&gt;15,3,(VLOOKUP(C119,H:I,2,FALSE)))</f>
        <v>0</v>
      </c>
      <c r="E119" s="227"/>
      <c r="F119" s="228"/>
      <c r="G119" s="227"/>
    </row>
    <row r="120" spans="1:7">
      <c r="A120" s="133" t="s">
        <v>1879</v>
      </c>
      <c r="B120" s="133" t="s">
        <v>1880</v>
      </c>
      <c r="C120" s="227">
        <f>COUNTIF('TURMAS 2015.2'!C:C,A120)</f>
        <v>2</v>
      </c>
      <c r="D120" s="227">
        <f>IF(C120&gt;15,3,(VLOOKUP(C120,H:I,2,FALSE)))</f>
        <v>0</v>
      </c>
      <c r="E120" s="227"/>
      <c r="F120" s="228"/>
      <c r="G120" s="227"/>
    </row>
    <row r="121" spans="1:7">
      <c r="A121" s="133" t="s">
        <v>1889</v>
      </c>
      <c r="B121" s="133" t="s">
        <v>1890</v>
      </c>
      <c r="C121" s="227">
        <f>COUNTIF('TURMAS 2015.2'!C:C,A121)</f>
        <v>2</v>
      </c>
      <c r="D121" s="227">
        <f>IF(C121&gt;15,3,(VLOOKUP(C121,H:I,2,FALSE)))</f>
        <v>0</v>
      </c>
      <c r="E121" s="227"/>
      <c r="F121" s="228"/>
      <c r="G121" s="227"/>
    </row>
    <row r="122" spans="1:7">
      <c r="A122" s="133" t="s">
        <v>1897</v>
      </c>
      <c r="B122" s="133" t="s">
        <v>1898</v>
      </c>
      <c r="C122" s="227">
        <f>COUNTIF('TURMAS 2015.2'!C:C,A122)</f>
        <v>2</v>
      </c>
      <c r="D122" s="227">
        <f>IF(C122&gt;15,3,(VLOOKUP(C122,H:I,2,FALSE)))</f>
        <v>0</v>
      </c>
      <c r="E122" s="227"/>
      <c r="F122" s="228"/>
      <c r="G122" s="227"/>
    </row>
    <row r="123" spans="1:7">
      <c r="A123" s="133" t="s">
        <v>1905</v>
      </c>
      <c r="B123" s="133" t="s">
        <v>1906</v>
      </c>
      <c r="C123" s="227">
        <f>COUNTIF('TURMAS 2015.2'!C:C,A123)</f>
        <v>2</v>
      </c>
      <c r="D123" s="227">
        <f>IF(C123&gt;15,3,(VLOOKUP(C123,H:I,2,FALSE)))</f>
        <v>0</v>
      </c>
      <c r="E123" s="227"/>
      <c r="F123" s="228"/>
      <c r="G123" s="227"/>
    </row>
    <row r="124" spans="1:7">
      <c r="A124" s="133" t="s">
        <v>1914</v>
      </c>
      <c r="B124" s="133" t="s">
        <v>1915</v>
      </c>
      <c r="C124" s="227">
        <f>COUNTIF('TURMAS 2015.2'!C:C,A124)</f>
        <v>2</v>
      </c>
      <c r="D124" s="227">
        <f>IF(C124&gt;15,3,(VLOOKUP(C124,H:I,2,FALSE)))</f>
        <v>0</v>
      </c>
      <c r="E124" s="227"/>
      <c r="F124" s="228"/>
      <c r="G124" s="227"/>
    </row>
    <row r="125" spans="1:7">
      <c r="A125" s="133" t="s">
        <v>1922</v>
      </c>
      <c r="B125" s="133" t="s">
        <v>1923</v>
      </c>
      <c r="C125" s="227">
        <f>COUNTIF('TURMAS 2015.2'!C:C,A125)</f>
        <v>2</v>
      </c>
      <c r="D125" s="227">
        <f>IF(C125&gt;15,3,(VLOOKUP(C125,H:I,2,FALSE)))</f>
        <v>0</v>
      </c>
      <c r="E125" s="227"/>
      <c r="F125" s="228"/>
      <c r="G125" s="227"/>
    </row>
    <row r="126" spans="1:7">
      <c r="A126" s="133" t="s">
        <v>1930</v>
      </c>
      <c r="B126" s="133" t="s">
        <v>1931</v>
      </c>
      <c r="C126" s="227">
        <f>COUNTIF('TURMAS 2015.2'!C:C,A126)</f>
        <v>3</v>
      </c>
      <c r="D126" s="227">
        <f>IF(C126&gt;15,3,(VLOOKUP(C126,H:I,2,FALSE)))</f>
        <v>0</v>
      </c>
      <c r="E126" s="227"/>
      <c r="F126" s="228"/>
      <c r="G126" s="227"/>
    </row>
    <row r="127" spans="1:7">
      <c r="A127" s="133" t="s">
        <v>1944</v>
      </c>
      <c r="B127" s="133" t="s">
        <v>1945</v>
      </c>
      <c r="C127" s="227">
        <f>COUNTIF('TURMAS 2015.2'!C:C,A127)</f>
        <v>2</v>
      </c>
      <c r="D127" s="227">
        <f>IF(C127&gt;15,3,(VLOOKUP(C127,H:I,2,FALSE)))</f>
        <v>0</v>
      </c>
      <c r="E127" s="227"/>
      <c r="F127" s="228"/>
      <c r="G127" s="227"/>
    </row>
    <row r="128" spans="1:7">
      <c r="A128" s="133" t="s">
        <v>1952</v>
      </c>
      <c r="B128" s="133" t="s">
        <v>1953</v>
      </c>
      <c r="C128" s="227">
        <f>COUNTIF('TURMAS 2015.2'!C:C,A128)</f>
        <v>2</v>
      </c>
      <c r="D128" s="227">
        <f>IF(C128&gt;15,3,(VLOOKUP(C128,H:I,2,FALSE)))</f>
        <v>0</v>
      </c>
      <c r="E128" s="227"/>
      <c r="F128" s="228"/>
      <c r="G128" s="227"/>
    </row>
    <row r="129" spans="1:7">
      <c r="A129" s="133" t="s">
        <v>1960</v>
      </c>
      <c r="B129" s="133" t="s">
        <v>1961</v>
      </c>
      <c r="C129" s="227">
        <f>COUNTIF('TURMAS 2015.2'!C:C,A129)</f>
        <v>1</v>
      </c>
      <c r="D129" s="227">
        <f>IF(C129&gt;15,3,(VLOOKUP(C129,H:I,2,FALSE)))</f>
        <v>0</v>
      </c>
      <c r="E129" s="227"/>
      <c r="F129" s="228"/>
      <c r="G129" s="227"/>
    </row>
    <row r="130" spans="1:7">
      <c r="A130" s="133" t="s">
        <v>1969</v>
      </c>
      <c r="B130" s="133" t="s">
        <v>1965</v>
      </c>
      <c r="C130" s="227">
        <f>COUNTIF('TURMAS 2015.2'!C:C,A130)</f>
        <v>1</v>
      </c>
      <c r="D130" s="227">
        <f>IF(C130&gt;15,3,(VLOOKUP(C130,H:I,2,FALSE)))</f>
        <v>0</v>
      </c>
      <c r="E130" s="227"/>
      <c r="F130" s="228"/>
      <c r="G130" s="227"/>
    </row>
    <row r="131" spans="1:7">
      <c r="A131" s="133" t="s">
        <v>1973</v>
      </c>
      <c r="B131" s="133" t="s">
        <v>1974</v>
      </c>
      <c r="C131" s="227">
        <f>COUNTIF('TURMAS 2015.2'!C:C,A131)</f>
        <v>5</v>
      </c>
      <c r="D131" s="227">
        <f>IF(C131&gt;15,3,(VLOOKUP(C131,H:I,2,FALSE)))</f>
        <v>1</v>
      </c>
      <c r="E131" s="227"/>
      <c r="F131" s="228"/>
      <c r="G131" s="227"/>
    </row>
    <row r="132" spans="1:7">
      <c r="A132" s="133" t="s">
        <v>1978</v>
      </c>
      <c r="B132" s="133" t="s">
        <v>1974</v>
      </c>
      <c r="C132" s="227">
        <f>COUNTIF('TURMAS 2015.2'!C:C,A132)</f>
        <v>4</v>
      </c>
      <c r="D132" s="227">
        <f>IF(C132&gt;15,3,(VLOOKUP(C132,H:I,2,FALSE)))</f>
        <v>0</v>
      </c>
      <c r="E132" s="227"/>
      <c r="F132" s="228"/>
      <c r="G132" s="227"/>
    </row>
    <row r="133" spans="1:7">
      <c r="A133" s="133" t="s">
        <v>1999</v>
      </c>
      <c r="B133" s="133" t="s">
        <v>2000</v>
      </c>
      <c r="C133" s="227">
        <f>COUNTIF('TURMAS 2015.2'!C:C,A133)</f>
        <v>2</v>
      </c>
      <c r="D133" s="227">
        <f>IF(C133&gt;15,3,(VLOOKUP(C133,H:I,2,FALSE)))</f>
        <v>0</v>
      </c>
      <c r="E133" s="227"/>
      <c r="F133" s="228"/>
      <c r="G133" s="227"/>
    </row>
    <row r="134" spans="1:7">
      <c r="A134" s="133" t="s">
        <v>2007</v>
      </c>
      <c r="B134" s="133" t="s">
        <v>2008</v>
      </c>
      <c r="C134" s="227">
        <f>COUNTIF('TURMAS 2015.2'!C:C,A134)</f>
        <v>1</v>
      </c>
      <c r="D134" s="227">
        <f>IF(C134&gt;15,3,(VLOOKUP(C134,H:I,2,FALSE)))</f>
        <v>0</v>
      </c>
      <c r="E134" s="227"/>
      <c r="F134" s="228"/>
      <c r="G134" s="227"/>
    </row>
    <row r="135" spans="1:7">
      <c r="A135" s="133" t="s">
        <v>2013</v>
      </c>
      <c r="B135" s="133" t="s">
        <v>2014</v>
      </c>
      <c r="C135" s="227">
        <f>COUNTIF('TURMAS 2015.2'!C:C,A135)</f>
        <v>1</v>
      </c>
      <c r="D135" s="227">
        <f>IF(C135&gt;15,3,(VLOOKUP(C135,H:I,2,FALSE)))</f>
        <v>0</v>
      </c>
      <c r="E135" s="227"/>
      <c r="F135" s="228"/>
      <c r="G135" s="227"/>
    </row>
    <row r="136" spans="1:7">
      <c r="A136" s="133" t="s">
        <v>2018</v>
      </c>
      <c r="B136" s="133" t="s">
        <v>2019</v>
      </c>
      <c r="C136" s="227">
        <f>COUNTIF('TURMAS 2015.2'!C:C,A136)</f>
        <v>2</v>
      </c>
      <c r="D136" s="227">
        <f>IF(C136&gt;15,3,(VLOOKUP(C136,H:I,2,FALSE)))</f>
        <v>0</v>
      </c>
      <c r="E136" s="227"/>
      <c r="F136" s="228"/>
      <c r="G136" s="227"/>
    </row>
    <row r="137" spans="1:7">
      <c r="A137" s="133" t="s">
        <v>19</v>
      </c>
      <c r="B137" s="133" t="s">
        <v>2028</v>
      </c>
      <c r="C137" s="227">
        <f>COUNTIF('TURMAS 2015.2'!C:C,A137)</f>
        <v>6</v>
      </c>
      <c r="D137" s="227">
        <f>IF(C137&gt;15,3,(VLOOKUP(C137,H:I,2,FALSE)))</f>
        <v>1</v>
      </c>
      <c r="E137" s="227"/>
      <c r="F137" s="228"/>
      <c r="G137" s="227"/>
    </row>
    <row r="138" spans="1:7">
      <c r="A138" s="133" t="s">
        <v>2052</v>
      </c>
      <c r="B138" s="133" t="s">
        <v>2053</v>
      </c>
      <c r="C138" s="227">
        <f>COUNTIF('TURMAS 2015.2'!C:C,A138)</f>
        <v>2</v>
      </c>
      <c r="D138" s="227">
        <f>IF(C138&gt;15,3,(VLOOKUP(C138,H:I,2,FALSE)))</f>
        <v>0</v>
      </c>
      <c r="E138" s="227"/>
      <c r="F138" s="228"/>
      <c r="G138" s="227"/>
    </row>
    <row r="139" spans="1:7">
      <c r="A139" s="133" t="s">
        <v>2065</v>
      </c>
      <c r="B139" s="133" t="s">
        <v>2066</v>
      </c>
      <c r="C139" s="227">
        <f>COUNTIF('TURMAS 2015.2'!C:C,A139)</f>
        <v>6</v>
      </c>
      <c r="D139" s="227">
        <f>IF(C139&gt;15,3,(VLOOKUP(C139,H:I,2,FALSE)))</f>
        <v>1</v>
      </c>
      <c r="E139" s="227"/>
      <c r="F139" s="228"/>
      <c r="G139" s="227"/>
    </row>
    <row r="140" spans="1:7">
      <c r="A140" s="133" t="s">
        <v>2085</v>
      </c>
      <c r="B140" s="133" t="s">
        <v>2086</v>
      </c>
      <c r="C140" s="227">
        <f>COUNTIF('TURMAS 2015.2'!C:C,A140)</f>
        <v>4</v>
      </c>
      <c r="D140" s="227">
        <f>IF(C140&gt;15,3,(VLOOKUP(C140,H:I,2,FALSE)))</f>
        <v>0</v>
      </c>
      <c r="E140" s="227"/>
      <c r="F140" s="228"/>
      <c r="G140" s="227"/>
    </row>
    <row r="141" spans="1:7">
      <c r="A141" s="133" t="s">
        <v>2099</v>
      </c>
      <c r="B141" s="133" t="s">
        <v>2100</v>
      </c>
      <c r="C141" s="227">
        <f>COUNTIF('TURMAS 2015.2'!C:C,A141)</f>
        <v>2</v>
      </c>
      <c r="D141" s="227">
        <f>IF(C141&gt;15,3,(VLOOKUP(C141,H:I,2,FALSE)))</f>
        <v>0</v>
      </c>
      <c r="E141" s="229"/>
      <c r="F141" s="228"/>
      <c r="G141" s="227"/>
    </row>
    <row r="142" spans="1:7">
      <c r="A142" s="133" t="s">
        <v>2112</v>
      </c>
      <c r="B142" s="133" t="s">
        <v>2113</v>
      </c>
      <c r="C142" s="227">
        <f>COUNTIF('TURMAS 2015.2'!C:C,A142)</f>
        <v>1</v>
      </c>
      <c r="D142" s="227">
        <f>IF(C142&gt;15,3,(VLOOKUP(C142,H:I,2,FALSE)))</f>
        <v>0</v>
      </c>
      <c r="E142" s="227"/>
      <c r="F142" s="228"/>
      <c r="G142" s="227"/>
    </row>
    <row r="143" spans="1:7">
      <c r="A143" s="133" t="s">
        <v>2117</v>
      </c>
      <c r="B143" s="133" t="s">
        <v>2118</v>
      </c>
      <c r="C143" s="227">
        <f>COUNTIF('TURMAS 2015.2'!C:C,A143)</f>
        <v>2</v>
      </c>
      <c r="D143" s="227">
        <f>IF(C143&gt;15,3,(VLOOKUP(C143,H:I,2,FALSE)))</f>
        <v>0</v>
      </c>
      <c r="E143" s="227"/>
      <c r="F143" s="228"/>
      <c r="G143" s="227"/>
    </row>
    <row r="144" spans="1:7">
      <c r="A144" s="133" t="s">
        <v>2125</v>
      </c>
      <c r="B144" s="133" t="s">
        <v>2126</v>
      </c>
      <c r="C144" s="227">
        <f>COUNTIF('TURMAS 2015.2'!C:C,A144)</f>
        <v>1</v>
      </c>
      <c r="D144" s="227">
        <f>IF(C144&gt;15,3,(VLOOKUP(C144,H:I,2,FALSE)))</f>
        <v>0</v>
      </c>
      <c r="E144" s="227"/>
      <c r="F144" s="228"/>
      <c r="G144" s="227"/>
    </row>
    <row r="145" spans="1:7">
      <c r="A145" s="133" t="s">
        <v>2131</v>
      </c>
      <c r="B145" s="133" t="s">
        <v>2132</v>
      </c>
      <c r="C145" s="227">
        <f>COUNTIF('TURMAS 2015.2'!C:C,A145)</f>
        <v>2</v>
      </c>
      <c r="D145" s="227">
        <f>IF(C145&gt;15,3,(VLOOKUP(C145,H:I,2,FALSE)))</f>
        <v>0</v>
      </c>
      <c r="E145" s="227"/>
      <c r="F145" s="228"/>
      <c r="G145" s="227"/>
    </row>
    <row r="146" spans="1:7">
      <c r="A146" s="133" t="s">
        <v>2139</v>
      </c>
      <c r="B146" s="133" t="s">
        <v>2140</v>
      </c>
      <c r="C146" s="227">
        <f>COUNTIF('TURMAS 2015.2'!C:C,A146)</f>
        <v>14</v>
      </c>
      <c r="D146" s="227">
        <f>IF(C146&gt;15,3,(VLOOKUP(C146,H:I,2,FALSE)))</f>
        <v>2</v>
      </c>
      <c r="E146" s="227"/>
      <c r="F146" s="228"/>
      <c r="G146" s="227"/>
    </row>
    <row r="147" spans="1:7">
      <c r="A147" s="133" t="s">
        <v>2184</v>
      </c>
      <c r="B147" s="133" t="s">
        <v>2185</v>
      </c>
      <c r="C147" s="227">
        <f>COUNTIF('TURMAS 2015.2'!C:C,A147)</f>
        <v>2</v>
      </c>
      <c r="D147" s="227">
        <f>IF(C147&gt;15,3,(VLOOKUP(C147,H:I,2,FALSE)))</f>
        <v>0</v>
      </c>
      <c r="E147" s="227"/>
      <c r="F147" s="228"/>
      <c r="G147" s="227"/>
    </row>
    <row r="148" spans="1:7">
      <c r="A148" s="133" t="s">
        <v>2192</v>
      </c>
      <c r="B148" s="133" t="s">
        <v>2193</v>
      </c>
      <c r="C148" s="227">
        <f>COUNTIF('TURMAS 2015.2'!C:C,A148)</f>
        <v>2</v>
      </c>
      <c r="D148" s="227">
        <f>IF(C148&gt;15,3,(VLOOKUP(C148,H:I,2,FALSE)))</f>
        <v>0</v>
      </c>
      <c r="E148" s="227"/>
      <c r="F148" s="228"/>
      <c r="G148" s="227"/>
    </row>
    <row r="149" spans="1:7">
      <c r="A149" s="133" t="s">
        <v>2204</v>
      </c>
      <c r="B149" s="133" t="s">
        <v>2205</v>
      </c>
      <c r="C149" s="227">
        <f>COUNTIF('TURMAS 2015.2'!C:C,A149)</f>
        <v>2</v>
      </c>
      <c r="D149" s="227">
        <f>IF(C149&gt;15,3,(VLOOKUP(C149,H:I,2,FALSE)))</f>
        <v>0</v>
      </c>
      <c r="E149" s="227"/>
      <c r="F149" s="228"/>
      <c r="G149" s="227"/>
    </row>
    <row r="150" spans="1:7">
      <c r="A150" s="133" t="s">
        <v>2213</v>
      </c>
      <c r="B150" s="133" t="s">
        <v>2214</v>
      </c>
      <c r="C150" s="227">
        <f>COUNTIF('TURMAS 2015.2'!C:C,A150)</f>
        <v>1</v>
      </c>
      <c r="D150" s="227">
        <f>IF(C150&gt;15,3,(VLOOKUP(C150,H:I,2,FALSE)))</f>
        <v>0</v>
      </c>
      <c r="E150" s="227"/>
      <c r="F150" s="228"/>
      <c r="G150" s="227"/>
    </row>
    <row r="151" spans="1:7">
      <c r="A151" s="133" t="s">
        <v>2218</v>
      </c>
      <c r="B151" s="133" t="s">
        <v>2219</v>
      </c>
      <c r="C151" s="227">
        <f>COUNTIF('TURMAS 2015.2'!C:C,A151)</f>
        <v>1</v>
      </c>
      <c r="D151" s="227">
        <f>IF(C151&gt;15,3,(VLOOKUP(C151,H:I,2,FALSE)))</f>
        <v>0</v>
      </c>
      <c r="E151" s="227"/>
      <c r="F151" s="228"/>
      <c r="G151" s="227"/>
    </row>
    <row r="152" spans="1:7">
      <c r="A152" s="133" t="s">
        <v>2223</v>
      </c>
      <c r="B152" s="133" t="s">
        <v>2224</v>
      </c>
      <c r="C152" s="227">
        <f>COUNTIF('TURMAS 2015.2'!C:C,A152)</f>
        <v>3</v>
      </c>
      <c r="D152" s="227">
        <f>IF(C152&gt;15,3,(VLOOKUP(C152,H:I,2,FALSE)))</f>
        <v>0</v>
      </c>
      <c r="E152" s="227"/>
      <c r="F152" s="228"/>
      <c r="G152" s="227"/>
    </row>
    <row r="153" spans="1:7">
      <c r="A153" s="133" t="s">
        <v>2236</v>
      </c>
      <c r="B153" s="133" t="s">
        <v>2237</v>
      </c>
      <c r="C153" s="227">
        <f>COUNTIF('TURMAS 2015.2'!C:C,A153)</f>
        <v>14</v>
      </c>
      <c r="D153" s="227">
        <f>IF(C153&gt;15,3,(VLOOKUP(C153,H:I,2,FALSE)))</f>
        <v>2</v>
      </c>
      <c r="E153" s="227"/>
      <c r="F153" s="228"/>
      <c r="G153" s="227"/>
    </row>
    <row r="154" spans="1:7">
      <c r="A154" s="133" t="s">
        <v>2284</v>
      </c>
      <c r="B154" s="133" t="s">
        <v>2285</v>
      </c>
      <c r="C154" s="227">
        <f>COUNTIF('TURMAS 2015.2'!C:C,A154)</f>
        <v>1</v>
      </c>
      <c r="D154" s="227">
        <f>IF(C154&gt;15,3,(VLOOKUP(C154,H:I,2,FALSE)))</f>
        <v>0</v>
      </c>
      <c r="E154" s="227"/>
      <c r="F154" s="228"/>
      <c r="G154" s="227"/>
    </row>
    <row r="155" spans="1:7">
      <c r="A155" s="133" t="s">
        <v>2290</v>
      </c>
      <c r="B155" s="133" t="s">
        <v>2291</v>
      </c>
      <c r="C155" s="227">
        <f>COUNTIF('TURMAS 2015.2'!C:C,A155)</f>
        <v>2</v>
      </c>
      <c r="D155" s="227">
        <f>IF(C155&gt;15,3,(VLOOKUP(C155,H:I,2,FALSE)))</f>
        <v>0</v>
      </c>
      <c r="E155" s="227"/>
      <c r="F155" s="228"/>
      <c r="G155" s="227"/>
    </row>
    <row r="156" spans="1:7">
      <c r="A156" s="133" t="s">
        <v>2299</v>
      </c>
      <c r="B156" s="133" t="s">
        <v>2300</v>
      </c>
      <c r="C156" s="227">
        <f>COUNTIF('TURMAS 2015.2'!C:C,A156)</f>
        <v>1</v>
      </c>
      <c r="D156" s="227">
        <f>IF(C156&gt;15,3,(VLOOKUP(C156,H:I,2,FALSE)))</f>
        <v>0</v>
      </c>
      <c r="E156" s="227"/>
      <c r="F156" s="228"/>
      <c r="G156" s="227"/>
    </row>
    <row r="157" spans="1:7">
      <c r="A157" s="133" t="s">
        <v>2304</v>
      </c>
      <c r="B157" s="133" t="s">
        <v>2305</v>
      </c>
      <c r="C157" s="227">
        <f>COUNTIF('TURMAS 2015.2'!C:C,A157)</f>
        <v>2</v>
      </c>
      <c r="D157" s="227">
        <f>IF(C157&gt;15,3,(VLOOKUP(C157,H:I,2,FALSE)))</f>
        <v>0</v>
      </c>
      <c r="E157" s="227"/>
      <c r="F157" s="228"/>
      <c r="G157" s="227"/>
    </row>
    <row r="158" spans="1:7">
      <c r="A158" s="133" t="s">
        <v>2312</v>
      </c>
      <c r="B158" s="133" t="s">
        <v>2313</v>
      </c>
      <c r="C158" s="227">
        <f>COUNTIF('TURMAS 2015.2'!C:C,A158)</f>
        <v>2</v>
      </c>
      <c r="D158" s="227">
        <f>IF(C158&gt;15,3,(VLOOKUP(C158,H:I,2,FALSE)))</f>
        <v>0</v>
      </c>
      <c r="E158" s="227"/>
      <c r="F158" s="228"/>
      <c r="G158" s="227"/>
    </row>
    <row r="159" spans="1:7">
      <c r="A159" s="133" t="s">
        <v>2320</v>
      </c>
      <c r="B159" s="133" t="s">
        <v>2321</v>
      </c>
      <c r="C159" s="227">
        <f>COUNTIF('TURMAS 2015.2'!C:C,A159)</f>
        <v>2</v>
      </c>
      <c r="D159" s="227">
        <f>IF(C159&gt;15,3,(VLOOKUP(C159,H:I,2,FALSE)))</f>
        <v>0</v>
      </c>
      <c r="E159" s="227"/>
      <c r="F159" s="228"/>
      <c r="G159" s="227"/>
    </row>
    <row r="160" spans="1:7">
      <c r="A160" s="133" t="s">
        <v>2330</v>
      </c>
      <c r="B160" s="133" t="s">
        <v>2331</v>
      </c>
      <c r="C160" s="227">
        <f>COUNTIF('TURMAS 2015.2'!C:C,A160)</f>
        <v>2</v>
      </c>
      <c r="D160" s="227">
        <f>IF(C160&gt;15,3,(VLOOKUP(C160,H:I,2,FALSE)))</f>
        <v>0</v>
      </c>
      <c r="E160" s="227"/>
      <c r="F160" s="228"/>
      <c r="G160" s="227"/>
    </row>
    <row r="161" spans="1:7">
      <c r="A161" s="133" t="s">
        <v>2340</v>
      </c>
      <c r="B161" s="133" t="s">
        <v>2341</v>
      </c>
      <c r="C161" s="227">
        <f>COUNTIF('TURMAS 2015.2'!C:C,A161)</f>
        <v>4</v>
      </c>
      <c r="D161" s="227">
        <f>IF(C161&gt;15,3,(VLOOKUP(C161,H:I,2,FALSE)))</f>
        <v>0</v>
      </c>
      <c r="E161" s="227"/>
      <c r="F161" s="228"/>
      <c r="G161" s="227"/>
    </row>
    <row r="162" spans="1:7">
      <c r="A162" s="133" t="s">
        <v>2360</v>
      </c>
      <c r="B162" s="133" t="s">
        <v>2361</v>
      </c>
      <c r="C162" s="227">
        <f>COUNTIF('TURMAS 2015.2'!C:C,A162)</f>
        <v>4</v>
      </c>
      <c r="D162" s="227">
        <f>IF(C162&gt;15,3,(VLOOKUP(C162,H:I,2,FALSE)))</f>
        <v>0</v>
      </c>
      <c r="E162" s="227"/>
      <c r="F162" s="228"/>
      <c r="G162" s="227"/>
    </row>
    <row r="163" spans="1:7">
      <c r="A163" s="133" t="s">
        <v>2378</v>
      </c>
      <c r="B163" s="133" t="s">
        <v>2379</v>
      </c>
      <c r="C163" s="227">
        <f>COUNTIF('TURMAS 2015.2'!C:C,A163)</f>
        <v>1</v>
      </c>
      <c r="D163" s="227">
        <f>IF(C163&gt;15,3,(VLOOKUP(C163,H:I,2,FALSE)))</f>
        <v>0</v>
      </c>
      <c r="E163" s="227"/>
      <c r="F163" s="228"/>
      <c r="G163" s="227"/>
    </row>
    <row r="164" spans="1:7">
      <c r="A164" s="133" t="s">
        <v>2384</v>
      </c>
      <c r="B164" s="133" t="s">
        <v>2385</v>
      </c>
      <c r="C164" s="227">
        <f>COUNTIF('TURMAS 2015.2'!C:C,A164)</f>
        <v>6</v>
      </c>
      <c r="D164" s="227">
        <f>IF(C164&gt;15,3,(VLOOKUP(C164,H:I,2,FALSE)))</f>
        <v>1</v>
      </c>
      <c r="E164" s="227"/>
      <c r="F164" s="228"/>
      <c r="G164" s="227"/>
    </row>
    <row r="165" spans="1:7">
      <c r="A165" s="133" t="s">
        <v>2412</v>
      </c>
      <c r="B165" s="133" t="s">
        <v>2413</v>
      </c>
      <c r="C165" s="227">
        <f>COUNTIF('TURMAS 2015.2'!C:C,A165)</f>
        <v>4</v>
      </c>
      <c r="D165" s="227">
        <f>IF(C165&gt;15,3,(VLOOKUP(C165,H:I,2,FALSE)))</f>
        <v>0</v>
      </c>
      <c r="E165" s="227"/>
      <c r="F165" s="228"/>
      <c r="G165" s="227"/>
    </row>
    <row r="166" spans="1:7">
      <c r="A166" s="133" t="s">
        <v>2430</v>
      </c>
      <c r="B166" s="133" t="s">
        <v>2431</v>
      </c>
      <c r="C166" s="227">
        <f>COUNTIF('TURMAS 2015.2'!C:C,A166)</f>
        <v>4</v>
      </c>
      <c r="D166" s="227">
        <f>IF(C166&gt;15,3,(VLOOKUP(C166,H:I,2,FALSE)))</f>
        <v>0</v>
      </c>
      <c r="E166" s="227"/>
      <c r="F166" s="228"/>
      <c r="G166" s="227"/>
    </row>
    <row r="167" spans="1:7">
      <c r="A167" s="133" t="s">
        <v>2452</v>
      </c>
      <c r="B167" s="133" t="s">
        <v>2448</v>
      </c>
      <c r="C167" s="227">
        <f>COUNTIF('TURMAS 2015.2'!C:C,A167)</f>
        <v>1</v>
      </c>
      <c r="D167" s="227">
        <f>IF(C167&gt;15,3,(VLOOKUP(C167,H:I,2,FALSE)))</f>
        <v>0</v>
      </c>
      <c r="E167" s="227"/>
      <c r="F167" s="228"/>
      <c r="G167" s="227"/>
    </row>
    <row r="168" spans="1:7">
      <c r="A168" s="133" t="s">
        <v>2456</v>
      </c>
      <c r="B168" s="133" t="s">
        <v>2457</v>
      </c>
      <c r="C168" s="227">
        <f>COUNTIF('TURMAS 2015.2'!C:C,A168)</f>
        <v>2</v>
      </c>
      <c r="D168" s="227">
        <f>IF(C168&gt;15,3,(VLOOKUP(C168,H:I,2,FALSE)))</f>
        <v>0</v>
      </c>
      <c r="E168" s="227"/>
      <c r="F168" s="228"/>
      <c r="G168" s="227"/>
    </row>
    <row r="169" spans="1:7">
      <c r="A169" s="133" t="s">
        <v>2464</v>
      </c>
      <c r="B169" s="133" t="s">
        <v>2465</v>
      </c>
      <c r="C169" s="227">
        <f>COUNTIF('TURMAS 2015.2'!C:C,A169)</f>
        <v>2</v>
      </c>
      <c r="D169" s="227">
        <f>IF(C169&gt;15,3,(VLOOKUP(C169,H:I,2,FALSE)))</f>
        <v>0</v>
      </c>
      <c r="E169" s="227"/>
      <c r="F169" s="228"/>
      <c r="G169" s="227"/>
    </row>
    <row r="170" spans="1:7">
      <c r="A170" s="133" t="s">
        <v>2475</v>
      </c>
      <c r="B170" s="133" t="s">
        <v>2476</v>
      </c>
      <c r="C170" s="227">
        <f>COUNTIF('TURMAS 2015.2'!C:C,A170)</f>
        <v>3</v>
      </c>
      <c r="D170" s="227">
        <f>IF(C170&gt;15,3,(VLOOKUP(C170,H:I,2,FALSE)))</f>
        <v>0</v>
      </c>
      <c r="E170" s="227"/>
      <c r="F170" s="228"/>
      <c r="G170" s="227"/>
    </row>
    <row r="171" spans="1:7">
      <c r="A171" s="133" t="s">
        <v>2486</v>
      </c>
      <c r="B171" s="133" t="s">
        <v>2487</v>
      </c>
      <c r="C171" s="227">
        <f>COUNTIF('TURMAS 2015.2'!C:C,A171)</f>
        <v>3</v>
      </c>
      <c r="D171" s="227">
        <f>IF(C171&gt;15,3,(VLOOKUP(C171,H:I,2,FALSE)))</f>
        <v>0</v>
      </c>
      <c r="E171" s="227"/>
      <c r="F171" s="228"/>
      <c r="G171" s="227"/>
    </row>
    <row r="172" spans="1:7">
      <c r="A172" s="133" t="s">
        <v>2497</v>
      </c>
      <c r="B172" s="133" t="s">
        <v>2498</v>
      </c>
      <c r="C172" s="227">
        <f>COUNTIF('TURMAS 2015.2'!C:C,A172)</f>
        <v>2</v>
      </c>
      <c r="D172" s="227">
        <f>IF(C172&gt;15,3,(VLOOKUP(C172,H:I,2,FALSE)))</f>
        <v>0</v>
      </c>
      <c r="E172" s="227"/>
      <c r="F172" s="228"/>
      <c r="G172" s="227"/>
    </row>
    <row r="173" spans="1:7">
      <c r="A173" s="133" t="s">
        <v>2505</v>
      </c>
      <c r="B173" s="133" t="s">
        <v>2506</v>
      </c>
      <c r="C173" s="227">
        <f>COUNTIF('TURMAS 2015.2'!C:C,A173)</f>
        <v>1</v>
      </c>
      <c r="D173" s="227">
        <f>IF(C173&gt;15,3,(VLOOKUP(C173,H:I,2,FALSE)))</f>
        <v>0</v>
      </c>
      <c r="E173" s="227"/>
      <c r="F173" s="228"/>
      <c r="G173" s="227"/>
    </row>
    <row r="174" spans="1:7">
      <c r="A174" s="133" t="s">
        <v>2511</v>
      </c>
      <c r="B174" s="133" t="s">
        <v>2512</v>
      </c>
      <c r="C174" s="227">
        <f>COUNTIF('TURMAS 2015.2'!C:C,A174)</f>
        <v>1</v>
      </c>
      <c r="D174" s="227">
        <f>IF(C174&gt;15,3,(VLOOKUP(C174,H:I,2,FALSE)))</f>
        <v>0</v>
      </c>
      <c r="E174" s="227"/>
      <c r="F174" s="228"/>
      <c r="G174" s="227"/>
    </row>
    <row r="175" spans="1:7">
      <c r="A175" s="133" t="s">
        <v>2516</v>
      </c>
      <c r="B175" s="133" t="s">
        <v>2517</v>
      </c>
      <c r="C175" s="227">
        <f>COUNTIF('TURMAS 2015.2'!C:C,A175)</f>
        <v>2</v>
      </c>
      <c r="D175" s="227">
        <f>IF(C175&gt;15,3,(VLOOKUP(C175,H:I,2,FALSE)))</f>
        <v>0</v>
      </c>
      <c r="E175" s="227"/>
      <c r="F175" s="228"/>
      <c r="G175" s="227"/>
    </row>
    <row r="176" spans="1:7">
      <c r="A176" s="133" t="s">
        <v>2524</v>
      </c>
      <c r="B176" s="133" t="s">
        <v>2525</v>
      </c>
      <c r="C176" s="227">
        <f>COUNTIF('TURMAS 2015.2'!C:C,A176)</f>
        <v>8</v>
      </c>
      <c r="D176" s="227">
        <f>IF(C176&gt;15,3,(VLOOKUP(C176,H:I,2,FALSE)))</f>
        <v>1</v>
      </c>
      <c r="E176" s="227"/>
      <c r="F176" s="228"/>
      <c r="G176" s="227"/>
    </row>
    <row r="177" spans="1:7">
      <c r="A177" s="133" t="s">
        <v>2553</v>
      </c>
      <c r="B177" s="133" t="s">
        <v>2554</v>
      </c>
      <c r="C177" s="227">
        <f>COUNTIF('TURMAS 2015.2'!C:C,A177)</f>
        <v>2</v>
      </c>
      <c r="D177" s="227">
        <f>IF(C177&gt;15,3,(VLOOKUP(C177,H:I,2,FALSE)))</f>
        <v>0</v>
      </c>
      <c r="E177" s="227"/>
      <c r="F177" s="228"/>
      <c r="G177" s="227"/>
    </row>
    <row r="178" spans="1:7">
      <c r="A178" s="133" t="s">
        <v>2561</v>
      </c>
      <c r="B178" s="133" t="s">
        <v>2562</v>
      </c>
      <c r="C178" s="227">
        <f>COUNTIF('TURMAS 2015.2'!C:C,A178)</f>
        <v>2</v>
      </c>
      <c r="D178" s="227">
        <f>IF(C178&gt;15,3,(VLOOKUP(C178,H:I,2,FALSE)))</f>
        <v>0</v>
      </c>
      <c r="E178" s="227"/>
      <c r="F178" s="228"/>
      <c r="G178" s="227"/>
    </row>
    <row r="179" spans="1:7">
      <c r="A179" s="133" t="s">
        <v>2569</v>
      </c>
      <c r="B179" s="133" t="s">
        <v>2570</v>
      </c>
      <c r="C179" s="227">
        <f>COUNTIF('TURMAS 2015.2'!C:C,A179)</f>
        <v>1</v>
      </c>
      <c r="D179" s="227">
        <f>IF(C179&gt;15,3,(VLOOKUP(C179,H:I,2,FALSE)))</f>
        <v>0</v>
      </c>
      <c r="E179" s="227"/>
      <c r="F179" s="228"/>
      <c r="G179" s="227"/>
    </row>
    <row r="180" spans="1:7">
      <c r="A180" s="133" t="s">
        <v>2575</v>
      </c>
      <c r="B180" s="133" t="s">
        <v>2576</v>
      </c>
      <c r="C180" s="227">
        <f>COUNTIF('TURMAS 2015.2'!C:C,A180)</f>
        <v>2</v>
      </c>
      <c r="D180" s="227">
        <f>IF(C180&gt;15,3,(VLOOKUP(C180,H:I,2,FALSE)))</f>
        <v>0</v>
      </c>
      <c r="E180" s="227"/>
      <c r="F180" s="228"/>
      <c r="G180" s="227"/>
    </row>
    <row r="181" spans="1:7">
      <c r="A181" s="133" t="s">
        <v>2583</v>
      </c>
      <c r="B181" s="133" t="s">
        <v>2584</v>
      </c>
      <c r="C181" s="227">
        <f>COUNTIF('TURMAS 2015.2'!C:C,A181)</f>
        <v>2</v>
      </c>
      <c r="D181" s="227">
        <f>IF(C181&gt;15,3,(VLOOKUP(C181,H:I,2,FALSE)))</f>
        <v>0</v>
      </c>
      <c r="E181" s="227"/>
      <c r="F181" s="228"/>
      <c r="G181" s="227"/>
    </row>
    <row r="182" spans="1:7">
      <c r="A182" s="133" t="s">
        <v>2591</v>
      </c>
      <c r="B182" s="133" t="s">
        <v>2592</v>
      </c>
      <c r="C182" s="227">
        <f>COUNTIF('TURMAS 2015.2'!C:C,A182)</f>
        <v>2</v>
      </c>
      <c r="D182" s="227">
        <f>IF(C182&gt;15,3,(VLOOKUP(C182,H:I,2,FALSE)))</f>
        <v>0</v>
      </c>
      <c r="E182" s="227"/>
      <c r="F182" s="228"/>
      <c r="G182" s="227"/>
    </row>
    <row r="183" spans="1:7">
      <c r="A183" s="133" t="s">
        <v>2599</v>
      </c>
      <c r="B183" s="133" t="s">
        <v>2600</v>
      </c>
      <c r="C183" s="227">
        <f>COUNTIF('TURMAS 2015.2'!C:C,A183)</f>
        <v>1</v>
      </c>
      <c r="D183" s="227">
        <f>IF(C183&gt;15,3,(VLOOKUP(C183,H:I,2,FALSE)))</f>
        <v>0</v>
      </c>
      <c r="E183" s="227"/>
      <c r="F183" s="228"/>
      <c r="G183" s="227"/>
    </row>
    <row r="184" spans="1:7">
      <c r="A184" s="133" t="s">
        <v>2604</v>
      </c>
      <c r="B184" s="133" t="s">
        <v>2605</v>
      </c>
      <c r="C184" s="227">
        <f>COUNTIF('TURMAS 2015.2'!C:C,A184)</f>
        <v>2</v>
      </c>
      <c r="D184" s="227">
        <f>IF(C184&gt;15,3,(VLOOKUP(C184,H:I,2,FALSE)))</f>
        <v>0</v>
      </c>
      <c r="E184" s="227"/>
      <c r="F184" s="228"/>
      <c r="G184" s="227"/>
    </row>
    <row r="185" spans="1:7">
      <c r="A185" s="133" t="s">
        <v>2612</v>
      </c>
      <c r="B185" s="133" t="s">
        <v>2613</v>
      </c>
      <c r="C185" s="227">
        <f>COUNTIF('TURMAS 2015.2'!C:C,A185)</f>
        <v>2</v>
      </c>
      <c r="D185" s="227">
        <f>IF(C185&gt;15,3,(VLOOKUP(C185,H:I,2,FALSE)))</f>
        <v>0</v>
      </c>
      <c r="E185" s="227"/>
      <c r="F185" s="228"/>
      <c r="G185" s="227"/>
    </row>
    <row r="186" spans="1:7">
      <c r="A186" s="133" t="s">
        <v>2620</v>
      </c>
      <c r="B186" s="133" t="s">
        <v>2621</v>
      </c>
      <c r="C186" s="227">
        <f>COUNTIF('TURMAS 2015.2'!C:C,A186)</f>
        <v>1</v>
      </c>
      <c r="D186" s="227">
        <f>IF(C186&gt;15,3,(VLOOKUP(C186,H:I,2,FALSE)))</f>
        <v>0</v>
      </c>
      <c r="E186" s="227"/>
      <c r="F186" s="228"/>
      <c r="G186" s="227"/>
    </row>
    <row r="187" spans="1:7">
      <c r="A187" s="133" t="s">
        <v>2625</v>
      </c>
      <c r="B187" s="133" t="s">
        <v>2626</v>
      </c>
      <c r="C187" s="227">
        <f>COUNTIF('TURMAS 2015.2'!C:C,A187)</f>
        <v>1</v>
      </c>
      <c r="D187" s="227">
        <f>IF(C187&gt;15,3,(VLOOKUP(C187,H:I,2,FALSE)))</f>
        <v>0</v>
      </c>
      <c r="E187" s="227"/>
      <c r="F187" s="228"/>
      <c r="G187" s="227"/>
    </row>
    <row r="188" spans="1:7">
      <c r="A188" s="133" t="s">
        <v>2630</v>
      </c>
      <c r="B188" s="133" t="s">
        <v>2631</v>
      </c>
      <c r="C188" s="227">
        <f>COUNTIF('TURMAS 2015.2'!C:C,A188)</f>
        <v>1</v>
      </c>
      <c r="D188" s="227">
        <f>IF(C188&gt;15,3,(VLOOKUP(C188,H:I,2,FALSE)))</f>
        <v>0</v>
      </c>
      <c r="E188" s="227"/>
      <c r="F188" s="228"/>
      <c r="G188" s="227"/>
    </row>
    <row r="189" spans="1:7">
      <c r="A189" s="133" t="s">
        <v>2640</v>
      </c>
      <c r="B189" s="133" t="s">
        <v>2635</v>
      </c>
      <c r="C189" s="227">
        <f>COUNTIF('TURMAS 2015.2'!C:C,A189)</f>
        <v>1</v>
      </c>
      <c r="D189" s="227">
        <f>IF(C189&gt;15,3,(VLOOKUP(C189,H:I,2,FALSE)))</f>
        <v>0</v>
      </c>
      <c r="E189" s="227"/>
      <c r="F189" s="228"/>
      <c r="G189" s="227"/>
    </row>
    <row r="190" spans="1:7">
      <c r="A190" s="133" t="s">
        <v>2644</v>
      </c>
      <c r="B190" s="133" t="s">
        <v>2645</v>
      </c>
      <c r="C190" s="227">
        <f>COUNTIF('TURMAS 2015.2'!C:C,A190)</f>
        <v>2</v>
      </c>
      <c r="D190" s="227">
        <f>IF(C190&gt;15,3,(VLOOKUP(C190,H:I,2,FALSE)))</f>
        <v>0</v>
      </c>
      <c r="E190" s="227"/>
      <c r="F190" s="228"/>
      <c r="G190" s="227"/>
    </row>
    <row r="191" spans="1:7">
      <c r="A191" s="133" t="s">
        <v>2654</v>
      </c>
      <c r="B191" s="133" t="s">
        <v>2655</v>
      </c>
      <c r="C191" s="227">
        <f>COUNTIF('TURMAS 2015.2'!C:C,A191)</f>
        <v>18</v>
      </c>
      <c r="D191" s="227">
        <f>IF(C191&gt;15,3,(VLOOKUP(C191,H:I,2,FALSE)))</f>
        <v>3</v>
      </c>
      <c r="E191" s="227"/>
      <c r="F191" s="228"/>
      <c r="G191" s="227"/>
    </row>
    <row r="192" spans="1:7">
      <c r="A192" s="133" t="s">
        <v>2712</v>
      </c>
      <c r="B192" s="133" t="s">
        <v>2713</v>
      </c>
      <c r="C192" s="227">
        <f>COUNTIF('TURMAS 2015.2'!C:C,A192)</f>
        <v>2</v>
      </c>
      <c r="D192" s="227">
        <f>IF(C192&gt;15,3,(VLOOKUP(C192,H:I,2,FALSE)))</f>
        <v>0</v>
      </c>
      <c r="E192" s="227"/>
      <c r="F192" s="228"/>
      <c r="G192" s="227"/>
    </row>
    <row r="193" spans="1:7">
      <c r="A193" s="133" t="s">
        <v>2720</v>
      </c>
      <c r="B193" s="133" t="s">
        <v>2721</v>
      </c>
      <c r="C193" s="227">
        <f>COUNTIF('TURMAS 2015.2'!C:C,A193)</f>
        <v>2</v>
      </c>
      <c r="D193" s="227">
        <f>IF(C193&gt;15,3,(VLOOKUP(C193,H:I,2,FALSE)))</f>
        <v>0</v>
      </c>
      <c r="E193" s="227"/>
      <c r="F193" s="228"/>
      <c r="G193" s="227"/>
    </row>
    <row r="194" spans="1:7">
      <c r="A194" s="133" t="s">
        <v>2728</v>
      </c>
      <c r="B194" s="133" t="s">
        <v>2729</v>
      </c>
      <c r="C194" s="227">
        <f>COUNTIF('TURMAS 2015.2'!C:C,A194)</f>
        <v>4</v>
      </c>
      <c r="D194" s="227">
        <f>IF(C194&gt;15,3,(VLOOKUP(C194,H:I,2,FALSE)))</f>
        <v>0</v>
      </c>
      <c r="E194" s="227"/>
      <c r="F194" s="228"/>
      <c r="G194" s="227"/>
    </row>
    <row r="195" spans="1:7">
      <c r="A195" s="133" t="s">
        <v>2742</v>
      </c>
      <c r="B195" s="133" t="s">
        <v>2743</v>
      </c>
      <c r="C195" s="227">
        <f>COUNTIF('TURMAS 2015.2'!C:C,A195)</f>
        <v>1</v>
      </c>
      <c r="D195" s="227">
        <f>IF(C195&gt;15,3,(VLOOKUP(C195,H:I,2,FALSE)))</f>
        <v>0</v>
      </c>
      <c r="E195" s="227"/>
      <c r="F195" s="228"/>
      <c r="G195" s="227"/>
    </row>
    <row r="196" spans="1:7">
      <c r="A196" s="133" t="s">
        <v>2747</v>
      </c>
      <c r="B196" s="133" t="s">
        <v>2748</v>
      </c>
      <c r="C196" s="227">
        <f>COUNTIF('TURMAS 2015.2'!C:C,A196)</f>
        <v>2</v>
      </c>
      <c r="D196" s="227">
        <f>IF(C196&gt;15,3,(VLOOKUP(C196,H:I,2,FALSE)))</f>
        <v>0</v>
      </c>
      <c r="E196" s="227"/>
      <c r="F196" s="228"/>
      <c r="G196" s="227"/>
    </row>
    <row r="197" spans="1:7">
      <c r="A197" s="133" t="s">
        <v>2757</v>
      </c>
      <c r="B197" s="133" t="s">
        <v>2758</v>
      </c>
      <c r="C197" s="227">
        <f>COUNTIF('TURMAS 2015.2'!C:C,A197)</f>
        <v>1</v>
      </c>
      <c r="D197" s="227">
        <f>IF(C197&gt;15,3,(VLOOKUP(C197,H:I,2,FALSE)))</f>
        <v>0</v>
      </c>
      <c r="E197" s="227"/>
      <c r="F197" s="228"/>
      <c r="G197" s="227"/>
    </row>
    <row r="198" spans="1:7">
      <c r="A198" s="133" t="s">
        <v>2762</v>
      </c>
      <c r="B198" s="133" t="s">
        <v>2763</v>
      </c>
      <c r="C198" s="227">
        <f>COUNTIF('TURMAS 2015.2'!C:C,A198)</f>
        <v>2</v>
      </c>
      <c r="D198" s="227">
        <f>IF(C198&gt;15,3,(VLOOKUP(C198,H:I,2,FALSE)))</f>
        <v>0</v>
      </c>
      <c r="E198" s="227"/>
      <c r="F198" s="228"/>
      <c r="G198" s="227"/>
    </row>
    <row r="199" spans="1:7">
      <c r="A199" s="133" t="s">
        <v>2770</v>
      </c>
      <c r="B199" s="133" t="s">
        <v>2771</v>
      </c>
      <c r="C199" s="227">
        <f>COUNTIF('TURMAS 2015.2'!C:C,A199)</f>
        <v>2</v>
      </c>
      <c r="D199" s="227">
        <f>IF(C199&gt;15,3,(VLOOKUP(C199,H:I,2,FALSE)))</f>
        <v>0</v>
      </c>
      <c r="E199" s="227"/>
      <c r="F199" s="228"/>
      <c r="G199" s="227"/>
    </row>
    <row r="200" spans="1:7">
      <c r="A200" s="133" t="s">
        <v>2778</v>
      </c>
      <c r="B200" s="133" t="s">
        <v>2779</v>
      </c>
      <c r="C200" s="227">
        <f>COUNTIF('TURMAS 2015.2'!C:C,A200)</f>
        <v>2</v>
      </c>
      <c r="D200" s="227">
        <f>IF(C200&gt;15,3,(VLOOKUP(C200,H:I,2,FALSE)))</f>
        <v>0</v>
      </c>
      <c r="E200" s="227"/>
      <c r="F200" s="228"/>
      <c r="G200" s="227"/>
    </row>
    <row r="201" spans="1:7">
      <c r="A201" s="133" t="s">
        <v>2787</v>
      </c>
      <c r="B201" s="133" t="s">
        <v>2788</v>
      </c>
      <c r="C201" s="227">
        <f>COUNTIF('TURMAS 2015.2'!C:C,A201)</f>
        <v>2</v>
      </c>
      <c r="D201" s="227">
        <f>IF(C201&gt;15,3,(VLOOKUP(C201,H:I,2,FALSE)))</f>
        <v>0</v>
      </c>
      <c r="E201" s="227"/>
      <c r="F201" s="228"/>
      <c r="G201" s="227"/>
    </row>
    <row r="202" spans="1:7">
      <c r="A202" s="133" t="s">
        <v>2795</v>
      </c>
      <c r="B202" s="133" t="s">
        <v>2796</v>
      </c>
      <c r="C202" s="227">
        <f>COUNTIF('TURMAS 2015.2'!C:C,A202)</f>
        <v>2</v>
      </c>
      <c r="D202" s="227">
        <f>IF(C202&gt;15,3,(VLOOKUP(C202,H:I,2,FALSE)))</f>
        <v>0</v>
      </c>
      <c r="E202" s="227"/>
      <c r="F202" s="228"/>
      <c r="G202" s="227"/>
    </row>
    <row r="203" spans="1:7">
      <c r="A203" s="133" t="s">
        <v>2806</v>
      </c>
      <c r="B203" s="133" t="s">
        <v>2807</v>
      </c>
      <c r="C203" s="227">
        <f>COUNTIF('TURMAS 2015.2'!C:C,A203)</f>
        <v>2</v>
      </c>
      <c r="D203" s="227">
        <f>IF(C203&gt;15,3,(VLOOKUP(C203,H:I,2,FALSE)))</f>
        <v>0</v>
      </c>
      <c r="E203" s="227"/>
      <c r="F203" s="228"/>
      <c r="G203" s="227"/>
    </row>
    <row r="204" spans="1:7">
      <c r="A204" s="133" t="s">
        <v>2814</v>
      </c>
      <c r="B204" s="133" t="s">
        <v>2815</v>
      </c>
      <c r="C204" s="227">
        <f>COUNTIF('TURMAS 2015.2'!C:C,A204)</f>
        <v>2</v>
      </c>
      <c r="D204" s="227">
        <f>IF(C204&gt;15,3,(VLOOKUP(C204,H:I,2,FALSE)))</f>
        <v>0</v>
      </c>
      <c r="E204" s="227"/>
      <c r="F204" s="228"/>
      <c r="G204" s="227"/>
    </row>
    <row r="205" spans="1:7">
      <c r="A205" s="133" t="s">
        <v>2822</v>
      </c>
      <c r="B205" s="133" t="s">
        <v>2823</v>
      </c>
      <c r="C205" s="227">
        <f>COUNTIF('TURMAS 2015.2'!C:C,A205)</f>
        <v>2</v>
      </c>
      <c r="D205" s="227">
        <f>IF(C205&gt;15,3,(VLOOKUP(C205,H:I,2,FALSE)))</f>
        <v>0</v>
      </c>
      <c r="E205" s="227"/>
      <c r="F205" s="228"/>
      <c r="G205" s="227"/>
    </row>
    <row r="206" spans="1:7">
      <c r="A206" s="133" t="s">
        <v>2830</v>
      </c>
      <c r="B206" s="133" t="s">
        <v>2831</v>
      </c>
      <c r="C206" s="227">
        <f>COUNTIF('TURMAS 2015.2'!C:C,A206)</f>
        <v>2</v>
      </c>
      <c r="D206" s="227">
        <f>IF(C206&gt;15,3,(VLOOKUP(C206,H:I,2,FALSE)))</f>
        <v>0</v>
      </c>
      <c r="E206" s="227"/>
      <c r="F206" s="228"/>
      <c r="G206" s="227"/>
    </row>
    <row r="207" spans="1:7">
      <c r="A207" s="133" t="s">
        <v>2838</v>
      </c>
      <c r="B207" s="133" t="s">
        <v>2839</v>
      </c>
      <c r="C207" s="227">
        <f>COUNTIF('TURMAS 2015.2'!C:C,A207)</f>
        <v>2</v>
      </c>
      <c r="D207" s="227">
        <f>IF(C207&gt;15,3,(VLOOKUP(C207,H:I,2,FALSE)))</f>
        <v>0</v>
      </c>
      <c r="E207" s="227"/>
      <c r="F207" s="228"/>
      <c r="G207" s="227"/>
    </row>
    <row r="208" spans="1:7">
      <c r="A208" s="133" t="s">
        <v>2846</v>
      </c>
      <c r="B208" s="133" t="s">
        <v>2847</v>
      </c>
      <c r="C208" s="227">
        <f>COUNTIF('TURMAS 2015.2'!C:C,A208)</f>
        <v>2</v>
      </c>
      <c r="D208" s="227">
        <f>IF(C208&gt;15,3,(VLOOKUP(C208,H:I,2,FALSE)))</f>
        <v>0</v>
      </c>
      <c r="E208" s="227"/>
      <c r="F208" s="228"/>
      <c r="G208" s="227"/>
    </row>
    <row r="209" spans="1:7">
      <c r="A209" s="133" t="s">
        <v>2855</v>
      </c>
      <c r="B209" s="133" t="s">
        <v>2856</v>
      </c>
      <c r="C209" s="227">
        <f>COUNTIF('TURMAS 2015.2'!C:C,A209)</f>
        <v>1</v>
      </c>
      <c r="D209" s="227">
        <f>IF(C209&gt;15,3,(VLOOKUP(C209,H:I,2,FALSE)))</f>
        <v>0</v>
      </c>
      <c r="E209" s="227"/>
      <c r="F209" s="228"/>
      <c r="G209" s="227"/>
    </row>
    <row r="210" spans="1:7">
      <c r="A210" s="133" t="s">
        <v>2861</v>
      </c>
      <c r="B210" s="133" t="s">
        <v>2862</v>
      </c>
      <c r="C210" s="227">
        <f>COUNTIF('TURMAS 2015.2'!C:C,A210)</f>
        <v>2</v>
      </c>
      <c r="D210" s="227">
        <f>IF(C210&gt;15,3,(VLOOKUP(C210,H:I,2,FALSE)))</f>
        <v>0</v>
      </c>
      <c r="E210" s="227"/>
      <c r="F210" s="228"/>
      <c r="G210" s="227"/>
    </row>
    <row r="211" spans="1:7">
      <c r="A211" s="133" t="s">
        <v>2871</v>
      </c>
      <c r="B211" s="133" t="s">
        <v>2872</v>
      </c>
      <c r="C211" s="227">
        <f>COUNTIF('TURMAS 2015.2'!C:C,A211)</f>
        <v>1</v>
      </c>
      <c r="D211" s="227">
        <f>IF(C211&gt;15,3,(VLOOKUP(C211,H:I,2,FALSE)))</f>
        <v>0</v>
      </c>
      <c r="E211" s="227"/>
      <c r="F211" s="228"/>
      <c r="G211" s="227"/>
    </row>
    <row r="212" spans="1:7">
      <c r="A212" s="133" t="s">
        <v>2876</v>
      </c>
      <c r="B212" s="133" t="s">
        <v>2877</v>
      </c>
      <c r="C212" s="227">
        <f>COUNTIF('TURMAS 2015.2'!C:C,A212)</f>
        <v>15</v>
      </c>
      <c r="D212" s="227">
        <f>IF(C212&gt;15,3,(VLOOKUP(C212,H:I,2,FALSE)))</f>
        <v>3</v>
      </c>
      <c r="E212" s="227"/>
      <c r="F212" s="228"/>
      <c r="G212" s="227"/>
    </row>
    <row r="213" spans="1:7">
      <c r="A213" s="133" t="s">
        <v>2928</v>
      </c>
      <c r="B213" s="133" t="s">
        <v>2929</v>
      </c>
      <c r="C213" s="227">
        <f>COUNTIF('TURMAS 2015.2'!C:C,A213)</f>
        <v>1</v>
      </c>
      <c r="D213" s="227">
        <f>IF(C213&gt;15,3,(VLOOKUP(C213,H:I,2,FALSE)))</f>
        <v>0</v>
      </c>
      <c r="E213" s="227"/>
      <c r="F213" s="228"/>
      <c r="G213" s="227"/>
    </row>
    <row r="214" spans="1:7">
      <c r="A214" s="133" t="s">
        <v>2934</v>
      </c>
      <c r="B214" s="133" t="s">
        <v>2935</v>
      </c>
      <c r="C214" s="227">
        <f>COUNTIF('TURMAS 2015.2'!C:C,A214)</f>
        <v>1</v>
      </c>
      <c r="D214" s="227">
        <f>IF(C214&gt;15,3,(VLOOKUP(C214,H:I,2,FALSE)))</f>
        <v>0</v>
      </c>
      <c r="E214" s="227"/>
      <c r="F214" s="228"/>
      <c r="G214" s="227"/>
    </row>
    <row r="215" spans="1:7">
      <c r="A215" s="133" t="s">
        <v>2940</v>
      </c>
      <c r="B215" s="133" t="s">
        <v>2941</v>
      </c>
      <c r="C215" s="227">
        <f>COUNTIF('TURMAS 2015.2'!C:C,A215)</f>
        <v>4</v>
      </c>
      <c r="D215" s="227">
        <f>IF(C215&gt;15,3,(VLOOKUP(C215,H:I,2,FALSE)))</f>
        <v>0</v>
      </c>
      <c r="E215" s="227"/>
      <c r="F215" s="228"/>
      <c r="G215" s="227"/>
    </row>
    <row r="216" spans="1:7">
      <c r="A216" s="133" t="s">
        <v>2954</v>
      </c>
      <c r="B216" s="133" t="s">
        <v>2955</v>
      </c>
      <c r="C216" s="227">
        <f>COUNTIF('TURMAS 2015.2'!C:C,A216)</f>
        <v>1</v>
      </c>
      <c r="D216" s="227">
        <f>IF(C216&gt;15,3,(VLOOKUP(C216,H:I,2,FALSE)))</f>
        <v>0</v>
      </c>
      <c r="E216" s="227"/>
      <c r="F216" s="228"/>
      <c r="G216" s="227"/>
    </row>
    <row r="217" spans="1:7">
      <c r="A217" s="133" t="s">
        <v>2960</v>
      </c>
      <c r="B217" s="133" t="s">
        <v>2961</v>
      </c>
      <c r="C217" s="227">
        <f>COUNTIF('TURMAS 2015.2'!C:C,A217)</f>
        <v>2</v>
      </c>
      <c r="D217" s="227">
        <f>IF(C217&gt;15,3,(VLOOKUP(C217,H:I,2,FALSE)))</f>
        <v>0</v>
      </c>
      <c r="E217" s="227"/>
      <c r="F217" s="228"/>
      <c r="G217" s="227"/>
    </row>
    <row r="218" spans="1:7">
      <c r="A218" s="133" t="s">
        <v>2973</v>
      </c>
      <c r="B218" s="133" t="s">
        <v>2974</v>
      </c>
      <c r="C218" s="227">
        <f>COUNTIF('TURMAS 2015.2'!C:C,A218)</f>
        <v>2</v>
      </c>
      <c r="D218" s="227">
        <f>IF(C218&gt;15,3,(VLOOKUP(C218,H:I,2,FALSE)))</f>
        <v>0</v>
      </c>
      <c r="E218" s="227"/>
      <c r="F218" s="228"/>
      <c r="G218" s="227"/>
    </row>
    <row r="219" spans="1:7">
      <c r="A219" s="133" t="s">
        <v>2983</v>
      </c>
      <c r="B219" s="133" t="s">
        <v>2984</v>
      </c>
      <c r="C219" s="227">
        <f>COUNTIF('TURMAS 2015.2'!C:C,A219)</f>
        <v>2</v>
      </c>
      <c r="D219" s="227">
        <f>IF(C219&gt;15,3,(VLOOKUP(C219,H:I,2,FALSE)))</f>
        <v>0</v>
      </c>
      <c r="E219" s="227"/>
      <c r="F219" s="228"/>
      <c r="G219" s="227"/>
    </row>
    <row r="220" spans="1:7">
      <c r="A220" s="133" t="s">
        <v>2992</v>
      </c>
      <c r="B220" s="133" t="s">
        <v>2993</v>
      </c>
      <c r="C220" s="227">
        <f>COUNTIF('TURMAS 2015.2'!C:C,A220)</f>
        <v>1</v>
      </c>
      <c r="D220" s="227">
        <f>IF(C220&gt;15,3,(VLOOKUP(C220,H:I,2,FALSE)))</f>
        <v>0</v>
      </c>
      <c r="E220" s="227"/>
      <c r="F220" s="228"/>
      <c r="G220" s="227"/>
    </row>
    <row r="221" spans="1:7">
      <c r="A221" s="133" t="s">
        <v>2998</v>
      </c>
      <c r="B221" s="133" t="s">
        <v>2999</v>
      </c>
      <c r="C221" s="227">
        <f>COUNTIF('TURMAS 2015.2'!C:C,A221)</f>
        <v>16</v>
      </c>
      <c r="D221" s="227">
        <f>IF(C221&gt;15,3,(VLOOKUP(C221,H:I,2,FALSE)))</f>
        <v>3</v>
      </c>
      <c r="E221" s="227"/>
      <c r="F221" s="228"/>
      <c r="G221" s="227"/>
    </row>
    <row r="222" spans="1:7">
      <c r="A222" s="133" t="s">
        <v>3049</v>
      </c>
      <c r="B222" s="133" t="s">
        <v>3050</v>
      </c>
      <c r="C222" s="227">
        <f>COUNTIF('TURMAS 2015.2'!C:C,A222)</f>
        <v>1</v>
      </c>
      <c r="D222" s="227">
        <f>IF(C222&gt;15,3,(VLOOKUP(C222,H:I,2,FALSE)))</f>
        <v>0</v>
      </c>
      <c r="E222" s="227"/>
      <c r="F222" s="228"/>
      <c r="G222" s="227"/>
    </row>
    <row r="223" spans="1:7">
      <c r="A223" s="133" t="s">
        <v>3054</v>
      </c>
      <c r="B223" s="133" t="s">
        <v>3055</v>
      </c>
      <c r="C223" s="227">
        <f>COUNTIF('TURMAS 2015.2'!C:C,A223)</f>
        <v>2</v>
      </c>
      <c r="D223" s="227">
        <f>IF(C223&gt;15,3,(VLOOKUP(C223,H:I,2,FALSE)))</f>
        <v>0</v>
      </c>
      <c r="E223" s="227"/>
      <c r="F223" s="228"/>
      <c r="G223" s="227"/>
    </row>
    <row r="224" spans="1:7">
      <c r="A224" s="133" t="s">
        <v>3063</v>
      </c>
      <c r="B224" s="133" t="s">
        <v>3064</v>
      </c>
      <c r="C224" s="227">
        <f>COUNTIF('TURMAS 2015.2'!C:C,A224)</f>
        <v>1</v>
      </c>
      <c r="D224" s="227">
        <f>IF(C224&gt;15,3,(VLOOKUP(C224,H:I,2,FALSE)))</f>
        <v>0</v>
      </c>
      <c r="E224" s="227"/>
      <c r="F224" s="228"/>
      <c r="G224" s="227"/>
    </row>
    <row r="225" spans="1:7">
      <c r="A225" s="133" t="s">
        <v>3069</v>
      </c>
      <c r="B225" s="133" t="s">
        <v>3070</v>
      </c>
      <c r="C225" s="227">
        <f>COUNTIF('TURMAS 2015.2'!C:C,A225)</f>
        <v>2</v>
      </c>
      <c r="D225" s="227">
        <f>IF(C225&gt;15,3,(VLOOKUP(C225,H:I,2,FALSE)))</f>
        <v>0</v>
      </c>
      <c r="E225" s="227"/>
      <c r="F225" s="228"/>
      <c r="G225" s="227"/>
    </row>
    <row r="226" spans="1:7">
      <c r="A226" s="133" t="s">
        <v>3079</v>
      </c>
      <c r="B226" s="133" t="s">
        <v>3080</v>
      </c>
      <c r="C226" s="227">
        <f>COUNTIF('TURMAS 2015.2'!C:C,A226)</f>
        <v>2</v>
      </c>
      <c r="D226" s="227">
        <f>IF(C226&gt;15,3,(VLOOKUP(C226,H:I,2,FALSE)))</f>
        <v>0</v>
      </c>
      <c r="E226" s="227"/>
      <c r="F226" s="228"/>
      <c r="G226" s="227"/>
    </row>
    <row r="227" spans="1:7">
      <c r="A227" s="133" t="s">
        <v>3087</v>
      </c>
      <c r="B227" s="133" t="s">
        <v>3088</v>
      </c>
      <c r="C227" s="227">
        <f>COUNTIF('TURMAS 2015.2'!C:C,A227)</f>
        <v>2</v>
      </c>
      <c r="D227" s="227">
        <f>IF(C227&gt;15,3,(VLOOKUP(C227,H:I,2,FALSE)))</f>
        <v>0</v>
      </c>
      <c r="E227" s="227"/>
      <c r="F227" s="228"/>
      <c r="G227" s="227"/>
    </row>
    <row r="228" spans="1:7">
      <c r="A228" s="133" t="s">
        <v>3097</v>
      </c>
      <c r="B228" s="133" t="s">
        <v>3098</v>
      </c>
      <c r="C228" s="227">
        <f>COUNTIF('TURMAS 2015.2'!C:C,A228)</f>
        <v>2</v>
      </c>
      <c r="D228" s="227">
        <f>IF(C228&gt;15,3,(VLOOKUP(C228,H:I,2,FALSE)))</f>
        <v>0</v>
      </c>
      <c r="E228" s="227"/>
      <c r="F228" s="228"/>
      <c r="G228" s="227"/>
    </row>
    <row r="229" spans="1:7">
      <c r="A229" s="133" t="s">
        <v>3105</v>
      </c>
      <c r="B229" s="133" t="s">
        <v>3106</v>
      </c>
      <c r="C229" s="227">
        <f>COUNTIF('TURMAS 2015.2'!C:C,A229)</f>
        <v>1</v>
      </c>
      <c r="D229" s="227">
        <f>IF(C229&gt;15,3,(VLOOKUP(C229,H:I,2,FALSE)))</f>
        <v>0</v>
      </c>
      <c r="E229" s="227"/>
      <c r="F229" s="228"/>
      <c r="G229" s="227"/>
    </row>
    <row r="230" spans="1:7">
      <c r="A230" s="133" t="s">
        <v>3110</v>
      </c>
      <c r="B230" s="133" t="s">
        <v>3111</v>
      </c>
      <c r="C230" s="227">
        <f>COUNTIF('TURMAS 2015.2'!C:C,A230)</f>
        <v>1</v>
      </c>
      <c r="D230" s="227">
        <f>IF(C230&gt;15,3,(VLOOKUP(C230,H:I,2,FALSE)))</f>
        <v>0</v>
      </c>
      <c r="E230" s="227"/>
      <c r="F230" s="228"/>
      <c r="G230" s="227"/>
    </row>
    <row r="231" spans="1:7">
      <c r="A231" s="133" t="s">
        <v>3115</v>
      </c>
      <c r="B231" s="133" t="s">
        <v>3116</v>
      </c>
      <c r="C231" s="227">
        <f>COUNTIF('TURMAS 2015.2'!C:C,A231)</f>
        <v>1</v>
      </c>
      <c r="D231" s="227">
        <f>IF(C231&gt;15,3,(VLOOKUP(C231,H:I,2,FALSE)))</f>
        <v>0</v>
      </c>
      <c r="E231" s="227"/>
      <c r="F231" s="228"/>
      <c r="G231" s="227"/>
    </row>
    <row r="232" spans="1:7">
      <c r="A232" s="133" t="s">
        <v>3121</v>
      </c>
      <c r="B232" s="133" t="s">
        <v>3122</v>
      </c>
      <c r="C232" s="227">
        <f>COUNTIF('TURMAS 2015.2'!C:C,A232)</f>
        <v>2</v>
      </c>
      <c r="D232" s="227">
        <f>IF(C232&gt;15,3,(VLOOKUP(C232,H:I,2,FALSE)))</f>
        <v>0</v>
      </c>
      <c r="E232" s="227"/>
      <c r="F232" s="228"/>
      <c r="G232" s="227"/>
    </row>
    <row r="233" spans="1:7">
      <c r="A233" s="133" t="s">
        <v>3131</v>
      </c>
      <c r="B233" s="133" t="s">
        <v>3132</v>
      </c>
      <c r="C233" s="227">
        <f>COUNTIF('TURMAS 2015.2'!C:C,A233)</f>
        <v>2</v>
      </c>
      <c r="D233" s="227">
        <f>IF(C233&gt;15,3,(VLOOKUP(C233,H:I,2,FALSE)))</f>
        <v>0</v>
      </c>
      <c r="E233" s="227"/>
      <c r="F233" s="228"/>
      <c r="G233" s="227"/>
    </row>
    <row r="234" spans="1:7">
      <c r="A234" s="133" t="s">
        <v>3140</v>
      </c>
      <c r="B234" s="133" t="s">
        <v>3141</v>
      </c>
      <c r="C234" s="227">
        <f>COUNTIF('TURMAS 2015.2'!C:C,A234)</f>
        <v>2</v>
      </c>
      <c r="D234" s="227">
        <f>IF(C234&gt;15,3,(VLOOKUP(C234,H:I,2,FALSE)))</f>
        <v>0</v>
      </c>
      <c r="E234" s="227"/>
      <c r="F234" s="228"/>
      <c r="G234" s="227"/>
    </row>
    <row r="235" spans="1:7">
      <c r="A235" s="133" t="s">
        <v>3148</v>
      </c>
      <c r="B235" s="133" t="s">
        <v>3149</v>
      </c>
      <c r="C235" s="227">
        <f>COUNTIF('TURMAS 2015.2'!C:C,A235)</f>
        <v>2</v>
      </c>
      <c r="D235" s="227">
        <f>IF(C235&gt;15,3,(VLOOKUP(C235,H:I,2,FALSE)))</f>
        <v>0</v>
      </c>
      <c r="E235" s="227"/>
      <c r="F235" s="228"/>
      <c r="G235" s="227"/>
    </row>
    <row r="236" spans="1:7">
      <c r="A236" s="133" t="s">
        <v>3156</v>
      </c>
      <c r="B236" s="133" t="s">
        <v>3157</v>
      </c>
      <c r="C236" s="227">
        <f>COUNTIF('TURMAS 2015.2'!C:C,A236)</f>
        <v>1</v>
      </c>
      <c r="D236" s="227">
        <f>IF(C236&gt;15,3,(VLOOKUP(C236,H:I,2,FALSE)))</f>
        <v>0</v>
      </c>
      <c r="E236" s="227"/>
      <c r="F236" s="228"/>
      <c r="G236" s="227"/>
    </row>
    <row r="237" spans="1:7">
      <c r="A237" s="133" t="s">
        <v>3161</v>
      </c>
      <c r="B237" s="133" t="s">
        <v>3162</v>
      </c>
      <c r="C237" s="227">
        <f>COUNTIF('TURMAS 2015.2'!C:C,A237)</f>
        <v>1</v>
      </c>
      <c r="D237" s="227">
        <f>IF(C237&gt;15,3,(VLOOKUP(C237,H:I,2,FALSE)))</f>
        <v>0</v>
      </c>
      <c r="E237" s="227"/>
      <c r="F237" s="228"/>
      <c r="G237" s="227"/>
    </row>
    <row r="238" spans="1:7">
      <c r="A238" s="133" t="s">
        <v>3167</v>
      </c>
      <c r="B238" s="133" t="s">
        <v>3168</v>
      </c>
      <c r="C238" s="227">
        <f>COUNTIF('TURMAS 2015.2'!C:C,A238)</f>
        <v>1</v>
      </c>
      <c r="D238" s="227">
        <f>IF(C238&gt;15,3,(VLOOKUP(C238,H:I,2,FALSE)))</f>
        <v>0</v>
      </c>
      <c r="E238" s="227"/>
      <c r="F238" s="228"/>
      <c r="G238" s="227"/>
    </row>
    <row r="239" spans="1:7">
      <c r="A239" s="133" t="s">
        <v>3173</v>
      </c>
      <c r="B239" s="133" t="s">
        <v>3174</v>
      </c>
      <c r="C239" s="227">
        <f>COUNTIF('TURMAS 2015.2'!C:C,A239)</f>
        <v>1</v>
      </c>
      <c r="D239" s="227">
        <f>IF(C239&gt;15,3,(VLOOKUP(C239,H:I,2,FALSE)))</f>
        <v>0</v>
      </c>
      <c r="E239" s="227"/>
      <c r="F239" s="228"/>
      <c r="G239" s="227"/>
    </row>
    <row r="240" spans="1:7">
      <c r="A240" s="133" t="s">
        <v>3179</v>
      </c>
      <c r="B240" s="133" t="s">
        <v>3180</v>
      </c>
      <c r="C240" s="227">
        <f>COUNTIF('TURMAS 2015.2'!C:C,A240)</f>
        <v>2</v>
      </c>
      <c r="D240" s="227">
        <f>IF(C240&gt;15,3,(VLOOKUP(C240,H:I,2,FALSE)))</f>
        <v>0</v>
      </c>
      <c r="E240" s="227"/>
      <c r="F240" s="228"/>
      <c r="G240" s="227"/>
    </row>
    <row r="241" spans="1:7">
      <c r="A241" s="133" t="s">
        <v>3187</v>
      </c>
      <c r="B241" s="133" t="s">
        <v>3188</v>
      </c>
      <c r="C241" s="227">
        <f>COUNTIF('TURMAS 2015.2'!C:C,A241)</f>
        <v>2</v>
      </c>
      <c r="D241" s="227">
        <f>IF(C241&gt;15,3,(VLOOKUP(C241,H:I,2,FALSE)))</f>
        <v>0</v>
      </c>
      <c r="E241" s="227"/>
      <c r="F241" s="228"/>
      <c r="G241" s="227"/>
    </row>
    <row r="242" spans="1:7">
      <c r="A242" s="133" t="s">
        <v>3197</v>
      </c>
      <c r="B242" s="133" t="s">
        <v>3198</v>
      </c>
      <c r="C242" s="227">
        <f>COUNTIF('TURMAS 2015.2'!C:C,A242)</f>
        <v>2</v>
      </c>
      <c r="D242" s="227">
        <f>IF(C242&gt;15,3,(VLOOKUP(C242,H:I,2,FALSE)))</f>
        <v>0</v>
      </c>
      <c r="E242" s="227"/>
      <c r="F242" s="228"/>
      <c r="G242" s="227"/>
    </row>
    <row r="243" spans="1:7">
      <c r="A243" s="133" t="s">
        <v>3205</v>
      </c>
      <c r="B243" s="133" t="s">
        <v>3206</v>
      </c>
      <c r="C243" s="227">
        <f>COUNTIF('TURMAS 2015.2'!C:C,A243)</f>
        <v>2</v>
      </c>
      <c r="D243" s="227">
        <f>IF(C243&gt;15,3,(VLOOKUP(C243,H:I,2,FALSE)))</f>
        <v>0</v>
      </c>
      <c r="E243" s="227"/>
      <c r="F243" s="228"/>
      <c r="G243" s="227"/>
    </row>
    <row r="244" spans="1:7">
      <c r="A244" s="133" t="s">
        <v>3215</v>
      </c>
      <c r="B244" s="133" t="s">
        <v>3216</v>
      </c>
      <c r="C244" s="227">
        <f>COUNTIF('TURMAS 2015.2'!C:C,A244)</f>
        <v>1</v>
      </c>
      <c r="D244" s="227">
        <f>IF(C244&gt;15,3,(VLOOKUP(C244,H:I,2,FALSE)))</f>
        <v>0</v>
      </c>
      <c r="E244" s="227"/>
      <c r="F244" s="228"/>
      <c r="G244" s="227"/>
    </row>
    <row r="245" spans="1:7">
      <c r="A245" s="133" t="s">
        <v>3221</v>
      </c>
      <c r="B245" s="133" t="s">
        <v>3222</v>
      </c>
      <c r="C245" s="227">
        <f>COUNTIF('TURMAS 2015.2'!C:C,A245)</f>
        <v>2</v>
      </c>
      <c r="D245" s="227">
        <f>IF(C245&gt;15,3,(VLOOKUP(C245,H:I,2,FALSE)))</f>
        <v>0</v>
      </c>
      <c r="E245" s="227"/>
      <c r="F245" s="228"/>
      <c r="G245" s="227"/>
    </row>
    <row r="246" spans="1:7">
      <c r="A246" s="133" t="s">
        <v>3229</v>
      </c>
      <c r="B246" s="133" t="s">
        <v>3230</v>
      </c>
      <c r="C246" s="227">
        <f>COUNTIF('TURMAS 2015.2'!C:C,A246)</f>
        <v>1</v>
      </c>
      <c r="D246" s="227">
        <f>IF(C246&gt;15,3,(VLOOKUP(C246,H:I,2,FALSE)))</f>
        <v>0</v>
      </c>
      <c r="E246" s="227"/>
      <c r="F246" s="228"/>
      <c r="G246" s="227"/>
    </row>
    <row r="247" spans="1:7">
      <c r="A247" s="133" t="s">
        <v>3235</v>
      </c>
      <c r="B247" s="133" t="s">
        <v>3236</v>
      </c>
      <c r="C247" s="227">
        <f>COUNTIF('TURMAS 2015.2'!C:C,A247)</f>
        <v>2</v>
      </c>
      <c r="D247" s="227">
        <f>IF(C247&gt;15,3,(VLOOKUP(C247,H:I,2,FALSE)))</f>
        <v>0</v>
      </c>
      <c r="E247" s="227"/>
      <c r="F247" s="228"/>
      <c r="G247" s="227"/>
    </row>
    <row r="248" spans="1:7">
      <c r="A248" s="133" t="s">
        <v>3243</v>
      </c>
      <c r="B248" s="133" t="s">
        <v>3244</v>
      </c>
      <c r="C248" s="227">
        <f>COUNTIF('TURMAS 2015.2'!C:C,A248)</f>
        <v>1</v>
      </c>
      <c r="D248" s="227">
        <f>IF(C248&gt;15,3,(VLOOKUP(C248,H:I,2,FALSE)))</f>
        <v>0</v>
      </c>
      <c r="E248" s="227"/>
      <c r="F248" s="228"/>
      <c r="G248" s="227"/>
    </row>
    <row r="249" spans="1:7">
      <c r="A249" s="133" t="s">
        <v>3248</v>
      </c>
      <c r="B249" s="133" t="s">
        <v>3249</v>
      </c>
      <c r="C249" s="227">
        <f>COUNTIF('TURMAS 2015.2'!C:C,A249)</f>
        <v>1</v>
      </c>
      <c r="D249" s="227">
        <f>IF(C249&gt;15,3,(VLOOKUP(C249,H:I,2,FALSE)))</f>
        <v>0</v>
      </c>
      <c r="E249" s="227"/>
      <c r="F249" s="228"/>
      <c r="G249" s="227"/>
    </row>
    <row r="250" spans="1:7">
      <c r="A250" s="133" t="s">
        <v>3254</v>
      </c>
      <c r="B250" s="133" t="s">
        <v>3255</v>
      </c>
      <c r="C250" s="227">
        <f>COUNTIF('TURMAS 2015.2'!C:C,A250)</f>
        <v>1</v>
      </c>
      <c r="D250" s="227">
        <f>IF(C250&gt;15,3,(VLOOKUP(C250,H:I,2,FALSE)))</f>
        <v>0</v>
      </c>
      <c r="E250" s="227"/>
      <c r="F250" s="228"/>
      <c r="G250" s="227"/>
    </row>
    <row r="251" spans="1:7">
      <c r="A251" s="133" t="s">
        <v>3260</v>
      </c>
      <c r="B251" s="133" t="s">
        <v>3261</v>
      </c>
      <c r="C251" s="227">
        <f>COUNTIF('TURMAS 2015.2'!C:C,A251)</f>
        <v>1</v>
      </c>
      <c r="D251" s="227">
        <f>IF(C251&gt;15,3,(VLOOKUP(C251,H:I,2,FALSE)))</f>
        <v>0</v>
      </c>
      <c r="E251" s="227"/>
      <c r="F251" s="228"/>
      <c r="G251" s="227"/>
    </row>
    <row r="252" spans="1:7">
      <c r="A252" s="133" t="s">
        <v>3266</v>
      </c>
      <c r="B252" s="133" t="s">
        <v>3267</v>
      </c>
      <c r="C252" s="227">
        <f>COUNTIF('TURMAS 2015.2'!C:C,A252)</f>
        <v>2</v>
      </c>
      <c r="D252" s="227">
        <f>IF(C252&gt;15,3,(VLOOKUP(C252,H:I,2,FALSE)))</f>
        <v>0</v>
      </c>
      <c r="E252" s="227"/>
      <c r="F252" s="228"/>
      <c r="G252" s="227"/>
    </row>
    <row r="253" spans="1:7">
      <c r="A253" s="133" t="s">
        <v>3278</v>
      </c>
      <c r="B253" s="133" t="s">
        <v>3279</v>
      </c>
      <c r="C253" s="227">
        <f>COUNTIF('TURMAS 2015.2'!C:C,A253)</f>
        <v>2</v>
      </c>
      <c r="D253" s="227">
        <f>IF(C253&gt;15,3,(VLOOKUP(C253,H:I,2,FALSE)))</f>
        <v>0</v>
      </c>
      <c r="E253" s="227"/>
      <c r="F253" s="228"/>
      <c r="G253" s="227"/>
    </row>
    <row r="254" spans="1:7">
      <c r="A254" s="133" t="s">
        <v>3286</v>
      </c>
      <c r="B254" s="133" t="s">
        <v>3287</v>
      </c>
      <c r="C254" s="227">
        <f>COUNTIF('TURMAS 2015.2'!C:C,A254)</f>
        <v>1</v>
      </c>
      <c r="D254" s="227">
        <f>IF(C254&gt;15,3,(VLOOKUP(C254,H:I,2,FALSE)))</f>
        <v>0</v>
      </c>
      <c r="E254" s="227"/>
      <c r="F254" s="228"/>
      <c r="G254" s="227"/>
    </row>
    <row r="255" spans="1:7">
      <c r="A255" s="133" t="s">
        <v>3292</v>
      </c>
      <c r="B255" s="133" t="s">
        <v>3293</v>
      </c>
      <c r="C255" s="227">
        <f>COUNTIF('TURMAS 2015.2'!C:C,A255)</f>
        <v>2</v>
      </c>
      <c r="D255" s="227">
        <f>IF(C255&gt;15,3,(VLOOKUP(C255,H:I,2,FALSE)))</f>
        <v>0</v>
      </c>
      <c r="E255" s="227"/>
      <c r="F255" s="228"/>
      <c r="G255" s="227"/>
    </row>
    <row r="256" spans="1:7">
      <c r="A256" s="133" t="s">
        <v>3300</v>
      </c>
      <c r="B256" s="133" t="s">
        <v>3301</v>
      </c>
      <c r="C256" s="227">
        <f>COUNTIF('TURMAS 2015.2'!C:C,A256)</f>
        <v>1</v>
      </c>
      <c r="D256" s="227">
        <f>IF(C256&gt;15,3,(VLOOKUP(C256,H:I,2,FALSE)))</f>
        <v>0</v>
      </c>
      <c r="E256" s="227"/>
      <c r="F256" s="228"/>
      <c r="G256" s="227"/>
    </row>
    <row r="257" spans="1:7">
      <c r="A257" s="133" t="s">
        <v>3305</v>
      </c>
      <c r="B257" s="133" t="s">
        <v>3306</v>
      </c>
      <c r="C257" s="227">
        <f>COUNTIF('TURMAS 2015.2'!C:C,A257)</f>
        <v>2</v>
      </c>
      <c r="D257" s="227">
        <f>IF(C257&gt;15,3,(VLOOKUP(C257,H:I,2,FALSE)))</f>
        <v>0</v>
      </c>
      <c r="E257" s="227"/>
      <c r="F257" s="228"/>
      <c r="G257" s="227"/>
    </row>
    <row r="258" spans="1:7">
      <c r="A258" s="133" t="s">
        <v>3313</v>
      </c>
      <c r="B258" s="133" t="s">
        <v>3314</v>
      </c>
      <c r="C258" s="227">
        <f>COUNTIF('TURMAS 2015.2'!C:C,A258)</f>
        <v>2</v>
      </c>
      <c r="D258" s="227">
        <f>IF(C258&gt;15,3,(VLOOKUP(C258,H:I,2,FALSE)))</f>
        <v>0</v>
      </c>
      <c r="E258" s="227"/>
      <c r="F258" s="228"/>
      <c r="G258" s="227"/>
    </row>
    <row r="259" spans="1:7">
      <c r="A259" s="133" t="s">
        <v>3323</v>
      </c>
      <c r="B259" s="133" t="s">
        <v>3324</v>
      </c>
      <c r="C259" s="227">
        <f>COUNTIF('TURMAS 2015.2'!C:C,A259)</f>
        <v>2</v>
      </c>
      <c r="D259" s="227">
        <f>IF(C259&gt;15,3,(VLOOKUP(C259,H:I,2,FALSE)))</f>
        <v>0</v>
      </c>
      <c r="E259" s="227"/>
      <c r="F259" s="228"/>
      <c r="G259" s="227"/>
    </row>
    <row r="260" spans="1:7">
      <c r="A260" s="133" t="s">
        <v>3331</v>
      </c>
      <c r="B260" s="133" t="s">
        <v>3332</v>
      </c>
      <c r="C260" s="227">
        <f>COUNTIF('TURMAS 2015.2'!C:C,A260)</f>
        <v>2</v>
      </c>
      <c r="D260" s="227">
        <f>IF(C260&gt;15,3,(VLOOKUP(C260,H:I,2,FALSE)))</f>
        <v>0</v>
      </c>
      <c r="E260" s="227"/>
      <c r="F260" s="228"/>
      <c r="G260" s="227"/>
    </row>
    <row r="261" spans="1:7">
      <c r="A261" s="133" t="s">
        <v>3341</v>
      </c>
      <c r="B261" s="133" t="s">
        <v>3342</v>
      </c>
      <c r="C261" s="227">
        <f>COUNTIF('TURMAS 2015.2'!C:C,A261)</f>
        <v>6</v>
      </c>
      <c r="D261" s="227">
        <f>IF(C261&gt;15,3,(VLOOKUP(C261,H:I,2,FALSE)))</f>
        <v>1</v>
      </c>
      <c r="E261" s="227"/>
      <c r="F261" s="228"/>
      <c r="G261" s="227"/>
    </row>
    <row r="262" spans="1:7">
      <c r="A262" s="133" t="s">
        <v>3361</v>
      </c>
      <c r="B262" s="133" t="s">
        <v>3362</v>
      </c>
      <c r="C262" s="227">
        <f>COUNTIF('TURMAS 2015.2'!C:C,A262)</f>
        <v>1</v>
      </c>
      <c r="D262" s="227">
        <f>IF(C262&gt;15,3,(VLOOKUP(C262,H:I,2,FALSE)))</f>
        <v>0</v>
      </c>
      <c r="E262" s="227"/>
      <c r="F262" s="228"/>
      <c r="G262" s="227"/>
    </row>
    <row r="263" spans="1:7">
      <c r="A263" s="133" t="s">
        <v>3366</v>
      </c>
      <c r="B263" s="133" t="s">
        <v>3367</v>
      </c>
      <c r="C263" s="227">
        <f>COUNTIF('TURMAS 2015.2'!C:C,A263)</f>
        <v>1</v>
      </c>
      <c r="D263" s="227">
        <f>IF(C263&gt;15,3,(VLOOKUP(C263,H:I,2,FALSE)))</f>
        <v>0</v>
      </c>
      <c r="E263" s="227"/>
      <c r="F263" s="228"/>
      <c r="G263" s="227"/>
    </row>
    <row r="264" spans="1:7">
      <c r="A264" s="133" t="s">
        <v>3371</v>
      </c>
      <c r="B264" s="133" t="s">
        <v>3372</v>
      </c>
      <c r="C264" s="227">
        <f>COUNTIF('TURMAS 2015.2'!C:C,A264)</f>
        <v>2</v>
      </c>
      <c r="D264" s="227">
        <f>IF(C264&gt;15,3,(VLOOKUP(C264,H:I,2,FALSE)))</f>
        <v>0</v>
      </c>
      <c r="E264" s="227"/>
      <c r="F264" s="228"/>
      <c r="G264" s="227"/>
    </row>
    <row r="265" spans="1:7">
      <c r="A265" s="133" t="s">
        <v>3379</v>
      </c>
      <c r="B265" s="133" t="s">
        <v>3380</v>
      </c>
      <c r="C265" s="227">
        <f>COUNTIF('TURMAS 2015.2'!C:C,A265)</f>
        <v>2</v>
      </c>
      <c r="D265" s="227">
        <f>IF(C265&gt;15,3,(VLOOKUP(C265,H:I,2,FALSE)))</f>
        <v>0</v>
      </c>
      <c r="E265" s="227"/>
      <c r="F265" s="228"/>
      <c r="G265" s="227"/>
    </row>
    <row r="266" spans="1:7">
      <c r="A266" s="133" t="s">
        <v>3387</v>
      </c>
      <c r="B266" s="133" t="s">
        <v>3388</v>
      </c>
      <c r="C266" s="227">
        <f>COUNTIF('TURMAS 2015.2'!C:C,A266)</f>
        <v>1</v>
      </c>
      <c r="D266" s="227">
        <f>IF(C266&gt;15,3,(VLOOKUP(C266,H:I,2,FALSE)))</f>
        <v>0</v>
      </c>
      <c r="E266" s="227"/>
      <c r="F266" s="228"/>
      <c r="G266" s="227"/>
    </row>
    <row r="267" spans="1:7">
      <c r="A267" s="133" t="s">
        <v>3392</v>
      </c>
      <c r="B267" s="133" t="s">
        <v>3393</v>
      </c>
      <c r="C267" s="227">
        <f>COUNTIF('TURMAS 2015.2'!C:C,A267)</f>
        <v>2</v>
      </c>
      <c r="D267" s="227">
        <f>IF(C267&gt;15,3,(VLOOKUP(C267,H:I,2,FALSE)))</f>
        <v>0</v>
      </c>
      <c r="E267" s="227"/>
      <c r="F267" s="228"/>
      <c r="G267" s="227"/>
    </row>
    <row r="268" spans="1:7">
      <c r="A268" s="133" t="s">
        <v>3400</v>
      </c>
      <c r="B268" s="133" t="s">
        <v>3401</v>
      </c>
      <c r="C268" s="227">
        <f>COUNTIF('TURMAS 2015.2'!C:C,A268)</f>
        <v>2</v>
      </c>
      <c r="D268" s="227">
        <f>IF(C268&gt;15,3,(VLOOKUP(C268,H:I,2,FALSE)))</f>
        <v>0</v>
      </c>
      <c r="E268" s="227"/>
      <c r="F268" s="228"/>
      <c r="G268" s="227"/>
    </row>
    <row r="269" spans="1:7">
      <c r="A269" s="133" t="s">
        <v>3410</v>
      </c>
      <c r="B269" s="133" t="s">
        <v>3411</v>
      </c>
      <c r="C269" s="227">
        <f>COUNTIF('TURMAS 2015.2'!C:C,A269)</f>
        <v>1</v>
      </c>
      <c r="D269" s="227">
        <f>IF(C269&gt;15,3,(VLOOKUP(C269,H:I,2,FALSE)))</f>
        <v>0</v>
      </c>
      <c r="E269" s="227"/>
      <c r="F269" s="228"/>
      <c r="G269" s="227"/>
    </row>
    <row r="270" spans="1:7">
      <c r="A270" s="133" t="s">
        <v>3415</v>
      </c>
      <c r="B270" s="133" t="s">
        <v>3416</v>
      </c>
      <c r="C270" s="227">
        <f>COUNTIF('TURMAS 2015.2'!C:C,A270)</f>
        <v>1</v>
      </c>
      <c r="D270" s="227">
        <f>IF(C270&gt;15,3,(VLOOKUP(C270,H:I,2,FALSE)))</f>
        <v>0</v>
      </c>
      <c r="E270" s="227"/>
      <c r="F270" s="228"/>
      <c r="G270" s="227"/>
    </row>
    <row r="271" spans="1:7">
      <c r="A271" s="133" t="s">
        <v>3420</v>
      </c>
      <c r="B271" s="133" t="s">
        <v>3421</v>
      </c>
      <c r="C271" s="227">
        <f>COUNTIF('TURMAS 2015.2'!C:C,A271)</f>
        <v>5</v>
      </c>
      <c r="D271" s="227">
        <f>IF(C271&gt;15,3,(VLOOKUP(C271,H:I,2,FALSE)))</f>
        <v>1</v>
      </c>
      <c r="E271" s="227"/>
      <c r="F271" s="228"/>
      <c r="G271" s="227"/>
    </row>
    <row r="272" spans="1:7">
      <c r="A272" s="133" t="s">
        <v>3441</v>
      </c>
      <c r="B272" s="133" t="s">
        <v>3442</v>
      </c>
      <c r="C272" s="227">
        <f>COUNTIF('TURMAS 2015.2'!C:C,A272)</f>
        <v>3</v>
      </c>
      <c r="D272" s="227">
        <f>IF(C272&gt;15,3,(VLOOKUP(C272,H:I,2,FALSE)))</f>
        <v>0</v>
      </c>
      <c r="E272" s="227"/>
      <c r="F272" s="228"/>
      <c r="G272" s="227"/>
    </row>
    <row r="273" spans="1:7">
      <c r="A273" s="133" t="s">
        <v>3453</v>
      </c>
      <c r="B273" s="133" t="s">
        <v>3454</v>
      </c>
      <c r="C273" s="227">
        <f>COUNTIF('TURMAS 2015.2'!C:C,A273)</f>
        <v>1</v>
      </c>
      <c r="D273" s="227">
        <f>IF(C273&gt;15,3,(VLOOKUP(C273,H:I,2,FALSE)))</f>
        <v>0</v>
      </c>
      <c r="E273" s="227"/>
      <c r="F273" s="228"/>
      <c r="G273" s="227"/>
    </row>
    <row r="274" spans="1:7">
      <c r="A274" s="133" t="s">
        <v>3458</v>
      </c>
      <c r="B274" s="133" t="s">
        <v>3459</v>
      </c>
      <c r="C274" s="227">
        <f>COUNTIF('TURMAS 2015.2'!C:C,A274)</f>
        <v>2</v>
      </c>
      <c r="D274" s="227">
        <f>IF(C274&gt;15,3,(VLOOKUP(C274,H:I,2,FALSE)))</f>
        <v>0</v>
      </c>
      <c r="E274" s="227"/>
      <c r="F274" s="228"/>
      <c r="G274" s="227"/>
    </row>
    <row r="275" spans="1:7">
      <c r="A275" s="133" t="s">
        <v>3466</v>
      </c>
      <c r="B275" s="133" t="s">
        <v>3467</v>
      </c>
      <c r="C275" s="227">
        <f>COUNTIF('TURMAS 2015.2'!C:C,A275)</f>
        <v>1</v>
      </c>
      <c r="D275" s="227">
        <f>IF(C275&gt;15,3,(VLOOKUP(C275,H:I,2,FALSE)))</f>
        <v>0</v>
      </c>
      <c r="E275" s="227"/>
      <c r="F275" s="228"/>
      <c r="G275" s="227"/>
    </row>
    <row r="276" spans="1:7">
      <c r="A276" s="133" t="s">
        <v>3472</v>
      </c>
      <c r="B276" s="133" t="s">
        <v>3473</v>
      </c>
      <c r="C276" s="227">
        <f>COUNTIF('TURMAS 2015.2'!C:C,A276)</f>
        <v>2</v>
      </c>
      <c r="D276" s="227">
        <f>IF(C276&gt;15,3,(VLOOKUP(C276,H:I,2,FALSE)))</f>
        <v>0</v>
      </c>
      <c r="E276" s="227"/>
      <c r="F276" s="228"/>
      <c r="G276" s="227"/>
    </row>
    <row r="277" spans="1:7">
      <c r="A277" s="133" t="s">
        <v>36</v>
      </c>
      <c r="B277" s="133" t="s">
        <v>3480</v>
      </c>
      <c r="C277" s="227">
        <f>COUNTIF('TURMAS 2015.2'!C:C,A277)</f>
        <v>1</v>
      </c>
      <c r="D277" s="227">
        <f>IF(C277&gt;15,3,(VLOOKUP(C277,H:I,2,FALSE)))</f>
        <v>0</v>
      </c>
      <c r="E277" s="227"/>
      <c r="F277" s="228"/>
      <c r="G277" s="227"/>
    </row>
    <row r="278" spans="1:7">
      <c r="A278" s="133" t="s">
        <v>3484</v>
      </c>
      <c r="B278" s="133" t="s">
        <v>3485</v>
      </c>
      <c r="C278" s="227">
        <f>COUNTIF('TURMAS 2015.2'!C:C,A278)</f>
        <v>1</v>
      </c>
      <c r="D278" s="227">
        <f>IF(C278&gt;15,3,(VLOOKUP(C278,H:I,2,FALSE)))</f>
        <v>0</v>
      </c>
      <c r="E278" s="227"/>
      <c r="F278" s="228"/>
      <c r="G278" s="227"/>
    </row>
    <row r="279" spans="1:7">
      <c r="A279" s="133" t="s">
        <v>3489</v>
      </c>
      <c r="B279" s="133" t="s">
        <v>3490</v>
      </c>
      <c r="C279" s="227">
        <f>COUNTIF('TURMAS 2015.2'!C:C,A279)</f>
        <v>1</v>
      </c>
      <c r="D279" s="227">
        <f>IF(C279&gt;15,3,(VLOOKUP(C279,H:I,2,FALSE)))</f>
        <v>0</v>
      </c>
      <c r="E279" s="227"/>
      <c r="F279" s="228"/>
      <c r="G279" s="227"/>
    </row>
    <row r="280" spans="1:7">
      <c r="A280" s="133" t="s">
        <v>3494</v>
      </c>
      <c r="B280" s="133" t="s">
        <v>3495</v>
      </c>
      <c r="C280" s="227">
        <f>COUNTIF('TURMAS 2015.2'!C:C,A280)</f>
        <v>1</v>
      </c>
      <c r="D280" s="227">
        <f>IF(C280&gt;15,3,(VLOOKUP(C280,H:I,2,FALSE)))</f>
        <v>0</v>
      </c>
      <c r="E280" s="227"/>
      <c r="F280" s="228"/>
      <c r="G280" s="227"/>
    </row>
    <row r="281" spans="1:7">
      <c r="A281" s="133" t="s">
        <v>3499</v>
      </c>
      <c r="B281" s="133" t="s">
        <v>3500</v>
      </c>
      <c r="C281" s="227">
        <f>COUNTIF('TURMAS 2015.2'!C:C,A281)</f>
        <v>2</v>
      </c>
      <c r="D281" s="227">
        <f>IF(C281&gt;15,3,(VLOOKUP(C281,H:I,2,FALSE)))</f>
        <v>0</v>
      </c>
      <c r="E281" s="227"/>
      <c r="F281" s="228"/>
      <c r="G281" s="227"/>
    </row>
    <row r="282" spans="1:7">
      <c r="A282" s="133" t="s">
        <v>3507</v>
      </c>
      <c r="B282" s="133" t="s">
        <v>3508</v>
      </c>
      <c r="C282" s="227">
        <f>COUNTIF('TURMAS 2015.2'!C:C,A282)</f>
        <v>2</v>
      </c>
      <c r="D282" s="227">
        <f>IF(C282&gt;15,3,(VLOOKUP(C282,H:I,2,FALSE)))</f>
        <v>0</v>
      </c>
      <c r="E282" s="227"/>
      <c r="F282" s="228"/>
      <c r="G282" s="227"/>
    </row>
    <row r="283" spans="1:7">
      <c r="A283" s="133" t="s">
        <v>3517</v>
      </c>
      <c r="B283" s="133" t="s">
        <v>3518</v>
      </c>
      <c r="C283" s="227">
        <f>COUNTIF('TURMAS 2015.2'!C:C,A283)</f>
        <v>1</v>
      </c>
      <c r="D283" s="227">
        <f>IF(C283&gt;15,3,(VLOOKUP(C283,H:I,2,FALSE)))</f>
        <v>0</v>
      </c>
      <c r="E283" s="227"/>
      <c r="F283" s="228"/>
      <c r="G283" s="227"/>
    </row>
    <row r="284" spans="1:7">
      <c r="A284" s="133" t="s">
        <v>3523</v>
      </c>
      <c r="B284" s="133" t="s">
        <v>3524</v>
      </c>
      <c r="C284" s="227">
        <f>COUNTIF('TURMAS 2015.2'!C:C,A284)</f>
        <v>1</v>
      </c>
      <c r="D284" s="227">
        <f>IF(C284&gt;15,3,(VLOOKUP(C284,H:I,2,FALSE)))</f>
        <v>0</v>
      </c>
      <c r="E284" s="227"/>
      <c r="F284" s="228"/>
      <c r="G284" s="227"/>
    </row>
    <row r="285" spans="1:7">
      <c r="A285" s="133" t="s">
        <v>3528</v>
      </c>
      <c r="B285" s="133" t="s">
        <v>3529</v>
      </c>
      <c r="C285" s="227">
        <f>COUNTIF('TURMAS 2015.2'!C:C,A285)</f>
        <v>1</v>
      </c>
      <c r="D285" s="227">
        <f>IF(C285&gt;15,3,(VLOOKUP(C285,H:I,2,FALSE)))</f>
        <v>0</v>
      </c>
      <c r="E285" s="227"/>
      <c r="F285" s="228"/>
      <c r="G285" s="227"/>
    </row>
    <row r="286" spans="1:7">
      <c r="A286" s="133" t="s">
        <v>3533</v>
      </c>
      <c r="B286" s="133" t="s">
        <v>3534</v>
      </c>
      <c r="C286" s="227">
        <f>COUNTIF('TURMAS 2015.2'!C:C,A286)</f>
        <v>2</v>
      </c>
      <c r="D286" s="227">
        <f>IF(C286&gt;15,3,(VLOOKUP(C286,H:I,2,FALSE)))</f>
        <v>0</v>
      </c>
      <c r="E286" s="227"/>
      <c r="F286" s="228"/>
      <c r="G286" s="227"/>
    </row>
    <row r="287" spans="1:7">
      <c r="A287" s="133" t="s">
        <v>3541</v>
      </c>
      <c r="B287" s="133" t="s">
        <v>3542</v>
      </c>
      <c r="C287" s="227">
        <f>COUNTIF('TURMAS 2015.2'!C:C,A287)</f>
        <v>7</v>
      </c>
      <c r="D287" s="227">
        <f>IF(C287&gt;15,3,(VLOOKUP(C287,H:I,2,FALSE)))</f>
        <v>1</v>
      </c>
      <c r="E287" s="227"/>
      <c r="F287" s="228"/>
      <c r="G287" s="227"/>
    </row>
    <row r="288" spans="1:7">
      <c r="A288" s="133" t="s">
        <v>3584</v>
      </c>
      <c r="B288" s="133" t="s">
        <v>3585</v>
      </c>
      <c r="C288" s="227">
        <f>COUNTIF('TURMAS 2015.2'!C:C,A288)</f>
        <v>1</v>
      </c>
      <c r="D288" s="227">
        <f>IF(C288&gt;15,3,(VLOOKUP(C288,H:I,2,FALSE)))</f>
        <v>0</v>
      </c>
      <c r="E288" s="227"/>
      <c r="F288" s="228"/>
      <c r="G288" s="227"/>
    </row>
    <row r="289" spans="1:9">
      <c r="A289" s="224"/>
      <c r="B289" s="230" t="s">
        <v>3590</v>
      </c>
      <c r="C289" s="231">
        <f>SUM(C2:C288)</f>
        <v>860</v>
      </c>
      <c r="D289" s="231">
        <f>SUM(D2:D288)</f>
        <v>53</v>
      </c>
      <c r="E289" s="225"/>
      <c r="F289" s="226"/>
      <c r="G289" s="225"/>
      <c r="H289" s="26"/>
      <c r="I289" s="26"/>
    </row>
  </sheetData>
  <autoFilter ref="A1:I290">
    <sortState ref="A2:I297">
      <sortCondition ref="B1:B297"/>
    </sortState>
  </autoFilter>
  <sortState ref="A2:G287">
    <sortCondition descending="1" ref="C2:C287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B1:S38"/>
  <sheetViews>
    <sheetView zoomScale="60" zoomScaleNormal="60" workbookViewId="0">
      <selection activeCell="K22" sqref="K22"/>
    </sheetView>
  </sheetViews>
  <sheetFormatPr defaultColWidth="9.140625" defaultRowHeight="21"/>
  <cols>
    <col min="1" max="1" width="9.140625" style="1"/>
    <col min="2" max="2" width="18.28515625" style="4" customWidth="1"/>
    <col min="3" max="3" width="12.28515625" style="4" customWidth="1"/>
    <col min="4" max="4" width="22.5703125" style="4" customWidth="1"/>
    <col min="5" max="10" width="16.85546875" style="4" customWidth="1"/>
    <col min="11" max="16" width="16.85546875" style="6" customWidth="1"/>
    <col min="17" max="17" width="9.140625" style="1"/>
    <col min="18" max="18" width="9.140625" style="1" hidden="1" customWidth="1"/>
    <col min="19" max="19" width="9.140625" style="1"/>
    <col min="20" max="20" width="21" style="1" customWidth="1"/>
    <col min="21" max="16384" width="9.140625" style="1"/>
  </cols>
  <sheetData>
    <row r="1" spans="2:19" ht="21.75" thickBot="1"/>
    <row r="2" spans="2:19" s="2" customFormat="1" ht="21" customHeight="1">
      <c r="B2" s="120" t="s">
        <v>4362</v>
      </c>
      <c r="C2" s="121"/>
      <c r="D2" s="122" t="s">
        <v>4363</v>
      </c>
      <c r="E2" s="122"/>
      <c r="F2" s="122"/>
      <c r="G2" s="122"/>
      <c r="H2" s="122"/>
      <c r="I2" s="122" t="s">
        <v>4364</v>
      </c>
      <c r="J2" s="122"/>
      <c r="K2" s="122"/>
      <c r="L2" s="122"/>
      <c r="M2" s="122"/>
      <c r="N2" s="122"/>
      <c r="O2" s="122"/>
      <c r="P2" s="123"/>
      <c r="R2" s="1"/>
      <c r="S2" s="1"/>
    </row>
    <row r="3" spans="2:19" s="2" customFormat="1" ht="58.5" customHeight="1">
      <c r="B3" s="124" t="s">
        <v>4365</v>
      </c>
      <c r="C3" s="232"/>
      <c r="D3" s="233" t="s">
        <v>4366</v>
      </c>
      <c r="E3" s="234" t="s">
        <v>4367</v>
      </c>
      <c r="F3" s="234" t="s">
        <v>4368</v>
      </c>
      <c r="G3" s="233" t="s">
        <v>4369</v>
      </c>
      <c r="H3" s="233" t="s">
        <v>3607</v>
      </c>
      <c r="I3" s="234" t="s">
        <v>4370</v>
      </c>
      <c r="J3" s="234" t="s">
        <v>4371</v>
      </c>
      <c r="K3" s="234" t="s">
        <v>4372</v>
      </c>
      <c r="L3" s="234" t="s">
        <v>4373</v>
      </c>
      <c r="M3" s="234" t="s">
        <v>4374</v>
      </c>
      <c r="N3" s="234" t="s">
        <v>4375</v>
      </c>
      <c r="O3" s="234" t="s">
        <v>4376</v>
      </c>
      <c r="P3" s="65" t="s">
        <v>4377</v>
      </c>
      <c r="Q3" s="1"/>
      <c r="R3" s="1" t="e">
        <v>#N/A</v>
      </c>
    </row>
    <row r="4" spans="2:19" s="2" customFormat="1" ht="29.25" customHeight="1">
      <c r="B4" s="91" t="s">
        <v>4</v>
      </c>
      <c r="C4" s="235">
        <f>'TURMAS 2015.2'!C889</f>
        <v>2129</v>
      </c>
      <c r="D4" s="236" t="s">
        <v>3643</v>
      </c>
      <c r="E4" s="237">
        <f>COUNTIFS(docentes!F:F,"EM EXERCÍCIO",docentes!E:E,D4)</f>
        <v>186</v>
      </c>
      <c r="F4" s="238">
        <v>0</v>
      </c>
      <c r="G4" s="238">
        <f>SUMIFS(docentes!Q:Q,docentes!E:E,RESUMO!D4)</f>
        <v>18.900000000000002</v>
      </c>
      <c r="H4" s="238">
        <f>E4-G4</f>
        <v>167.1</v>
      </c>
      <c r="I4" s="238">
        <f>N4/H4</f>
        <v>5.1226810293237586</v>
      </c>
      <c r="J4" s="237">
        <f>SUMIF('TURMAS 2015.2'!$W:$W,$D4,'TURMAS 2015.2'!$J:$J)</f>
        <v>558</v>
      </c>
      <c r="K4" s="237">
        <f>SUMIF('TURMAS 2015.2'!$Z:$Z,$D4,'TURMAS 2015.2'!$K:$K)</f>
        <v>298</v>
      </c>
      <c r="L4" s="237">
        <f>H4*$D$12</f>
        <v>952.46050388331116</v>
      </c>
      <c r="M4" s="238">
        <f>H4*$D$13</f>
        <v>969.23697670013257</v>
      </c>
      <c r="N4" s="237">
        <f>J$4+$K$4</f>
        <v>856</v>
      </c>
      <c r="O4" s="239">
        <f>N4-L4</f>
        <v>-96.460503883311162</v>
      </c>
      <c r="P4" s="70">
        <f>N4-M4</f>
        <v>-113.23697670013257</v>
      </c>
      <c r="Q4" s="1"/>
      <c r="R4" s="1"/>
      <c r="S4" s="3"/>
    </row>
    <row r="5" spans="2:19" s="2" customFormat="1" ht="29.25" customHeight="1">
      <c r="B5" s="91" t="s">
        <v>5</v>
      </c>
      <c r="C5" s="235">
        <f>'TURMAS 2015.2'!D889</f>
        <v>880</v>
      </c>
      <c r="D5" s="240" t="s">
        <v>3618</v>
      </c>
      <c r="E5" s="241">
        <f>COUNTIFS(docentes!F:F,"EM EXERCÍCIO",docentes!E:E,D5)</f>
        <v>259</v>
      </c>
      <c r="F5" s="242">
        <v>5</v>
      </c>
      <c r="G5" s="242">
        <f>SUMIFS(docentes!Q:Q,docentes!E:E,RESUMO!D5)</f>
        <v>26.400000000000009</v>
      </c>
      <c r="H5" s="242">
        <f>E5-G5</f>
        <v>232.6</v>
      </c>
      <c r="I5" s="242">
        <f>N5/H5</f>
        <v>5.4987102321582118</v>
      </c>
      <c r="J5" s="241">
        <f>SUMIF('TURMAS 2015.2'!$W:$W,$D5,'TURMAS 2015.2'!$J:$J)</f>
        <v>951</v>
      </c>
      <c r="K5" s="241">
        <f>SUMIF('TURMAS 2015.2'!$Z:$Z,$D5,'TURMAS 2015.2'!$K:$K)</f>
        <v>328</v>
      </c>
      <c r="L5" s="241">
        <f>H5*$D$12</f>
        <v>1325.8067815874217</v>
      </c>
      <c r="M5" s="242">
        <f>H5*$D$13</f>
        <v>1349.1593104754688</v>
      </c>
      <c r="N5" s="241">
        <f>$J$5+$K$5</f>
        <v>1279</v>
      </c>
      <c r="O5" s="243">
        <f>N5-L5</f>
        <v>-46.80678158742171</v>
      </c>
      <c r="P5" s="71">
        <f>N5-M5</f>
        <v>-70.159310475468828</v>
      </c>
      <c r="Q5" s="1"/>
      <c r="R5" s="1"/>
      <c r="S5" s="3"/>
    </row>
    <row r="6" spans="2:19" s="2" customFormat="1" ht="29.25" customHeight="1">
      <c r="B6" s="66" t="s">
        <v>4378</v>
      </c>
      <c r="C6" s="233">
        <f>COORDENADORES!D289</f>
        <v>53</v>
      </c>
      <c r="D6" s="244" t="s">
        <v>3611</v>
      </c>
      <c r="E6" s="245">
        <f>COUNTIFS(docentes!F:F,"EM EXERCÍCIO",docentes!E:E,D6)</f>
        <v>129</v>
      </c>
      <c r="F6" s="246">
        <v>3</v>
      </c>
      <c r="G6" s="246">
        <f>SUMIFS(docentes!Q:Q,docentes!E:E,RESUMO!D6)</f>
        <v>12.800000000000002</v>
      </c>
      <c r="H6" s="246">
        <f>E6-G6</f>
        <v>116.2</v>
      </c>
      <c r="I6" s="246">
        <f>N6/H6</f>
        <v>6.2564543889845092</v>
      </c>
      <c r="J6" s="245">
        <f>SUMIF('TURMAS 2015.2'!$W:$W,$D6,'TURMAS 2015.2'!$J:$J)</f>
        <v>519</v>
      </c>
      <c r="K6" s="245">
        <f>SUMIF('TURMAS 2015.2'!$Z:$Z,$D6,'TURMAS 2015.2'!$K:$K)</f>
        <v>208</v>
      </c>
      <c r="L6" s="245">
        <f>H6*$D$12</f>
        <v>662.33339647660546</v>
      </c>
      <c r="M6" s="246">
        <f>H6*$D$13</f>
        <v>673.99962114036748</v>
      </c>
      <c r="N6" s="245">
        <f>$J$6+$K$6</f>
        <v>727</v>
      </c>
      <c r="O6" s="247">
        <f>N6-L6</f>
        <v>64.666603523394542</v>
      </c>
      <c r="P6" s="72">
        <f>N6-M6</f>
        <v>53.000378859632519</v>
      </c>
      <c r="Q6" s="1"/>
      <c r="R6" s="1"/>
      <c r="S6" s="3"/>
    </row>
    <row r="7" spans="2:19" s="2" customFormat="1" ht="29.25" customHeight="1">
      <c r="B7" s="66"/>
      <c r="C7" s="233"/>
      <c r="D7" s="248" t="s">
        <v>4340</v>
      </c>
      <c r="E7" s="249">
        <f>COUNTIFS(docentes!F:F,"EM EXERCÍCIO",docentes!E:E,D7)</f>
        <v>8</v>
      </c>
      <c r="F7" s="250">
        <v>0</v>
      </c>
      <c r="G7" s="250">
        <f>SUMIFS(docentes!Q:Q,docentes!E:E,RESUMO!D7)</f>
        <v>0</v>
      </c>
      <c r="H7" s="250">
        <f>E7-G7</f>
        <v>8</v>
      </c>
      <c r="I7" s="250">
        <f>N7/H7</f>
        <v>9.625</v>
      </c>
      <c r="J7" s="249">
        <f>SUMIF('TURMAS 2015.2'!$W:$W,$D7,'TURMAS 2015.2'!$J:$J)</f>
        <v>36</v>
      </c>
      <c r="K7" s="249">
        <f>SUMIF('TURMAS 2015.2'!$Z:$Z,$D7,'TURMAS 2015.2'!$K:$K)</f>
        <v>41</v>
      </c>
      <c r="L7" s="249">
        <f>H7*$D$12</f>
        <v>45.599545368440992</v>
      </c>
      <c r="M7" s="250">
        <f>H7*$D$13</f>
        <v>46.402727789354046</v>
      </c>
      <c r="N7" s="249">
        <f>$J$7+$K$7</f>
        <v>77</v>
      </c>
      <c r="O7" s="251">
        <f>N7-L7</f>
        <v>31.400454631559008</v>
      </c>
      <c r="P7" s="88">
        <f>N7-M7</f>
        <v>30.597272210645954</v>
      </c>
      <c r="Q7" s="1"/>
      <c r="R7" s="1"/>
      <c r="S7" s="3"/>
    </row>
    <row r="8" spans="2:19" s="2" customFormat="1" ht="29.25" customHeight="1">
      <c r="B8" s="125" t="s">
        <v>4353</v>
      </c>
      <c r="C8" s="252"/>
      <c r="D8" s="253" t="s">
        <v>4335</v>
      </c>
      <c r="E8" s="254">
        <f>COUNTIFS(docentes!F:F,"EM EXERCÍCIO",docentes!E:E,D8)</f>
        <v>4</v>
      </c>
      <c r="F8" s="255">
        <f>COUNTIFS(docentes!F:F,"AFASTADO",docentes!E:E,D8)</f>
        <v>0</v>
      </c>
      <c r="G8" s="255">
        <f>SUMIFS(docentes!Q:Q,docentes!E:E,RESUMO!D8)</f>
        <v>0</v>
      </c>
      <c r="H8" s="255">
        <f>E8-G8</f>
        <v>4</v>
      </c>
      <c r="I8" s="255">
        <f>N8/H8</f>
        <v>8.75</v>
      </c>
      <c r="J8" s="254">
        <f>SUMIF('TURMAS 2015.2'!$W:$W,$D8,'TURMAS 2015.2'!$J:$J)</f>
        <v>32</v>
      </c>
      <c r="K8" s="254">
        <f>SUMIF('TURMAS 2015.2'!$Z:$Z,$D8,'TURMAS 2015.2'!$K:$K)</f>
        <v>3</v>
      </c>
      <c r="L8" s="254">
        <f>H8*$D$12</f>
        <v>22.799772684220496</v>
      </c>
      <c r="M8" s="255">
        <f>H8*$D$13</f>
        <v>23.201363894677023</v>
      </c>
      <c r="N8" s="254">
        <f>$J$8+$K$8</f>
        <v>35</v>
      </c>
      <c r="O8" s="256">
        <f>N8-L8</f>
        <v>12.200227315779504</v>
      </c>
      <c r="P8" s="73">
        <f>N8-M8</f>
        <v>11.798636105322977</v>
      </c>
      <c r="Q8" s="1"/>
      <c r="R8" s="1"/>
      <c r="S8" s="3"/>
    </row>
    <row r="9" spans="2:19" s="2" customFormat="1" ht="29.25" customHeight="1">
      <c r="B9" s="66" t="s">
        <v>4379</v>
      </c>
      <c r="C9" s="235">
        <f>C4+C5</f>
        <v>3009</v>
      </c>
      <c r="D9" s="257" t="s">
        <v>3607</v>
      </c>
      <c r="E9" s="258">
        <f>E4+E5+E6+E7+E8</f>
        <v>586</v>
      </c>
      <c r="F9" s="258">
        <f>F4+F5+F6+F7+F8</f>
        <v>8</v>
      </c>
      <c r="G9" s="257">
        <f>SUM(G4:G8)</f>
        <v>58.100000000000016</v>
      </c>
      <c r="H9" s="257">
        <f>H4+H5+H6+H7+H8</f>
        <v>527.9</v>
      </c>
      <c r="I9" s="258"/>
      <c r="J9" s="258">
        <f>J4+J5+J6+J7+J8</f>
        <v>2096</v>
      </c>
      <c r="K9" s="258">
        <f>K4+K5+K6+K7+K8</f>
        <v>878</v>
      </c>
      <c r="L9" s="258">
        <f>L4+L5+L6+L7+L8</f>
        <v>3009</v>
      </c>
      <c r="M9" s="258">
        <f>M4+M5+M6+M7+M8</f>
        <v>3062</v>
      </c>
      <c r="N9" s="258">
        <f>N4+N5+N6+N7+N8</f>
        <v>2974</v>
      </c>
      <c r="O9" s="259">
        <f>O4+O5+O6+O7+O8</f>
        <v>-34.999999999999815</v>
      </c>
      <c r="P9" s="113">
        <f>P4+P5+P6+P8+P7</f>
        <v>-87.999999999999957</v>
      </c>
      <c r="Q9" s="1"/>
      <c r="R9" s="1"/>
    </row>
    <row r="10" spans="2:19" s="2" customFormat="1" ht="29.25" customHeight="1" thickBot="1">
      <c r="B10" s="67" t="s">
        <v>4380</v>
      </c>
      <c r="C10" s="92">
        <f>C4+C5+C6</f>
        <v>3062</v>
      </c>
      <c r="D10" s="110"/>
      <c r="E10" s="119"/>
      <c r="F10" s="119"/>
      <c r="G10" s="110"/>
      <c r="H10" s="110"/>
      <c r="I10" s="119"/>
      <c r="J10" s="119"/>
      <c r="K10" s="119"/>
      <c r="L10" s="119"/>
      <c r="M10" s="119"/>
      <c r="N10" s="119"/>
      <c r="O10" s="109"/>
      <c r="P10" s="114"/>
      <c r="Q10" s="1"/>
      <c r="R10" s="1"/>
    </row>
    <row r="11" spans="2:19" s="2" customFormat="1" ht="21.75" thickBot="1">
      <c r="B11" s="4"/>
      <c r="C11" s="4"/>
      <c r="D11" s="4"/>
      <c r="E11" s="4"/>
      <c r="F11" s="4"/>
      <c r="G11" s="4"/>
      <c r="H11" s="4"/>
      <c r="I11" s="4"/>
      <c r="J11" s="4"/>
      <c r="K11" s="5"/>
      <c r="L11" s="6"/>
      <c r="M11" s="6"/>
      <c r="N11" s="6"/>
      <c r="O11" s="6"/>
      <c r="P11" s="6"/>
      <c r="R11" s="1"/>
      <c r="S11" s="1"/>
    </row>
    <row r="12" spans="2:19" s="2" customFormat="1" ht="69" customHeight="1" thickBot="1">
      <c r="B12" s="111" t="s">
        <v>4381</v>
      </c>
      <c r="C12" s="112"/>
      <c r="D12" s="7">
        <f>(C4+C5)/H9</f>
        <v>5.699943171055124</v>
      </c>
      <c r="E12" s="4"/>
      <c r="F12" s="4"/>
      <c r="G12" s="4"/>
      <c r="H12" s="4"/>
      <c r="M12" s="6"/>
      <c r="N12" s="6"/>
      <c r="O12" s="6"/>
      <c r="R12" s="1"/>
      <c r="S12" s="1"/>
    </row>
    <row r="13" spans="2:19" s="2" customFormat="1" ht="69" customHeight="1" thickBot="1">
      <c r="B13" s="111" t="s">
        <v>4382</v>
      </c>
      <c r="C13" s="112"/>
      <c r="D13" s="7">
        <f>C10/H9</f>
        <v>5.8003409736692557</v>
      </c>
      <c r="E13" s="4"/>
      <c r="F13" s="4"/>
      <c r="G13" s="4"/>
      <c r="H13" s="4"/>
      <c r="M13" s="6"/>
      <c r="N13" s="6"/>
      <c r="O13" s="6"/>
      <c r="R13" s="1"/>
      <c r="S13" s="1"/>
    </row>
    <row r="14" spans="2:19" s="2" customFormat="1" ht="15">
      <c r="D14" s="4"/>
      <c r="E14" s="4"/>
      <c r="F14" s="4"/>
      <c r="G14" s="4"/>
      <c r="H14" s="4"/>
      <c r="M14" s="6"/>
      <c r="N14" s="6"/>
      <c r="O14" s="6"/>
      <c r="R14" s="1"/>
      <c r="S14" s="1"/>
    </row>
    <row r="15" spans="2:19" s="2" customFormat="1" ht="21.75" customHeight="1">
      <c r="D15" s="4"/>
      <c r="E15" s="4"/>
      <c r="F15" s="4"/>
      <c r="G15" s="4"/>
      <c r="H15" s="4"/>
      <c r="M15" s="6"/>
      <c r="N15" s="6"/>
      <c r="O15" s="6"/>
      <c r="R15" s="1"/>
      <c r="S15" s="1"/>
    </row>
    <row r="16" spans="2:19" s="2" customFormat="1" ht="21.75" thickBot="1">
      <c r="B16" s="4"/>
      <c r="C16" s="4"/>
      <c r="D16" s="4"/>
      <c r="E16" s="4"/>
      <c r="F16" s="4"/>
      <c r="G16" s="4"/>
      <c r="H16" s="4"/>
      <c r="I16" s="8"/>
      <c r="J16" s="9"/>
      <c r="K16" s="6"/>
      <c r="L16" s="6"/>
      <c r="M16" s="6"/>
      <c r="N16" s="6"/>
      <c r="O16" s="6"/>
      <c r="R16" s="1"/>
      <c r="S16" s="1"/>
    </row>
    <row r="17" spans="2:17" s="2" customFormat="1" ht="21.75" customHeight="1" thickBot="1">
      <c r="B17" s="4"/>
      <c r="C17" s="4"/>
      <c r="D17" s="104" t="s">
        <v>4383</v>
      </c>
      <c r="E17" s="105"/>
      <c r="F17" s="105"/>
      <c r="G17" s="105"/>
      <c r="H17" s="115"/>
      <c r="I17" s="10"/>
      <c r="J17" s="6"/>
      <c r="K17" s="6"/>
      <c r="L17" s="6"/>
      <c r="P17" s="1"/>
    </row>
    <row r="18" spans="2:17" s="2" customFormat="1" ht="42" customHeight="1">
      <c r="B18" s="93"/>
      <c r="C18" s="93"/>
      <c r="D18" s="11" t="s">
        <v>4366</v>
      </c>
      <c r="E18" s="74" t="s">
        <v>4384</v>
      </c>
      <c r="F18" s="74" t="s">
        <v>4385</v>
      </c>
      <c r="G18" s="74" t="s">
        <v>4386</v>
      </c>
      <c r="H18" s="12" t="s">
        <v>4375</v>
      </c>
      <c r="I18" s="93"/>
      <c r="L18" s="116" t="s">
        <v>4387</v>
      </c>
      <c r="M18" s="116"/>
      <c r="N18" s="117" t="s">
        <v>4388</v>
      </c>
      <c r="O18" s="118"/>
    </row>
    <row r="19" spans="2:17" ht="29.25" customHeight="1">
      <c r="D19" s="13" t="s">
        <v>3643</v>
      </c>
      <c r="E19" s="237">
        <f>COUNTIFS(docentes!F:F,"EM EXERCÍCIO",docentes!E:E,D19)</f>
        <v>186</v>
      </c>
      <c r="F19" s="237">
        <f>SUMIFS(docentes!$K:$K,docentes!$E:$E,D19)</f>
        <v>558</v>
      </c>
      <c r="G19" s="237">
        <f>SUMIFS(docentes!M:M,docentes!E:E,D19)</f>
        <v>298</v>
      </c>
      <c r="H19" s="14">
        <f>F19+G19</f>
        <v>856</v>
      </c>
      <c r="I19" s="15"/>
      <c r="J19" s="1"/>
      <c r="K19" s="1"/>
      <c r="L19" s="260" t="s">
        <v>4389</v>
      </c>
      <c r="M19" s="261" t="s">
        <v>4390</v>
      </c>
      <c r="N19" s="260" t="s">
        <v>4389</v>
      </c>
      <c r="O19" s="261" t="s">
        <v>4390</v>
      </c>
      <c r="P19" s="1"/>
    </row>
    <row r="20" spans="2:17" ht="29.25" customHeight="1">
      <c r="D20" s="16" t="s">
        <v>3618</v>
      </c>
      <c r="E20" s="241">
        <f>COUNTIFS(docentes!F:F,"EM EXERCÍCIO",docentes!E:E,D20)</f>
        <v>259</v>
      </c>
      <c r="F20" s="241">
        <f>SUMIFS(docentes!K:K,docentes!E:E,D20)</f>
        <v>951</v>
      </c>
      <c r="G20" s="241">
        <f>SUMIFS(docentes!M:M,docentes!E:E,D20)</f>
        <v>328</v>
      </c>
      <c r="H20" s="17">
        <f>F20+G20</f>
        <v>1279</v>
      </c>
      <c r="I20" s="15"/>
      <c r="J20" s="1"/>
      <c r="K20" s="1"/>
      <c r="L20" s="262">
        <f>SUMIF('TURMAS 2015.2'!V:V,#N/A,'TURMAS 2015.2'!J:J)</f>
        <v>14</v>
      </c>
      <c r="M20" s="262">
        <f>SUMIF('TURMAS 2015.2'!Y:Y,#N/A,'TURMAS 2015.2'!K:K)</f>
        <v>0</v>
      </c>
      <c r="N20" s="262">
        <f>COUNTIF('TURMAS 2015.2'!V:V,#N/A)</f>
        <v>4</v>
      </c>
      <c r="O20" s="262">
        <f>COUNTIF('TURMAS 2015.2'!Y:Y,#N/A)</f>
        <v>2</v>
      </c>
      <c r="P20" s="1"/>
    </row>
    <row r="21" spans="2:17" ht="29.25" customHeight="1" thickBot="1">
      <c r="D21" s="18" t="s">
        <v>3611</v>
      </c>
      <c r="E21" s="245">
        <f>COUNTIFS(docentes!F:F,"EM EXERCÍCIO",docentes!E:E,D21)</f>
        <v>129</v>
      </c>
      <c r="F21" s="245">
        <f>SUMIFS(docentes!K:K,docentes!E:E,D21)</f>
        <v>519</v>
      </c>
      <c r="G21" s="245">
        <f>SUMIFS(docentes!M:M,docentes!E:E,D21)</f>
        <v>208</v>
      </c>
      <c r="H21" s="19">
        <f>F21+G21</f>
        <v>727</v>
      </c>
      <c r="I21" s="15"/>
      <c r="J21" s="1"/>
      <c r="K21" s="1"/>
      <c r="L21" s="263">
        <f>L20+M20</f>
        <v>14</v>
      </c>
      <c r="M21" s="263"/>
      <c r="N21" s="264">
        <f>N20+O20</f>
        <v>6</v>
      </c>
      <c r="O21" s="265"/>
      <c r="P21" s="1"/>
    </row>
    <row r="22" spans="2:17" ht="29.25" customHeight="1">
      <c r="D22" s="248" t="s">
        <v>4340</v>
      </c>
      <c r="E22" s="249">
        <f>COUNTIFS(docentes!F:F,"EM EXERCÍCIO",docentes!E:E,D22)</f>
        <v>8</v>
      </c>
      <c r="F22" s="250">
        <f>SUMIFS(docentes!K:K,docentes!E:E,D22)</f>
        <v>36</v>
      </c>
      <c r="G22" s="250">
        <f>SUMIFS(docentes!M:M,docentes!E:E,D22)</f>
        <v>41</v>
      </c>
      <c r="H22" s="250">
        <f>F22+G22</f>
        <v>77</v>
      </c>
      <c r="I22" s="15"/>
      <c r="J22" s="1"/>
      <c r="K22" s="1"/>
      <c r="L22" s="89"/>
      <c r="M22" s="89"/>
      <c r="N22" s="89"/>
      <c r="O22" s="89"/>
      <c r="P22" s="1"/>
    </row>
    <row r="23" spans="2:17" s="20" customFormat="1" ht="29.25" customHeight="1">
      <c r="B23" s="4"/>
      <c r="C23" s="4"/>
      <c r="D23" s="266" t="s">
        <v>4335</v>
      </c>
      <c r="E23" s="267">
        <f>COUNTIFS(docentes!F:F,"EM EXERCÍCIO",docentes!E:E,D23)</f>
        <v>4</v>
      </c>
      <c r="F23" s="267">
        <f>SUMIFS(docentes!K:K,docentes!E:E,D23)</f>
        <v>32</v>
      </c>
      <c r="G23" s="267">
        <f>SUMIFS(docentes!M:M,docentes!E:E,D23)</f>
        <v>3</v>
      </c>
      <c r="H23" s="268">
        <f>F23+G23</f>
        <v>35</v>
      </c>
      <c r="I23" s="15"/>
    </row>
    <row r="24" spans="2:17" ht="29.25" customHeight="1" thickBot="1">
      <c r="D24" s="21" t="s">
        <v>3607</v>
      </c>
      <c r="E24" s="92">
        <f>E19+E20+E21+E23+E22</f>
        <v>586</v>
      </c>
      <c r="F24" s="92">
        <f t="shared" ref="F24:G24" si="0">F19+F20+F21+F23+F22</f>
        <v>2096</v>
      </c>
      <c r="G24" s="92">
        <f t="shared" si="0"/>
        <v>878</v>
      </c>
      <c r="H24" s="22">
        <f>F24+G24</f>
        <v>2974</v>
      </c>
      <c r="I24" s="15"/>
      <c r="J24" s="1"/>
      <c r="K24" s="1"/>
      <c r="L24" s="1"/>
      <c r="M24" s="1"/>
      <c r="N24" s="1"/>
      <c r="O24" s="1"/>
      <c r="P24" s="1"/>
    </row>
    <row r="25" spans="2:17" ht="29.25" customHeight="1" thickBot="1">
      <c r="D25" s="104" t="s">
        <v>4391</v>
      </c>
      <c r="E25" s="105"/>
      <c r="F25" s="105"/>
      <c r="G25" s="105"/>
      <c r="H25" s="23">
        <f>H24-(C4+C5)</f>
        <v>-35</v>
      </c>
      <c r="K25" s="15"/>
      <c r="P25" s="1"/>
    </row>
    <row r="27" spans="2:17" ht="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7" ht="15" hidden="1">
      <c r="B28" s="94" t="s">
        <v>4392</v>
      </c>
    </row>
    <row r="29" spans="2:17" ht="44.25" hidden="1" customHeight="1">
      <c r="B29" s="106" t="s">
        <v>4393</v>
      </c>
      <c r="C29" s="106"/>
      <c r="D29" s="107" t="s">
        <v>4394</v>
      </c>
      <c r="E29" s="107"/>
      <c r="F29" s="107"/>
      <c r="G29" s="107"/>
      <c r="H29" s="107"/>
      <c r="I29" s="107"/>
      <c r="J29" s="107"/>
      <c r="K29" s="107"/>
      <c r="L29" s="107"/>
      <c r="M29" s="107"/>
      <c r="N29" s="94"/>
      <c r="O29" s="94"/>
    </row>
    <row r="30" spans="2:17" ht="44.25" hidden="1" customHeight="1">
      <c r="B30" s="106" t="s">
        <v>4395</v>
      </c>
      <c r="C30" s="106"/>
      <c r="D30" s="108" t="s">
        <v>4396</v>
      </c>
      <c r="E30" s="108"/>
      <c r="F30" s="108"/>
      <c r="G30" s="108"/>
      <c r="H30" s="108"/>
      <c r="I30" s="108"/>
      <c r="J30" s="108"/>
      <c r="K30" s="108"/>
      <c r="L30" s="108"/>
      <c r="M30" s="108"/>
      <c r="N30" s="95"/>
      <c r="O30" s="95"/>
    </row>
    <row r="31" spans="2:17" ht="15">
      <c r="D31" s="93"/>
      <c r="E31" s="93"/>
      <c r="F31" s="93"/>
      <c r="G31" s="93"/>
      <c r="H31" s="93"/>
      <c r="I31" s="93"/>
      <c r="J31" s="93"/>
      <c r="K31" s="5"/>
      <c r="L31" s="5"/>
      <c r="M31" s="5"/>
      <c r="N31" s="5"/>
      <c r="O31" s="5"/>
    </row>
    <row r="32" spans="2:17" ht="42" customHeight="1">
      <c r="B32" s="24"/>
      <c r="C32" s="25"/>
      <c r="D32" s="25"/>
      <c r="E32" s="25"/>
      <c r="F32" s="25"/>
      <c r="G32" s="103"/>
      <c r="H32" s="103"/>
      <c r="I32" s="103"/>
      <c r="J32" s="96"/>
      <c r="K32" s="24"/>
      <c r="L32" s="24"/>
      <c r="Q32" s="6"/>
    </row>
    <row r="33" spans="2:17" ht="42" customHeight="1">
      <c r="B33" s="24"/>
      <c r="C33" s="25"/>
      <c r="D33" s="25"/>
      <c r="E33" s="25"/>
      <c r="F33" s="25"/>
      <c r="G33" s="103"/>
      <c r="H33" s="103"/>
      <c r="I33" s="103"/>
      <c r="J33" s="96"/>
      <c r="K33" s="24"/>
      <c r="L33" s="24"/>
      <c r="Q33" s="6"/>
    </row>
    <row r="34" spans="2:17" ht="42" customHeight="1">
      <c r="B34" s="24"/>
      <c r="C34" s="25"/>
      <c r="D34" s="25"/>
      <c r="E34" s="25"/>
      <c r="F34" s="25"/>
      <c r="G34" s="103"/>
      <c r="H34" s="103"/>
      <c r="I34" s="103"/>
      <c r="J34" s="96"/>
      <c r="K34" s="24"/>
      <c r="L34" s="24"/>
      <c r="Q34" s="6"/>
    </row>
    <row r="38" spans="2:17" ht="15">
      <c r="C38" s="4" t="s">
        <v>4397</v>
      </c>
    </row>
  </sheetData>
  <sheetProtection selectLockedCells="1" selectUnlockedCells="1"/>
  <mergeCells count="33">
    <mergeCell ref="B2:C2"/>
    <mergeCell ref="D2:H2"/>
    <mergeCell ref="I2:P2"/>
    <mergeCell ref="B3:C3"/>
    <mergeCell ref="B8:C8"/>
    <mergeCell ref="P9:P10"/>
    <mergeCell ref="D17:H17"/>
    <mergeCell ref="L18:M18"/>
    <mergeCell ref="N18:O18"/>
    <mergeCell ref="I9:I10"/>
    <mergeCell ref="J9:J10"/>
    <mergeCell ref="K9:K10"/>
    <mergeCell ref="L9:L10"/>
    <mergeCell ref="M9:M10"/>
    <mergeCell ref="N9:N10"/>
    <mergeCell ref="D9:D10"/>
    <mergeCell ref="E9:E10"/>
    <mergeCell ref="F9:F10"/>
    <mergeCell ref="G9:G10"/>
    <mergeCell ref="B29:C29"/>
    <mergeCell ref="D29:M29"/>
    <mergeCell ref="B30:C30"/>
    <mergeCell ref="D30:M30"/>
    <mergeCell ref="O9:O10"/>
    <mergeCell ref="H9:H10"/>
    <mergeCell ref="B13:C13"/>
    <mergeCell ref="B12:C12"/>
    <mergeCell ref="G32:I32"/>
    <mergeCell ref="G33:I33"/>
    <mergeCell ref="G34:I34"/>
    <mergeCell ref="L21:M21"/>
    <mergeCell ref="N21:O21"/>
    <mergeCell ref="D25:G25"/>
  </mergeCells>
  <pageMargins left="0.51180555555555551" right="0.51180555555555551" top="0.78749999999999998" bottom="0.78749999999999998" header="0.51180555555555551" footer="0.51180555555555551"/>
  <pageSetup paperSize="9" scale="60" firstPageNumber="0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J287"/>
  <sheetViews>
    <sheetView workbookViewId="0">
      <selection activeCell="C6" sqref="C6"/>
    </sheetView>
  </sheetViews>
  <sheetFormatPr defaultColWidth="9.140625" defaultRowHeight="12.75"/>
  <cols>
    <col min="1" max="1" width="9.140625" style="1"/>
    <col min="2" max="2" width="89.42578125" style="1" customWidth="1"/>
    <col min="3" max="3" width="13.28515625" style="32" customWidth="1"/>
    <col min="4" max="4" width="9.140625" style="32"/>
    <col min="5" max="5" width="10.28515625" style="43" customWidth="1"/>
    <col min="6" max="6" width="9.140625" style="32"/>
    <col min="7" max="7" width="13.140625" style="43" customWidth="1"/>
    <col min="8" max="8" width="9.140625" style="32"/>
    <col min="9" max="9" width="8.85546875" style="43" customWidth="1"/>
    <col min="10" max="10" width="9.140625" style="32"/>
    <col min="11" max="16384" width="9.140625" style="1"/>
  </cols>
  <sheetData>
    <row r="1" spans="1:10" ht="2.25" customHeight="1">
      <c r="B1" s="126" t="s">
        <v>4398</v>
      </c>
      <c r="C1" s="126"/>
      <c r="D1" s="126"/>
      <c r="E1" s="126"/>
      <c r="F1" s="126"/>
      <c r="G1" s="126"/>
      <c r="H1" s="126"/>
      <c r="I1" s="126"/>
      <c r="J1" s="126"/>
    </row>
    <row r="2" spans="1:10" ht="18.75">
      <c r="A2" s="127" t="s">
        <v>4399</v>
      </c>
      <c r="B2" s="127"/>
      <c r="C2" s="127"/>
      <c r="D2" s="127"/>
      <c r="E2" s="127"/>
      <c r="F2" s="127"/>
      <c r="G2" s="127"/>
      <c r="H2" s="127"/>
      <c r="I2" s="127"/>
      <c r="J2" s="127"/>
    </row>
    <row r="3" spans="1:10" ht="16.5" thickBot="1">
      <c r="A3" s="29"/>
      <c r="B3" s="29"/>
      <c r="C3" s="30"/>
      <c r="D3" s="30"/>
      <c r="E3" s="31"/>
      <c r="F3" s="30"/>
      <c r="G3" s="31"/>
      <c r="H3" s="30"/>
      <c r="I3" s="31"/>
    </row>
    <row r="4" spans="1:10" s="20" customFormat="1" ht="16.5" customHeight="1" thickBot="1">
      <c r="A4" s="128" t="s">
        <v>4400</v>
      </c>
      <c r="B4" s="129" t="s">
        <v>4401</v>
      </c>
      <c r="C4" s="130" t="s">
        <v>4402</v>
      </c>
      <c r="D4" s="130"/>
      <c r="E4" s="130"/>
      <c r="F4" s="130"/>
      <c r="G4" s="130"/>
      <c r="H4" s="130"/>
      <c r="I4" s="130"/>
      <c r="J4" s="130"/>
    </row>
    <row r="5" spans="1:10" s="20" customFormat="1" ht="16.5" thickBot="1">
      <c r="A5" s="128" t="s">
        <v>4400</v>
      </c>
      <c r="B5" s="129" t="s">
        <v>4401</v>
      </c>
      <c r="C5" s="33" t="s">
        <v>4403</v>
      </c>
      <c r="D5" s="34" t="s">
        <v>3618</v>
      </c>
      <c r="E5" s="35" t="s">
        <v>4404</v>
      </c>
      <c r="F5" s="34" t="s">
        <v>3643</v>
      </c>
      <c r="G5" s="35" t="s">
        <v>4405</v>
      </c>
      <c r="H5" s="34" t="s">
        <v>3611</v>
      </c>
      <c r="I5" s="35" t="s">
        <v>4406</v>
      </c>
      <c r="J5" s="36" t="s">
        <v>4407</v>
      </c>
    </row>
    <row r="6" spans="1:10" ht="15">
      <c r="A6" s="37" t="s">
        <v>4408</v>
      </c>
      <c r="B6" s="37" t="s">
        <v>4409</v>
      </c>
      <c r="C6" s="38" t="e">
        <f>SUMIF('[2]turmas 2014.2'!A:A,$A6,'[2]turmas 2014.2'!N:N)+SUMIF('[2]turmas 2014.2'!A:A,$A6,'[2]turmas 2014.2'!O:O)</f>
        <v>#VALUE!</v>
      </c>
      <c r="D6" s="38" t="e">
        <f>(SUMIFS('[2]turmas 2014.2'!$N:$N,'[2]turmas 2014.2'!$R:$R,$D$5,'[2]turmas 2014.2'!$C:$C,B6)+SUMIFS('[2]turmas 2014.2'!$O:$O,'[2]turmas 2014.2'!$V:$V,$D$5,'[2]turmas 2014.2'!$C:$C,'CRÉDITOS POR CENTRO'!$B6))</f>
        <v>#VALUE!</v>
      </c>
      <c r="E6" s="39" t="e">
        <f>D6/C6</f>
        <v>#VALUE!</v>
      </c>
      <c r="F6" s="38" t="e">
        <f>(SUMIFS('[2]turmas 2014.2'!$N:$N,'[2]turmas 2014.2'!$R:$R,$F$5,'[2]turmas 2014.2'!$C:$C,B6)+SUMIFS('[2]turmas 2014.2'!$O:$O,'[2]turmas 2014.2'!$V:$V,$F$5,'[2]turmas 2014.2'!$C:$C,'CRÉDITOS POR CENTRO'!$B6))</f>
        <v>#VALUE!</v>
      </c>
      <c r="G6" s="39" t="e">
        <f>F6/C6</f>
        <v>#VALUE!</v>
      </c>
      <c r="H6" s="38" t="e">
        <f>(SUMIFS('[2]turmas 2014.2'!$N:$N,'[2]turmas 2014.2'!$R:$R,$H$5,'[2]turmas 2014.2'!$A:$A,A6)+SUMIFS('[2]turmas 2014.2'!$O:$O,'[2]turmas 2014.2'!$V:$V,$H$5,'[2]turmas 2014.2'!$A:$A,'CRÉDITOS POR CENTRO'!$A6))</f>
        <v>#VALUE!</v>
      </c>
      <c r="I6" s="39" t="e">
        <f>H6/C6</f>
        <v>#VALUE!</v>
      </c>
      <c r="J6" s="38" t="e">
        <f>D6+F6+H6-C6</f>
        <v>#VALUE!</v>
      </c>
    </row>
    <row r="7" spans="1:10" ht="15">
      <c r="A7" s="269" t="s">
        <v>4410</v>
      </c>
      <c r="B7" s="269" t="s">
        <v>4411</v>
      </c>
      <c r="C7" s="38" t="e">
        <f>SUMIF('[2]turmas 2014.2'!A:A,$A7,'[2]turmas 2014.2'!N:N)+SUMIF('[2]turmas 2014.2'!A:A,$A7,'[2]turmas 2014.2'!O:O)</f>
        <v>#VALUE!</v>
      </c>
      <c r="D7" s="38" t="e">
        <f>(SUMIFS('[2]turmas 2014.2'!$N:$N,'[2]turmas 2014.2'!$R:$R,$D$5,'[2]turmas 2014.2'!$C:$C,B7)+SUMIFS('[2]turmas 2014.2'!$O:$O,'[2]turmas 2014.2'!$V:$V,$D$5,'[2]turmas 2014.2'!$C:$C,'CRÉDITOS POR CENTRO'!$B7))</f>
        <v>#VALUE!</v>
      </c>
      <c r="E7" s="39" t="e">
        <f t="shared" ref="E7:E70" si="0">D7/C7</f>
        <v>#VALUE!</v>
      </c>
      <c r="F7" s="38" t="e">
        <f>(SUMIFS('[2]turmas 2014.2'!$N:$N,'[2]turmas 2014.2'!$R:$R,$F$5,'[2]turmas 2014.2'!$C:$C,B7)+SUMIFS('[2]turmas 2014.2'!$O:$O,'[2]turmas 2014.2'!$V:$V,$F$5,'[2]turmas 2014.2'!$C:$C,'CRÉDITOS POR CENTRO'!$B7))</f>
        <v>#VALUE!</v>
      </c>
      <c r="G7" s="39" t="e">
        <f t="shared" ref="G7:G70" si="1">F7/C7</f>
        <v>#VALUE!</v>
      </c>
      <c r="H7" s="38" t="e">
        <f>(SUMIFS('[2]turmas 2014.2'!$N:$N,'[2]turmas 2014.2'!$R:$R,$H$5,'[2]turmas 2014.2'!$A:$A,A7)+SUMIFS('[2]turmas 2014.2'!$O:$O,'[2]turmas 2014.2'!$V:$V,$H$5,'[2]turmas 2014.2'!$A:$A,'CRÉDITOS POR CENTRO'!$A7))</f>
        <v>#VALUE!</v>
      </c>
      <c r="I7" s="39" t="e">
        <f t="shared" ref="I7:I70" si="2">H7/C7</f>
        <v>#VALUE!</v>
      </c>
      <c r="J7" s="38" t="e">
        <f t="shared" ref="J7:J70" si="3">D7+F7+H7-C7</f>
        <v>#VALUE!</v>
      </c>
    </row>
    <row r="8" spans="1:10" ht="15">
      <c r="A8" s="269" t="s">
        <v>64</v>
      </c>
      <c r="B8" s="269" t="s">
        <v>65</v>
      </c>
      <c r="C8" s="38" t="e">
        <f>SUMIF('[2]turmas 2014.2'!A:A,$A8,'[2]turmas 2014.2'!N:N)+SUMIF('[2]turmas 2014.2'!A:A,$A8,'[2]turmas 2014.2'!O:O)</f>
        <v>#VALUE!</v>
      </c>
      <c r="D8" s="38" t="e">
        <f>(SUMIFS('[2]turmas 2014.2'!$N:$N,'[2]turmas 2014.2'!$R:$R,$D$5,'[2]turmas 2014.2'!$C:$C,B8)+SUMIFS('[2]turmas 2014.2'!$O:$O,'[2]turmas 2014.2'!$V:$V,$D$5,'[2]turmas 2014.2'!$C:$C,'CRÉDITOS POR CENTRO'!$B8))</f>
        <v>#VALUE!</v>
      </c>
      <c r="E8" s="39" t="e">
        <f t="shared" si="0"/>
        <v>#VALUE!</v>
      </c>
      <c r="F8" s="38" t="e">
        <f>(SUMIFS('[2]turmas 2014.2'!$N:$N,'[2]turmas 2014.2'!$R:$R,$F$5,'[2]turmas 2014.2'!$C:$C,B8)+SUMIFS('[2]turmas 2014.2'!$O:$O,'[2]turmas 2014.2'!$V:$V,$F$5,'[2]turmas 2014.2'!$C:$C,'CRÉDITOS POR CENTRO'!$B8))</f>
        <v>#VALUE!</v>
      </c>
      <c r="G8" s="39" t="e">
        <f t="shared" si="1"/>
        <v>#VALUE!</v>
      </c>
      <c r="H8" s="38" t="e">
        <f>(SUMIFS('[2]turmas 2014.2'!$N:$N,'[2]turmas 2014.2'!$R:$R,$H$5,'[2]turmas 2014.2'!$A:$A,A8)+SUMIFS('[2]turmas 2014.2'!$O:$O,'[2]turmas 2014.2'!$V:$V,$H$5,'[2]turmas 2014.2'!$A:$A,'CRÉDITOS POR CENTRO'!$A8))</f>
        <v>#VALUE!</v>
      </c>
      <c r="I8" s="39" t="e">
        <f t="shared" si="2"/>
        <v>#VALUE!</v>
      </c>
      <c r="J8" s="38" t="e">
        <f t="shared" si="3"/>
        <v>#VALUE!</v>
      </c>
    </row>
    <row r="9" spans="1:10" ht="15">
      <c r="A9" s="269" t="s">
        <v>80</v>
      </c>
      <c r="B9" s="269" t="s">
        <v>81</v>
      </c>
      <c r="C9" s="38" t="e">
        <f>SUMIF('[2]turmas 2014.2'!A:A,$A9,'[2]turmas 2014.2'!N:N)+SUMIF('[2]turmas 2014.2'!A:A,$A9,'[2]turmas 2014.2'!O:O)</f>
        <v>#VALUE!</v>
      </c>
      <c r="D9" s="38" t="e">
        <f>(SUMIFS('[2]turmas 2014.2'!$N:$N,'[2]turmas 2014.2'!$R:$R,$D$5,'[2]turmas 2014.2'!$C:$C,B9)+SUMIFS('[2]turmas 2014.2'!$O:$O,'[2]turmas 2014.2'!$V:$V,$D$5,'[2]turmas 2014.2'!$C:$C,'CRÉDITOS POR CENTRO'!$B9))</f>
        <v>#VALUE!</v>
      </c>
      <c r="E9" s="39" t="e">
        <f t="shared" si="0"/>
        <v>#VALUE!</v>
      </c>
      <c r="F9" s="38" t="e">
        <f>(SUMIFS('[2]turmas 2014.2'!$N:$N,'[2]turmas 2014.2'!$R:$R,$F$5,'[2]turmas 2014.2'!$C:$C,B9)+SUMIFS('[2]turmas 2014.2'!$O:$O,'[2]turmas 2014.2'!$V:$V,$F$5,'[2]turmas 2014.2'!$C:$C,'CRÉDITOS POR CENTRO'!$B9))</f>
        <v>#VALUE!</v>
      </c>
      <c r="G9" s="39" t="e">
        <f t="shared" si="1"/>
        <v>#VALUE!</v>
      </c>
      <c r="H9" s="38" t="e">
        <f>(SUMIFS('[2]turmas 2014.2'!$N:$N,'[2]turmas 2014.2'!$R:$R,$H$5,'[2]turmas 2014.2'!$A:$A,A9)+SUMIFS('[2]turmas 2014.2'!$O:$O,'[2]turmas 2014.2'!$V:$V,$H$5,'[2]turmas 2014.2'!$A:$A,'CRÉDITOS POR CENTRO'!$A9))</f>
        <v>#VALUE!</v>
      </c>
      <c r="I9" s="39" t="e">
        <f t="shared" si="2"/>
        <v>#VALUE!</v>
      </c>
      <c r="J9" s="38" t="e">
        <f t="shared" si="3"/>
        <v>#VALUE!</v>
      </c>
    </row>
    <row r="10" spans="1:10" ht="15">
      <c r="A10" s="269" t="s">
        <v>4412</v>
      </c>
      <c r="B10" s="269" t="s">
        <v>4413</v>
      </c>
      <c r="C10" s="38" t="e">
        <f>SUMIF('[2]turmas 2014.2'!A:A,$A10,'[2]turmas 2014.2'!N:N)+SUMIF('[2]turmas 2014.2'!A:A,$A10,'[2]turmas 2014.2'!O:O)</f>
        <v>#VALUE!</v>
      </c>
      <c r="D10" s="38" t="e">
        <f>(SUMIFS('[2]turmas 2014.2'!$N:$N,'[2]turmas 2014.2'!$R:$R,$D$5,'[2]turmas 2014.2'!$C:$C,B10)+SUMIFS('[2]turmas 2014.2'!$O:$O,'[2]turmas 2014.2'!$V:$V,$D$5,'[2]turmas 2014.2'!$C:$C,'CRÉDITOS POR CENTRO'!$B10))</f>
        <v>#VALUE!</v>
      </c>
      <c r="E10" s="39" t="e">
        <f t="shared" si="0"/>
        <v>#VALUE!</v>
      </c>
      <c r="F10" s="38" t="e">
        <f>(SUMIFS('[2]turmas 2014.2'!$N:$N,'[2]turmas 2014.2'!$R:$R,$F$5,'[2]turmas 2014.2'!$C:$C,B10)+SUMIFS('[2]turmas 2014.2'!$O:$O,'[2]turmas 2014.2'!$V:$V,$F$5,'[2]turmas 2014.2'!$C:$C,'CRÉDITOS POR CENTRO'!$B10))</f>
        <v>#VALUE!</v>
      </c>
      <c r="G10" s="39" t="e">
        <f t="shared" si="1"/>
        <v>#VALUE!</v>
      </c>
      <c r="H10" s="38" t="e">
        <f>(SUMIFS('[2]turmas 2014.2'!$N:$N,'[2]turmas 2014.2'!$R:$R,$H$5,'[2]turmas 2014.2'!$A:$A,A10)+SUMIFS('[2]turmas 2014.2'!$O:$O,'[2]turmas 2014.2'!$V:$V,$H$5,'[2]turmas 2014.2'!$A:$A,'CRÉDITOS POR CENTRO'!$A10))</f>
        <v>#VALUE!</v>
      </c>
      <c r="I10" s="39" t="e">
        <f t="shared" si="2"/>
        <v>#VALUE!</v>
      </c>
      <c r="J10" s="38" t="e">
        <f t="shared" si="3"/>
        <v>#VALUE!</v>
      </c>
    </row>
    <row r="11" spans="1:10" ht="15">
      <c r="A11" s="269" t="s">
        <v>4414</v>
      </c>
      <c r="B11" s="269" t="s">
        <v>4415</v>
      </c>
      <c r="C11" s="38" t="e">
        <f>SUMIF('[2]turmas 2014.2'!A:A,$A11,'[2]turmas 2014.2'!N:N)+SUMIF('[2]turmas 2014.2'!A:A,$A11,'[2]turmas 2014.2'!O:O)</f>
        <v>#VALUE!</v>
      </c>
      <c r="D11" s="38" t="e">
        <f>(SUMIFS('[2]turmas 2014.2'!$N:$N,'[2]turmas 2014.2'!$R:$R,$D$5,'[2]turmas 2014.2'!$C:$C,B11)+SUMIFS('[2]turmas 2014.2'!$O:$O,'[2]turmas 2014.2'!$V:$V,$D$5,'[2]turmas 2014.2'!$C:$C,'CRÉDITOS POR CENTRO'!$B11))</f>
        <v>#VALUE!</v>
      </c>
      <c r="E11" s="39" t="e">
        <f t="shared" si="0"/>
        <v>#VALUE!</v>
      </c>
      <c r="F11" s="38" t="e">
        <f>(SUMIFS('[2]turmas 2014.2'!$N:$N,'[2]turmas 2014.2'!$R:$R,$F$5,'[2]turmas 2014.2'!$C:$C,B11)+SUMIFS('[2]turmas 2014.2'!$O:$O,'[2]turmas 2014.2'!$V:$V,$F$5,'[2]turmas 2014.2'!$C:$C,'CRÉDITOS POR CENTRO'!$B11))</f>
        <v>#VALUE!</v>
      </c>
      <c r="G11" s="39" t="e">
        <f t="shared" si="1"/>
        <v>#VALUE!</v>
      </c>
      <c r="H11" s="38" t="e">
        <f>(SUMIFS('[2]turmas 2014.2'!$N:$N,'[2]turmas 2014.2'!$R:$R,$H$5,'[2]turmas 2014.2'!$A:$A,A11)+SUMIFS('[2]turmas 2014.2'!$O:$O,'[2]turmas 2014.2'!$V:$V,$H$5,'[2]turmas 2014.2'!$A:$A,'CRÉDITOS POR CENTRO'!$A11))</f>
        <v>#VALUE!</v>
      </c>
      <c r="I11" s="39" t="e">
        <f t="shared" si="2"/>
        <v>#VALUE!</v>
      </c>
      <c r="J11" s="38" t="e">
        <f t="shared" si="3"/>
        <v>#VALUE!</v>
      </c>
    </row>
    <row r="12" spans="1:10" ht="15">
      <c r="A12" s="269" t="s">
        <v>4416</v>
      </c>
      <c r="B12" s="269" t="s">
        <v>4417</v>
      </c>
      <c r="C12" s="38" t="e">
        <f>SUMIF('[2]turmas 2014.2'!A:A,$A12,'[2]turmas 2014.2'!N:N)+SUMIF('[2]turmas 2014.2'!A:A,$A12,'[2]turmas 2014.2'!O:O)</f>
        <v>#VALUE!</v>
      </c>
      <c r="D12" s="38" t="e">
        <f>(SUMIFS('[2]turmas 2014.2'!$N:$N,'[2]turmas 2014.2'!$R:$R,$D$5,'[2]turmas 2014.2'!$C:$C,B12)+SUMIFS('[2]turmas 2014.2'!$O:$O,'[2]turmas 2014.2'!$V:$V,$D$5,'[2]turmas 2014.2'!$C:$C,'CRÉDITOS POR CENTRO'!$B12))</f>
        <v>#VALUE!</v>
      </c>
      <c r="E12" s="39" t="e">
        <f t="shared" si="0"/>
        <v>#VALUE!</v>
      </c>
      <c r="F12" s="38" t="e">
        <f>(SUMIFS('[2]turmas 2014.2'!$N:$N,'[2]turmas 2014.2'!$R:$R,$F$5,'[2]turmas 2014.2'!$C:$C,B12)+SUMIFS('[2]turmas 2014.2'!$O:$O,'[2]turmas 2014.2'!$V:$V,$F$5,'[2]turmas 2014.2'!$C:$C,'CRÉDITOS POR CENTRO'!$B12))</f>
        <v>#VALUE!</v>
      </c>
      <c r="G12" s="39" t="e">
        <f t="shared" si="1"/>
        <v>#VALUE!</v>
      </c>
      <c r="H12" s="38" t="e">
        <f>(SUMIFS('[2]turmas 2014.2'!$N:$N,'[2]turmas 2014.2'!$R:$R,$H$5,'[2]turmas 2014.2'!$A:$A,A12)+SUMIFS('[2]turmas 2014.2'!$O:$O,'[2]turmas 2014.2'!$V:$V,$H$5,'[2]turmas 2014.2'!$A:$A,'CRÉDITOS POR CENTRO'!$A12))</f>
        <v>#VALUE!</v>
      </c>
      <c r="I12" s="39" t="e">
        <f t="shared" si="2"/>
        <v>#VALUE!</v>
      </c>
      <c r="J12" s="38" t="e">
        <f t="shared" si="3"/>
        <v>#VALUE!</v>
      </c>
    </row>
    <row r="13" spans="1:10" ht="15">
      <c r="A13" s="269" t="s">
        <v>4418</v>
      </c>
      <c r="B13" s="269" t="s">
        <v>4419</v>
      </c>
      <c r="C13" s="38" t="e">
        <f>SUMIF('[2]turmas 2014.2'!A:A,$A13,'[2]turmas 2014.2'!N:N)+SUMIF('[2]turmas 2014.2'!A:A,$A13,'[2]turmas 2014.2'!O:O)</f>
        <v>#VALUE!</v>
      </c>
      <c r="D13" s="38" t="e">
        <f>(SUMIFS('[2]turmas 2014.2'!$N:$N,'[2]turmas 2014.2'!$R:$R,$D$5,'[2]turmas 2014.2'!$C:$C,B13)+SUMIFS('[2]turmas 2014.2'!$O:$O,'[2]turmas 2014.2'!$V:$V,$D$5,'[2]turmas 2014.2'!$C:$C,'CRÉDITOS POR CENTRO'!$B13))</f>
        <v>#VALUE!</v>
      </c>
      <c r="E13" s="39" t="e">
        <f t="shared" si="0"/>
        <v>#VALUE!</v>
      </c>
      <c r="F13" s="38" t="e">
        <f>(SUMIFS('[2]turmas 2014.2'!$N:$N,'[2]turmas 2014.2'!$R:$R,$F$5,'[2]turmas 2014.2'!$C:$C,B13)+SUMIFS('[2]turmas 2014.2'!$O:$O,'[2]turmas 2014.2'!$V:$V,$F$5,'[2]turmas 2014.2'!$C:$C,'CRÉDITOS POR CENTRO'!$B13))</f>
        <v>#VALUE!</v>
      </c>
      <c r="G13" s="39" t="e">
        <f t="shared" si="1"/>
        <v>#VALUE!</v>
      </c>
      <c r="H13" s="38" t="e">
        <f>(SUMIFS('[2]turmas 2014.2'!$N:$N,'[2]turmas 2014.2'!$R:$R,$H$5,'[2]turmas 2014.2'!$A:$A,A13)+SUMIFS('[2]turmas 2014.2'!$O:$O,'[2]turmas 2014.2'!$V:$V,$H$5,'[2]turmas 2014.2'!$A:$A,'CRÉDITOS POR CENTRO'!$A13))</f>
        <v>#VALUE!</v>
      </c>
      <c r="I13" s="39" t="e">
        <f t="shared" si="2"/>
        <v>#VALUE!</v>
      </c>
      <c r="J13" s="38" t="e">
        <f t="shared" si="3"/>
        <v>#VALUE!</v>
      </c>
    </row>
    <row r="14" spans="1:10" ht="15">
      <c r="A14" s="269" t="s">
        <v>4420</v>
      </c>
      <c r="B14" s="269" t="s">
        <v>4421</v>
      </c>
      <c r="C14" s="38" t="e">
        <f>SUMIF('[2]turmas 2014.2'!A:A,$A14,'[2]turmas 2014.2'!N:N)+SUMIF('[2]turmas 2014.2'!A:A,$A14,'[2]turmas 2014.2'!O:O)</f>
        <v>#VALUE!</v>
      </c>
      <c r="D14" s="38" t="e">
        <f>(SUMIFS('[2]turmas 2014.2'!$N:$N,'[2]turmas 2014.2'!$R:$R,$D$5,'[2]turmas 2014.2'!$C:$C,B14)+SUMIFS('[2]turmas 2014.2'!$O:$O,'[2]turmas 2014.2'!$V:$V,$D$5,'[2]turmas 2014.2'!$C:$C,'CRÉDITOS POR CENTRO'!$B14))</f>
        <v>#VALUE!</v>
      </c>
      <c r="E14" s="39" t="e">
        <f t="shared" si="0"/>
        <v>#VALUE!</v>
      </c>
      <c r="F14" s="38" t="e">
        <f>(SUMIFS('[2]turmas 2014.2'!$N:$N,'[2]turmas 2014.2'!$R:$R,$F$5,'[2]turmas 2014.2'!$C:$C,B14)+SUMIFS('[2]turmas 2014.2'!$O:$O,'[2]turmas 2014.2'!$V:$V,$F$5,'[2]turmas 2014.2'!$C:$C,'CRÉDITOS POR CENTRO'!$B14))</f>
        <v>#VALUE!</v>
      </c>
      <c r="G14" s="39" t="e">
        <f t="shared" si="1"/>
        <v>#VALUE!</v>
      </c>
      <c r="H14" s="38" t="e">
        <f>(SUMIFS('[2]turmas 2014.2'!$N:$N,'[2]turmas 2014.2'!$R:$R,$H$5,'[2]turmas 2014.2'!$A:$A,A14)+SUMIFS('[2]turmas 2014.2'!$O:$O,'[2]turmas 2014.2'!$V:$V,$H$5,'[2]turmas 2014.2'!$A:$A,'CRÉDITOS POR CENTRO'!$A14))</f>
        <v>#VALUE!</v>
      </c>
      <c r="I14" s="39" t="e">
        <f t="shared" si="2"/>
        <v>#VALUE!</v>
      </c>
      <c r="J14" s="38" t="e">
        <f t="shared" si="3"/>
        <v>#VALUE!</v>
      </c>
    </row>
    <row r="15" spans="1:10" ht="15">
      <c r="A15" s="269" t="s">
        <v>4422</v>
      </c>
      <c r="B15" s="269" t="s">
        <v>4423</v>
      </c>
      <c r="C15" s="38" t="e">
        <f>SUMIF('[2]turmas 2014.2'!A:A,$A15,'[2]turmas 2014.2'!N:N)+SUMIF('[2]turmas 2014.2'!A:A,$A15,'[2]turmas 2014.2'!O:O)</f>
        <v>#VALUE!</v>
      </c>
      <c r="D15" s="38" t="e">
        <f>(SUMIFS('[2]turmas 2014.2'!$N:$N,'[2]turmas 2014.2'!$R:$R,$D$5,'[2]turmas 2014.2'!$C:$C,B15)+SUMIFS('[2]turmas 2014.2'!$O:$O,'[2]turmas 2014.2'!$V:$V,$D$5,'[2]turmas 2014.2'!$C:$C,'CRÉDITOS POR CENTRO'!$B15))</f>
        <v>#VALUE!</v>
      </c>
      <c r="E15" s="39" t="e">
        <f t="shared" si="0"/>
        <v>#VALUE!</v>
      </c>
      <c r="F15" s="38" t="e">
        <f>(SUMIFS('[2]turmas 2014.2'!$N:$N,'[2]turmas 2014.2'!$R:$R,$F$5,'[2]turmas 2014.2'!$C:$C,B15)+SUMIFS('[2]turmas 2014.2'!$O:$O,'[2]turmas 2014.2'!$V:$V,$F$5,'[2]turmas 2014.2'!$C:$C,'CRÉDITOS POR CENTRO'!$B15))</f>
        <v>#VALUE!</v>
      </c>
      <c r="G15" s="39" t="e">
        <f t="shared" si="1"/>
        <v>#VALUE!</v>
      </c>
      <c r="H15" s="38" t="e">
        <f>(SUMIFS('[2]turmas 2014.2'!$N:$N,'[2]turmas 2014.2'!$R:$R,$H$5,'[2]turmas 2014.2'!$A:$A,A15)+SUMIFS('[2]turmas 2014.2'!$O:$O,'[2]turmas 2014.2'!$V:$V,$H$5,'[2]turmas 2014.2'!$A:$A,'CRÉDITOS POR CENTRO'!$A15))</f>
        <v>#VALUE!</v>
      </c>
      <c r="I15" s="39" t="e">
        <f t="shared" si="2"/>
        <v>#VALUE!</v>
      </c>
      <c r="J15" s="38" t="e">
        <f t="shared" si="3"/>
        <v>#VALUE!</v>
      </c>
    </row>
    <row r="16" spans="1:10" ht="15">
      <c r="A16" s="269" t="s">
        <v>4424</v>
      </c>
      <c r="B16" s="269" t="s">
        <v>4425</v>
      </c>
      <c r="C16" s="38" t="e">
        <f>SUMIF('[2]turmas 2014.2'!A:A,$A16,'[2]turmas 2014.2'!N:N)+SUMIF('[2]turmas 2014.2'!A:A,$A16,'[2]turmas 2014.2'!O:O)</f>
        <v>#VALUE!</v>
      </c>
      <c r="D16" s="38" t="e">
        <f>(SUMIFS('[2]turmas 2014.2'!$N:$N,'[2]turmas 2014.2'!$R:$R,$D$5,'[2]turmas 2014.2'!$C:$C,B16)+SUMIFS('[2]turmas 2014.2'!$O:$O,'[2]turmas 2014.2'!$V:$V,$D$5,'[2]turmas 2014.2'!$C:$C,'CRÉDITOS POR CENTRO'!$B16))</f>
        <v>#VALUE!</v>
      </c>
      <c r="E16" s="39" t="e">
        <f t="shared" si="0"/>
        <v>#VALUE!</v>
      </c>
      <c r="F16" s="38" t="e">
        <f>(SUMIFS('[2]turmas 2014.2'!$N:$N,'[2]turmas 2014.2'!$R:$R,$F$5,'[2]turmas 2014.2'!$C:$C,B16)+SUMIFS('[2]turmas 2014.2'!$O:$O,'[2]turmas 2014.2'!$V:$V,$F$5,'[2]turmas 2014.2'!$C:$C,'CRÉDITOS POR CENTRO'!$B16))</f>
        <v>#VALUE!</v>
      </c>
      <c r="G16" s="39" t="e">
        <f t="shared" si="1"/>
        <v>#VALUE!</v>
      </c>
      <c r="H16" s="38" t="e">
        <f>(SUMIFS('[2]turmas 2014.2'!$N:$N,'[2]turmas 2014.2'!$R:$R,$H$5,'[2]turmas 2014.2'!$A:$A,A16)+SUMIFS('[2]turmas 2014.2'!$O:$O,'[2]turmas 2014.2'!$V:$V,$H$5,'[2]turmas 2014.2'!$A:$A,'CRÉDITOS POR CENTRO'!$A16))</f>
        <v>#VALUE!</v>
      </c>
      <c r="I16" s="39" t="e">
        <f t="shared" si="2"/>
        <v>#VALUE!</v>
      </c>
      <c r="J16" s="38" t="e">
        <f t="shared" si="3"/>
        <v>#VALUE!</v>
      </c>
    </row>
    <row r="17" spans="1:10" ht="15">
      <c r="A17" s="269" t="s">
        <v>4426</v>
      </c>
      <c r="B17" s="269" t="s">
        <v>4427</v>
      </c>
      <c r="C17" s="38" t="e">
        <f>SUMIF('[2]turmas 2014.2'!A:A,$A17,'[2]turmas 2014.2'!N:N)+SUMIF('[2]turmas 2014.2'!A:A,$A17,'[2]turmas 2014.2'!O:O)</f>
        <v>#VALUE!</v>
      </c>
      <c r="D17" s="38" t="e">
        <f>(SUMIFS('[2]turmas 2014.2'!$N:$N,'[2]turmas 2014.2'!$R:$R,$D$5,'[2]turmas 2014.2'!$C:$C,B17)+SUMIFS('[2]turmas 2014.2'!$O:$O,'[2]turmas 2014.2'!$V:$V,$D$5,'[2]turmas 2014.2'!$C:$C,'CRÉDITOS POR CENTRO'!$B17))</f>
        <v>#VALUE!</v>
      </c>
      <c r="E17" s="39" t="e">
        <f t="shared" si="0"/>
        <v>#VALUE!</v>
      </c>
      <c r="F17" s="38" t="e">
        <f>(SUMIFS('[2]turmas 2014.2'!$N:$N,'[2]turmas 2014.2'!$R:$R,$F$5,'[2]turmas 2014.2'!$C:$C,B17)+SUMIFS('[2]turmas 2014.2'!$O:$O,'[2]turmas 2014.2'!$V:$V,$F$5,'[2]turmas 2014.2'!$C:$C,'CRÉDITOS POR CENTRO'!$B17))</f>
        <v>#VALUE!</v>
      </c>
      <c r="G17" s="39" t="e">
        <f t="shared" si="1"/>
        <v>#VALUE!</v>
      </c>
      <c r="H17" s="38" t="e">
        <f>(SUMIFS('[2]turmas 2014.2'!$N:$N,'[2]turmas 2014.2'!$R:$R,$H$5,'[2]turmas 2014.2'!$A:$A,A17)+SUMIFS('[2]turmas 2014.2'!$O:$O,'[2]turmas 2014.2'!$V:$V,$H$5,'[2]turmas 2014.2'!$A:$A,'CRÉDITOS POR CENTRO'!$A17))</f>
        <v>#VALUE!</v>
      </c>
      <c r="I17" s="39" t="e">
        <f t="shared" si="2"/>
        <v>#VALUE!</v>
      </c>
      <c r="J17" s="38" t="e">
        <f t="shared" si="3"/>
        <v>#VALUE!</v>
      </c>
    </row>
    <row r="18" spans="1:10" ht="15">
      <c r="A18" s="269" t="s">
        <v>389</v>
      </c>
      <c r="B18" s="269" t="s">
        <v>390</v>
      </c>
      <c r="C18" s="38" t="e">
        <f>SUMIF('[2]turmas 2014.2'!A:A,$A18,'[2]turmas 2014.2'!N:N)+SUMIF('[2]turmas 2014.2'!A:A,$A18,'[2]turmas 2014.2'!O:O)</f>
        <v>#VALUE!</v>
      </c>
      <c r="D18" s="38" t="e">
        <f>(SUMIFS('[2]turmas 2014.2'!$N:$N,'[2]turmas 2014.2'!$R:$R,$D$5,'[2]turmas 2014.2'!$C:$C,B18)+SUMIFS('[2]turmas 2014.2'!$O:$O,'[2]turmas 2014.2'!$V:$V,$D$5,'[2]turmas 2014.2'!$C:$C,'CRÉDITOS POR CENTRO'!$B18))</f>
        <v>#VALUE!</v>
      </c>
      <c r="E18" s="39" t="e">
        <f t="shared" si="0"/>
        <v>#VALUE!</v>
      </c>
      <c r="F18" s="38" t="e">
        <f>(SUMIFS('[2]turmas 2014.2'!$N:$N,'[2]turmas 2014.2'!$R:$R,$F$5,'[2]turmas 2014.2'!$C:$C,B18)+SUMIFS('[2]turmas 2014.2'!$O:$O,'[2]turmas 2014.2'!$V:$V,$F$5,'[2]turmas 2014.2'!$C:$C,'CRÉDITOS POR CENTRO'!$B18))</f>
        <v>#VALUE!</v>
      </c>
      <c r="G18" s="39" t="e">
        <f t="shared" si="1"/>
        <v>#VALUE!</v>
      </c>
      <c r="H18" s="38" t="e">
        <f>(SUMIFS('[2]turmas 2014.2'!$N:$N,'[2]turmas 2014.2'!$R:$R,$H$5,'[2]turmas 2014.2'!$A:$A,A18)+SUMIFS('[2]turmas 2014.2'!$O:$O,'[2]turmas 2014.2'!$V:$V,$H$5,'[2]turmas 2014.2'!$A:$A,'CRÉDITOS POR CENTRO'!$A18))</f>
        <v>#VALUE!</v>
      </c>
      <c r="I18" s="39" t="e">
        <f t="shared" si="2"/>
        <v>#VALUE!</v>
      </c>
      <c r="J18" s="38" t="e">
        <f t="shared" si="3"/>
        <v>#VALUE!</v>
      </c>
    </row>
    <row r="19" spans="1:10" ht="15">
      <c r="A19" s="269" t="s">
        <v>549</v>
      </c>
      <c r="B19" s="269" t="s">
        <v>550</v>
      </c>
      <c r="C19" s="38" t="e">
        <f>SUMIF('[2]turmas 2014.2'!A:A,$A19,'[2]turmas 2014.2'!N:N)+SUMIF('[2]turmas 2014.2'!A:A,$A19,'[2]turmas 2014.2'!O:O)</f>
        <v>#VALUE!</v>
      </c>
      <c r="D19" s="38" t="e">
        <f>(SUMIFS('[2]turmas 2014.2'!$N:$N,'[2]turmas 2014.2'!$R:$R,$D$5,'[2]turmas 2014.2'!$C:$C,B19)+SUMIFS('[2]turmas 2014.2'!$O:$O,'[2]turmas 2014.2'!$V:$V,$D$5,'[2]turmas 2014.2'!$C:$C,'CRÉDITOS POR CENTRO'!$B19))</f>
        <v>#VALUE!</v>
      </c>
      <c r="E19" s="39" t="e">
        <f t="shared" si="0"/>
        <v>#VALUE!</v>
      </c>
      <c r="F19" s="38" t="e">
        <f>(SUMIFS('[2]turmas 2014.2'!$N:$N,'[2]turmas 2014.2'!$R:$R,$F$5,'[2]turmas 2014.2'!$C:$C,B19)+SUMIFS('[2]turmas 2014.2'!$O:$O,'[2]turmas 2014.2'!$V:$V,$F$5,'[2]turmas 2014.2'!$C:$C,'CRÉDITOS POR CENTRO'!$B19))</f>
        <v>#VALUE!</v>
      </c>
      <c r="G19" s="39" t="e">
        <f t="shared" si="1"/>
        <v>#VALUE!</v>
      </c>
      <c r="H19" s="38" t="e">
        <f>(SUMIFS('[2]turmas 2014.2'!$N:$N,'[2]turmas 2014.2'!$R:$R,$H$5,'[2]turmas 2014.2'!$A:$A,A19)+SUMIFS('[2]turmas 2014.2'!$O:$O,'[2]turmas 2014.2'!$V:$V,$H$5,'[2]turmas 2014.2'!$A:$A,'CRÉDITOS POR CENTRO'!$A19))</f>
        <v>#VALUE!</v>
      </c>
      <c r="I19" s="39" t="e">
        <f t="shared" si="2"/>
        <v>#VALUE!</v>
      </c>
      <c r="J19" s="38" t="e">
        <f t="shared" si="3"/>
        <v>#VALUE!</v>
      </c>
    </row>
    <row r="20" spans="1:10" ht="15">
      <c r="A20" s="269" t="s">
        <v>569</v>
      </c>
      <c r="B20" s="269" t="s">
        <v>570</v>
      </c>
      <c r="C20" s="38" t="e">
        <f>SUMIF('[2]turmas 2014.2'!A:A,$A20,'[2]turmas 2014.2'!N:N)+SUMIF('[2]turmas 2014.2'!A:A,$A20,'[2]turmas 2014.2'!O:O)</f>
        <v>#VALUE!</v>
      </c>
      <c r="D20" s="38" t="e">
        <f>(SUMIFS('[2]turmas 2014.2'!$N:$N,'[2]turmas 2014.2'!$R:$R,$D$5,'[2]turmas 2014.2'!$C:$C,B20)+SUMIFS('[2]turmas 2014.2'!$O:$O,'[2]turmas 2014.2'!$V:$V,$D$5,'[2]turmas 2014.2'!$C:$C,'CRÉDITOS POR CENTRO'!$B20))</f>
        <v>#VALUE!</v>
      </c>
      <c r="E20" s="39" t="e">
        <f t="shared" si="0"/>
        <v>#VALUE!</v>
      </c>
      <c r="F20" s="38" t="e">
        <f>(SUMIFS('[2]turmas 2014.2'!$N:$N,'[2]turmas 2014.2'!$R:$R,$F$5,'[2]turmas 2014.2'!$C:$C,B20)+SUMIFS('[2]turmas 2014.2'!$O:$O,'[2]turmas 2014.2'!$V:$V,$F$5,'[2]turmas 2014.2'!$C:$C,'CRÉDITOS POR CENTRO'!$B20))</f>
        <v>#VALUE!</v>
      </c>
      <c r="G20" s="39" t="e">
        <f t="shared" si="1"/>
        <v>#VALUE!</v>
      </c>
      <c r="H20" s="38" t="e">
        <f>(SUMIFS('[2]turmas 2014.2'!$N:$N,'[2]turmas 2014.2'!$R:$R,$H$5,'[2]turmas 2014.2'!$A:$A,A20)+SUMIFS('[2]turmas 2014.2'!$O:$O,'[2]turmas 2014.2'!$V:$V,$H$5,'[2]turmas 2014.2'!$A:$A,'CRÉDITOS POR CENTRO'!$A20))</f>
        <v>#VALUE!</v>
      </c>
      <c r="I20" s="39" t="e">
        <f t="shared" si="2"/>
        <v>#VALUE!</v>
      </c>
      <c r="J20" s="38" t="e">
        <f t="shared" si="3"/>
        <v>#VALUE!</v>
      </c>
    </row>
    <row r="21" spans="1:10" ht="15">
      <c r="A21" s="269" t="s">
        <v>4428</v>
      </c>
      <c r="B21" s="269" t="s">
        <v>4429</v>
      </c>
      <c r="C21" s="38" t="e">
        <f>SUMIF('[2]turmas 2014.2'!A:A,$A21,'[2]turmas 2014.2'!N:N)+SUMIF('[2]turmas 2014.2'!A:A,$A21,'[2]turmas 2014.2'!O:O)</f>
        <v>#VALUE!</v>
      </c>
      <c r="D21" s="38" t="e">
        <f>(SUMIFS('[2]turmas 2014.2'!$N:$N,'[2]turmas 2014.2'!$R:$R,$D$5,'[2]turmas 2014.2'!$C:$C,B21)+SUMIFS('[2]turmas 2014.2'!$O:$O,'[2]turmas 2014.2'!$V:$V,$D$5,'[2]turmas 2014.2'!$C:$C,'CRÉDITOS POR CENTRO'!$B21))</f>
        <v>#VALUE!</v>
      </c>
      <c r="E21" s="39" t="e">
        <f t="shared" si="0"/>
        <v>#VALUE!</v>
      </c>
      <c r="F21" s="38" t="e">
        <f>(SUMIFS('[2]turmas 2014.2'!$N:$N,'[2]turmas 2014.2'!$R:$R,$F$5,'[2]turmas 2014.2'!$C:$C,B21)+SUMIFS('[2]turmas 2014.2'!$O:$O,'[2]turmas 2014.2'!$V:$V,$F$5,'[2]turmas 2014.2'!$C:$C,'CRÉDITOS POR CENTRO'!$B21))</f>
        <v>#VALUE!</v>
      </c>
      <c r="G21" s="39" t="e">
        <f t="shared" si="1"/>
        <v>#VALUE!</v>
      </c>
      <c r="H21" s="38" t="e">
        <f>(SUMIFS('[2]turmas 2014.2'!$N:$N,'[2]turmas 2014.2'!$R:$R,$H$5,'[2]turmas 2014.2'!$A:$A,A21)+SUMIFS('[2]turmas 2014.2'!$O:$O,'[2]turmas 2014.2'!$V:$V,$H$5,'[2]turmas 2014.2'!$A:$A,'CRÉDITOS POR CENTRO'!$A21))</f>
        <v>#VALUE!</v>
      </c>
      <c r="I21" s="39" t="e">
        <f t="shared" si="2"/>
        <v>#VALUE!</v>
      </c>
      <c r="J21" s="38" t="e">
        <f t="shared" si="3"/>
        <v>#VALUE!</v>
      </c>
    </row>
    <row r="22" spans="1:10" ht="15">
      <c r="A22" s="269" t="s">
        <v>4430</v>
      </c>
      <c r="B22" s="269" t="s">
        <v>4431</v>
      </c>
      <c r="C22" s="38" t="e">
        <f>SUMIF('[2]turmas 2014.2'!A:A,$A22,'[2]turmas 2014.2'!N:N)+SUMIF('[2]turmas 2014.2'!A:A,$A22,'[2]turmas 2014.2'!O:O)</f>
        <v>#VALUE!</v>
      </c>
      <c r="D22" s="38" t="e">
        <f>(SUMIFS('[2]turmas 2014.2'!$N:$N,'[2]turmas 2014.2'!$R:$R,$D$5,'[2]turmas 2014.2'!$C:$C,B22)+SUMIFS('[2]turmas 2014.2'!$O:$O,'[2]turmas 2014.2'!$V:$V,$D$5,'[2]turmas 2014.2'!$C:$C,'CRÉDITOS POR CENTRO'!$B22))</f>
        <v>#VALUE!</v>
      </c>
      <c r="E22" s="39" t="e">
        <f t="shared" si="0"/>
        <v>#VALUE!</v>
      </c>
      <c r="F22" s="38" t="e">
        <f>(SUMIFS('[2]turmas 2014.2'!$N:$N,'[2]turmas 2014.2'!$R:$R,$F$5,'[2]turmas 2014.2'!$C:$C,B22)+SUMIFS('[2]turmas 2014.2'!$O:$O,'[2]turmas 2014.2'!$V:$V,$F$5,'[2]turmas 2014.2'!$C:$C,'CRÉDITOS POR CENTRO'!$B22))</f>
        <v>#VALUE!</v>
      </c>
      <c r="G22" s="39" t="e">
        <f t="shared" si="1"/>
        <v>#VALUE!</v>
      </c>
      <c r="H22" s="38" t="e">
        <f>(SUMIFS('[2]turmas 2014.2'!$N:$N,'[2]turmas 2014.2'!$R:$R,$H$5,'[2]turmas 2014.2'!$A:$A,A22)+SUMIFS('[2]turmas 2014.2'!$O:$O,'[2]turmas 2014.2'!$V:$V,$H$5,'[2]turmas 2014.2'!$A:$A,'CRÉDITOS POR CENTRO'!$A22))</f>
        <v>#VALUE!</v>
      </c>
      <c r="I22" s="39" t="e">
        <f t="shared" si="2"/>
        <v>#VALUE!</v>
      </c>
      <c r="J22" s="38" t="e">
        <f t="shared" si="3"/>
        <v>#VALUE!</v>
      </c>
    </row>
    <row r="23" spans="1:10" ht="15">
      <c r="A23" s="269" t="s">
        <v>4432</v>
      </c>
      <c r="B23" s="269" t="s">
        <v>4433</v>
      </c>
      <c r="C23" s="38" t="e">
        <f>SUMIF('[2]turmas 2014.2'!A:A,$A23,'[2]turmas 2014.2'!N:N)+SUMIF('[2]turmas 2014.2'!A:A,$A23,'[2]turmas 2014.2'!O:O)</f>
        <v>#VALUE!</v>
      </c>
      <c r="D23" s="38" t="e">
        <f>(SUMIFS('[2]turmas 2014.2'!$N:$N,'[2]turmas 2014.2'!$R:$R,$D$5,'[2]turmas 2014.2'!$C:$C,B23)+SUMIFS('[2]turmas 2014.2'!$O:$O,'[2]turmas 2014.2'!$V:$V,$D$5,'[2]turmas 2014.2'!$C:$C,'CRÉDITOS POR CENTRO'!$B23))</f>
        <v>#VALUE!</v>
      </c>
      <c r="E23" s="39" t="e">
        <f t="shared" si="0"/>
        <v>#VALUE!</v>
      </c>
      <c r="F23" s="38" t="e">
        <f>(SUMIFS('[2]turmas 2014.2'!$N:$N,'[2]turmas 2014.2'!$R:$R,$F$5,'[2]turmas 2014.2'!$C:$C,B23)+SUMIFS('[2]turmas 2014.2'!$O:$O,'[2]turmas 2014.2'!$V:$V,$F$5,'[2]turmas 2014.2'!$C:$C,'CRÉDITOS POR CENTRO'!$B23))</f>
        <v>#VALUE!</v>
      </c>
      <c r="G23" s="39" t="e">
        <f t="shared" si="1"/>
        <v>#VALUE!</v>
      </c>
      <c r="H23" s="38" t="e">
        <f>(SUMIFS('[2]turmas 2014.2'!$N:$N,'[2]turmas 2014.2'!$R:$R,$H$5,'[2]turmas 2014.2'!$A:$A,A23)+SUMIFS('[2]turmas 2014.2'!$O:$O,'[2]turmas 2014.2'!$V:$V,$H$5,'[2]turmas 2014.2'!$A:$A,'CRÉDITOS POR CENTRO'!$A23))</f>
        <v>#VALUE!</v>
      </c>
      <c r="I23" s="39" t="e">
        <f t="shared" si="2"/>
        <v>#VALUE!</v>
      </c>
      <c r="J23" s="38" t="e">
        <f t="shared" si="3"/>
        <v>#VALUE!</v>
      </c>
    </row>
    <row r="24" spans="1:10" ht="15">
      <c r="A24" s="269" t="s">
        <v>4434</v>
      </c>
      <c r="B24" s="269" t="s">
        <v>4435</v>
      </c>
      <c r="C24" s="38" t="e">
        <f>SUMIF('[2]turmas 2014.2'!A:A,$A24,'[2]turmas 2014.2'!N:N)+SUMIF('[2]turmas 2014.2'!A:A,$A24,'[2]turmas 2014.2'!O:O)</f>
        <v>#VALUE!</v>
      </c>
      <c r="D24" s="38" t="e">
        <f>(SUMIFS('[2]turmas 2014.2'!$N:$N,'[2]turmas 2014.2'!$R:$R,$D$5,'[2]turmas 2014.2'!$C:$C,B24)+SUMIFS('[2]turmas 2014.2'!$O:$O,'[2]turmas 2014.2'!$V:$V,$D$5,'[2]turmas 2014.2'!$C:$C,'CRÉDITOS POR CENTRO'!$B24))</f>
        <v>#VALUE!</v>
      </c>
      <c r="E24" s="39" t="e">
        <f t="shared" si="0"/>
        <v>#VALUE!</v>
      </c>
      <c r="F24" s="38" t="e">
        <f>(SUMIFS('[2]turmas 2014.2'!$N:$N,'[2]turmas 2014.2'!$R:$R,$F$5,'[2]turmas 2014.2'!$C:$C,B24)+SUMIFS('[2]turmas 2014.2'!$O:$O,'[2]turmas 2014.2'!$V:$V,$F$5,'[2]turmas 2014.2'!$C:$C,'CRÉDITOS POR CENTRO'!$B24))</f>
        <v>#VALUE!</v>
      </c>
      <c r="G24" s="39" t="e">
        <f t="shared" si="1"/>
        <v>#VALUE!</v>
      </c>
      <c r="H24" s="38" t="e">
        <f>(SUMIFS('[2]turmas 2014.2'!$N:$N,'[2]turmas 2014.2'!$R:$R,$H$5,'[2]turmas 2014.2'!$A:$A,A24)+SUMIFS('[2]turmas 2014.2'!$O:$O,'[2]turmas 2014.2'!$V:$V,$H$5,'[2]turmas 2014.2'!$A:$A,'CRÉDITOS POR CENTRO'!$A24))</f>
        <v>#VALUE!</v>
      </c>
      <c r="I24" s="39" t="e">
        <f t="shared" si="2"/>
        <v>#VALUE!</v>
      </c>
      <c r="J24" s="38" t="e">
        <f t="shared" si="3"/>
        <v>#VALUE!</v>
      </c>
    </row>
    <row r="25" spans="1:10" ht="15">
      <c r="A25" s="269" t="s">
        <v>4436</v>
      </c>
      <c r="B25" s="269" t="s">
        <v>4437</v>
      </c>
      <c r="C25" s="38" t="e">
        <f>SUMIF('[2]turmas 2014.2'!A:A,$A25,'[2]turmas 2014.2'!N:N)+SUMIF('[2]turmas 2014.2'!A:A,$A25,'[2]turmas 2014.2'!O:O)</f>
        <v>#VALUE!</v>
      </c>
      <c r="D25" s="38" t="e">
        <f>(SUMIFS('[2]turmas 2014.2'!$N:$N,'[2]turmas 2014.2'!$R:$R,$D$5,'[2]turmas 2014.2'!$C:$C,B25)+SUMIFS('[2]turmas 2014.2'!$O:$O,'[2]turmas 2014.2'!$V:$V,$D$5,'[2]turmas 2014.2'!$C:$C,'CRÉDITOS POR CENTRO'!$B25))</f>
        <v>#VALUE!</v>
      </c>
      <c r="E25" s="39" t="e">
        <f t="shared" si="0"/>
        <v>#VALUE!</v>
      </c>
      <c r="F25" s="38" t="e">
        <f>(SUMIFS('[2]turmas 2014.2'!$N:$N,'[2]turmas 2014.2'!$R:$R,$F$5,'[2]turmas 2014.2'!$C:$C,B25)+SUMIFS('[2]turmas 2014.2'!$O:$O,'[2]turmas 2014.2'!$V:$V,$F$5,'[2]turmas 2014.2'!$C:$C,'CRÉDITOS POR CENTRO'!$B25))</f>
        <v>#VALUE!</v>
      </c>
      <c r="G25" s="39" t="e">
        <f t="shared" si="1"/>
        <v>#VALUE!</v>
      </c>
      <c r="H25" s="38" t="e">
        <f>(SUMIFS('[2]turmas 2014.2'!$N:$N,'[2]turmas 2014.2'!$R:$R,$H$5,'[2]turmas 2014.2'!$A:$A,A25)+SUMIFS('[2]turmas 2014.2'!$O:$O,'[2]turmas 2014.2'!$V:$V,$H$5,'[2]turmas 2014.2'!$A:$A,'CRÉDITOS POR CENTRO'!$A25))</f>
        <v>#VALUE!</v>
      </c>
      <c r="I25" s="39" t="e">
        <f t="shared" si="2"/>
        <v>#VALUE!</v>
      </c>
      <c r="J25" s="38" t="e">
        <f t="shared" si="3"/>
        <v>#VALUE!</v>
      </c>
    </row>
    <row r="26" spans="1:10" ht="15">
      <c r="A26" s="269" t="s">
        <v>4438</v>
      </c>
      <c r="B26" s="269" t="s">
        <v>4439</v>
      </c>
      <c r="C26" s="38" t="e">
        <f>SUMIF('[2]turmas 2014.2'!A:A,$A26,'[2]turmas 2014.2'!N:N)+SUMIF('[2]turmas 2014.2'!A:A,$A26,'[2]turmas 2014.2'!O:O)</f>
        <v>#VALUE!</v>
      </c>
      <c r="D26" s="38" t="e">
        <f>(SUMIFS('[2]turmas 2014.2'!$N:$N,'[2]turmas 2014.2'!$R:$R,$D$5,'[2]turmas 2014.2'!$C:$C,B26)+SUMIFS('[2]turmas 2014.2'!$O:$O,'[2]turmas 2014.2'!$V:$V,$D$5,'[2]turmas 2014.2'!$C:$C,'CRÉDITOS POR CENTRO'!$B26))</f>
        <v>#VALUE!</v>
      </c>
      <c r="E26" s="39" t="e">
        <f t="shared" si="0"/>
        <v>#VALUE!</v>
      </c>
      <c r="F26" s="38" t="e">
        <f>(SUMIFS('[2]turmas 2014.2'!$N:$N,'[2]turmas 2014.2'!$R:$R,$F$5,'[2]turmas 2014.2'!$C:$C,B26)+SUMIFS('[2]turmas 2014.2'!$O:$O,'[2]turmas 2014.2'!$V:$V,$F$5,'[2]turmas 2014.2'!$C:$C,'CRÉDITOS POR CENTRO'!$B26))</f>
        <v>#VALUE!</v>
      </c>
      <c r="G26" s="39" t="e">
        <f t="shared" si="1"/>
        <v>#VALUE!</v>
      </c>
      <c r="H26" s="38" t="e">
        <f>(SUMIFS('[2]turmas 2014.2'!$N:$N,'[2]turmas 2014.2'!$R:$R,$H$5,'[2]turmas 2014.2'!$A:$A,A26)+SUMIFS('[2]turmas 2014.2'!$O:$O,'[2]turmas 2014.2'!$V:$V,$H$5,'[2]turmas 2014.2'!$A:$A,'CRÉDITOS POR CENTRO'!$A26))</f>
        <v>#VALUE!</v>
      </c>
      <c r="I26" s="39" t="e">
        <f t="shared" si="2"/>
        <v>#VALUE!</v>
      </c>
      <c r="J26" s="38" t="e">
        <f t="shared" si="3"/>
        <v>#VALUE!</v>
      </c>
    </row>
    <row r="27" spans="1:10" ht="15">
      <c r="A27" s="269" t="s">
        <v>4440</v>
      </c>
      <c r="B27" s="269" t="s">
        <v>4441</v>
      </c>
      <c r="C27" s="38" t="e">
        <f>SUMIF('[2]turmas 2014.2'!A:A,$A27,'[2]turmas 2014.2'!N:N)+SUMIF('[2]turmas 2014.2'!A:A,$A27,'[2]turmas 2014.2'!O:O)</f>
        <v>#VALUE!</v>
      </c>
      <c r="D27" s="38" t="e">
        <f>(SUMIFS('[2]turmas 2014.2'!$N:$N,'[2]turmas 2014.2'!$R:$R,$D$5,'[2]turmas 2014.2'!$C:$C,B27)+SUMIFS('[2]turmas 2014.2'!$O:$O,'[2]turmas 2014.2'!$V:$V,$D$5,'[2]turmas 2014.2'!$C:$C,'CRÉDITOS POR CENTRO'!$B27))</f>
        <v>#VALUE!</v>
      </c>
      <c r="E27" s="39" t="e">
        <f t="shared" si="0"/>
        <v>#VALUE!</v>
      </c>
      <c r="F27" s="38" t="e">
        <f>(SUMIFS('[2]turmas 2014.2'!$N:$N,'[2]turmas 2014.2'!$R:$R,$F$5,'[2]turmas 2014.2'!$C:$C,B27)+SUMIFS('[2]turmas 2014.2'!$O:$O,'[2]turmas 2014.2'!$V:$V,$F$5,'[2]turmas 2014.2'!$C:$C,'CRÉDITOS POR CENTRO'!$B27))</f>
        <v>#VALUE!</v>
      </c>
      <c r="G27" s="39" t="e">
        <f t="shared" si="1"/>
        <v>#VALUE!</v>
      </c>
      <c r="H27" s="38" t="e">
        <f>(SUMIFS('[2]turmas 2014.2'!$N:$N,'[2]turmas 2014.2'!$R:$R,$H$5,'[2]turmas 2014.2'!$A:$A,A27)+SUMIFS('[2]turmas 2014.2'!$O:$O,'[2]turmas 2014.2'!$V:$V,$H$5,'[2]turmas 2014.2'!$A:$A,'CRÉDITOS POR CENTRO'!$A27))</f>
        <v>#VALUE!</v>
      </c>
      <c r="I27" s="39" t="e">
        <f t="shared" si="2"/>
        <v>#VALUE!</v>
      </c>
      <c r="J27" s="38" t="e">
        <f t="shared" si="3"/>
        <v>#VALUE!</v>
      </c>
    </row>
    <row r="28" spans="1:10" ht="15">
      <c r="A28" s="269" t="s">
        <v>4442</v>
      </c>
      <c r="B28" s="269" t="s">
        <v>4443</v>
      </c>
      <c r="C28" s="38" t="e">
        <f>SUMIF('[2]turmas 2014.2'!A:A,$A28,'[2]turmas 2014.2'!N:N)+SUMIF('[2]turmas 2014.2'!A:A,$A28,'[2]turmas 2014.2'!O:O)</f>
        <v>#VALUE!</v>
      </c>
      <c r="D28" s="38" t="e">
        <f>(SUMIFS('[2]turmas 2014.2'!$N:$N,'[2]turmas 2014.2'!$R:$R,$D$5,'[2]turmas 2014.2'!$C:$C,B28)+SUMIFS('[2]turmas 2014.2'!$O:$O,'[2]turmas 2014.2'!$V:$V,$D$5,'[2]turmas 2014.2'!$C:$C,'CRÉDITOS POR CENTRO'!$B28))</f>
        <v>#VALUE!</v>
      </c>
      <c r="E28" s="39" t="e">
        <f t="shared" si="0"/>
        <v>#VALUE!</v>
      </c>
      <c r="F28" s="38" t="e">
        <f>(SUMIFS('[2]turmas 2014.2'!$N:$N,'[2]turmas 2014.2'!$R:$R,$F$5,'[2]turmas 2014.2'!$C:$C,B28)+SUMIFS('[2]turmas 2014.2'!$O:$O,'[2]turmas 2014.2'!$V:$V,$F$5,'[2]turmas 2014.2'!$C:$C,'CRÉDITOS POR CENTRO'!$B28))</f>
        <v>#VALUE!</v>
      </c>
      <c r="G28" s="39" t="e">
        <f t="shared" si="1"/>
        <v>#VALUE!</v>
      </c>
      <c r="H28" s="38" t="e">
        <f>(SUMIFS('[2]turmas 2014.2'!$N:$N,'[2]turmas 2014.2'!$R:$R,$H$5,'[2]turmas 2014.2'!$A:$A,A28)+SUMIFS('[2]turmas 2014.2'!$O:$O,'[2]turmas 2014.2'!$V:$V,$H$5,'[2]turmas 2014.2'!$A:$A,'CRÉDITOS POR CENTRO'!$A28))</f>
        <v>#VALUE!</v>
      </c>
      <c r="I28" s="39" t="e">
        <f t="shared" si="2"/>
        <v>#VALUE!</v>
      </c>
      <c r="J28" s="38" t="e">
        <f t="shared" si="3"/>
        <v>#VALUE!</v>
      </c>
    </row>
    <row r="29" spans="1:10" ht="15">
      <c r="A29" s="269" t="s">
        <v>694</v>
      </c>
      <c r="B29" s="269" t="s">
        <v>695</v>
      </c>
      <c r="C29" s="38" t="e">
        <f>SUMIF('[2]turmas 2014.2'!A:A,$A29,'[2]turmas 2014.2'!N:N)+SUMIF('[2]turmas 2014.2'!A:A,$A29,'[2]turmas 2014.2'!O:O)</f>
        <v>#VALUE!</v>
      </c>
      <c r="D29" s="38" t="e">
        <f>(SUMIFS('[2]turmas 2014.2'!$N:$N,'[2]turmas 2014.2'!$R:$R,$D$5,'[2]turmas 2014.2'!$C:$C,B29)+SUMIFS('[2]turmas 2014.2'!$O:$O,'[2]turmas 2014.2'!$V:$V,$D$5,'[2]turmas 2014.2'!$C:$C,'CRÉDITOS POR CENTRO'!$B29))</f>
        <v>#VALUE!</v>
      </c>
      <c r="E29" s="39" t="e">
        <f t="shared" si="0"/>
        <v>#VALUE!</v>
      </c>
      <c r="F29" s="38" t="e">
        <f>(SUMIFS('[2]turmas 2014.2'!$N:$N,'[2]turmas 2014.2'!$R:$R,$F$5,'[2]turmas 2014.2'!$C:$C,B29)+SUMIFS('[2]turmas 2014.2'!$O:$O,'[2]turmas 2014.2'!$V:$V,$F$5,'[2]turmas 2014.2'!$C:$C,'CRÉDITOS POR CENTRO'!$B29))</f>
        <v>#VALUE!</v>
      </c>
      <c r="G29" s="39" t="e">
        <f t="shared" si="1"/>
        <v>#VALUE!</v>
      </c>
      <c r="H29" s="38" t="e">
        <f>(SUMIFS('[2]turmas 2014.2'!$N:$N,'[2]turmas 2014.2'!$R:$R,$H$5,'[2]turmas 2014.2'!$A:$A,A29)+SUMIFS('[2]turmas 2014.2'!$O:$O,'[2]turmas 2014.2'!$V:$V,$H$5,'[2]turmas 2014.2'!$A:$A,'CRÉDITOS POR CENTRO'!$A29))</f>
        <v>#VALUE!</v>
      </c>
      <c r="I29" s="39" t="e">
        <f t="shared" si="2"/>
        <v>#VALUE!</v>
      </c>
      <c r="J29" s="38" t="e">
        <f t="shared" si="3"/>
        <v>#VALUE!</v>
      </c>
    </row>
    <row r="30" spans="1:10" ht="15">
      <c r="A30" s="269" t="s">
        <v>4444</v>
      </c>
      <c r="B30" s="269" t="s">
        <v>4445</v>
      </c>
      <c r="C30" s="38" t="e">
        <f>SUMIF('[2]turmas 2014.2'!A:A,$A30,'[2]turmas 2014.2'!N:N)+SUMIF('[2]turmas 2014.2'!A:A,$A30,'[2]turmas 2014.2'!O:O)</f>
        <v>#VALUE!</v>
      </c>
      <c r="D30" s="38" t="e">
        <f>(SUMIFS('[2]turmas 2014.2'!$N:$N,'[2]turmas 2014.2'!$R:$R,$D$5,'[2]turmas 2014.2'!$C:$C,B30)+SUMIFS('[2]turmas 2014.2'!$O:$O,'[2]turmas 2014.2'!$V:$V,$D$5,'[2]turmas 2014.2'!$C:$C,'CRÉDITOS POR CENTRO'!$B30))</f>
        <v>#VALUE!</v>
      </c>
      <c r="E30" s="39" t="e">
        <f t="shared" si="0"/>
        <v>#VALUE!</v>
      </c>
      <c r="F30" s="38" t="e">
        <f>(SUMIFS('[2]turmas 2014.2'!$N:$N,'[2]turmas 2014.2'!$R:$R,$F$5,'[2]turmas 2014.2'!$C:$C,B30)+SUMIFS('[2]turmas 2014.2'!$O:$O,'[2]turmas 2014.2'!$V:$V,$F$5,'[2]turmas 2014.2'!$C:$C,'CRÉDITOS POR CENTRO'!$B30))</f>
        <v>#VALUE!</v>
      </c>
      <c r="G30" s="39" t="e">
        <f t="shared" si="1"/>
        <v>#VALUE!</v>
      </c>
      <c r="H30" s="38" t="e">
        <f>(SUMIFS('[2]turmas 2014.2'!$N:$N,'[2]turmas 2014.2'!$R:$R,$H$5,'[2]turmas 2014.2'!$A:$A,A30)+SUMIFS('[2]turmas 2014.2'!$O:$O,'[2]turmas 2014.2'!$V:$V,$H$5,'[2]turmas 2014.2'!$A:$A,'CRÉDITOS POR CENTRO'!$A30))</f>
        <v>#VALUE!</v>
      </c>
      <c r="I30" s="39" t="e">
        <f t="shared" si="2"/>
        <v>#VALUE!</v>
      </c>
      <c r="J30" s="38" t="e">
        <f t="shared" si="3"/>
        <v>#VALUE!</v>
      </c>
    </row>
    <row r="31" spans="1:10" ht="15">
      <c r="A31" s="269" t="s">
        <v>4446</v>
      </c>
      <c r="B31" s="269" t="s">
        <v>4447</v>
      </c>
      <c r="C31" s="38" t="e">
        <f>SUMIF('[2]turmas 2014.2'!A:A,$A31,'[2]turmas 2014.2'!N:N)+SUMIF('[2]turmas 2014.2'!A:A,$A31,'[2]turmas 2014.2'!O:O)</f>
        <v>#VALUE!</v>
      </c>
      <c r="D31" s="38" t="e">
        <f>(SUMIFS('[2]turmas 2014.2'!$N:$N,'[2]turmas 2014.2'!$R:$R,$D$5,'[2]turmas 2014.2'!$C:$C,B31)+SUMIFS('[2]turmas 2014.2'!$O:$O,'[2]turmas 2014.2'!$V:$V,$D$5,'[2]turmas 2014.2'!$C:$C,'CRÉDITOS POR CENTRO'!$B31))</f>
        <v>#VALUE!</v>
      </c>
      <c r="E31" s="39" t="e">
        <f t="shared" si="0"/>
        <v>#VALUE!</v>
      </c>
      <c r="F31" s="38" t="e">
        <f>(SUMIFS('[2]turmas 2014.2'!$N:$N,'[2]turmas 2014.2'!$R:$R,$F$5,'[2]turmas 2014.2'!$C:$C,B31)+SUMIFS('[2]turmas 2014.2'!$O:$O,'[2]turmas 2014.2'!$V:$V,$F$5,'[2]turmas 2014.2'!$C:$C,'CRÉDITOS POR CENTRO'!$B31))</f>
        <v>#VALUE!</v>
      </c>
      <c r="G31" s="39" t="e">
        <f t="shared" si="1"/>
        <v>#VALUE!</v>
      </c>
      <c r="H31" s="38" t="e">
        <f>(SUMIFS('[2]turmas 2014.2'!$N:$N,'[2]turmas 2014.2'!$R:$R,$H$5,'[2]turmas 2014.2'!$A:$A,A31)+SUMIFS('[2]turmas 2014.2'!$O:$O,'[2]turmas 2014.2'!$V:$V,$H$5,'[2]turmas 2014.2'!$A:$A,'CRÉDITOS POR CENTRO'!$A31))</f>
        <v>#VALUE!</v>
      </c>
      <c r="I31" s="39" t="e">
        <f t="shared" si="2"/>
        <v>#VALUE!</v>
      </c>
      <c r="J31" s="38" t="e">
        <f t="shared" si="3"/>
        <v>#VALUE!</v>
      </c>
    </row>
    <row r="32" spans="1:10" ht="15">
      <c r="A32" s="269" t="s">
        <v>4448</v>
      </c>
      <c r="B32" s="269" t="s">
        <v>4449</v>
      </c>
      <c r="C32" s="38" t="e">
        <f>SUMIF('[2]turmas 2014.2'!A:A,$A32,'[2]turmas 2014.2'!N:N)+SUMIF('[2]turmas 2014.2'!A:A,$A32,'[2]turmas 2014.2'!O:O)</f>
        <v>#VALUE!</v>
      </c>
      <c r="D32" s="38" t="e">
        <f>(SUMIFS('[2]turmas 2014.2'!$N:$N,'[2]turmas 2014.2'!$R:$R,$D$5,'[2]turmas 2014.2'!$C:$C,B32)+SUMIFS('[2]turmas 2014.2'!$O:$O,'[2]turmas 2014.2'!$V:$V,$D$5,'[2]turmas 2014.2'!$C:$C,'CRÉDITOS POR CENTRO'!$B32))</f>
        <v>#VALUE!</v>
      </c>
      <c r="E32" s="39" t="e">
        <f t="shared" si="0"/>
        <v>#VALUE!</v>
      </c>
      <c r="F32" s="38" t="e">
        <f>(SUMIFS('[2]turmas 2014.2'!$N:$N,'[2]turmas 2014.2'!$R:$R,$F$5,'[2]turmas 2014.2'!$C:$C,B32)+SUMIFS('[2]turmas 2014.2'!$O:$O,'[2]turmas 2014.2'!$V:$V,$F$5,'[2]turmas 2014.2'!$C:$C,'CRÉDITOS POR CENTRO'!$B32))</f>
        <v>#VALUE!</v>
      </c>
      <c r="G32" s="39" t="e">
        <f t="shared" si="1"/>
        <v>#VALUE!</v>
      </c>
      <c r="H32" s="38" t="e">
        <f>(SUMIFS('[2]turmas 2014.2'!$N:$N,'[2]turmas 2014.2'!$R:$R,$H$5,'[2]turmas 2014.2'!$A:$A,A32)+SUMIFS('[2]turmas 2014.2'!$O:$O,'[2]turmas 2014.2'!$V:$V,$H$5,'[2]turmas 2014.2'!$A:$A,'CRÉDITOS POR CENTRO'!$A32))</f>
        <v>#VALUE!</v>
      </c>
      <c r="I32" s="39" t="e">
        <f t="shared" si="2"/>
        <v>#VALUE!</v>
      </c>
      <c r="J32" s="38" t="e">
        <f t="shared" si="3"/>
        <v>#VALUE!</v>
      </c>
    </row>
    <row r="33" spans="1:10" ht="15">
      <c r="A33" s="269" t="s">
        <v>4450</v>
      </c>
      <c r="B33" s="269" t="s">
        <v>4451</v>
      </c>
      <c r="C33" s="38" t="e">
        <f>SUMIF('[2]turmas 2014.2'!A:A,$A33,'[2]turmas 2014.2'!N:N)+SUMIF('[2]turmas 2014.2'!A:A,$A33,'[2]turmas 2014.2'!O:O)</f>
        <v>#VALUE!</v>
      </c>
      <c r="D33" s="38" t="e">
        <f>(SUMIFS('[2]turmas 2014.2'!$N:$N,'[2]turmas 2014.2'!$R:$R,$D$5,'[2]turmas 2014.2'!$C:$C,B33)+SUMIFS('[2]turmas 2014.2'!$O:$O,'[2]turmas 2014.2'!$V:$V,$D$5,'[2]turmas 2014.2'!$C:$C,'CRÉDITOS POR CENTRO'!$B33))</f>
        <v>#VALUE!</v>
      </c>
      <c r="E33" s="39" t="e">
        <f t="shared" si="0"/>
        <v>#VALUE!</v>
      </c>
      <c r="F33" s="38" t="e">
        <f>(SUMIFS('[2]turmas 2014.2'!$N:$N,'[2]turmas 2014.2'!$R:$R,$F$5,'[2]turmas 2014.2'!$C:$C,B33)+SUMIFS('[2]turmas 2014.2'!$O:$O,'[2]turmas 2014.2'!$V:$V,$F$5,'[2]turmas 2014.2'!$C:$C,'CRÉDITOS POR CENTRO'!$B33))</f>
        <v>#VALUE!</v>
      </c>
      <c r="G33" s="39" t="e">
        <f t="shared" si="1"/>
        <v>#VALUE!</v>
      </c>
      <c r="H33" s="38" t="e">
        <f>(SUMIFS('[2]turmas 2014.2'!$N:$N,'[2]turmas 2014.2'!$R:$R,$H$5,'[2]turmas 2014.2'!$A:$A,A33)+SUMIFS('[2]turmas 2014.2'!$O:$O,'[2]turmas 2014.2'!$V:$V,$H$5,'[2]turmas 2014.2'!$A:$A,'CRÉDITOS POR CENTRO'!$A33))</f>
        <v>#VALUE!</v>
      </c>
      <c r="I33" s="39" t="e">
        <f t="shared" si="2"/>
        <v>#VALUE!</v>
      </c>
      <c r="J33" s="38" t="e">
        <f t="shared" si="3"/>
        <v>#VALUE!</v>
      </c>
    </row>
    <row r="34" spans="1:10" ht="15">
      <c r="A34" s="269" t="s">
        <v>715</v>
      </c>
      <c r="B34" s="269" t="s">
        <v>716</v>
      </c>
      <c r="C34" s="38" t="e">
        <f>SUMIF('[2]turmas 2014.2'!A:A,$A34,'[2]turmas 2014.2'!N:N)+SUMIF('[2]turmas 2014.2'!A:A,$A34,'[2]turmas 2014.2'!O:O)</f>
        <v>#VALUE!</v>
      </c>
      <c r="D34" s="38" t="e">
        <f>(SUMIFS('[2]turmas 2014.2'!$N:$N,'[2]turmas 2014.2'!$R:$R,$D$5,'[2]turmas 2014.2'!$C:$C,B34)+SUMIFS('[2]turmas 2014.2'!$O:$O,'[2]turmas 2014.2'!$V:$V,$D$5,'[2]turmas 2014.2'!$C:$C,'CRÉDITOS POR CENTRO'!$B34))</f>
        <v>#VALUE!</v>
      </c>
      <c r="E34" s="39" t="e">
        <f t="shared" si="0"/>
        <v>#VALUE!</v>
      </c>
      <c r="F34" s="38" t="e">
        <f>(SUMIFS('[2]turmas 2014.2'!$N:$N,'[2]turmas 2014.2'!$R:$R,$F$5,'[2]turmas 2014.2'!$C:$C,B34)+SUMIFS('[2]turmas 2014.2'!$O:$O,'[2]turmas 2014.2'!$V:$V,$F$5,'[2]turmas 2014.2'!$C:$C,'CRÉDITOS POR CENTRO'!$B34))</f>
        <v>#VALUE!</v>
      </c>
      <c r="G34" s="39" t="e">
        <f t="shared" si="1"/>
        <v>#VALUE!</v>
      </c>
      <c r="H34" s="38" t="e">
        <f>(SUMIFS('[2]turmas 2014.2'!$N:$N,'[2]turmas 2014.2'!$R:$R,$H$5,'[2]turmas 2014.2'!$A:$A,A34)+SUMIFS('[2]turmas 2014.2'!$O:$O,'[2]turmas 2014.2'!$V:$V,$H$5,'[2]turmas 2014.2'!$A:$A,'CRÉDITOS POR CENTRO'!$A34))</f>
        <v>#VALUE!</v>
      </c>
      <c r="I34" s="39" t="e">
        <f t="shared" si="2"/>
        <v>#VALUE!</v>
      </c>
      <c r="J34" s="38" t="e">
        <f t="shared" si="3"/>
        <v>#VALUE!</v>
      </c>
    </row>
    <row r="35" spans="1:10" ht="15">
      <c r="A35" s="269" t="s">
        <v>4452</v>
      </c>
      <c r="B35" s="269" t="s">
        <v>4453</v>
      </c>
      <c r="C35" s="38" t="e">
        <f>SUMIF('[2]turmas 2014.2'!A:A,$A35,'[2]turmas 2014.2'!N:N)+SUMIF('[2]turmas 2014.2'!A:A,$A35,'[2]turmas 2014.2'!O:O)</f>
        <v>#VALUE!</v>
      </c>
      <c r="D35" s="38" t="e">
        <f>(SUMIFS('[2]turmas 2014.2'!$N:$N,'[2]turmas 2014.2'!$R:$R,$D$5,'[2]turmas 2014.2'!$C:$C,B35)+SUMIFS('[2]turmas 2014.2'!$O:$O,'[2]turmas 2014.2'!$V:$V,$D$5,'[2]turmas 2014.2'!$C:$C,'CRÉDITOS POR CENTRO'!$B35))</f>
        <v>#VALUE!</v>
      </c>
      <c r="E35" s="39" t="e">
        <f t="shared" si="0"/>
        <v>#VALUE!</v>
      </c>
      <c r="F35" s="38" t="e">
        <f>(SUMIFS('[2]turmas 2014.2'!$N:$N,'[2]turmas 2014.2'!$R:$R,$F$5,'[2]turmas 2014.2'!$C:$C,B35)+SUMIFS('[2]turmas 2014.2'!$O:$O,'[2]turmas 2014.2'!$V:$V,$F$5,'[2]turmas 2014.2'!$C:$C,'CRÉDITOS POR CENTRO'!$B35))</f>
        <v>#VALUE!</v>
      </c>
      <c r="G35" s="39" t="e">
        <f t="shared" si="1"/>
        <v>#VALUE!</v>
      </c>
      <c r="H35" s="38" t="e">
        <f>(SUMIFS('[2]turmas 2014.2'!$N:$N,'[2]turmas 2014.2'!$R:$R,$H$5,'[2]turmas 2014.2'!$A:$A,A35)+SUMIFS('[2]turmas 2014.2'!$O:$O,'[2]turmas 2014.2'!$V:$V,$H$5,'[2]turmas 2014.2'!$A:$A,'CRÉDITOS POR CENTRO'!$A35))</f>
        <v>#VALUE!</v>
      </c>
      <c r="I35" s="39" t="e">
        <f t="shared" si="2"/>
        <v>#VALUE!</v>
      </c>
      <c r="J35" s="38" t="e">
        <f t="shared" si="3"/>
        <v>#VALUE!</v>
      </c>
    </row>
    <row r="36" spans="1:10" ht="15">
      <c r="A36" s="269" t="s">
        <v>776</v>
      </c>
      <c r="B36" s="269" t="s">
        <v>777</v>
      </c>
      <c r="C36" s="38" t="e">
        <f>SUMIF('[2]turmas 2014.2'!A:A,$A36,'[2]turmas 2014.2'!N:N)+SUMIF('[2]turmas 2014.2'!A:A,$A36,'[2]turmas 2014.2'!O:O)</f>
        <v>#VALUE!</v>
      </c>
      <c r="D36" s="38" t="e">
        <f>(SUMIFS('[2]turmas 2014.2'!$N:$N,'[2]turmas 2014.2'!$R:$R,$D$5,'[2]turmas 2014.2'!$C:$C,B36)+SUMIFS('[2]turmas 2014.2'!$O:$O,'[2]turmas 2014.2'!$V:$V,$D$5,'[2]turmas 2014.2'!$C:$C,'CRÉDITOS POR CENTRO'!$B36))</f>
        <v>#VALUE!</v>
      </c>
      <c r="E36" s="39" t="e">
        <f t="shared" si="0"/>
        <v>#VALUE!</v>
      </c>
      <c r="F36" s="38" t="e">
        <f>(SUMIFS('[2]turmas 2014.2'!$N:$N,'[2]turmas 2014.2'!$R:$R,$F$5,'[2]turmas 2014.2'!$C:$C,B36)+SUMIFS('[2]turmas 2014.2'!$O:$O,'[2]turmas 2014.2'!$V:$V,$F$5,'[2]turmas 2014.2'!$C:$C,'CRÉDITOS POR CENTRO'!$B36))</f>
        <v>#VALUE!</v>
      </c>
      <c r="G36" s="39" t="e">
        <f t="shared" si="1"/>
        <v>#VALUE!</v>
      </c>
      <c r="H36" s="38" t="e">
        <f>(SUMIFS('[2]turmas 2014.2'!$N:$N,'[2]turmas 2014.2'!$R:$R,$H$5,'[2]turmas 2014.2'!$A:$A,A36)+SUMIFS('[2]turmas 2014.2'!$O:$O,'[2]turmas 2014.2'!$V:$V,$H$5,'[2]turmas 2014.2'!$A:$A,'CRÉDITOS POR CENTRO'!$A36))</f>
        <v>#VALUE!</v>
      </c>
      <c r="I36" s="39" t="e">
        <f t="shared" si="2"/>
        <v>#VALUE!</v>
      </c>
      <c r="J36" s="38" t="e">
        <f t="shared" si="3"/>
        <v>#VALUE!</v>
      </c>
    </row>
    <row r="37" spans="1:10" ht="15">
      <c r="A37" s="269" t="s">
        <v>4454</v>
      </c>
      <c r="B37" s="269" t="s">
        <v>4455</v>
      </c>
      <c r="C37" s="38" t="e">
        <f>SUMIF('[2]turmas 2014.2'!A:A,$A37,'[2]turmas 2014.2'!N:N)+SUMIF('[2]turmas 2014.2'!A:A,$A37,'[2]turmas 2014.2'!O:O)</f>
        <v>#VALUE!</v>
      </c>
      <c r="D37" s="38" t="e">
        <f>(SUMIFS('[2]turmas 2014.2'!$N:$N,'[2]turmas 2014.2'!$R:$R,$D$5,'[2]turmas 2014.2'!$C:$C,B37)+SUMIFS('[2]turmas 2014.2'!$O:$O,'[2]turmas 2014.2'!$V:$V,$D$5,'[2]turmas 2014.2'!$C:$C,'CRÉDITOS POR CENTRO'!$B37))</f>
        <v>#VALUE!</v>
      </c>
      <c r="E37" s="39" t="e">
        <f t="shared" si="0"/>
        <v>#VALUE!</v>
      </c>
      <c r="F37" s="38" t="e">
        <f>(SUMIFS('[2]turmas 2014.2'!$N:$N,'[2]turmas 2014.2'!$R:$R,$F$5,'[2]turmas 2014.2'!$C:$C,B37)+SUMIFS('[2]turmas 2014.2'!$O:$O,'[2]turmas 2014.2'!$V:$V,$F$5,'[2]turmas 2014.2'!$C:$C,'CRÉDITOS POR CENTRO'!$B37))</f>
        <v>#VALUE!</v>
      </c>
      <c r="G37" s="39" t="e">
        <f t="shared" si="1"/>
        <v>#VALUE!</v>
      </c>
      <c r="H37" s="38" t="e">
        <f>(SUMIFS('[2]turmas 2014.2'!$N:$N,'[2]turmas 2014.2'!$R:$R,$H$5,'[2]turmas 2014.2'!$A:$A,A37)+SUMIFS('[2]turmas 2014.2'!$O:$O,'[2]turmas 2014.2'!$V:$V,$H$5,'[2]turmas 2014.2'!$A:$A,'CRÉDITOS POR CENTRO'!$A37))</f>
        <v>#VALUE!</v>
      </c>
      <c r="I37" s="39" t="e">
        <f t="shared" si="2"/>
        <v>#VALUE!</v>
      </c>
      <c r="J37" s="38" t="e">
        <f t="shared" si="3"/>
        <v>#VALUE!</v>
      </c>
    </row>
    <row r="38" spans="1:10" ht="15">
      <c r="A38" s="269" t="s">
        <v>807</v>
      </c>
      <c r="B38" s="269" t="s">
        <v>808</v>
      </c>
      <c r="C38" s="38" t="e">
        <f>SUMIF('[2]turmas 2014.2'!A:A,$A38,'[2]turmas 2014.2'!N:N)+SUMIF('[2]turmas 2014.2'!A:A,$A38,'[2]turmas 2014.2'!O:O)</f>
        <v>#VALUE!</v>
      </c>
      <c r="D38" s="38" t="e">
        <f>(SUMIFS('[2]turmas 2014.2'!$N:$N,'[2]turmas 2014.2'!$R:$R,$D$5,'[2]turmas 2014.2'!$C:$C,B38)+SUMIFS('[2]turmas 2014.2'!$O:$O,'[2]turmas 2014.2'!$V:$V,$D$5,'[2]turmas 2014.2'!$C:$C,'CRÉDITOS POR CENTRO'!$B38))</f>
        <v>#VALUE!</v>
      </c>
      <c r="E38" s="39" t="e">
        <f t="shared" si="0"/>
        <v>#VALUE!</v>
      </c>
      <c r="F38" s="38" t="e">
        <f>(SUMIFS('[2]turmas 2014.2'!$N:$N,'[2]turmas 2014.2'!$R:$R,$F$5,'[2]turmas 2014.2'!$C:$C,B38)+SUMIFS('[2]turmas 2014.2'!$O:$O,'[2]turmas 2014.2'!$V:$V,$F$5,'[2]turmas 2014.2'!$C:$C,'CRÉDITOS POR CENTRO'!$B38))</f>
        <v>#VALUE!</v>
      </c>
      <c r="G38" s="39" t="e">
        <f t="shared" si="1"/>
        <v>#VALUE!</v>
      </c>
      <c r="H38" s="38" t="e">
        <f>(SUMIFS('[2]turmas 2014.2'!$N:$N,'[2]turmas 2014.2'!$R:$R,$H$5,'[2]turmas 2014.2'!$A:$A,A38)+SUMIFS('[2]turmas 2014.2'!$O:$O,'[2]turmas 2014.2'!$V:$V,$H$5,'[2]turmas 2014.2'!$A:$A,'CRÉDITOS POR CENTRO'!$A38))</f>
        <v>#VALUE!</v>
      </c>
      <c r="I38" s="39" t="e">
        <f t="shared" si="2"/>
        <v>#VALUE!</v>
      </c>
      <c r="J38" s="38" t="e">
        <f t="shared" si="3"/>
        <v>#VALUE!</v>
      </c>
    </row>
    <row r="39" spans="1:10" ht="15">
      <c r="A39" s="269" t="s">
        <v>4456</v>
      </c>
      <c r="B39" s="269" t="s">
        <v>4457</v>
      </c>
      <c r="C39" s="38" t="e">
        <f>SUMIF('[2]turmas 2014.2'!A:A,$A39,'[2]turmas 2014.2'!N:N)+SUMIF('[2]turmas 2014.2'!A:A,$A39,'[2]turmas 2014.2'!O:O)</f>
        <v>#VALUE!</v>
      </c>
      <c r="D39" s="38" t="e">
        <f>(SUMIFS('[2]turmas 2014.2'!$N:$N,'[2]turmas 2014.2'!$R:$R,$D$5,'[2]turmas 2014.2'!$C:$C,B39)+SUMIFS('[2]turmas 2014.2'!$O:$O,'[2]turmas 2014.2'!$V:$V,$D$5,'[2]turmas 2014.2'!$C:$C,'CRÉDITOS POR CENTRO'!$B39))</f>
        <v>#VALUE!</v>
      </c>
      <c r="E39" s="39" t="e">
        <f t="shared" si="0"/>
        <v>#VALUE!</v>
      </c>
      <c r="F39" s="38" t="e">
        <f>(SUMIFS('[2]turmas 2014.2'!$N:$N,'[2]turmas 2014.2'!$R:$R,$F$5,'[2]turmas 2014.2'!$C:$C,B39)+SUMIFS('[2]turmas 2014.2'!$O:$O,'[2]turmas 2014.2'!$V:$V,$F$5,'[2]turmas 2014.2'!$C:$C,'CRÉDITOS POR CENTRO'!$B39))</f>
        <v>#VALUE!</v>
      </c>
      <c r="G39" s="39" t="e">
        <f t="shared" si="1"/>
        <v>#VALUE!</v>
      </c>
      <c r="H39" s="38" t="e">
        <f>(SUMIFS('[2]turmas 2014.2'!$N:$N,'[2]turmas 2014.2'!$R:$R,$H$5,'[2]turmas 2014.2'!$A:$A,A39)+SUMIFS('[2]turmas 2014.2'!$O:$O,'[2]turmas 2014.2'!$V:$V,$H$5,'[2]turmas 2014.2'!$A:$A,'CRÉDITOS POR CENTRO'!$A39))</f>
        <v>#VALUE!</v>
      </c>
      <c r="I39" s="39" t="e">
        <f t="shared" si="2"/>
        <v>#VALUE!</v>
      </c>
      <c r="J39" s="38" t="e">
        <f t="shared" si="3"/>
        <v>#VALUE!</v>
      </c>
    </row>
    <row r="40" spans="1:10" ht="15">
      <c r="A40" s="269" t="s">
        <v>4458</v>
      </c>
      <c r="B40" s="269" t="s">
        <v>4459</v>
      </c>
      <c r="C40" s="38" t="e">
        <f>SUMIF('[2]turmas 2014.2'!A:A,$A40,'[2]turmas 2014.2'!N:N)+SUMIF('[2]turmas 2014.2'!A:A,$A40,'[2]turmas 2014.2'!O:O)</f>
        <v>#VALUE!</v>
      </c>
      <c r="D40" s="38" t="e">
        <f>(SUMIFS('[2]turmas 2014.2'!$N:$N,'[2]turmas 2014.2'!$R:$R,$D$5,'[2]turmas 2014.2'!$C:$C,B40)+SUMIFS('[2]turmas 2014.2'!$O:$O,'[2]turmas 2014.2'!$V:$V,$D$5,'[2]turmas 2014.2'!$C:$C,'CRÉDITOS POR CENTRO'!$B40))</f>
        <v>#VALUE!</v>
      </c>
      <c r="E40" s="39" t="e">
        <f t="shared" si="0"/>
        <v>#VALUE!</v>
      </c>
      <c r="F40" s="38" t="e">
        <f>(SUMIFS('[2]turmas 2014.2'!$N:$N,'[2]turmas 2014.2'!$R:$R,$F$5,'[2]turmas 2014.2'!$C:$C,B40)+SUMIFS('[2]turmas 2014.2'!$O:$O,'[2]turmas 2014.2'!$V:$V,$F$5,'[2]turmas 2014.2'!$C:$C,'CRÉDITOS POR CENTRO'!$B40))</f>
        <v>#VALUE!</v>
      </c>
      <c r="G40" s="39" t="e">
        <f t="shared" si="1"/>
        <v>#VALUE!</v>
      </c>
      <c r="H40" s="38" t="e">
        <f>(SUMIFS('[2]turmas 2014.2'!$N:$N,'[2]turmas 2014.2'!$R:$R,$H$5,'[2]turmas 2014.2'!$A:$A,A40)+SUMIFS('[2]turmas 2014.2'!$O:$O,'[2]turmas 2014.2'!$V:$V,$H$5,'[2]turmas 2014.2'!$A:$A,'CRÉDITOS POR CENTRO'!$A40))</f>
        <v>#VALUE!</v>
      </c>
      <c r="I40" s="39" t="e">
        <f t="shared" si="2"/>
        <v>#VALUE!</v>
      </c>
      <c r="J40" s="38" t="e">
        <f t="shared" si="3"/>
        <v>#VALUE!</v>
      </c>
    </row>
    <row r="41" spans="1:10" ht="15">
      <c r="A41" s="269" t="s">
        <v>4460</v>
      </c>
      <c r="B41" s="269" t="s">
        <v>4461</v>
      </c>
      <c r="C41" s="38" t="e">
        <f>SUMIF('[2]turmas 2014.2'!A:A,$A41,'[2]turmas 2014.2'!N:N)+SUMIF('[2]turmas 2014.2'!A:A,$A41,'[2]turmas 2014.2'!O:O)</f>
        <v>#VALUE!</v>
      </c>
      <c r="D41" s="38" t="e">
        <f>(SUMIFS('[2]turmas 2014.2'!$N:$N,'[2]turmas 2014.2'!$R:$R,$D$5,'[2]turmas 2014.2'!$C:$C,B41)+SUMIFS('[2]turmas 2014.2'!$O:$O,'[2]turmas 2014.2'!$V:$V,$D$5,'[2]turmas 2014.2'!$C:$C,'CRÉDITOS POR CENTRO'!$B41))</f>
        <v>#VALUE!</v>
      </c>
      <c r="E41" s="39" t="e">
        <f t="shared" si="0"/>
        <v>#VALUE!</v>
      </c>
      <c r="F41" s="38" t="e">
        <f>(SUMIFS('[2]turmas 2014.2'!$N:$N,'[2]turmas 2014.2'!$R:$R,$F$5,'[2]turmas 2014.2'!$C:$C,B41)+SUMIFS('[2]turmas 2014.2'!$O:$O,'[2]turmas 2014.2'!$V:$V,$F$5,'[2]turmas 2014.2'!$C:$C,'CRÉDITOS POR CENTRO'!$B41))</f>
        <v>#VALUE!</v>
      </c>
      <c r="G41" s="39" t="e">
        <f t="shared" si="1"/>
        <v>#VALUE!</v>
      </c>
      <c r="H41" s="38" t="e">
        <f>(SUMIFS('[2]turmas 2014.2'!$N:$N,'[2]turmas 2014.2'!$R:$R,$H$5,'[2]turmas 2014.2'!$A:$A,A41)+SUMIFS('[2]turmas 2014.2'!$O:$O,'[2]turmas 2014.2'!$V:$V,$H$5,'[2]turmas 2014.2'!$A:$A,'CRÉDITOS POR CENTRO'!$A41))</f>
        <v>#VALUE!</v>
      </c>
      <c r="I41" s="39" t="e">
        <f t="shared" si="2"/>
        <v>#VALUE!</v>
      </c>
      <c r="J41" s="38" t="e">
        <f t="shared" si="3"/>
        <v>#VALUE!</v>
      </c>
    </row>
    <row r="42" spans="1:10" ht="15">
      <c r="A42" s="269" t="s">
        <v>4462</v>
      </c>
      <c r="B42" s="269" t="s">
        <v>4463</v>
      </c>
      <c r="C42" s="38" t="e">
        <f>SUMIF('[2]turmas 2014.2'!A:A,$A42,'[2]turmas 2014.2'!N:N)+SUMIF('[2]turmas 2014.2'!A:A,$A42,'[2]turmas 2014.2'!O:O)</f>
        <v>#VALUE!</v>
      </c>
      <c r="D42" s="38" t="e">
        <f>(SUMIFS('[2]turmas 2014.2'!$N:$N,'[2]turmas 2014.2'!$R:$R,$D$5,'[2]turmas 2014.2'!$C:$C,B42)+SUMIFS('[2]turmas 2014.2'!$O:$O,'[2]turmas 2014.2'!$V:$V,$D$5,'[2]turmas 2014.2'!$C:$C,'CRÉDITOS POR CENTRO'!$B42))</f>
        <v>#VALUE!</v>
      </c>
      <c r="E42" s="39" t="e">
        <f t="shared" si="0"/>
        <v>#VALUE!</v>
      </c>
      <c r="F42" s="38" t="e">
        <f>(SUMIFS('[2]turmas 2014.2'!$N:$N,'[2]turmas 2014.2'!$R:$R,$F$5,'[2]turmas 2014.2'!$C:$C,B42)+SUMIFS('[2]turmas 2014.2'!$O:$O,'[2]turmas 2014.2'!$V:$V,$F$5,'[2]turmas 2014.2'!$C:$C,'CRÉDITOS POR CENTRO'!$B42))</f>
        <v>#VALUE!</v>
      </c>
      <c r="G42" s="39" t="e">
        <f t="shared" si="1"/>
        <v>#VALUE!</v>
      </c>
      <c r="H42" s="38" t="e">
        <f>(SUMIFS('[2]turmas 2014.2'!$N:$N,'[2]turmas 2014.2'!$R:$R,$H$5,'[2]turmas 2014.2'!$A:$A,A42)+SUMIFS('[2]turmas 2014.2'!$O:$O,'[2]turmas 2014.2'!$V:$V,$H$5,'[2]turmas 2014.2'!$A:$A,'CRÉDITOS POR CENTRO'!$A42))</f>
        <v>#VALUE!</v>
      </c>
      <c r="I42" s="39" t="e">
        <f t="shared" si="2"/>
        <v>#VALUE!</v>
      </c>
      <c r="J42" s="38" t="e">
        <f t="shared" si="3"/>
        <v>#VALUE!</v>
      </c>
    </row>
    <row r="43" spans="1:10" ht="15">
      <c r="A43" s="269" t="s">
        <v>4464</v>
      </c>
      <c r="B43" s="269" t="s">
        <v>4465</v>
      </c>
      <c r="C43" s="38" t="e">
        <f>SUMIF('[2]turmas 2014.2'!A:A,$A43,'[2]turmas 2014.2'!N:N)+SUMIF('[2]turmas 2014.2'!A:A,$A43,'[2]turmas 2014.2'!O:O)</f>
        <v>#VALUE!</v>
      </c>
      <c r="D43" s="38" t="e">
        <f>(SUMIFS('[2]turmas 2014.2'!$N:$N,'[2]turmas 2014.2'!$R:$R,$D$5,'[2]turmas 2014.2'!$C:$C,B43)+SUMIFS('[2]turmas 2014.2'!$O:$O,'[2]turmas 2014.2'!$V:$V,$D$5,'[2]turmas 2014.2'!$C:$C,'CRÉDITOS POR CENTRO'!$B43))</f>
        <v>#VALUE!</v>
      </c>
      <c r="E43" s="39" t="e">
        <f t="shared" si="0"/>
        <v>#VALUE!</v>
      </c>
      <c r="F43" s="38" t="e">
        <f>(SUMIFS('[2]turmas 2014.2'!$N:$N,'[2]turmas 2014.2'!$R:$R,$F$5,'[2]turmas 2014.2'!$C:$C,B43)+SUMIFS('[2]turmas 2014.2'!$O:$O,'[2]turmas 2014.2'!$V:$V,$F$5,'[2]turmas 2014.2'!$C:$C,'CRÉDITOS POR CENTRO'!$B43))</f>
        <v>#VALUE!</v>
      </c>
      <c r="G43" s="39" t="e">
        <f t="shared" si="1"/>
        <v>#VALUE!</v>
      </c>
      <c r="H43" s="38" t="e">
        <f>(SUMIFS('[2]turmas 2014.2'!$N:$N,'[2]turmas 2014.2'!$R:$R,$H$5,'[2]turmas 2014.2'!$A:$A,A43)+SUMIFS('[2]turmas 2014.2'!$O:$O,'[2]turmas 2014.2'!$V:$V,$H$5,'[2]turmas 2014.2'!$A:$A,'CRÉDITOS POR CENTRO'!$A43))</f>
        <v>#VALUE!</v>
      </c>
      <c r="I43" s="39" t="e">
        <f t="shared" si="2"/>
        <v>#VALUE!</v>
      </c>
      <c r="J43" s="38" t="e">
        <f t="shared" si="3"/>
        <v>#VALUE!</v>
      </c>
    </row>
    <row r="44" spans="1:10" ht="15">
      <c r="A44" s="269" t="s">
        <v>4466</v>
      </c>
      <c r="B44" s="269" t="s">
        <v>4467</v>
      </c>
      <c r="C44" s="38" t="e">
        <f>SUMIF('[2]turmas 2014.2'!A:A,$A44,'[2]turmas 2014.2'!N:N)+SUMIF('[2]turmas 2014.2'!A:A,$A44,'[2]turmas 2014.2'!O:O)</f>
        <v>#VALUE!</v>
      </c>
      <c r="D44" s="38" t="e">
        <f>(SUMIFS('[2]turmas 2014.2'!$N:$N,'[2]turmas 2014.2'!$R:$R,$D$5,'[2]turmas 2014.2'!$C:$C,B44)+SUMIFS('[2]turmas 2014.2'!$O:$O,'[2]turmas 2014.2'!$V:$V,$D$5,'[2]turmas 2014.2'!$C:$C,'CRÉDITOS POR CENTRO'!$B44))</f>
        <v>#VALUE!</v>
      </c>
      <c r="E44" s="39" t="e">
        <f t="shared" si="0"/>
        <v>#VALUE!</v>
      </c>
      <c r="F44" s="38" t="e">
        <f>(SUMIFS('[2]turmas 2014.2'!$N:$N,'[2]turmas 2014.2'!$R:$R,$F$5,'[2]turmas 2014.2'!$C:$C,B44)+SUMIFS('[2]turmas 2014.2'!$O:$O,'[2]turmas 2014.2'!$V:$V,$F$5,'[2]turmas 2014.2'!$C:$C,'CRÉDITOS POR CENTRO'!$B44))</f>
        <v>#VALUE!</v>
      </c>
      <c r="G44" s="39" t="e">
        <f t="shared" si="1"/>
        <v>#VALUE!</v>
      </c>
      <c r="H44" s="38" t="e">
        <f>(SUMIFS('[2]turmas 2014.2'!$N:$N,'[2]turmas 2014.2'!$R:$R,$H$5,'[2]turmas 2014.2'!$A:$A,A44)+SUMIFS('[2]turmas 2014.2'!$O:$O,'[2]turmas 2014.2'!$V:$V,$H$5,'[2]turmas 2014.2'!$A:$A,'CRÉDITOS POR CENTRO'!$A44))</f>
        <v>#VALUE!</v>
      </c>
      <c r="I44" s="39" t="e">
        <f t="shared" si="2"/>
        <v>#VALUE!</v>
      </c>
      <c r="J44" s="38" t="e">
        <f t="shared" si="3"/>
        <v>#VALUE!</v>
      </c>
    </row>
    <row r="45" spans="1:10" ht="15">
      <c r="A45" s="269" t="s">
        <v>896</v>
      </c>
      <c r="B45" s="269" t="s">
        <v>897</v>
      </c>
      <c r="C45" s="38" t="e">
        <f>SUMIF('[2]turmas 2014.2'!A:A,$A45,'[2]turmas 2014.2'!N:N)+SUMIF('[2]turmas 2014.2'!A:A,$A45,'[2]turmas 2014.2'!O:O)</f>
        <v>#VALUE!</v>
      </c>
      <c r="D45" s="38" t="e">
        <f>(SUMIFS('[2]turmas 2014.2'!$N:$N,'[2]turmas 2014.2'!$R:$R,$D$5,'[2]turmas 2014.2'!$C:$C,B45)+SUMIFS('[2]turmas 2014.2'!$O:$O,'[2]turmas 2014.2'!$V:$V,$D$5,'[2]turmas 2014.2'!$C:$C,'CRÉDITOS POR CENTRO'!$B45))</f>
        <v>#VALUE!</v>
      </c>
      <c r="E45" s="39" t="e">
        <f t="shared" si="0"/>
        <v>#VALUE!</v>
      </c>
      <c r="F45" s="38" t="e">
        <f>(SUMIFS('[2]turmas 2014.2'!$N:$N,'[2]turmas 2014.2'!$R:$R,$F$5,'[2]turmas 2014.2'!$C:$C,B45)+SUMIFS('[2]turmas 2014.2'!$O:$O,'[2]turmas 2014.2'!$V:$V,$F$5,'[2]turmas 2014.2'!$C:$C,'CRÉDITOS POR CENTRO'!$B45))</f>
        <v>#VALUE!</v>
      </c>
      <c r="G45" s="39" t="e">
        <f t="shared" si="1"/>
        <v>#VALUE!</v>
      </c>
      <c r="H45" s="38" t="e">
        <f>(SUMIFS('[2]turmas 2014.2'!$N:$N,'[2]turmas 2014.2'!$R:$R,$H$5,'[2]turmas 2014.2'!$A:$A,A45)+SUMIFS('[2]turmas 2014.2'!$O:$O,'[2]turmas 2014.2'!$V:$V,$H$5,'[2]turmas 2014.2'!$A:$A,'CRÉDITOS POR CENTRO'!$A45))</f>
        <v>#VALUE!</v>
      </c>
      <c r="I45" s="39" t="e">
        <f t="shared" si="2"/>
        <v>#VALUE!</v>
      </c>
      <c r="J45" s="38" t="e">
        <f t="shared" si="3"/>
        <v>#VALUE!</v>
      </c>
    </row>
    <row r="46" spans="1:10" ht="15">
      <c r="A46" s="269" t="s">
        <v>4468</v>
      </c>
      <c r="B46" s="269" t="s">
        <v>4469</v>
      </c>
      <c r="C46" s="38" t="e">
        <f>SUMIF('[2]turmas 2014.2'!A:A,$A46,'[2]turmas 2014.2'!N:N)+SUMIF('[2]turmas 2014.2'!A:A,$A46,'[2]turmas 2014.2'!O:O)</f>
        <v>#VALUE!</v>
      </c>
      <c r="D46" s="38" t="e">
        <f>(SUMIFS('[2]turmas 2014.2'!$N:$N,'[2]turmas 2014.2'!$R:$R,$D$5,'[2]turmas 2014.2'!$C:$C,B46)+SUMIFS('[2]turmas 2014.2'!$O:$O,'[2]turmas 2014.2'!$V:$V,$D$5,'[2]turmas 2014.2'!$C:$C,'CRÉDITOS POR CENTRO'!$B46))</f>
        <v>#VALUE!</v>
      </c>
      <c r="E46" s="39" t="e">
        <f t="shared" si="0"/>
        <v>#VALUE!</v>
      </c>
      <c r="F46" s="38" t="e">
        <f>(SUMIFS('[2]turmas 2014.2'!$N:$N,'[2]turmas 2014.2'!$R:$R,$F$5,'[2]turmas 2014.2'!$C:$C,B46)+SUMIFS('[2]turmas 2014.2'!$O:$O,'[2]turmas 2014.2'!$V:$V,$F$5,'[2]turmas 2014.2'!$C:$C,'CRÉDITOS POR CENTRO'!$B46))</f>
        <v>#VALUE!</v>
      </c>
      <c r="G46" s="39" t="e">
        <f t="shared" si="1"/>
        <v>#VALUE!</v>
      </c>
      <c r="H46" s="38" t="e">
        <f>(SUMIFS('[2]turmas 2014.2'!$N:$N,'[2]turmas 2014.2'!$R:$R,$H$5,'[2]turmas 2014.2'!$A:$A,A46)+SUMIFS('[2]turmas 2014.2'!$O:$O,'[2]turmas 2014.2'!$V:$V,$H$5,'[2]turmas 2014.2'!$A:$A,'CRÉDITOS POR CENTRO'!$A46))</f>
        <v>#VALUE!</v>
      </c>
      <c r="I46" s="39" t="e">
        <f t="shared" si="2"/>
        <v>#VALUE!</v>
      </c>
      <c r="J46" s="38" t="e">
        <f t="shared" si="3"/>
        <v>#VALUE!</v>
      </c>
    </row>
    <row r="47" spans="1:10" ht="15">
      <c r="A47" s="269" t="s">
        <v>4470</v>
      </c>
      <c r="B47" s="269" t="s">
        <v>4471</v>
      </c>
      <c r="C47" s="38" t="e">
        <f>SUMIF('[2]turmas 2014.2'!A:A,$A47,'[2]turmas 2014.2'!N:N)+SUMIF('[2]turmas 2014.2'!A:A,$A47,'[2]turmas 2014.2'!O:O)</f>
        <v>#VALUE!</v>
      </c>
      <c r="D47" s="38" t="e">
        <f>(SUMIFS('[2]turmas 2014.2'!$N:$N,'[2]turmas 2014.2'!$R:$R,$D$5,'[2]turmas 2014.2'!$C:$C,B47)+SUMIFS('[2]turmas 2014.2'!$O:$O,'[2]turmas 2014.2'!$V:$V,$D$5,'[2]turmas 2014.2'!$C:$C,'CRÉDITOS POR CENTRO'!$B47))</f>
        <v>#VALUE!</v>
      </c>
      <c r="E47" s="39" t="e">
        <f t="shared" si="0"/>
        <v>#VALUE!</v>
      </c>
      <c r="F47" s="38" t="e">
        <f>(SUMIFS('[2]turmas 2014.2'!$N:$N,'[2]turmas 2014.2'!$R:$R,$F$5,'[2]turmas 2014.2'!$C:$C,B47)+SUMIFS('[2]turmas 2014.2'!$O:$O,'[2]turmas 2014.2'!$V:$V,$F$5,'[2]turmas 2014.2'!$C:$C,'CRÉDITOS POR CENTRO'!$B47))</f>
        <v>#VALUE!</v>
      </c>
      <c r="G47" s="39" t="e">
        <f t="shared" si="1"/>
        <v>#VALUE!</v>
      </c>
      <c r="H47" s="38" t="e">
        <f>(SUMIFS('[2]turmas 2014.2'!$N:$N,'[2]turmas 2014.2'!$R:$R,$H$5,'[2]turmas 2014.2'!$A:$A,A47)+SUMIFS('[2]turmas 2014.2'!$O:$O,'[2]turmas 2014.2'!$V:$V,$H$5,'[2]turmas 2014.2'!$A:$A,'CRÉDITOS POR CENTRO'!$A47))</f>
        <v>#VALUE!</v>
      </c>
      <c r="I47" s="39" t="e">
        <f t="shared" si="2"/>
        <v>#VALUE!</v>
      </c>
      <c r="J47" s="38" t="e">
        <f t="shared" si="3"/>
        <v>#VALUE!</v>
      </c>
    </row>
    <row r="48" spans="1:10" ht="15">
      <c r="A48" s="269" t="s">
        <v>4472</v>
      </c>
      <c r="B48" s="269" t="s">
        <v>4473</v>
      </c>
      <c r="C48" s="38" t="e">
        <f>SUMIF('[2]turmas 2014.2'!A:A,$A48,'[2]turmas 2014.2'!N:N)+SUMIF('[2]turmas 2014.2'!A:A,$A48,'[2]turmas 2014.2'!O:O)</f>
        <v>#VALUE!</v>
      </c>
      <c r="D48" s="38" t="e">
        <f>(SUMIFS('[2]turmas 2014.2'!$N:$N,'[2]turmas 2014.2'!$R:$R,$D$5,'[2]turmas 2014.2'!$C:$C,B48)+SUMIFS('[2]turmas 2014.2'!$O:$O,'[2]turmas 2014.2'!$V:$V,$D$5,'[2]turmas 2014.2'!$C:$C,'CRÉDITOS POR CENTRO'!$B48))</f>
        <v>#VALUE!</v>
      </c>
      <c r="E48" s="39" t="e">
        <f t="shared" si="0"/>
        <v>#VALUE!</v>
      </c>
      <c r="F48" s="38" t="e">
        <f>(SUMIFS('[2]turmas 2014.2'!$N:$N,'[2]turmas 2014.2'!$R:$R,$F$5,'[2]turmas 2014.2'!$C:$C,B48)+SUMIFS('[2]turmas 2014.2'!$O:$O,'[2]turmas 2014.2'!$V:$V,$F$5,'[2]turmas 2014.2'!$C:$C,'CRÉDITOS POR CENTRO'!$B48))</f>
        <v>#VALUE!</v>
      </c>
      <c r="G48" s="39" t="e">
        <f t="shared" si="1"/>
        <v>#VALUE!</v>
      </c>
      <c r="H48" s="38" t="e">
        <f>(SUMIFS('[2]turmas 2014.2'!$N:$N,'[2]turmas 2014.2'!$R:$R,$H$5,'[2]turmas 2014.2'!$A:$A,A48)+SUMIFS('[2]turmas 2014.2'!$O:$O,'[2]turmas 2014.2'!$V:$V,$H$5,'[2]turmas 2014.2'!$A:$A,'CRÉDITOS POR CENTRO'!$A48))</f>
        <v>#VALUE!</v>
      </c>
      <c r="I48" s="39" t="e">
        <f t="shared" si="2"/>
        <v>#VALUE!</v>
      </c>
      <c r="J48" s="38" t="e">
        <f t="shared" si="3"/>
        <v>#VALUE!</v>
      </c>
    </row>
    <row r="49" spans="1:10" ht="15">
      <c r="A49" s="269" t="s">
        <v>4474</v>
      </c>
      <c r="B49" s="269" t="s">
        <v>4475</v>
      </c>
      <c r="C49" s="38" t="e">
        <f>SUMIF('[2]turmas 2014.2'!A:A,$A49,'[2]turmas 2014.2'!N:N)+SUMIF('[2]turmas 2014.2'!A:A,$A49,'[2]turmas 2014.2'!O:O)</f>
        <v>#VALUE!</v>
      </c>
      <c r="D49" s="38" t="e">
        <f>(SUMIFS('[2]turmas 2014.2'!$N:$N,'[2]turmas 2014.2'!$R:$R,$D$5,'[2]turmas 2014.2'!$C:$C,B49)+SUMIFS('[2]turmas 2014.2'!$O:$O,'[2]turmas 2014.2'!$V:$V,$D$5,'[2]turmas 2014.2'!$C:$C,'CRÉDITOS POR CENTRO'!$B49))</f>
        <v>#VALUE!</v>
      </c>
      <c r="E49" s="39" t="e">
        <f t="shared" si="0"/>
        <v>#VALUE!</v>
      </c>
      <c r="F49" s="38" t="e">
        <f>(SUMIFS('[2]turmas 2014.2'!$N:$N,'[2]turmas 2014.2'!$R:$R,$F$5,'[2]turmas 2014.2'!$C:$C,B49)+SUMIFS('[2]turmas 2014.2'!$O:$O,'[2]turmas 2014.2'!$V:$V,$F$5,'[2]turmas 2014.2'!$C:$C,'CRÉDITOS POR CENTRO'!$B49))</f>
        <v>#VALUE!</v>
      </c>
      <c r="G49" s="39" t="e">
        <f t="shared" si="1"/>
        <v>#VALUE!</v>
      </c>
      <c r="H49" s="38" t="e">
        <f>(SUMIFS('[2]turmas 2014.2'!$N:$N,'[2]turmas 2014.2'!$R:$R,$H$5,'[2]turmas 2014.2'!$A:$A,A49)+SUMIFS('[2]turmas 2014.2'!$O:$O,'[2]turmas 2014.2'!$V:$V,$H$5,'[2]turmas 2014.2'!$A:$A,'CRÉDITOS POR CENTRO'!$A49))</f>
        <v>#VALUE!</v>
      </c>
      <c r="I49" s="39" t="e">
        <f t="shared" si="2"/>
        <v>#VALUE!</v>
      </c>
      <c r="J49" s="38" t="e">
        <f t="shared" si="3"/>
        <v>#VALUE!</v>
      </c>
    </row>
    <row r="50" spans="1:10" ht="15">
      <c r="A50" s="269" t="s">
        <v>4476</v>
      </c>
      <c r="B50" s="269" t="s">
        <v>4477</v>
      </c>
      <c r="C50" s="38" t="e">
        <f>SUMIF('[2]turmas 2014.2'!A:A,$A50,'[2]turmas 2014.2'!N:N)+SUMIF('[2]turmas 2014.2'!A:A,$A50,'[2]turmas 2014.2'!O:O)</f>
        <v>#VALUE!</v>
      </c>
      <c r="D50" s="38" t="e">
        <f>(SUMIFS('[2]turmas 2014.2'!$N:$N,'[2]turmas 2014.2'!$R:$R,$D$5,'[2]turmas 2014.2'!$C:$C,B50)+SUMIFS('[2]turmas 2014.2'!$O:$O,'[2]turmas 2014.2'!$V:$V,$D$5,'[2]turmas 2014.2'!$C:$C,'CRÉDITOS POR CENTRO'!$B50))</f>
        <v>#VALUE!</v>
      </c>
      <c r="E50" s="39" t="e">
        <f t="shared" si="0"/>
        <v>#VALUE!</v>
      </c>
      <c r="F50" s="38" t="e">
        <f>(SUMIFS('[2]turmas 2014.2'!$N:$N,'[2]turmas 2014.2'!$R:$R,$F$5,'[2]turmas 2014.2'!$C:$C,B50)+SUMIFS('[2]turmas 2014.2'!$O:$O,'[2]turmas 2014.2'!$V:$V,$F$5,'[2]turmas 2014.2'!$C:$C,'CRÉDITOS POR CENTRO'!$B50))</f>
        <v>#VALUE!</v>
      </c>
      <c r="G50" s="39" t="e">
        <f t="shared" si="1"/>
        <v>#VALUE!</v>
      </c>
      <c r="H50" s="38" t="e">
        <f>(SUMIFS('[2]turmas 2014.2'!$N:$N,'[2]turmas 2014.2'!$R:$R,$H$5,'[2]turmas 2014.2'!$A:$A,A50)+SUMIFS('[2]turmas 2014.2'!$O:$O,'[2]turmas 2014.2'!$V:$V,$H$5,'[2]turmas 2014.2'!$A:$A,'CRÉDITOS POR CENTRO'!$A50))</f>
        <v>#VALUE!</v>
      </c>
      <c r="I50" s="39" t="e">
        <f t="shared" si="2"/>
        <v>#VALUE!</v>
      </c>
      <c r="J50" s="38" t="e">
        <f t="shared" si="3"/>
        <v>#VALUE!</v>
      </c>
    </row>
    <row r="51" spans="1:10" ht="15">
      <c r="A51" s="269" t="s">
        <v>4478</v>
      </c>
      <c r="B51" s="269" t="s">
        <v>4479</v>
      </c>
      <c r="C51" s="38" t="e">
        <f>SUMIF('[2]turmas 2014.2'!A:A,$A51,'[2]turmas 2014.2'!N:N)+SUMIF('[2]turmas 2014.2'!A:A,$A51,'[2]turmas 2014.2'!O:O)</f>
        <v>#VALUE!</v>
      </c>
      <c r="D51" s="38" t="e">
        <f>(SUMIFS('[2]turmas 2014.2'!$N:$N,'[2]turmas 2014.2'!$R:$R,$D$5,'[2]turmas 2014.2'!$C:$C,B51)+SUMIFS('[2]turmas 2014.2'!$O:$O,'[2]turmas 2014.2'!$V:$V,$D$5,'[2]turmas 2014.2'!$C:$C,'CRÉDITOS POR CENTRO'!$B51))</f>
        <v>#VALUE!</v>
      </c>
      <c r="E51" s="39" t="e">
        <f t="shared" si="0"/>
        <v>#VALUE!</v>
      </c>
      <c r="F51" s="38" t="e">
        <f>(SUMIFS('[2]turmas 2014.2'!$N:$N,'[2]turmas 2014.2'!$R:$R,$F$5,'[2]turmas 2014.2'!$C:$C,B51)+SUMIFS('[2]turmas 2014.2'!$O:$O,'[2]turmas 2014.2'!$V:$V,$F$5,'[2]turmas 2014.2'!$C:$C,'CRÉDITOS POR CENTRO'!$B51))</f>
        <v>#VALUE!</v>
      </c>
      <c r="G51" s="39" t="e">
        <f t="shared" si="1"/>
        <v>#VALUE!</v>
      </c>
      <c r="H51" s="38" t="e">
        <f>(SUMIFS('[2]turmas 2014.2'!$N:$N,'[2]turmas 2014.2'!$R:$R,$H$5,'[2]turmas 2014.2'!$A:$A,A51)+SUMIFS('[2]turmas 2014.2'!$O:$O,'[2]turmas 2014.2'!$V:$V,$H$5,'[2]turmas 2014.2'!$A:$A,'CRÉDITOS POR CENTRO'!$A51))</f>
        <v>#VALUE!</v>
      </c>
      <c r="I51" s="39" t="e">
        <f t="shared" si="2"/>
        <v>#VALUE!</v>
      </c>
      <c r="J51" s="38" t="e">
        <f t="shared" si="3"/>
        <v>#VALUE!</v>
      </c>
    </row>
    <row r="52" spans="1:10" ht="15">
      <c r="A52" s="269" t="s">
        <v>989</v>
      </c>
      <c r="B52" s="269" t="s">
        <v>990</v>
      </c>
      <c r="C52" s="38" t="e">
        <f>SUMIF('[2]turmas 2014.2'!A:A,$A52,'[2]turmas 2014.2'!N:N)+SUMIF('[2]turmas 2014.2'!A:A,$A52,'[2]turmas 2014.2'!O:O)</f>
        <v>#VALUE!</v>
      </c>
      <c r="D52" s="38" t="e">
        <f>(SUMIFS('[2]turmas 2014.2'!$N:$N,'[2]turmas 2014.2'!$R:$R,$D$5,'[2]turmas 2014.2'!$C:$C,B52)+SUMIFS('[2]turmas 2014.2'!$O:$O,'[2]turmas 2014.2'!$V:$V,$D$5,'[2]turmas 2014.2'!$C:$C,'CRÉDITOS POR CENTRO'!$B52))</f>
        <v>#VALUE!</v>
      </c>
      <c r="E52" s="39" t="e">
        <f t="shared" si="0"/>
        <v>#VALUE!</v>
      </c>
      <c r="F52" s="38" t="e">
        <f>(SUMIFS('[2]turmas 2014.2'!$N:$N,'[2]turmas 2014.2'!$R:$R,$F$5,'[2]turmas 2014.2'!$C:$C,B52)+SUMIFS('[2]turmas 2014.2'!$O:$O,'[2]turmas 2014.2'!$V:$V,$F$5,'[2]turmas 2014.2'!$C:$C,'CRÉDITOS POR CENTRO'!$B52))</f>
        <v>#VALUE!</v>
      </c>
      <c r="G52" s="39" t="e">
        <f t="shared" si="1"/>
        <v>#VALUE!</v>
      </c>
      <c r="H52" s="38" t="e">
        <f>(SUMIFS('[2]turmas 2014.2'!$N:$N,'[2]turmas 2014.2'!$R:$R,$H$5,'[2]turmas 2014.2'!$A:$A,A52)+SUMIFS('[2]turmas 2014.2'!$O:$O,'[2]turmas 2014.2'!$V:$V,$H$5,'[2]turmas 2014.2'!$A:$A,'CRÉDITOS POR CENTRO'!$A52))</f>
        <v>#VALUE!</v>
      </c>
      <c r="I52" s="39" t="e">
        <f t="shared" si="2"/>
        <v>#VALUE!</v>
      </c>
      <c r="J52" s="38" t="e">
        <f t="shared" si="3"/>
        <v>#VALUE!</v>
      </c>
    </row>
    <row r="53" spans="1:10" ht="15">
      <c r="A53" s="269" t="s">
        <v>4480</v>
      </c>
      <c r="B53" s="269" t="s">
        <v>4481</v>
      </c>
      <c r="C53" s="38" t="e">
        <f>SUMIF('[2]turmas 2014.2'!A:A,$A53,'[2]turmas 2014.2'!N:N)+SUMIF('[2]turmas 2014.2'!A:A,$A53,'[2]turmas 2014.2'!O:O)</f>
        <v>#VALUE!</v>
      </c>
      <c r="D53" s="38" t="e">
        <f>(SUMIFS('[2]turmas 2014.2'!$N:$N,'[2]turmas 2014.2'!$R:$R,$D$5,'[2]turmas 2014.2'!$C:$C,B53)+SUMIFS('[2]turmas 2014.2'!$O:$O,'[2]turmas 2014.2'!$V:$V,$D$5,'[2]turmas 2014.2'!$C:$C,'CRÉDITOS POR CENTRO'!$B53))</f>
        <v>#VALUE!</v>
      </c>
      <c r="E53" s="39" t="e">
        <f t="shared" si="0"/>
        <v>#VALUE!</v>
      </c>
      <c r="F53" s="38" t="e">
        <f>(SUMIFS('[2]turmas 2014.2'!$N:$N,'[2]turmas 2014.2'!$R:$R,$F$5,'[2]turmas 2014.2'!$C:$C,B53)+SUMIFS('[2]turmas 2014.2'!$O:$O,'[2]turmas 2014.2'!$V:$V,$F$5,'[2]turmas 2014.2'!$C:$C,'CRÉDITOS POR CENTRO'!$B53))</f>
        <v>#VALUE!</v>
      </c>
      <c r="G53" s="39" t="e">
        <f t="shared" si="1"/>
        <v>#VALUE!</v>
      </c>
      <c r="H53" s="38" t="e">
        <f>(SUMIFS('[2]turmas 2014.2'!$N:$N,'[2]turmas 2014.2'!$R:$R,$H$5,'[2]turmas 2014.2'!$A:$A,A53)+SUMIFS('[2]turmas 2014.2'!$O:$O,'[2]turmas 2014.2'!$V:$V,$H$5,'[2]turmas 2014.2'!$A:$A,'CRÉDITOS POR CENTRO'!$A53))</f>
        <v>#VALUE!</v>
      </c>
      <c r="I53" s="39" t="e">
        <f t="shared" si="2"/>
        <v>#VALUE!</v>
      </c>
      <c r="J53" s="38" t="e">
        <f t="shared" si="3"/>
        <v>#VALUE!</v>
      </c>
    </row>
    <row r="54" spans="1:10" ht="15">
      <c r="A54" s="269" t="s">
        <v>1034</v>
      </c>
      <c r="B54" s="269" t="s">
        <v>1035</v>
      </c>
      <c r="C54" s="38" t="e">
        <f>SUMIF('[2]turmas 2014.2'!A:A,$A54,'[2]turmas 2014.2'!N:N)+SUMIF('[2]turmas 2014.2'!A:A,$A54,'[2]turmas 2014.2'!O:O)</f>
        <v>#VALUE!</v>
      </c>
      <c r="D54" s="38" t="e">
        <f>(SUMIFS('[2]turmas 2014.2'!$N:$N,'[2]turmas 2014.2'!$R:$R,$D$5,'[2]turmas 2014.2'!$C:$C,B54)+SUMIFS('[2]turmas 2014.2'!$O:$O,'[2]turmas 2014.2'!$V:$V,$D$5,'[2]turmas 2014.2'!$C:$C,'CRÉDITOS POR CENTRO'!$B54))</f>
        <v>#VALUE!</v>
      </c>
      <c r="E54" s="39" t="e">
        <f t="shared" si="0"/>
        <v>#VALUE!</v>
      </c>
      <c r="F54" s="38" t="e">
        <f>(SUMIFS('[2]turmas 2014.2'!$N:$N,'[2]turmas 2014.2'!$R:$R,$F$5,'[2]turmas 2014.2'!$C:$C,B54)+SUMIFS('[2]turmas 2014.2'!$O:$O,'[2]turmas 2014.2'!$V:$V,$F$5,'[2]turmas 2014.2'!$C:$C,'CRÉDITOS POR CENTRO'!$B54))</f>
        <v>#VALUE!</v>
      </c>
      <c r="G54" s="39" t="e">
        <f t="shared" si="1"/>
        <v>#VALUE!</v>
      </c>
      <c r="H54" s="38" t="e">
        <f>(SUMIFS('[2]turmas 2014.2'!$N:$N,'[2]turmas 2014.2'!$R:$R,$H$5,'[2]turmas 2014.2'!$A:$A,A54)+SUMIFS('[2]turmas 2014.2'!$O:$O,'[2]turmas 2014.2'!$V:$V,$H$5,'[2]turmas 2014.2'!$A:$A,'CRÉDITOS POR CENTRO'!$A54))</f>
        <v>#VALUE!</v>
      </c>
      <c r="I54" s="39" t="e">
        <f t="shared" si="2"/>
        <v>#VALUE!</v>
      </c>
      <c r="J54" s="38" t="e">
        <f t="shared" si="3"/>
        <v>#VALUE!</v>
      </c>
    </row>
    <row r="55" spans="1:10" ht="15">
      <c r="A55" s="269" t="s">
        <v>4482</v>
      </c>
      <c r="B55" s="269" t="s">
        <v>4483</v>
      </c>
      <c r="C55" s="38" t="e">
        <f>SUMIF('[2]turmas 2014.2'!A:A,$A55,'[2]turmas 2014.2'!N:N)+SUMIF('[2]turmas 2014.2'!A:A,$A55,'[2]turmas 2014.2'!O:O)</f>
        <v>#VALUE!</v>
      </c>
      <c r="D55" s="38" t="e">
        <f>(SUMIFS('[2]turmas 2014.2'!$N:$N,'[2]turmas 2014.2'!$R:$R,$D$5,'[2]turmas 2014.2'!$C:$C,B55)+SUMIFS('[2]turmas 2014.2'!$O:$O,'[2]turmas 2014.2'!$V:$V,$D$5,'[2]turmas 2014.2'!$C:$C,'CRÉDITOS POR CENTRO'!$B55))</f>
        <v>#VALUE!</v>
      </c>
      <c r="E55" s="39" t="e">
        <f t="shared" si="0"/>
        <v>#VALUE!</v>
      </c>
      <c r="F55" s="38" t="e">
        <f>(SUMIFS('[2]turmas 2014.2'!$N:$N,'[2]turmas 2014.2'!$R:$R,$F$5,'[2]turmas 2014.2'!$C:$C,B55)+SUMIFS('[2]turmas 2014.2'!$O:$O,'[2]turmas 2014.2'!$V:$V,$F$5,'[2]turmas 2014.2'!$C:$C,'CRÉDITOS POR CENTRO'!$B55))</f>
        <v>#VALUE!</v>
      </c>
      <c r="G55" s="39" t="e">
        <f t="shared" si="1"/>
        <v>#VALUE!</v>
      </c>
      <c r="H55" s="38" t="e">
        <f>(SUMIFS('[2]turmas 2014.2'!$N:$N,'[2]turmas 2014.2'!$R:$R,$H$5,'[2]turmas 2014.2'!$A:$A,A55)+SUMIFS('[2]turmas 2014.2'!$O:$O,'[2]turmas 2014.2'!$V:$V,$H$5,'[2]turmas 2014.2'!$A:$A,'CRÉDITOS POR CENTRO'!$A55))</f>
        <v>#VALUE!</v>
      </c>
      <c r="I55" s="39" t="e">
        <f t="shared" si="2"/>
        <v>#VALUE!</v>
      </c>
      <c r="J55" s="38" t="e">
        <f t="shared" si="3"/>
        <v>#VALUE!</v>
      </c>
    </row>
    <row r="56" spans="1:10" ht="15">
      <c r="A56" s="269" t="s">
        <v>4484</v>
      </c>
      <c r="B56" s="269" t="s">
        <v>4485</v>
      </c>
      <c r="C56" s="38" t="e">
        <f>SUMIF('[2]turmas 2014.2'!A:A,$A56,'[2]turmas 2014.2'!N:N)+SUMIF('[2]turmas 2014.2'!A:A,$A56,'[2]turmas 2014.2'!O:O)</f>
        <v>#VALUE!</v>
      </c>
      <c r="D56" s="38" t="e">
        <f>(SUMIFS('[2]turmas 2014.2'!$N:$N,'[2]turmas 2014.2'!$R:$R,$D$5,'[2]turmas 2014.2'!$C:$C,B56)+SUMIFS('[2]turmas 2014.2'!$O:$O,'[2]turmas 2014.2'!$V:$V,$D$5,'[2]turmas 2014.2'!$C:$C,'CRÉDITOS POR CENTRO'!$B56))</f>
        <v>#VALUE!</v>
      </c>
      <c r="E56" s="39" t="e">
        <f t="shared" si="0"/>
        <v>#VALUE!</v>
      </c>
      <c r="F56" s="38" t="e">
        <f>(SUMIFS('[2]turmas 2014.2'!$N:$N,'[2]turmas 2014.2'!$R:$R,$F$5,'[2]turmas 2014.2'!$C:$C,B56)+SUMIFS('[2]turmas 2014.2'!$O:$O,'[2]turmas 2014.2'!$V:$V,$F$5,'[2]turmas 2014.2'!$C:$C,'CRÉDITOS POR CENTRO'!$B56))</f>
        <v>#VALUE!</v>
      </c>
      <c r="G56" s="39" t="e">
        <f t="shared" si="1"/>
        <v>#VALUE!</v>
      </c>
      <c r="H56" s="38" t="e">
        <f>(SUMIFS('[2]turmas 2014.2'!$N:$N,'[2]turmas 2014.2'!$R:$R,$H$5,'[2]turmas 2014.2'!$A:$A,A56)+SUMIFS('[2]turmas 2014.2'!$O:$O,'[2]turmas 2014.2'!$V:$V,$H$5,'[2]turmas 2014.2'!$A:$A,'CRÉDITOS POR CENTRO'!$A56))</f>
        <v>#VALUE!</v>
      </c>
      <c r="I56" s="39" t="e">
        <f t="shared" si="2"/>
        <v>#VALUE!</v>
      </c>
      <c r="J56" s="38" t="e">
        <f t="shared" si="3"/>
        <v>#VALUE!</v>
      </c>
    </row>
    <row r="57" spans="1:10" ht="15">
      <c r="A57" s="269" t="s">
        <v>4486</v>
      </c>
      <c r="B57" s="269" t="s">
        <v>4487</v>
      </c>
      <c r="C57" s="38" t="e">
        <f>SUMIF('[2]turmas 2014.2'!A:A,$A57,'[2]turmas 2014.2'!N:N)+SUMIF('[2]turmas 2014.2'!A:A,$A57,'[2]turmas 2014.2'!O:O)</f>
        <v>#VALUE!</v>
      </c>
      <c r="D57" s="38" t="e">
        <f>(SUMIFS('[2]turmas 2014.2'!$N:$N,'[2]turmas 2014.2'!$R:$R,$D$5,'[2]turmas 2014.2'!$C:$C,B57)+SUMIFS('[2]turmas 2014.2'!$O:$O,'[2]turmas 2014.2'!$V:$V,$D$5,'[2]turmas 2014.2'!$C:$C,'CRÉDITOS POR CENTRO'!$B57))</f>
        <v>#VALUE!</v>
      </c>
      <c r="E57" s="39" t="e">
        <f t="shared" si="0"/>
        <v>#VALUE!</v>
      </c>
      <c r="F57" s="38" t="e">
        <f>(SUMIFS('[2]turmas 2014.2'!$N:$N,'[2]turmas 2014.2'!$R:$R,$F$5,'[2]turmas 2014.2'!$C:$C,B57)+SUMIFS('[2]turmas 2014.2'!$O:$O,'[2]turmas 2014.2'!$V:$V,$F$5,'[2]turmas 2014.2'!$C:$C,'CRÉDITOS POR CENTRO'!$B57))</f>
        <v>#VALUE!</v>
      </c>
      <c r="G57" s="39" t="e">
        <f t="shared" si="1"/>
        <v>#VALUE!</v>
      </c>
      <c r="H57" s="38" t="e">
        <f>(SUMIFS('[2]turmas 2014.2'!$N:$N,'[2]turmas 2014.2'!$R:$R,$H$5,'[2]turmas 2014.2'!$A:$A,A57)+SUMIFS('[2]turmas 2014.2'!$O:$O,'[2]turmas 2014.2'!$V:$V,$H$5,'[2]turmas 2014.2'!$A:$A,'CRÉDITOS POR CENTRO'!$A57))</f>
        <v>#VALUE!</v>
      </c>
      <c r="I57" s="39" t="e">
        <f t="shared" si="2"/>
        <v>#VALUE!</v>
      </c>
      <c r="J57" s="38" t="e">
        <f t="shared" si="3"/>
        <v>#VALUE!</v>
      </c>
    </row>
    <row r="58" spans="1:10" ht="15">
      <c r="A58" s="269" t="s">
        <v>4488</v>
      </c>
      <c r="B58" s="269" t="s">
        <v>4489</v>
      </c>
      <c r="C58" s="38" t="e">
        <f>SUMIF('[2]turmas 2014.2'!A:A,$A58,'[2]turmas 2014.2'!N:N)+SUMIF('[2]turmas 2014.2'!A:A,$A58,'[2]turmas 2014.2'!O:O)</f>
        <v>#VALUE!</v>
      </c>
      <c r="D58" s="38" t="e">
        <f>(SUMIFS('[2]turmas 2014.2'!$N:$N,'[2]turmas 2014.2'!$R:$R,$D$5,'[2]turmas 2014.2'!$C:$C,B58)+SUMIFS('[2]turmas 2014.2'!$O:$O,'[2]turmas 2014.2'!$V:$V,$D$5,'[2]turmas 2014.2'!$C:$C,'CRÉDITOS POR CENTRO'!$B58))</f>
        <v>#VALUE!</v>
      </c>
      <c r="E58" s="39" t="e">
        <f t="shared" si="0"/>
        <v>#VALUE!</v>
      </c>
      <c r="F58" s="38" t="e">
        <f>(SUMIFS('[2]turmas 2014.2'!$N:$N,'[2]turmas 2014.2'!$R:$R,$F$5,'[2]turmas 2014.2'!$C:$C,B58)+SUMIFS('[2]turmas 2014.2'!$O:$O,'[2]turmas 2014.2'!$V:$V,$F$5,'[2]turmas 2014.2'!$C:$C,'CRÉDITOS POR CENTRO'!$B58))</f>
        <v>#VALUE!</v>
      </c>
      <c r="G58" s="39" t="e">
        <f t="shared" si="1"/>
        <v>#VALUE!</v>
      </c>
      <c r="H58" s="38" t="e">
        <f>(SUMIFS('[2]turmas 2014.2'!$N:$N,'[2]turmas 2014.2'!$R:$R,$H$5,'[2]turmas 2014.2'!$A:$A,A58)+SUMIFS('[2]turmas 2014.2'!$O:$O,'[2]turmas 2014.2'!$V:$V,$H$5,'[2]turmas 2014.2'!$A:$A,'CRÉDITOS POR CENTRO'!$A58))</f>
        <v>#VALUE!</v>
      </c>
      <c r="I58" s="39" t="e">
        <f t="shared" si="2"/>
        <v>#VALUE!</v>
      </c>
      <c r="J58" s="38" t="e">
        <f t="shared" si="3"/>
        <v>#VALUE!</v>
      </c>
    </row>
    <row r="59" spans="1:10" ht="15">
      <c r="A59" s="269" t="s">
        <v>4490</v>
      </c>
      <c r="B59" s="269" t="s">
        <v>1075</v>
      </c>
      <c r="C59" s="38" t="e">
        <f>SUMIF('[2]turmas 2014.2'!A:A,$A59,'[2]turmas 2014.2'!N:N)+SUMIF('[2]turmas 2014.2'!A:A,$A59,'[2]turmas 2014.2'!O:O)</f>
        <v>#VALUE!</v>
      </c>
      <c r="D59" s="38" t="e">
        <f>(SUMIFS('[2]turmas 2014.2'!$N:$N,'[2]turmas 2014.2'!$R:$R,$D$5,'[2]turmas 2014.2'!$C:$C,B59)+SUMIFS('[2]turmas 2014.2'!$O:$O,'[2]turmas 2014.2'!$V:$V,$D$5,'[2]turmas 2014.2'!$C:$C,'CRÉDITOS POR CENTRO'!$B59))</f>
        <v>#VALUE!</v>
      </c>
      <c r="E59" s="39" t="e">
        <f t="shared" si="0"/>
        <v>#VALUE!</v>
      </c>
      <c r="F59" s="38" t="e">
        <f>(SUMIFS('[2]turmas 2014.2'!$N:$N,'[2]turmas 2014.2'!$R:$R,$F$5,'[2]turmas 2014.2'!$C:$C,B59)+SUMIFS('[2]turmas 2014.2'!$O:$O,'[2]turmas 2014.2'!$V:$V,$F$5,'[2]turmas 2014.2'!$C:$C,'CRÉDITOS POR CENTRO'!$B59))</f>
        <v>#VALUE!</v>
      </c>
      <c r="G59" s="39" t="e">
        <f t="shared" si="1"/>
        <v>#VALUE!</v>
      </c>
      <c r="H59" s="38" t="e">
        <f>(SUMIFS('[2]turmas 2014.2'!$N:$N,'[2]turmas 2014.2'!$R:$R,$H$5,'[2]turmas 2014.2'!$A:$A,A59)+SUMIFS('[2]turmas 2014.2'!$O:$O,'[2]turmas 2014.2'!$V:$V,$H$5,'[2]turmas 2014.2'!$A:$A,'CRÉDITOS POR CENTRO'!$A59))</f>
        <v>#VALUE!</v>
      </c>
      <c r="I59" s="39" t="e">
        <f t="shared" si="2"/>
        <v>#VALUE!</v>
      </c>
      <c r="J59" s="38" t="e">
        <f t="shared" si="3"/>
        <v>#VALUE!</v>
      </c>
    </row>
    <row r="60" spans="1:10" ht="15">
      <c r="A60" s="269" t="s">
        <v>4491</v>
      </c>
      <c r="B60" s="269" t="s">
        <v>4492</v>
      </c>
      <c r="C60" s="38" t="e">
        <f>SUMIF('[2]turmas 2014.2'!A:A,$A60,'[2]turmas 2014.2'!N:N)+SUMIF('[2]turmas 2014.2'!A:A,$A60,'[2]turmas 2014.2'!O:O)</f>
        <v>#VALUE!</v>
      </c>
      <c r="D60" s="38" t="e">
        <f>(SUMIFS('[2]turmas 2014.2'!$N:$N,'[2]turmas 2014.2'!$R:$R,$D$5,'[2]turmas 2014.2'!$C:$C,B60)+SUMIFS('[2]turmas 2014.2'!$O:$O,'[2]turmas 2014.2'!$V:$V,$D$5,'[2]turmas 2014.2'!$C:$C,'CRÉDITOS POR CENTRO'!$B60))</f>
        <v>#VALUE!</v>
      </c>
      <c r="E60" s="39" t="e">
        <f t="shared" si="0"/>
        <v>#VALUE!</v>
      </c>
      <c r="F60" s="38" t="e">
        <f>(SUMIFS('[2]turmas 2014.2'!$N:$N,'[2]turmas 2014.2'!$R:$R,$F$5,'[2]turmas 2014.2'!$C:$C,B60)+SUMIFS('[2]turmas 2014.2'!$O:$O,'[2]turmas 2014.2'!$V:$V,$F$5,'[2]turmas 2014.2'!$C:$C,'CRÉDITOS POR CENTRO'!$B60))</f>
        <v>#VALUE!</v>
      </c>
      <c r="G60" s="39" t="e">
        <f t="shared" si="1"/>
        <v>#VALUE!</v>
      </c>
      <c r="H60" s="38" t="e">
        <f>(SUMIFS('[2]turmas 2014.2'!$N:$N,'[2]turmas 2014.2'!$R:$R,$H$5,'[2]turmas 2014.2'!$A:$A,A60)+SUMIFS('[2]turmas 2014.2'!$O:$O,'[2]turmas 2014.2'!$V:$V,$H$5,'[2]turmas 2014.2'!$A:$A,'CRÉDITOS POR CENTRO'!$A60))</f>
        <v>#VALUE!</v>
      </c>
      <c r="I60" s="39" t="e">
        <f t="shared" si="2"/>
        <v>#VALUE!</v>
      </c>
      <c r="J60" s="38" t="e">
        <f t="shared" si="3"/>
        <v>#VALUE!</v>
      </c>
    </row>
    <row r="61" spans="1:10" ht="15">
      <c r="A61" s="269" t="s">
        <v>4493</v>
      </c>
      <c r="B61" s="269" t="s">
        <v>4494</v>
      </c>
      <c r="C61" s="38" t="e">
        <f>SUMIF('[2]turmas 2014.2'!A:A,$A61,'[2]turmas 2014.2'!N:N)+SUMIF('[2]turmas 2014.2'!A:A,$A61,'[2]turmas 2014.2'!O:O)</f>
        <v>#VALUE!</v>
      </c>
      <c r="D61" s="38" t="e">
        <f>(SUMIFS('[2]turmas 2014.2'!$N:$N,'[2]turmas 2014.2'!$R:$R,$D$5,'[2]turmas 2014.2'!$C:$C,B61)+SUMIFS('[2]turmas 2014.2'!$O:$O,'[2]turmas 2014.2'!$V:$V,$D$5,'[2]turmas 2014.2'!$C:$C,'CRÉDITOS POR CENTRO'!$B61))</f>
        <v>#VALUE!</v>
      </c>
      <c r="E61" s="39" t="e">
        <f t="shared" si="0"/>
        <v>#VALUE!</v>
      </c>
      <c r="F61" s="38" t="e">
        <f>(SUMIFS('[2]turmas 2014.2'!$N:$N,'[2]turmas 2014.2'!$R:$R,$F$5,'[2]turmas 2014.2'!$C:$C,B61)+SUMIFS('[2]turmas 2014.2'!$O:$O,'[2]turmas 2014.2'!$V:$V,$F$5,'[2]turmas 2014.2'!$C:$C,'CRÉDITOS POR CENTRO'!$B61))</f>
        <v>#VALUE!</v>
      </c>
      <c r="G61" s="39" t="e">
        <f t="shared" si="1"/>
        <v>#VALUE!</v>
      </c>
      <c r="H61" s="38" t="e">
        <f>(SUMIFS('[2]turmas 2014.2'!$N:$N,'[2]turmas 2014.2'!$R:$R,$H$5,'[2]turmas 2014.2'!$A:$A,A61)+SUMIFS('[2]turmas 2014.2'!$O:$O,'[2]turmas 2014.2'!$V:$V,$H$5,'[2]turmas 2014.2'!$A:$A,'CRÉDITOS POR CENTRO'!$A61))</f>
        <v>#VALUE!</v>
      </c>
      <c r="I61" s="39" t="e">
        <f t="shared" si="2"/>
        <v>#VALUE!</v>
      </c>
      <c r="J61" s="38" t="e">
        <f t="shared" si="3"/>
        <v>#VALUE!</v>
      </c>
    </row>
    <row r="62" spans="1:10" ht="15">
      <c r="A62" s="269" t="s">
        <v>4495</v>
      </c>
      <c r="B62" s="269" t="s">
        <v>4496</v>
      </c>
      <c r="C62" s="38" t="e">
        <f>SUMIF('[2]turmas 2014.2'!A:A,$A62,'[2]turmas 2014.2'!N:N)+SUMIF('[2]turmas 2014.2'!A:A,$A62,'[2]turmas 2014.2'!O:O)</f>
        <v>#VALUE!</v>
      </c>
      <c r="D62" s="38" t="e">
        <f>(SUMIFS('[2]turmas 2014.2'!$N:$N,'[2]turmas 2014.2'!$R:$R,$D$5,'[2]turmas 2014.2'!$C:$C,B62)+SUMIFS('[2]turmas 2014.2'!$O:$O,'[2]turmas 2014.2'!$V:$V,$D$5,'[2]turmas 2014.2'!$C:$C,'CRÉDITOS POR CENTRO'!$B62))</f>
        <v>#VALUE!</v>
      </c>
      <c r="E62" s="39" t="e">
        <f t="shared" si="0"/>
        <v>#VALUE!</v>
      </c>
      <c r="F62" s="38" t="e">
        <f>(SUMIFS('[2]turmas 2014.2'!$N:$N,'[2]turmas 2014.2'!$R:$R,$F$5,'[2]turmas 2014.2'!$C:$C,B62)+SUMIFS('[2]turmas 2014.2'!$O:$O,'[2]turmas 2014.2'!$V:$V,$F$5,'[2]turmas 2014.2'!$C:$C,'CRÉDITOS POR CENTRO'!$B62))</f>
        <v>#VALUE!</v>
      </c>
      <c r="G62" s="39" t="e">
        <f t="shared" si="1"/>
        <v>#VALUE!</v>
      </c>
      <c r="H62" s="38" t="e">
        <f>(SUMIFS('[2]turmas 2014.2'!$N:$N,'[2]turmas 2014.2'!$R:$R,$H$5,'[2]turmas 2014.2'!$A:$A,A62)+SUMIFS('[2]turmas 2014.2'!$O:$O,'[2]turmas 2014.2'!$V:$V,$H$5,'[2]turmas 2014.2'!$A:$A,'CRÉDITOS POR CENTRO'!$A62))</f>
        <v>#VALUE!</v>
      </c>
      <c r="I62" s="39" t="e">
        <f t="shared" si="2"/>
        <v>#VALUE!</v>
      </c>
      <c r="J62" s="38" t="e">
        <f t="shared" si="3"/>
        <v>#VALUE!</v>
      </c>
    </row>
    <row r="63" spans="1:10" ht="15">
      <c r="A63" s="269" t="s">
        <v>4497</v>
      </c>
      <c r="B63" s="269" t="s">
        <v>4498</v>
      </c>
      <c r="C63" s="38" t="e">
        <f>SUMIF('[2]turmas 2014.2'!A:A,$A63,'[2]turmas 2014.2'!N:N)+SUMIF('[2]turmas 2014.2'!A:A,$A63,'[2]turmas 2014.2'!O:O)</f>
        <v>#VALUE!</v>
      </c>
      <c r="D63" s="38" t="e">
        <f>(SUMIFS('[2]turmas 2014.2'!$N:$N,'[2]turmas 2014.2'!$R:$R,$D$5,'[2]turmas 2014.2'!$C:$C,B63)+SUMIFS('[2]turmas 2014.2'!$O:$O,'[2]turmas 2014.2'!$V:$V,$D$5,'[2]turmas 2014.2'!$C:$C,'CRÉDITOS POR CENTRO'!$B63))</f>
        <v>#VALUE!</v>
      </c>
      <c r="E63" s="39" t="e">
        <f t="shared" si="0"/>
        <v>#VALUE!</v>
      </c>
      <c r="F63" s="38" t="e">
        <f>(SUMIFS('[2]turmas 2014.2'!$N:$N,'[2]turmas 2014.2'!$R:$R,$F$5,'[2]turmas 2014.2'!$C:$C,B63)+SUMIFS('[2]turmas 2014.2'!$O:$O,'[2]turmas 2014.2'!$V:$V,$F$5,'[2]turmas 2014.2'!$C:$C,'CRÉDITOS POR CENTRO'!$B63))</f>
        <v>#VALUE!</v>
      </c>
      <c r="G63" s="39" t="e">
        <f t="shared" si="1"/>
        <v>#VALUE!</v>
      </c>
      <c r="H63" s="38" t="e">
        <f>(SUMIFS('[2]turmas 2014.2'!$N:$N,'[2]turmas 2014.2'!$R:$R,$H$5,'[2]turmas 2014.2'!$A:$A,A63)+SUMIFS('[2]turmas 2014.2'!$O:$O,'[2]turmas 2014.2'!$V:$V,$H$5,'[2]turmas 2014.2'!$A:$A,'CRÉDITOS POR CENTRO'!$A63))</f>
        <v>#VALUE!</v>
      </c>
      <c r="I63" s="39" t="e">
        <f t="shared" si="2"/>
        <v>#VALUE!</v>
      </c>
      <c r="J63" s="38" t="e">
        <f t="shared" si="3"/>
        <v>#VALUE!</v>
      </c>
    </row>
    <row r="64" spans="1:10" ht="15">
      <c r="A64" s="269" t="s">
        <v>4499</v>
      </c>
      <c r="B64" s="269" t="s">
        <v>4500</v>
      </c>
      <c r="C64" s="38" t="e">
        <f>SUMIF('[2]turmas 2014.2'!A:A,$A64,'[2]turmas 2014.2'!N:N)+SUMIF('[2]turmas 2014.2'!A:A,$A64,'[2]turmas 2014.2'!O:O)</f>
        <v>#VALUE!</v>
      </c>
      <c r="D64" s="38" t="e">
        <f>(SUMIFS('[2]turmas 2014.2'!$N:$N,'[2]turmas 2014.2'!$R:$R,$D$5,'[2]turmas 2014.2'!$C:$C,B64)+SUMIFS('[2]turmas 2014.2'!$O:$O,'[2]turmas 2014.2'!$V:$V,$D$5,'[2]turmas 2014.2'!$C:$C,'CRÉDITOS POR CENTRO'!$B64))</f>
        <v>#VALUE!</v>
      </c>
      <c r="E64" s="39" t="e">
        <f t="shared" si="0"/>
        <v>#VALUE!</v>
      </c>
      <c r="F64" s="38" t="e">
        <f>(SUMIFS('[2]turmas 2014.2'!$N:$N,'[2]turmas 2014.2'!$R:$R,$F$5,'[2]turmas 2014.2'!$C:$C,B64)+SUMIFS('[2]turmas 2014.2'!$O:$O,'[2]turmas 2014.2'!$V:$V,$F$5,'[2]turmas 2014.2'!$C:$C,'CRÉDITOS POR CENTRO'!$B64))</f>
        <v>#VALUE!</v>
      </c>
      <c r="G64" s="39" t="e">
        <f t="shared" si="1"/>
        <v>#VALUE!</v>
      </c>
      <c r="H64" s="38" t="e">
        <f>(SUMIFS('[2]turmas 2014.2'!$N:$N,'[2]turmas 2014.2'!$R:$R,$H$5,'[2]turmas 2014.2'!$A:$A,A64)+SUMIFS('[2]turmas 2014.2'!$O:$O,'[2]turmas 2014.2'!$V:$V,$H$5,'[2]turmas 2014.2'!$A:$A,'CRÉDITOS POR CENTRO'!$A64))</f>
        <v>#VALUE!</v>
      </c>
      <c r="I64" s="39" t="e">
        <f t="shared" si="2"/>
        <v>#VALUE!</v>
      </c>
      <c r="J64" s="38" t="e">
        <f t="shared" si="3"/>
        <v>#VALUE!</v>
      </c>
    </row>
    <row r="65" spans="1:10" ht="15">
      <c r="A65" s="269" t="s">
        <v>4501</v>
      </c>
      <c r="B65" s="269" t="s">
        <v>4502</v>
      </c>
      <c r="C65" s="38" t="e">
        <f>SUMIF('[2]turmas 2014.2'!A:A,$A65,'[2]turmas 2014.2'!N:N)+SUMIF('[2]turmas 2014.2'!A:A,$A65,'[2]turmas 2014.2'!O:O)</f>
        <v>#VALUE!</v>
      </c>
      <c r="D65" s="38" t="e">
        <f>(SUMIFS('[2]turmas 2014.2'!$N:$N,'[2]turmas 2014.2'!$R:$R,$D$5,'[2]turmas 2014.2'!$C:$C,B65)+SUMIFS('[2]turmas 2014.2'!$O:$O,'[2]turmas 2014.2'!$V:$V,$D$5,'[2]turmas 2014.2'!$C:$C,'CRÉDITOS POR CENTRO'!$B65))</f>
        <v>#VALUE!</v>
      </c>
      <c r="E65" s="39" t="e">
        <f t="shared" si="0"/>
        <v>#VALUE!</v>
      </c>
      <c r="F65" s="38" t="e">
        <f>(SUMIFS('[2]turmas 2014.2'!$N:$N,'[2]turmas 2014.2'!$R:$R,$F$5,'[2]turmas 2014.2'!$C:$C,B65)+SUMIFS('[2]turmas 2014.2'!$O:$O,'[2]turmas 2014.2'!$V:$V,$F$5,'[2]turmas 2014.2'!$C:$C,'CRÉDITOS POR CENTRO'!$B65))</f>
        <v>#VALUE!</v>
      </c>
      <c r="G65" s="39" t="e">
        <f t="shared" si="1"/>
        <v>#VALUE!</v>
      </c>
      <c r="H65" s="38" t="e">
        <f>(SUMIFS('[2]turmas 2014.2'!$N:$N,'[2]turmas 2014.2'!$R:$R,$H$5,'[2]turmas 2014.2'!$A:$A,A65)+SUMIFS('[2]turmas 2014.2'!$O:$O,'[2]turmas 2014.2'!$V:$V,$H$5,'[2]turmas 2014.2'!$A:$A,'CRÉDITOS POR CENTRO'!$A65))</f>
        <v>#VALUE!</v>
      </c>
      <c r="I65" s="39" t="e">
        <f t="shared" si="2"/>
        <v>#VALUE!</v>
      </c>
      <c r="J65" s="38" t="e">
        <f t="shared" si="3"/>
        <v>#VALUE!</v>
      </c>
    </row>
    <row r="66" spans="1:10" ht="15">
      <c r="A66" s="269" t="s">
        <v>4503</v>
      </c>
      <c r="B66" s="269" t="s">
        <v>4504</v>
      </c>
      <c r="C66" s="38" t="e">
        <f>SUMIF('[2]turmas 2014.2'!A:A,$A66,'[2]turmas 2014.2'!N:N)+SUMIF('[2]turmas 2014.2'!A:A,$A66,'[2]turmas 2014.2'!O:O)</f>
        <v>#VALUE!</v>
      </c>
      <c r="D66" s="38" t="e">
        <f>(SUMIFS('[2]turmas 2014.2'!$N:$N,'[2]turmas 2014.2'!$R:$R,$D$5,'[2]turmas 2014.2'!$C:$C,B66)+SUMIFS('[2]turmas 2014.2'!$O:$O,'[2]turmas 2014.2'!$V:$V,$D$5,'[2]turmas 2014.2'!$C:$C,'CRÉDITOS POR CENTRO'!$B66))</f>
        <v>#VALUE!</v>
      </c>
      <c r="E66" s="39" t="e">
        <f t="shared" si="0"/>
        <v>#VALUE!</v>
      </c>
      <c r="F66" s="38" t="e">
        <f>(SUMIFS('[2]turmas 2014.2'!$N:$N,'[2]turmas 2014.2'!$R:$R,$F$5,'[2]turmas 2014.2'!$C:$C,B66)+SUMIFS('[2]turmas 2014.2'!$O:$O,'[2]turmas 2014.2'!$V:$V,$F$5,'[2]turmas 2014.2'!$C:$C,'CRÉDITOS POR CENTRO'!$B66))</f>
        <v>#VALUE!</v>
      </c>
      <c r="G66" s="39" t="e">
        <f t="shared" si="1"/>
        <v>#VALUE!</v>
      </c>
      <c r="H66" s="38" t="e">
        <f>(SUMIFS('[2]turmas 2014.2'!$N:$N,'[2]turmas 2014.2'!$R:$R,$H$5,'[2]turmas 2014.2'!$A:$A,A66)+SUMIFS('[2]turmas 2014.2'!$O:$O,'[2]turmas 2014.2'!$V:$V,$H$5,'[2]turmas 2014.2'!$A:$A,'CRÉDITOS POR CENTRO'!$A66))</f>
        <v>#VALUE!</v>
      </c>
      <c r="I66" s="39" t="e">
        <f t="shared" si="2"/>
        <v>#VALUE!</v>
      </c>
      <c r="J66" s="38" t="e">
        <f t="shared" si="3"/>
        <v>#VALUE!</v>
      </c>
    </row>
    <row r="67" spans="1:10" ht="15">
      <c r="A67" s="269" t="s">
        <v>4505</v>
      </c>
      <c r="B67" s="269" t="s">
        <v>1188</v>
      </c>
      <c r="C67" s="38" t="e">
        <f>SUMIF('[2]turmas 2014.2'!A:A,$A67,'[2]turmas 2014.2'!N:N)+SUMIF('[2]turmas 2014.2'!A:A,$A67,'[2]turmas 2014.2'!O:O)</f>
        <v>#VALUE!</v>
      </c>
      <c r="D67" s="38" t="e">
        <f>(SUMIFS('[2]turmas 2014.2'!$N:$N,'[2]turmas 2014.2'!$R:$R,$D$5,'[2]turmas 2014.2'!$C:$C,B67)+SUMIFS('[2]turmas 2014.2'!$O:$O,'[2]turmas 2014.2'!$V:$V,$D$5,'[2]turmas 2014.2'!$C:$C,'CRÉDITOS POR CENTRO'!$B67))</f>
        <v>#VALUE!</v>
      </c>
      <c r="E67" s="39" t="e">
        <f t="shared" si="0"/>
        <v>#VALUE!</v>
      </c>
      <c r="F67" s="38" t="e">
        <f>(SUMIFS('[2]turmas 2014.2'!$N:$N,'[2]turmas 2014.2'!$R:$R,$F$5,'[2]turmas 2014.2'!$C:$C,B67)+SUMIFS('[2]turmas 2014.2'!$O:$O,'[2]turmas 2014.2'!$V:$V,$F$5,'[2]turmas 2014.2'!$C:$C,'CRÉDITOS POR CENTRO'!$B67))</f>
        <v>#VALUE!</v>
      </c>
      <c r="G67" s="39" t="e">
        <f t="shared" si="1"/>
        <v>#VALUE!</v>
      </c>
      <c r="H67" s="38" t="e">
        <f>(SUMIFS('[2]turmas 2014.2'!$N:$N,'[2]turmas 2014.2'!$R:$R,$H$5,'[2]turmas 2014.2'!$A:$A,A67)+SUMIFS('[2]turmas 2014.2'!$O:$O,'[2]turmas 2014.2'!$V:$V,$H$5,'[2]turmas 2014.2'!$A:$A,'CRÉDITOS POR CENTRO'!$A67))</f>
        <v>#VALUE!</v>
      </c>
      <c r="I67" s="39" t="e">
        <f t="shared" si="2"/>
        <v>#VALUE!</v>
      </c>
      <c r="J67" s="38" t="e">
        <f t="shared" si="3"/>
        <v>#VALUE!</v>
      </c>
    </row>
    <row r="68" spans="1:10" ht="15">
      <c r="A68" s="269" t="s">
        <v>1192</v>
      </c>
      <c r="B68" s="269" t="s">
        <v>1193</v>
      </c>
      <c r="C68" s="38" t="e">
        <f>SUMIF('[2]turmas 2014.2'!A:A,$A68,'[2]turmas 2014.2'!N:N)+SUMIF('[2]turmas 2014.2'!A:A,$A68,'[2]turmas 2014.2'!O:O)</f>
        <v>#VALUE!</v>
      </c>
      <c r="D68" s="38" t="e">
        <f>(SUMIFS('[2]turmas 2014.2'!$N:$N,'[2]turmas 2014.2'!$R:$R,$D$5,'[2]turmas 2014.2'!$C:$C,B68)+SUMIFS('[2]turmas 2014.2'!$O:$O,'[2]turmas 2014.2'!$V:$V,$D$5,'[2]turmas 2014.2'!$C:$C,'CRÉDITOS POR CENTRO'!$B68))</f>
        <v>#VALUE!</v>
      </c>
      <c r="E68" s="39" t="e">
        <f t="shared" si="0"/>
        <v>#VALUE!</v>
      </c>
      <c r="F68" s="38" t="e">
        <f>(SUMIFS('[2]turmas 2014.2'!$N:$N,'[2]turmas 2014.2'!$R:$R,$F$5,'[2]turmas 2014.2'!$C:$C,B68)+SUMIFS('[2]turmas 2014.2'!$O:$O,'[2]turmas 2014.2'!$V:$V,$F$5,'[2]turmas 2014.2'!$C:$C,'CRÉDITOS POR CENTRO'!$B68))</f>
        <v>#VALUE!</v>
      </c>
      <c r="G68" s="39" t="e">
        <f t="shared" si="1"/>
        <v>#VALUE!</v>
      </c>
      <c r="H68" s="38" t="e">
        <f>(SUMIFS('[2]turmas 2014.2'!$N:$N,'[2]turmas 2014.2'!$R:$R,$H$5,'[2]turmas 2014.2'!$A:$A,A68)+SUMIFS('[2]turmas 2014.2'!$O:$O,'[2]turmas 2014.2'!$V:$V,$H$5,'[2]turmas 2014.2'!$A:$A,'CRÉDITOS POR CENTRO'!$A68))</f>
        <v>#VALUE!</v>
      </c>
      <c r="I68" s="39" t="e">
        <f t="shared" si="2"/>
        <v>#VALUE!</v>
      </c>
      <c r="J68" s="38" t="e">
        <f t="shared" si="3"/>
        <v>#VALUE!</v>
      </c>
    </row>
    <row r="69" spans="1:10" ht="15">
      <c r="A69" s="269" t="s">
        <v>4506</v>
      </c>
      <c r="B69" s="269" t="s">
        <v>4507</v>
      </c>
      <c r="C69" s="38" t="e">
        <f>SUMIF('[2]turmas 2014.2'!A:A,$A69,'[2]turmas 2014.2'!N:N)+SUMIF('[2]turmas 2014.2'!A:A,$A69,'[2]turmas 2014.2'!O:O)</f>
        <v>#VALUE!</v>
      </c>
      <c r="D69" s="38" t="e">
        <f>(SUMIFS('[2]turmas 2014.2'!$N:$N,'[2]turmas 2014.2'!$R:$R,$D$5,'[2]turmas 2014.2'!$C:$C,B69)+SUMIFS('[2]turmas 2014.2'!$O:$O,'[2]turmas 2014.2'!$V:$V,$D$5,'[2]turmas 2014.2'!$C:$C,'CRÉDITOS POR CENTRO'!$B69))</f>
        <v>#VALUE!</v>
      </c>
      <c r="E69" s="39" t="e">
        <f t="shared" si="0"/>
        <v>#VALUE!</v>
      </c>
      <c r="F69" s="38" t="e">
        <f>(SUMIFS('[2]turmas 2014.2'!$N:$N,'[2]turmas 2014.2'!$R:$R,$F$5,'[2]turmas 2014.2'!$C:$C,B69)+SUMIFS('[2]turmas 2014.2'!$O:$O,'[2]turmas 2014.2'!$V:$V,$F$5,'[2]turmas 2014.2'!$C:$C,'CRÉDITOS POR CENTRO'!$B69))</f>
        <v>#VALUE!</v>
      </c>
      <c r="G69" s="39" t="e">
        <f t="shared" si="1"/>
        <v>#VALUE!</v>
      </c>
      <c r="H69" s="38" t="e">
        <f>(SUMIFS('[2]turmas 2014.2'!$N:$N,'[2]turmas 2014.2'!$R:$R,$H$5,'[2]turmas 2014.2'!$A:$A,A69)+SUMIFS('[2]turmas 2014.2'!$O:$O,'[2]turmas 2014.2'!$V:$V,$H$5,'[2]turmas 2014.2'!$A:$A,'CRÉDITOS POR CENTRO'!$A69))</f>
        <v>#VALUE!</v>
      </c>
      <c r="I69" s="39" t="e">
        <f t="shared" si="2"/>
        <v>#VALUE!</v>
      </c>
      <c r="J69" s="38" t="e">
        <f t="shared" si="3"/>
        <v>#VALUE!</v>
      </c>
    </row>
    <row r="70" spans="1:10" ht="15">
      <c r="A70" s="269" t="s">
        <v>4508</v>
      </c>
      <c r="B70" s="269" t="s">
        <v>4509</v>
      </c>
      <c r="C70" s="38" t="e">
        <f>SUMIF('[2]turmas 2014.2'!A:A,$A70,'[2]turmas 2014.2'!N:N)+SUMIF('[2]turmas 2014.2'!A:A,$A70,'[2]turmas 2014.2'!O:O)</f>
        <v>#VALUE!</v>
      </c>
      <c r="D70" s="38" t="e">
        <f>(SUMIFS('[2]turmas 2014.2'!$N:$N,'[2]turmas 2014.2'!$R:$R,$D$5,'[2]turmas 2014.2'!$C:$C,B70)+SUMIFS('[2]turmas 2014.2'!$O:$O,'[2]turmas 2014.2'!$V:$V,$D$5,'[2]turmas 2014.2'!$C:$C,'CRÉDITOS POR CENTRO'!$B70))</f>
        <v>#VALUE!</v>
      </c>
      <c r="E70" s="39" t="e">
        <f t="shared" si="0"/>
        <v>#VALUE!</v>
      </c>
      <c r="F70" s="38" t="e">
        <f>(SUMIFS('[2]turmas 2014.2'!$N:$N,'[2]turmas 2014.2'!$R:$R,$F$5,'[2]turmas 2014.2'!$C:$C,B70)+SUMIFS('[2]turmas 2014.2'!$O:$O,'[2]turmas 2014.2'!$V:$V,$F$5,'[2]turmas 2014.2'!$C:$C,'CRÉDITOS POR CENTRO'!$B70))</f>
        <v>#VALUE!</v>
      </c>
      <c r="G70" s="39" t="e">
        <f t="shared" si="1"/>
        <v>#VALUE!</v>
      </c>
      <c r="H70" s="38" t="e">
        <f>(SUMIFS('[2]turmas 2014.2'!$N:$N,'[2]turmas 2014.2'!$R:$R,$H$5,'[2]turmas 2014.2'!$A:$A,A70)+SUMIFS('[2]turmas 2014.2'!$O:$O,'[2]turmas 2014.2'!$V:$V,$H$5,'[2]turmas 2014.2'!$A:$A,'CRÉDITOS POR CENTRO'!$A70))</f>
        <v>#VALUE!</v>
      </c>
      <c r="I70" s="39" t="e">
        <f t="shared" si="2"/>
        <v>#VALUE!</v>
      </c>
      <c r="J70" s="38" t="e">
        <f t="shared" si="3"/>
        <v>#VALUE!</v>
      </c>
    </row>
    <row r="71" spans="1:10" ht="15">
      <c r="A71" s="269" t="s">
        <v>4510</v>
      </c>
      <c r="B71" s="269" t="s">
        <v>4511</v>
      </c>
      <c r="C71" s="38" t="e">
        <f>SUMIF('[2]turmas 2014.2'!A:A,$A71,'[2]turmas 2014.2'!N:N)+SUMIF('[2]turmas 2014.2'!A:A,$A71,'[2]turmas 2014.2'!O:O)</f>
        <v>#VALUE!</v>
      </c>
      <c r="D71" s="38" t="e">
        <f>(SUMIFS('[2]turmas 2014.2'!$N:$N,'[2]turmas 2014.2'!$R:$R,$D$5,'[2]turmas 2014.2'!$C:$C,B71)+SUMIFS('[2]turmas 2014.2'!$O:$O,'[2]turmas 2014.2'!$V:$V,$D$5,'[2]turmas 2014.2'!$C:$C,'CRÉDITOS POR CENTRO'!$B71))</f>
        <v>#VALUE!</v>
      </c>
      <c r="E71" s="39" t="e">
        <f t="shared" ref="E71:E134" si="4">D71/C71</f>
        <v>#VALUE!</v>
      </c>
      <c r="F71" s="38" t="e">
        <f>(SUMIFS('[2]turmas 2014.2'!$N:$N,'[2]turmas 2014.2'!$R:$R,$F$5,'[2]turmas 2014.2'!$C:$C,B71)+SUMIFS('[2]turmas 2014.2'!$O:$O,'[2]turmas 2014.2'!$V:$V,$F$5,'[2]turmas 2014.2'!$C:$C,'CRÉDITOS POR CENTRO'!$B71))</f>
        <v>#VALUE!</v>
      </c>
      <c r="G71" s="39" t="e">
        <f t="shared" ref="G71:G134" si="5">F71/C71</f>
        <v>#VALUE!</v>
      </c>
      <c r="H71" s="38" t="e">
        <f>(SUMIFS('[2]turmas 2014.2'!$N:$N,'[2]turmas 2014.2'!$R:$R,$H$5,'[2]turmas 2014.2'!$A:$A,A71)+SUMIFS('[2]turmas 2014.2'!$O:$O,'[2]turmas 2014.2'!$V:$V,$H$5,'[2]turmas 2014.2'!$A:$A,'CRÉDITOS POR CENTRO'!$A71))</f>
        <v>#VALUE!</v>
      </c>
      <c r="I71" s="39" t="e">
        <f t="shared" ref="I71:I134" si="6">H71/C71</f>
        <v>#VALUE!</v>
      </c>
      <c r="J71" s="38" t="e">
        <f t="shared" ref="J71:J134" si="7">D71+F71+H71-C71</f>
        <v>#VALUE!</v>
      </c>
    </row>
    <row r="72" spans="1:10" ht="15">
      <c r="A72" s="269" t="s">
        <v>4512</v>
      </c>
      <c r="B72" s="269" t="s">
        <v>4513</v>
      </c>
      <c r="C72" s="38" t="e">
        <f>SUMIF('[2]turmas 2014.2'!A:A,$A72,'[2]turmas 2014.2'!N:N)+SUMIF('[2]turmas 2014.2'!A:A,$A72,'[2]turmas 2014.2'!O:O)</f>
        <v>#VALUE!</v>
      </c>
      <c r="D72" s="38" t="e">
        <f>(SUMIFS('[2]turmas 2014.2'!$N:$N,'[2]turmas 2014.2'!$R:$R,$D$5,'[2]turmas 2014.2'!$C:$C,B72)+SUMIFS('[2]turmas 2014.2'!$O:$O,'[2]turmas 2014.2'!$V:$V,$D$5,'[2]turmas 2014.2'!$C:$C,'CRÉDITOS POR CENTRO'!$B72))</f>
        <v>#VALUE!</v>
      </c>
      <c r="E72" s="39" t="e">
        <f t="shared" si="4"/>
        <v>#VALUE!</v>
      </c>
      <c r="F72" s="38" t="e">
        <f>(SUMIFS('[2]turmas 2014.2'!$N:$N,'[2]turmas 2014.2'!$R:$R,$F$5,'[2]turmas 2014.2'!$C:$C,B72)+SUMIFS('[2]turmas 2014.2'!$O:$O,'[2]turmas 2014.2'!$V:$V,$F$5,'[2]turmas 2014.2'!$C:$C,'CRÉDITOS POR CENTRO'!$B72))</f>
        <v>#VALUE!</v>
      </c>
      <c r="G72" s="39" t="e">
        <f t="shared" si="5"/>
        <v>#VALUE!</v>
      </c>
      <c r="H72" s="38" t="e">
        <f>(SUMIFS('[2]turmas 2014.2'!$N:$N,'[2]turmas 2014.2'!$R:$R,$H$5,'[2]turmas 2014.2'!$A:$A,A72)+SUMIFS('[2]turmas 2014.2'!$O:$O,'[2]turmas 2014.2'!$V:$V,$H$5,'[2]turmas 2014.2'!$A:$A,'CRÉDITOS POR CENTRO'!$A72))</f>
        <v>#VALUE!</v>
      </c>
      <c r="I72" s="39" t="e">
        <f t="shared" si="6"/>
        <v>#VALUE!</v>
      </c>
      <c r="J72" s="38" t="e">
        <f t="shared" si="7"/>
        <v>#VALUE!</v>
      </c>
    </row>
    <row r="73" spans="1:10" ht="15">
      <c r="A73" s="269" t="s">
        <v>4514</v>
      </c>
      <c r="B73" s="269" t="s">
        <v>4515</v>
      </c>
      <c r="C73" s="38" t="e">
        <f>SUMIF('[2]turmas 2014.2'!A:A,$A73,'[2]turmas 2014.2'!N:N)+SUMIF('[2]turmas 2014.2'!A:A,$A73,'[2]turmas 2014.2'!O:O)</f>
        <v>#VALUE!</v>
      </c>
      <c r="D73" s="38" t="e">
        <f>(SUMIFS('[2]turmas 2014.2'!$N:$N,'[2]turmas 2014.2'!$R:$R,$D$5,'[2]turmas 2014.2'!$C:$C,B73)+SUMIFS('[2]turmas 2014.2'!$O:$O,'[2]turmas 2014.2'!$V:$V,$D$5,'[2]turmas 2014.2'!$C:$C,'CRÉDITOS POR CENTRO'!$B73))</f>
        <v>#VALUE!</v>
      </c>
      <c r="E73" s="39" t="e">
        <f t="shared" si="4"/>
        <v>#VALUE!</v>
      </c>
      <c r="F73" s="38" t="e">
        <f>(SUMIFS('[2]turmas 2014.2'!$N:$N,'[2]turmas 2014.2'!$R:$R,$F$5,'[2]turmas 2014.2'!$C:$C,B73)+SUMIFS('[2]turmas 2014.2'!$O:$O,'[2]turmas 2014.2'!$V:$V,$F$5,'[2]turmas 2014.2'!$C:$C,'CRÉDITOS POR CENTRO'!$B73))</f>
        <v>#VALUE!</v>
      </c>
      <c r="G73" s="39" t="e">
        <f t="shared" si="5"/>
        <v>#VALUE!</v>
      </c>
      <c r="H73" s="38" t="e">
        <f>(SUMIFS('[2]turmas 2014.2'!$N:$N,'[2]turmas 2014.2'!$R:$R,$H$5,'[2]turmas 2014.2'!$A:$A,A73)+SUMIFS('[2]turmas 2014.2'!$O:$O,'[2]turmas 2014.2'!$V:$V,$H$5,'[2]turmas 2014.2'!$A:$A,'CRÉDITOS POR CENTRO'!$A73))</f>
        <v>#VALUE!</v>
      </c>
      <c r="I73" s="39" t="e">
        <f t="shared" si="6"/>
        <v>#VALUE!</v>
      </c>
      <c r="J73" s="38" t="e">
        <f t="shared" si="7"/>
        <v>#VALUE!</v>
      </c>
    </row>
    <row r="74" spans="1:10" ht="15">
      <c r="A74" s="269" t="s">
        <v>1232</v>
      </c>
      <c r="B74" s="269" t="s">
        <v>1233</v>
      </c>
      <c r="C74" s="38" t="e">
        <f>SUMIF('[2]turmas 2014.2'!A:A,$A74,'[2]turmas 2014.2'!N:N)+SUMIF('[2]turmas 2014.2'!A:A,$A74,'[2]turmas 2014.2'!O:O)</f>
        <v>#VALUE!</v>
      </c>
      <c r="D74" s="38" t="e">
        <f>(SUMIFS('[2]turmas 2014.2'!$N:$N,'[2]turmas 2014.2'!$R:$R,$D$5,'[2]turmas 2014.2'!$C:$C,B74)+SUMIFS('[2]turmas 2014.2'!$O:$O,'[2]turmas 2014.2'!$V:$V,$D$5,'[2]turmas 2014.2'!$C:$C,'CRÉDITOS POR CENTRO'!$B74))</f>
        <v>#VALUE!</v>
      </c>
      <c r="E74" s="39" t="e">
        <f t="shared" si="4"/>
        <v>#VALUE!</v>
      </c>
      <c r="F74" s="38" t="e">
        <f>(SUMIFS('[2]turmas 2014.2'!$N:$N,'[2]turmas 2014.2'!$R:$R,$F$5,'[2]turmas 2014.2'!$C:$C,B74)+SUMIFS('[2]turmas 2014.2'!$O:$O,'[2]turmas 2014.2'!$V:$V,$F$5,'[2]turmas 2014.2'!$C:$C,'CRÉDITOS POR CENTRO'!$B74))</f>
        <v>#VALUE!</v>
      </c>
      <c r="G74" s="39" t="e">
        <f t="shared" si="5"/>
        <v>#VALUE!</v>
      </c>
      <c r="H74" s="38" t="e">
        <f>(SUMIFS('[2]turmas 2014.2'!$N:$N,'[2]turmas 2014.2'!$R:$R,$H$5,'[2]turmas 2014.2'!$A:$A,A74)+SUMIFS('[2]turmas 2014.2'!$O:$O,'[2]turmas 2014.2'!$V:$V,$H$5,'[2]turmas 2014.2'!$A:$A,'CRÉDITOS POR CENTRO'!$A74))</f>
        <v>#VALUE!</v>
      </c>
      <c r="I74" s="39" t="e">
        <f t="shared" si="6"/>
        <v>#VALUE!</v>
      </c>
      <c r="J74" s="38" t="e">
        <f t="shared" si="7"/>
        <v>#VALUE!</v>
      </c>
    </row>
    <row r="75" spans="1:10" ht="15">
      <c r="A75" s="269" t="s">
        <v>1243</v>
      </c>
      <c r="B75" s="269" t="s">
        <v>1244</v>
      </c>
      <c r="C75" s="38" t="e">
        <f>SUMIF('[2]turmas 2014.2'!A:A,$A75,'[2]turmas 2014.2'!N:N)+SUMIF('[2]turmas 2014.2'!A:A,$A75,'[2]turmas 2014.2'!O:O)</f>
        <v>#VALUE!</v>
      </c>
      <c r="D75" s="38" t="e">
        <f>(SUMIFS('[2]turmas 2014.2'!$N:$N,'[2]turmas 2014.2'!$R:$R,$D$5,'[2]turmas 2014.2'!$C:$C,B75)+SUMIFS('[2]turmas 2014.2'!$O:$O,'[2]turmas 2014.2'!$V:$V,$D$5,'[2]turmas 2014.2'!$C:$C,'CRÉDITOS POR CENTRO'!$B75))</f>
        <v>#VALUE!</v>
      </c>
      <c r="E75" s="39" t="e">
        <f t="shared" si="4"/>
        <v>#VALUE!</v>
      </c>
      <c r="F75" s="38" t="e">
        <f>(SUMIFS('[2]turmas 2014.2'!$N:$N,'[2]turmas 2014.2'!$R:$R,$F$5,'[2]turmas 2014.2'!$C:$C,B75)+SUMIFS('[2]turmas 2014.2'!$O:$O,'[2]turmas 2014.2'!$V:$V,$F$5,'[2]turmas 2014.2'!$C:$C,'CRÉDITOS POR CENTRO'!$B75))</f>
        <v>#VALUE!</v>
      </c>
      <c r="G75" s="39" t="e">
        <f t="shared" si="5"/>
        <v>#VALUE!</v>
      </c>
      <c r="H75" s="38" t="e">
        <f>(SUMIFS('[2]turmas 2014.2'!$N:$N,'[2]turmas 2014.2'!$R:$R,$H$5,'[2]turmas 2014.2'!$A:$A,A75)+SUMIFS('[2]turmas 2014.2'!$O:$O,'[2]turmas 2014.2'!$V:$V,$H$5,'[2]turmas 2014.2'!$A:$A,'CRÉDITOS POR CENTRO'!$A75))</f>
        <v>#VALUE!</v>
      </c>
      <c r="I75" s="39" t="e">
        <f t="shared" si="6"/>
        <v>#VALUE!</v>
      </c>
      <c r="J75" s="38" t="e">
        <f t="shared" si="7"/>
        <v>#VALUE!</v>
      </c>
    </row>
    <row r="76" spans="1:10" ht="15">
      <c r="A76" s="269" t="s">
        <v>4516</v>
      </c>
      <c r="B76" s="269" t="s">
        <v>4517</v>
      </c>
      <c r="C76" s="38" t="e">
        <f>SUMIF('[2]turmas 2014.2'!A:A,$A76,'[2]turmas 2014.2'!N:N)+SUMIF('[2]turmas 2014.2'!A:A,$A76,'[2]turmas 2014.2'!O:O)</f>
        <v>#VALUE!</v>
      </c>
      <c r="D76" s="38" t="e">
        <f>(SUMIFS('[2]turmas 2014.2'!$N:$N,'[2]turmas 2014.2'!$R:$R,$D$5,'[2]turmas 2014.2'!$C:$C,B76)+SUMIFS('[2]turmas 2014.2'!$O:$O,'[2]turmas 2014.2'!$V:$V,$D$5,'[2]turmas 2014.2'!$C:$C,'CRÉDITOS POR CENTRO'!$B76))</f>
        <v>#VALUE!</v>
      </c>
      <c r="E76" s="39" t="e">
        <f t="shared" si="4"/>
        <v>#VALUE!</v>
      </c>
      <c r="F76" s="38" t="e">
        <f>(SUMIFS('[2]turmas 2014.2'!$N:$N,'[2]turmas 2014.2'!$R:$R,$F$5,'[2]turmas 2014.2'!$C:$C,B76)+SUMIFS('[2]turmas 2014.2'!$O:$O,'[2]turmas 2014.2'!$V:$V,$F$5,'[2]turmas 2014.2'!$C:$C,'CRÉDITOS POR CENTRO'!$B76))</f>
        <v>#VALUE!</v>
      </c>
      <c r="G76" s="39" t="e">
        <f t="shared" si="5"/>
        <v>#VALUE!</v>
      </c>
      <c r="H76" s="38" t="e">
        <f>(SUMIFS('[2]turmas 2014.2'!$N:$N,'[2]turmas 2014.2'!$R:$R,$H$5,'[2]turmas 2014.2'!$A:$A,A76)+SUMIFS('[2]turmas 2014.2'!$O:$O,'[2]turmas 2014.2'!$V:$V,$H$5,'[2]turmas 2014.2'!$A:$A,'CRÉDITOS POR CENTRO'!$A76))</f>
        <v>#VALUE!</v>
      </c>
      <c r="I76" s="39" t="e">
        <f t="shared" si="6"/>
        <v>#VALUE!</v>
      </c>
      <c r="J76" s="38" t="e">
        <f t="shared" si="7"/>
        <v>#VALUE!</v>
      </c>
    </row>
    <row r="77" spans="1:10" ht="15">
      <c r="A77" s="269" t="s">
        <v>4518</v>
      </c>
      <c r="B77" s="269" t="s">
        <v>4519</v>
      </c>
      <c r="C77" s="38" t="e">
        <f>SUMIF('[2]turmas 2014.2'!A:A,$A77,'[2]turmas 2014.2'!N:N)+SUMIF('[2]turmas 2014.2'!A:A,$A77,'[2]turmas 2014.2'!O:O)</f>
        <v>#VALUE!</v>
      </c>
      <c r="D77" s="38" t="e">
        <f>(SUMIFS('[2]turmas 2014.2'!$N:$N,'[2]turmas 2014.2'!$R:$R,$D$5,'[2]turmas 2014.2'!$C:$C,B77)+SUMIFS('[2]turmas 2014.2'!$O:$O,'[2]turmas 2014.2'!$V:$V,$D$5,'[2]turmas 2014.2'!$C:$C,'CRÉDITOS POR CENTRO'!$B77))</f>
        <v>#VALUE!</v>
      </c>
      <c r="E77" s="39" t="e">
        <f t="shared" si="4"/>
        <v>#VALUE!</v>
      </c>
      <c r="F77" s="38" t="e">
        <f>(SUMIFS('[2]turmas 2014.2'!$N:$N,'[2]turmas 2014.2'!$R:$R,$F$5,'[2]turmas 2014.2'!$C:$C,B77)+SUMIFS('[2]turmas 2014.2'!$O:$O,'[2]turmas 2014.2'!$V:$V,$F$5,'[2]turmas 2014.2'!$C:$C,'CRÉDITOS POR CENTRO'!$B77))</f>
        <v>#VALUE!</v>
      </c>
      <c r="G77" s="39" t="e">
        <f t="shared" si="5"/>
        <v>#VALUE!</v>
      </c>
      <c r="H77" s="38" t="e">
        <f>(SUMIFS('[2]turmas 2014.2'!$N:$N,'[2]turmas 2014.2'!$R:$R,$H$5,'[2]turmas 2014.2'!$A:$A,A77)+SUMIFS('[2]turmas 2014.2'!$O:$O,'[2]turmas 2014.2'!$V:$V,$H$5,'[2]turmas 2014.2'!$A:$A,'CRÉDITOS POR CENTRO'!$A77))</f>
        <v>#VALUE!</v>
      </c>
      <c r="I77" s="39" t="e">
        <f t="shared" si="6"/>
        <v>#VALUE!</v>
      </c>
      <c r="J77" s="38" t="e">
        <f t="shared" si="7"/>
        <v>#VALUE!</v>
      </c>
    </row>
    <row r="78" spans="1:10" ht="15">
      <c r="A78" s="269" t="s">
        <v>1248</v>
      </c>
      <c r="B78" s="269" t="s">
        <v>1249</v>
      </c>
      <c r="C78" s="38" t="e">
        <f>SUMIF('[2]turmas 2014.2'!A:A,$A78,'[2]turmas 2014.2'!N:N)+SUMIF('[2]turmas 2014.2'!A:A,$A78,'[2]turmas 2014.2'!O:O)</f>
        <v>#VALUE!</v>
      </c>
      <c r="D78" s="38" t="e">
        <f>(SUMIFS('[2]turmas 2014.2'!$N:$N,'[2]turmas 2014.2'!$R:$R,$D$5,'[2]turmas 2014.2'!$C:$C,B78)+SUMIFS('[2]turmas 2014.2'!$O:$O,'[2]turmas 2014.2'!$V:$V,$D$5,'[2]turmas 2014.2'!$C:$C,'CRÉDITOS POR CENTRO'!$B78))</f>
        <v>#VALUE!</v>
      </c>
      <c r="E78" s="39" t="e">
        <f t="shared" si="4"/>
        <v>#VALUE!</v>
      </c>
      <c r="F78" s="38" t="e">
        <f>(SUMIFS('[2]turmas 2014.2'!$N:$N,'[2]turmas 2014.2'!$R:$R,$F$5,'[2]turmas 2014.2'!$C:$C,B78)+SUMIFS('[2]turmas 2014.2'!$O:$O,'[2]turmas 2014.2'!$V:$V,$F$5,'[2]turmas 2014.2'!$C:$C,'CRÉDITOS POR CENTRO'!$B78))</f>
        <v>#VALUE!</v>
      </c>
      <c r="G78" s="39" t="e">
        <f t="shared" si="5"/>
        <v>#VALUE!</v>
      </c>
      <c r="H78" s="38" t="e">
        <f>(SUMIFS('[2]turmas 2014.2'!$N:$N,'[2]turmas 2014.2'!$R:$R,$H$5,'[2]turmas 2014.2'!$A:$A,A78)+SUMIFS('[2]turmas 2014.2'!$O:$O,'[2]turmas 2014.2'!$V:$V,$H$5,'[2]turmas 2014.2'!$A:$A,'CRÉDITOS POR CENTRO'!$A78))</f>
        <v>#VALUE!</v>
      </c>
      <c r="I78" s="39" t="e">
        <f t="shared" si="6"/>
        <v>#VALUE!</v>
      </c>
      <c r="J78" s="38" t="e">
        <f t="shared" si="7"/>
        <v>#VALUE!</v>
      </c>
    </row>
    <row r="79" spans="1:10" ht="15">
      <c r="A79" s="269" t="s">
        <v>1268</v>
      </c>
      <c r="B79" s="269" t="s">
        <v>1269</v>
      </c>
      <c r="C79" s="38" t="e">
        <f>SUMIF('[2]turmas 2014.2'!A:A,$A79,'[2]turmas 2014.2'!N:N)+SUMIF('[2]turmas 2014.2'!A:A,$A79,'[2]turmas 2014.2'!O:O)</f>
        <v>#VALUE!</v>
      </c>
      <c r="D79" s="38" t="e">
        <f>(SUMIFS('[2]turmas 2014.2'!$N:$N,'[2]turmas 2014.2'!$R:$R,$D$5,'[2]turmas 2014.2'!$C:$C,B79)+SUMIFS('[2]turmas 2014.2'!$O:$O,'[2]turmas 2014.2'!$V:$V,$D$5,'[2]turmas 2014.2'!$C:$C,'CRÉDITOS POR CENTRO'!$B79))</f>
        <v>#VALUE!</v>
      </c>
      <c r="E79" s="39" t="e">
        <f t="shared" si="4"/>
        <v>#VALUE!</v>
      </c>
      <c r="F79" s="38" t="e">
        <f>(SUMIFS('[2]turmas 2014.2'!$N:$N,'[2]turmas 2014.2'!$R:$R,$F$5,'[2]turmas 2014.2'!$C:$C,B79)+SUMIFS('[2]turmas 2014.2'!$O:$O,'[2]turmas 2014.2'!$V:$V,$F$5,'[2]turmas 2014.2'!$C:$C,'CRÉDITOS POR CENTRO'!$B79))</f>
        <v>#VALUE!</v>
      </c>
      <c r="G79" s="39" t="e">
        <f t="shared" si="5"/>
        <v>#VALUE!</v>
      </c>
      <c r="H79" s="38" t="e">
        <f>(SUMIFS('[2]turmas 2014.2'!$N:$N,'[2]turmas 2014.2'!$R:$R,$H$5,'[2]turmas 2014.2'!$A:$A,A79)+SUMIFS('[2]turmas 2014.2'!$O:$O,'[2]turmas 2014.2'!$V:$V,$H$5,'[2]turmas 2014.2'!$A:$A,'CRÉDITOS POR CENTRO'!$A79))</f>
        <v>#VALUE!</v>
      </c>
      <c r="I79" s="39" t="e">
        <f t="shared" si="6"/>
        <v>#VALUE!</v>
      </c>
      <c r="J79" s="38" t="e">
        <f t="shared" si="7"/>
        <v>#VALUE!</v>
      </c>
    </row>
    <row r="80" spans="1:10" ht="15">
      <c r="A80" s="269" t="s">
        <v>4520</v>
      </c>
      <c r="B80" s="269" t="s">
        <v>4521</v>
      </c>
      <c r="C80" s="38" t="e">
        <f>SUMIF('[2]turmas 2014.2'!A:A,$A80,'[2]turmas 2014.2'!N:N)+SUMIF('[2]turmas 2014.2'!A:A,$A80,'[2]turmas 2014.2'!O:O)</f>
        <v>#VALUE!</v>
      </c>
      <c r="D80" s="38" t="e">
        <f>(SUMIFS('[2]turmas 2014.2'!$N:$N,'[2]turmas 2014.2'!$R:$R,$D$5,'[2]turmas 2014.2'!$C:$C,B80)+SUMIFS('[2]turmas 2014.2'!$O:$O,'[2]turmas 2014.2'!$V:$V,$D$5,'[2]turmas 2014.2'!$C:$C,'CRÉDITOS POR CENTRO'!$B80))</f>
        <v>#VALUE!</v>
      </c>
      <c r="E80" s="39" t="e">
        <f t="shared" si="4"/>
        <v>#VALUE!</v>
      </c>
      <c r="F80" s="38" t="e">
        <f>(SUMIFS('[2]turmas 2014.2'!$N:$N,'[2]turmas 2014.2'!$R:$R,$F$5,'[2]turmas 2014.2'!$C:$C,B80)+SUMIFS('[2]turmas 2014.2'!$O:$O,'[2]turmas 2014.2'!$V:$V,$F$5,'[2]turmas 2014.2'!$C:$C,'CRÉDITOS POR CENTRO'!$B80))</f>
        <v>#VALUE!</v>
      </c>
      <c r="G80" s="39" t="e">
        <f t="shared" si="5"/>
        <v>#VALUE!</v>
      </c>
      <c r="H80" s="38" t="e">
        <f>(SUMIFS('[2]turmas 2014.2'!$N:$N,'[2]turmas 2014.2'!$R:$R,$H$5,'[2]turmas 2014.2'!$A:$A,A80)+SUMIFS('[2]turmas 2014.2'!$O:$O,'[2]turmas 2014.2'!$V:$V,$H$5,'[2]turmas 2014.2'!$A:$A,'CRÉDITOS POR CENTRO'!$A80))</f>
        <v>#VALUE!</v>
      </c>
      <c r="I80" s="39" t="e">
        <f t="shared" si="6"/>
        <v>#VALUE!</v>
      </c>
      <c r="J80" s="38" t="e">
        <f t="shared" si="7"/>
        <v>#VALUE!</v>
      </c>
    </row>
    <row r="81" spans="1:10" ht="15">
      <c r="A81" s="269" t="s">
        <v>4522</v>
      </c>
      <c r="B81" s="269" t="s">
        <v>4523</v>
      </c>
      <c r="C81" s="38" t="e">
        <f>SUMIF('[2]turmas 2014.2'!A:A,$A81,'[2]turmas 2014.2'!N:N)+SUMIF('[2]turmas 2014.2'!A:A,$A81,'[2]turmas 2014.2'!O:O)</f>
        <v>#VALUE!</v>
      </c>
      <c r="D81" s="38" t="e">
        <f>(SUMIFS('[2]turmas 2014.2'!$N:$N,'[2]turmas 2014.2'!$R:$R,$D$5,'[2]turmas 2014.2'!$C:$C,B81)+SUMIFS('[2]turmas 2014.2'!$O:$O,'[2]turmas 2014.2'!$V:$V,$D$5,'[2]turmas 2014.2'!$C:$C,'CRÉDITOS POR CENTRO'!$B81))</f>
        <v>#VALUE!</v>
      </c>
      <c r="E81" s="39" t="e">
        <f t="shared" si="4"/>
        <v>#VALUE!</v>
      </c>
      <c r="F81" s="38" t="e">
        <f>(SUMIFS('[2]turmas 2014.2'!$N:$N,'[2]turmas 2014.2'!$R:$R,$F$5,'[2]turmas 2014.2'!$C:$C,B81)+SUMIFS('[2]turmas 2014.2'!$O:$O,'[2]turmas 2014.2'!$V:$V,$F$5,'[2]turmas 2014.2'!$C:$C,'CRÉDITOS POR CENTRO'!$B81))</f>
        <v>#VALUE!</v>
      </c>
      <c r="G81" s="39" t="e">
        <f t="shared" si="5"/>
        <v>#VALUE!</v>
      </c>
      <c r="H81" s="38" t="e">
        <f>(SUMIFS('[2]turmas 2014.2'!$N:$N,'[2]turmas 2014.2'!$R:$R,$H$5,'[2]turmas 2014.2'!$A:$A,A81)+SUMIFS('[2]turmas 2014.2'!$O:$O,'[2]turmas 2014.2'!$V:$V,$H$5,'[2]turmas 2014.2'!$A:$A,'CRÉDITOS POR CENTRO'!$A81))</f>
        <v>#VALUE!</v>
      </c>
      <c r="I81" s="39" t="e">
        <f t="shared" si="6"/>
        <v>#VALUE!</v>
      </c>
      <c r="J81" s="38" t="e">
        <f t="shared" si="7"/>
        <v>#VALUE!</v>
      </c>
    </row>
    <row r="82" spans="1:10" ht="15">
      <c r="A82" s="269" t="s">
        <v>1309</v>
      </c>
      <c r="B82" s="269" t="s">
        <v>1310</v>
      </c>
      <c r="C82" s="38" t="e">
        <f>SUMIF('[2]turmas 2014.2'!A:A,$A82,'[2]turmas 2014.2'!N:N)+SUMIF('[2]turmas 2014.2'!A:A,$A82,'[2]turmas 2014.2'!O:O)</f>
        <v>#VALUE!</v>
      </c>
      <c r="D82" s="38" t="e">
        <f>(SUMIFS('[2]turmas 2014.2'!$N:$N,'[2]turmas 2014.2'!$R:$R,$D$5,'[2]turmas 2014.2'!$C:$C,B82)+SUMIFS('[2]turmas 2014.2'!$O:$O,'[2]turmas 2014.2'!$V:$V,$D$5,'[2]turmas 2014.2'!$C:$C,'CRÉDITOS POR CENTRO'!$B82))</f>
        <v>#VALUE!</v>
      </c>
      <c r="E82" s="39" t="e">
        <f t="shared" si="4"/>
        <v>#VALUE!</v>
      </c>
      <c r="F82" s="38" t="e">
        <f>(SUMIFS('[2]turmas 2014.2'!$N:$N,'[2]turmas 2014.2'!$R:$R,$F$5,'[2]turmas 2014.2'!$C:$C,B82)+SUMIFS('[2]turmas 2014.2'!$O:$O,'[2]turmas 2014.2'!$V:$V,$F$5,'[2]turmas 2014.2'!$C:$C,'CRÉDITOS POR CENTRO'!$B82))</f>
        <v>#VALUE!</v>
      </c>
      <c r="G82" s="39" t="e">
        <f t="shared" si="5"/>
        <v>#VALUE!</v>
      </c>
      <c r="H82" s="38" t="e">
        <f>(SUMIFS('[2]turmas 2014.2'!$N:$N,'[2]turmas 2014.2'!$R:$R,$H$5,'[2]turmas 2014.2'!$A:$A,A82)+SUMIFS('[2]turmas 2014.2'!$O:$O,'[2]turmas 2014.2'!$V:$V,$H$5,'[2]turmas 2014.2'!$A:$A,'CRÉDITOS POR CENTRO'!$A82))</f>
        <v>#VALUE!</v>
      </c>
      <c r="I82" s="39" t="e">
        <f t="shared" si="6"/>
        <v>#VALUE!</v>
      </c>
      <c r="J82" s="38" t="e">
        <f t="shared" si="7"/>
        <v>#VALUE!</v>
      </c>
    </row>
    <row r="83" spans="1:10" ht="15">
      <c r="A83" s="269" t="s">
        <v>4524</v>
      </c>
      <c r="B83" s="269" t="s">
        <v>4525</v>
      </c>
      <c r="C83" s="38" t="e">
        <f>SUMIF('[2]turmas 2014.2'!A:A,$A83,'[2]turmas 2014.2'!N:N)+SUMIF('[2]turmas 2014.2'!A:A,$A83,'[2]turmas 2014.2'!O:O)</f>
        <v>#VALUE!</v>
      </c>
      <c r="D83" s="38" t="e">
        <f>(SUMIFS('[2]turmas 2014.2'!$N:$N,'[2]turmas 2014.2'!$R:$R,$D$5,'[2]turmas 2014.2'!$C:$C,B83)+SUMIFS('[2]turmas 2014.2'!$O:$O,'[2]turmas 2014.2'!$V:$V,$D$5,'[2]turmas 2014.2'!$C:$C,'CRÉDITOS POR CENTRO'!$B83))</f>
        <v>#VALUE!</v>
      </c>
      <c r="E83" s="39" t="e">
        <f t="shared" si="4"/>
        <v>#VALUE!</v>
      </c>
      <c r="F83" s="38" t="e">
        <f>(SUMIFS('[2]turmas 2014.2'!$N:$N,'[2]turmas 2014.2'!$R:$R,$F$5,'[2]turmas 2014.2'!$C:$C,B83)+SUMIFS('[2]turmas 2014.2'!$O:$O,'[2]turmas 2014.2'!$V:$V,$F$5,'[2]turmas 2014.2'!$C:$C,'CRÉDITOS POR CENTRO'!$B83))</f>
        <v>#VALUE!</v>
      </c>
      <c r="G83" s="39" t="e">
        <f t="shared" si="5"/>
        <v>#VALUE!</v>
      </c>
      <c r="H83" s="38" t="e">
        <f>(SUMIFS('[2]turmas 2014.2'!$N:$N,'[2]turmas 2014.2'!$R:$R,$H$5,'[2]turmas 2014.2'!$A:$A,A83)+SUMIFS('[2]turmas 2014.2'!$O:$O,'[2]turmas 2014.2'!$V:$V,$H$5,'[2]turmas 2014.2'!$A:$A,'CRÉDITOS POR CENTRO'!$A83))</f>
        <v>#VALUE!</v>
      </c>
      <c r="I83" s="39" t="e">
        <f t="shared" si="6"/>
        <v>#VALUE!</v>
      </c>
      <c r="J83" s="38" t="e">
        <f t="shared" si="7"/>
        <v>#VALUE!</v>
      </c>
    </row>
    <row r="84" spans="1:10" ht="15">
      <c r="A84" s="269" t="s">
        <v>4526</v>
      </c>
      <c r="B84" s="269" t="s">
        <v>4527</v>
      </c>
      <c r="C84" s="38" t="e">
        <f>SUMIF('[2]turmas 2014.2'!A:A,$A84,'[2]turmas 2014.2'!N:N)+SUMIF('[2]turmas 2014.2'!A:A,$A84,'[2]turmas 2014.2'!O:O)</f>
        <v>#VALUE!</v>
      </c>
      <c r="D84" s="38" t="e">
        <f>(SUMIFS('[2]turmas 2014.2'!$N:$N,'[2]turmas 2014.2'!$R:$R,$D$5,'[2]turmas 2014.2'!$C:$C,B84)+SUMIFS('[2]turmas 2014.2'!$O:$O,'[2]turmas 2014.2'!$V:$V,$D$5,'[2]turmas 2014.2'!$C:$C,'CRÉDITOS POR CENTRO'!$B84))</f>
        <v>#VALUE!</v>
      </c>
      <c r="E84" s="39" t="e">
        <f t="shared" si="4"/>
        <v>#VALUE!</v>
      </c>
      <c r="F84" s="38" t="e">
        <f>(SUMIFS('[2]turmas 2014.2'!$N:$N,'[2]turmas 2014.2'!$R:$R,$F$5,'[2]turmas 2014.2'!$C:$C,B84)+SUMIFS('[2]turmas 2014.2'!$O:$O,'[2]turmas 2014.2'!$V:$V,$F$5,'[2]turmas 2014.2'!$C:$C,'CRÉDITOS POR CENTRO'!$B84))</f>
        <v>#VALUE!</v>
      </c>
      <c r="G84" s="39" t="e">
        <f t="shared" si="5"/>
        <v>#VALUE!</v>
      </c>
      <c r="H84" s="38" t="e">
        <f>(SUMIFS('[2]turmas 2014.2'!$N:$N,'[2]turmas 2014.2'!$R:$R,$H$5,'[2]turmas 2014.2'!$A:$A,A84)+SUMIFS('[2]turmas 2014.2'!$O:$O,'[2]turmas 2014.2'!$V:$V,$H$5,'[2]turmas 2014.2'!$A:$A,'CRÉDITOS POR CENTRO'!$A84))</f>
        <v>#VALUE!</v>
      </c>
      <c r="I84" s="39" t="e">
        <f t="shared" si="6"/>
        <v>#VALUE!</v>
      </c>
      <c r="J84" s="38" t="e">
        <f t="shared" si="7"/>
        <v>#VALUE!</v>
      </c>
    </row>
    <row r="85" spans="1:10" ht="15">
      <c r="A85" s="269" t="s">
        <v>4528</v>
      </c>
      <c r="B85" s="269" t="s">
        <v>4529</v>
      </c>
      <c r="C85" s="38" t="e">
        <f>SUMIF('[2]turmas 2014.2'!A:A,$A85,'[2]turmas 2014.2'!N:N)+SUMIF('[2]turmas 2014.2'!A:A,$A85,'[2]turmas 2014.2'!O:O)</f>
        <v>#VALUE!</v>
      </c>
      <c r="D85" s="38" t="e">
        <f>(SUMIFS('[2]turmas 2014.2'!$N:$N,'[2]turmas 2014.2'!$R:$R,$D$5,'[2]turmas 2014.2'!$C:$C,B85)+SUMIFS('[2]turmas 2014.2'!$O:$O,'[2]turmas 2014.2'!$V:$V,$D$5,'[2]turmas 2014.2'!$C:$C,'CRÉDITOS POR CENTRO'!$B85))</f>
        <v>#VALUE!</v>
      </c>
      <c r="E85" s="39" t="e">
        <f t="shared" si="4"/>
        <v>#VALUE!</v>
      </c>
      <c r="F85" s="38" t="e">
        <f>(SUMIFS('[2]turmas 2014.2'!$N:$N,'[2]turmas 2014.2'!$R:$R,$F$5,'[2]turmas 2014.2'!$C:$C,B85)+SUMIFS('[2]turmas 2014.2'!$O:$O,'[2]turmas 2014.2'!$V:$V,$F$5,'[2]turmas 2014.2'!$C:$C,'CRÉDITOS POR CENTRO'!$B85))</f>
        <v>#VALUE!</v>
      </c>
      <c r="G85" s="39" t="e">
        <f t="shared" si="5"/>
        <v>#VALUE!</v>
      </c>
      <c r="H85" s="38" t="e">
        <f>(SUMIFS('[2]turmas 2014.2'!$N:$N,'[2]turmas 2014.2'!$R:$R,$H$5,'[2]turmas 2014.2'!$A:$A,A85)+SUMIFS('[2]turmas 2014.2'!$O:$O,'[2]turmas 2014.2'!$V:$V,$H$5,'[2]turmas 2014.2'!$A:$A,'CRÉDITOS POR CENTRO'!$A85))</f>
        <v>#VALUE!</v>
      </c>
      <c r="I85" s="39" t="e">
        <f t="shared" si="6"/>
        <v>#VALUE!</v>
      </c>
      <c r="J85" s="38" t="e">
        <f t="shared" si="7"/>
        <v>#VALUE!</v>
      </c>
    </row>
    <row r="86" spans="1:10" ht="15">
      <c r="A86" s="269" t="s">
        <v>4530</v>
      </c>
      <c r="B86" s="269" t="s">
        <v>4531</v>
      </c>
      <c r="C86" s="38" t="e">
        <f>SUMIF('[2]turmas 2014.2'!A:A,$A86,'[2]turmas 2014.2'!N:N)+SUMIF('[2]turmas 2014.2'!A:A,$A86,'[2]turmas 2014.2'!O:O)</f>
        <v>#VALUE!</v>
      </c>
      <c r="D86" s="38" t="e">
        <f>(SUMIFS('[2]turmas 2014.2'!$N:$N,'[2]turmas 2014.2'!$R:$R,$D$5,'[2]turmas 2014.2'!$C:$C,B86)+SUMIFS('[2]turmas 2014.2'!$O:$O,'[2]turmas 2014.2'!$V:$V,$D$5,'[2]turmas 2014.2'!$C:$C,'CRÉDITOS POR CENTRO'!$B86))</f>
        <v>#VALUE!</v>
      </c>
      <c r="E86" s="39" t="e">
        <f t="shared" si="4"/>
        <v>#VALUE!</v>
      </c>
      <c r="F86" s="38" t="e">
        <f>(SUMIFS('[2]turmas 2014.2'!$N:$N,'[2]turmas 2014.2'!$R:$R,$F$5,'[2]turmas 2014.2'!$C:$C,B86)+SUMIFS('[2]turmas 2014.2'!$O:$O,'[2]turmas 2014.2'!$V:$V,$F$5,'[2]turmas 2014.2'!$C:$C,'CRÉDITOS POR CENTRO'!$B86))</f>
        <v>#VALUE!</v>
      </c>
      <c r="G86" s="39" t="e">
        <f t="shared" si="5"/>
        <v>#VALUE!</v>
      </c>
      <c r="H86" s="38" t="e">
        <f>(SUMIFS('[2]turmas 2014.2'!$N:$N,'[2]turmas 2014.2'!$R:$R,$H$5,'[2]turmas 2014.2'!$A:$A,A86)+SUMIFS('[2]turmas 2014.2'!$O:$O,'[2]turmas 2014.2'!$V:$V,$H$5,'[2]turmas 2014.2'!$A:$A,'CRÉDITOS POR CENTRO'!$A86))</f>
        <v>#VALUE!</v>
      </c>
      <c r="I86" s="39" t="e">
        <f t="shared" si="6"/>
        <v>#VALUE!</v>
      </c>
      <c r="J86" s="38" t="e">
        <f t="shared" si="7"/>
        <v>#VALUE!</v>
      </c>
    </row>
    <row r="87" spans="1:10" ht="15">
      <c r="A87" s="269" t="s">
        <v>1346</v>
      </c>
      <c r="B87" s="269" t="s">
        <v>1347</v>
      </c>
      <c r="C87" s="38" t="e">
        <f>SUMIF('[2]turmas 2014.2'!A:A,$A87,'[2]turmas 2014.2'!N:N)+SUMIF('[2]turmas 2014.2'!A:A,$A87,'[2]turmas 2014.2'!O:O)</f>
        <v>#VALUE!</v>
      </c>
      <c r="D87" s="38" t="e">
        <f>(SUMIFS('[2]turmas 2014.2'!$N:$N,'[2]turmas 2014.2'!$R:$R,$D$5,'[2]turmas 2014.2'!$C:$C,B87)+SUMIFS('[2]turmas 2014.2'!$O:$O,'[2]turmas 2014.2'!$V:$V,$D$5,'[2]turmas 2014.2'!$C:$C,'CRÉDITOS POR CENTRO'!$B87))</f>
        <v>#VALUE!</v>
      </c>
      <c r="E87" s="39" t="e">
        <f t="shared" si="4"/>
        <v>#VALUE!</v>
      </c>
      <c r="F87" s="38" t="e">
        <f>(SUMIFS('[2]turmas 2014.2'!$N:$N,'[2]turmas 2014.2'!$R:$R,$F$5,'[2]turmas 2014.2'!$C:$C,B87)+SUMIFS('[2]turmas 2014.2'!$O:$O,'[2]turmas 2014.2'!$V:$V,$F$5,'[2]turmas 2014.2'!$C:$C,'CRÉDITOS POR CENTRO'!$B87))</f>
        <v>#VALUE!</v>
      </c>
      <c r="G87" s="39" t="e">
        <f t="shared" si="5"/>
        <v>#VALUE!</v>
      </c>
      <c r="H87" s="38" t="e">
        <f>(SUMIFS('[2]turmas 2014.2'!$N:$N,'[2]turmas 2014.2'!$R:$R,$H$5,'[2]turmas 2014.2'!$A:$A,A87)+SUMIFS('[2]turmas 2014.2'!$O:$O,'[2]turmas 2014.2'!$V:$V,$H$5,'[2]turmas 2014.2'!$A:$A,'CRÉDITOS POR CENTRO'!$A87))</f>
        <v>#VALUE!</v>
      </c>
      <c r="I87" s="39" t="e">
        <f t="shared" si="6"/>
        <v>#VALUE!</v>
      </c>
      <c r="J87" s="38" t="e">
        <f t="shared" si="7"/>
        <v>#VALUE!</v>
      </c>
    </row>
    <row r="88" spans="1:10" ht="15">
      <c r="A88" s="269" t="s">
        <v>1404</v>
      </c>
      <c r="B88" s="269" t="s">
        <v>1405</v>
      </c>
      <c r="C88" s="38" t="e">
        <f>SUMIF('[2]turmas 2014.2'!A:A,$A88,'[2]turmas 2014.2'!N:N)+SUMIF('[2]turmas 2014.2'!A:A,$A88,'[2]turmas 2014.2'!O:O)</f>
        <v>#VALUE!</v>
      </c>
      <c r="D88" s="38" t="e">
        <f>(SUMIFS('[2]turmas 2014.2'!$N:$N,'[2]turmas 2014.2'!$R:$R,$D$5,'[2]turmas 2014.2'!$C:$C,B88)+SUMIFS('[2]turmas 2014.2'!$O:$O,'[2]turmas 2014.2'!$V:$V,$D$5,'[2]turmas 2014.2'!$C:$C,'CRÉDITOS POR CENTRO'!$B88))</f>
        <v>#VALUE!</v>
      </c>
      <c r="E88" s="39" t="e">
        <f t="shared" si="4"/>
        <v>#VALUE!</v>
      </c>
      <c r="F88" s="38" t="e">
        <f>(SUMIFS('[2]turmas 2014.2'!$N:$N,'[2]turmas 2014.2'!$R:$R,$F$5,'[2]turmas 2014.2'!$C:$C,B88)+SUMIFS('[2]turmas 2014.2'!$O:$O,'[2]turmas 2014.2'!$V:$V,$F$5,'[2]turmas 2014.2'!$C:$C,'CRÉDITOS POR CENTRO'!$B88))</f>
        <v>#VALUE!</v>
      </c>
      <c r="G88" s="39" t="e">
        <f t="shared" si="5"/>
        <v>#VALUE!</v>
      </c>
      <c r="H88" s="38" t="e">
        <f>(SUMIFS('[2]turmas 2014.2'!$N:$N,'[2]turmas 2014.2'!$R:$R,$H$5,'[2]turmas 2014.2'!$A:$A,A88)+SUMIFS('[2]turmas 2014.2'!$O:$O,'[2]turmas 2014.2'!$V:$V,$H$5,'[2]turmas 2014.2'!$A:$A,'CRÉDITOS POR CENTRO'!$A88))</f>
        <v>#VALUE!</v>
      </c>
      <c r="I88" s="39" t="e">
        <f t="shared" si="6"/>
        <v>#VALUE!</v>
      </c>
      <c r="J88" s="38" t="e">
        <f t="shared" si="7"/>
        <v>#VALUE!</v>
      </c>
    </row>
    <row r="89" spans="1:10" ht="15">
      <c r="A89" s="269" t="s">
        <v>4532</v>
      </c>
      <c r="B89" s="269" t="s">
        <v>4533</v>
      </c>
      <c r="C89" s="38" t="e">
        <f>SUMIF('[2]turmas 2014.2'!A:A,$A89,'[2]turmas 2014.2'!N:N)+SUMIF('[2]turmas 2014.2'!A:A,$A89,'[2]turmas 2014.2'!O:O)</f>
        <v>#VALUE!</v>
      </c>
      <c r="D89" s="38" t="e">
        <f>(SUMIFS('[2]turmas 2014.2'!$N:$N,'[2]turmas 2014.2'!$R:$R,$D$5,'[2]turmas 2014.2'!$C:$C,B89)+SUMIFS('[2]turmas 2014.2'!$O:$O,'[2]turmas 2014.2'!$V:$V,$D$5,'[2]turmas 2014.2'!$C:$C,'CRÉDITOS POR CENTRO'!$B89))</f>
        <v>#VALUE!</v>
      </c>
      <c r="E89" s="39" t="e">
        <f t="shared" si="4"/>
        <v>#VALUE!</v>
      </c>
      <c r="F89" s="38" t="e">
        <f>(SUMIFS('[2]turmas 2014.2'!$N:$N,'[2]turmas 2014.2'!$R:$R,$F$5,'[2]turmas 2014.2'!$C:$C,B89)+SUMIFS('[2]turmas 2014.2'!$O:$O,'[2]turmas 2014.2'!$V:$V,$F$5,'[2]turmas 2014.2'!$C:$C,'CRÉDITOS POR CENTRO'!$B89))</f>
        <v>#VALUE!</v>
      </c>
      <c r="G89" s="39" t="e">
        <f t="shared" si="5"/>
        <v>#VALUE!</v>
      </c>
      <c r="H89" s="38" t="e">
        <f>(SUMIFS('[2]turmas 2014.2'!$N:$N,'[2]turmas 2014.2'!$R:$R,$H$5,'[2]turmas 2014.2'!$A:$A,A89)+SUMIFS('[2]turmas 2014.2'!$O:$O,'[2]turmas 2014.2'!$V:$V,$H$5,'[2]turmas 2014.2'!$A:$A,'CRÉDITOS POR CENTRO'!$A89))</f>
        <v>#VALUE!</v>
      </c>
      <c r="I89" s="39" t="e">
        <f t="shared" si="6"/>
        <v>#VALUE!</v>
      </c>
      <c r="J89" s="38" t="e">
        <f t="shared" si="7"/>
        <v>#VALUE!</v>
      </c>
    </row>
    <row r="90" spans="1:10" ht="15">
      <c r="A90" s="269" t="s">
        <v>4534</v>
      </c>
      <c r="B90" s="269" t="s">
        <v>4535</v>
      </c>
      <c r="C90" s="38" t="e">
        <f>SUMIF('[2]turmas 2014.2'!A:A,$A90,'[2]turmas 2014.2'!N:N)+SUMIF('[2]turmas 2014.2'!A:A,$A90,'[2]turmas 2014.2'!O:O)</f>
        <v>#VALUE!</v>
      </c>
      <c r="D90" s="38" t="e">
        <f>(SUMIFS('[2]turmas 2014.2'!$N:$N,'[2]turmas 2014.2'!$R:$R,$D$5,'[2]turmas 2014.2'!$C:$C,B90)+SUMIFS('[2]turmas 2014.2'!$O:$O,'[2]turmas 2014.2'!$V:$V,$D$5,'[2]turmas 2014.2'!$C:$C,'CRÉDITOS POR CENTRO'!$B90))</f>
        <v>#VALUE!</v>
      </c>
      <c r="E90" s="39" t="e">
        <f t="shared" si="4"/>
        <v>#VALUE!</v>
      </c>
      <c r="F90" s="38" t="e">
        <f>(SUMIFS('[2]turmas 2014.2'!$N:$N,'[2]turmas 2014.2'!$R:$R,$F$5,'[2]turmas 2014.2'!$C:$C,B90)+SUMIFS('[2]turmas 2014.2'!$O:$O,'[2]turmas 2014.2'!$V:$V,$F$5,'[2]turmas 2014.2'!$C:$C,'CRÉDITOS POR CENTRO'!$B90))</f>
        <v>#VALUE!</v>
      </c>
      <c r="G90" s="39" t="e">
        <f t="shared" si="5"/>
        <v>#VALUE!</v>
      </c>
      <c r="H90" s="38" t="e">
        <f>(SUMIFS('[2]turmas 2014.2'!$N:$N,'[2]turmas 2014.2'!$R:$R,$H$5,'[2]turmas 2014.2'!$A:$A,A90)+SUMIFS('[2]turmas 2014.2'!$O:$O,'[2]turmas 2014.2'!$V:$V,$H$5,'[2]turmas 2014.2'!$A:$A,'CRÉDITOS POR CENTRO'!$A90))</f>
        <v>#VALUE!</v>
      </c>
      <c r="I90" s="39" t="e">
        <f t="shared" si="6"/>
        <v>#VALUE!</v>
      </c>
      <c r="J90" s="38" t="e">
        <f t="shared" si="7"/>
        <v>#VALUE!</v>
      </c>
    </row>
    <row r="91" spans="1:10" ht="15">
      <c r="A91" s="269" t="s">
        <v>4536</v>
      </c>
      <c r="B91" s="269" t="s">
        <v>4537</v>
      </c>
      <c r="C91" s="38" t="e">
        <f>SUMIF('[2]turmas 2014.2'!A:A,$A91,'[2]turmas 2014.2'!N:N)+SUMIF('[2]turmas 2014.2'!A:A,$A91,'[2]turmas 2014.2'!O:O)</f>
        <v>#VALUE!</v>
      </c>
      <c r="D91" s="38" t="e">
        <f>(SUMIFS('[2]turmas 2014.2'!$N:$N,'[2]turmas 2014.2'!$R:$R,$D$5,'[2]turmas 2014.2'!$C:$C,B91)+SUMIFS('[2]turmas 2014.2'!$O:$O,'[2]turmas 2014.2'!$V:$V,$D$5,'[2]turmas 2014.2'!$C:$C,'CRÉDITOS POR CENTRO'!$B91))</f>
        <v>#VALUE!</v>
      </c>
      <c r="E91" s="39" t="e">
        <f t="shared" si="4"/>
        <v>#VALUE!</v>
      </c>
      <c r="F91" s="38" t="e">
        <f>(SUMIFS('[2]turmas 2014.2'!$N:$N,'[2]turmas 2014.2'!$R:$R,$F$5,'[2]turmas 2014.2'!$C:$C,B91)+SUMIFS('[2]turmas 2014.2'!$O:$O,'[2]turmas 2014.2'!$V:$V,$F$5,'[2]turmas 2014.2'!$C:$C,'CRÉDITOS POR CENTRO'!$B91))</f>
        <v>#VALUE!</v>
      </c>
      <c r="G91" s="39" t="e">
        <f t="shared" si="5"/>
        <v>#VALUE!</v>
      </c>
      <c r="H91" s="38" t="e">
        <f>(SUMIFS('[2]turmas 2014.2'!$N:$N,'[2]turmas 2014.2'!$R:$R,$H$5,'[2]turmas 2014.2'!$A:$A,A91)+SUMIFS('[2]turmas 2014.2'!$O:$O,'[2]turmas 2014.2'!$V:$V,$H$5,'[2]turmas 2014.2'!$A:$A,'CRÉDITOS POR CENTRO'!$A91))</f>
        <v>#VALUE!</v>
      </c>
      <c r="I91" s="39" t="e">
        <f t="shared" si="6"/>
        <v>#VALUE!</v>
      </c>
      <c r="J91" s="38" t="e">
        <f t="shared" si="7"/>
        <v>#VALUE!</v>
      </c>
    </row>
    <row r="92" spans="1:10" ht="15">
      <c r="A92" s="269" t="s">
        <v>4538</v>
      </c>
      <c r="B92" s="269" t="s">
        <v>4539</v>
      </c>
      <c r="C92" s="38" t="e">
        <f>SUMIF('[2]turmas 2014.2'!A:A,$A92,'[2]turmas 2014.2'!N:N)+SUMIF('[2]turmas 2014.2'!A:A,$A92,'[2]turmas 2014.2'!O:O)</f>
        <v>#VALUE!</v>
      </c>
      <c r="D92" s="38" t="e">
        <f>(SUMIFS('[2]turmas 2014.2'!$N:$N,'[2]turmas 2014.2'!$R:$R,$D$5,'[2]turmas 2014.2'!$C:$C,B92)+SUMIFS('[2]turmas 2014.2'!$O:$O,'[2]turmas 2014.2'!$V:$V,$D$5,'[2]turmas 2014.2'!$C:$C,'CRÉDITOS POR CENTRO'!$B92))</f>
        <v>#VALUE!</v>
      </c>
      <c r="E92" s="39" t="e">
        <f t="shared" si="4"/>
        <v>#VALUE!</v>
      </c>
      <c r="F92" s="38" t="e">
        <f>(SUMIFS('[2]turmas 2014.2'!$N:$N,'[2]turmas 2014.2'!$R:$R,$F$5,'[2]turmas 2014.2'!$C:$C,B92)+SUMIFS('[2]turmas 2014.2'!$O:$O,'[2]turmas 2014.2'!$V:$V,$F$5,'[2]turmas 2014.2'!$C:$C,'CRÉDITOS POR CENTRO'!$B92))</f>
        <v>#VALUE!</v>
      </c>
      <c r="G92" s="39" t="e">
        <f t="shared" si="5"/>
        <v>#VALUE!</v>
      </c>
      <c r="H92" s="38" t="e">
        <f>(SUMIFS('[2]turmas 2014.2'!$N:$N,'[2]turmas 2014.2'!$R:$R,$H$5,'[2]turmas 2014.2'!$A:$A,A92)+SUMIFS('[2]turmas 2014.2'!$O:$O,'[2]turmas 2014.2'!$V:$V,$H$5,'[2]turmas 2014.2'!$A:$A,'CRÉDITOS POR CENTRO'!$A92))</f>
        <v>#VALUE!</v>
      </c>
      <c r="I92" s="39" t="e">
        <f t="shared" si="6"/>
        <v>#VALUE!</v>
      </c>
      <c r="J92" s="38" t="e">
        <f t="shared" si="7"/>
        <v>#VALUE!</v>
      </c>
    </row>
    <row r="93" spans="1:10" ht="15">
      <c r="A93" s="269" t="s">
        <v>4540</v>
      </c>
      <c r="B93" s="269" t="s">
        <v>4541</v>
      </c>
      <c r="C93" s="38" t="e">
        <f>SUMIF('[2]turmas 2014.2'!A:A,$A93,'[2]turmas 2014.2'!N:N)+SUMIF('[2]turmas 2014.2'!A:A,$A93,'[2]turmas 2014.2'!O:O)</f>
        <v>#VALUE!</v>
      </c>
      <c r="D93" s="38" t="e">
        <f>(SUMIFS('[2]turmas 2014.2'!$N:$N,'[2]turmas 2014.2'!$R:$R,$D$5,'[2]turmas 2014.2'!$C:$C,B93)+SUMIFS('[2]turmas 2014.2'!$O:$O,'[2]turmas 2014.2'!$V:$V,$D$5,'[2]turmas 2014.2'!$C:$C,'CRÉDITOS POR CENTRO'!$B93))</f>
        <v>#VALUE!</v>
      </c>
      <c r="E93" s="39" t="e">
        <f t="shared" si="4"/>
        <v>#VALUE!</v>
      </c>
      <c r="F93" s="38" t="e">
        <f>(SUMIFS('[2]turmas 2014.2'!$N:$N,'[2]turmas 2014.2'!$R:$R,$F$5,'[2]turmas 2014.2'!$C:$C,B93)+SUMIFS('[2]turmas 2014.2'!$O:$O,'[2]turmas 2014.2'!$V:$V,$F$5,'[2]turmas 2014.2'!$C:$C,'CRÉDITOS POR CENTRO'!$B93))</f>
        <v>#VALUE!</v>
      </c>
      <c r="G93" s="39" t="e">
        <f t="shared" si="5"/>
        <v>#VALUE!</v>
      </c>
      <c r="H93" s="38" t="e">
        <f>(SUMIFS('[2]turmas 2014.2'!$N:$N,'[2]turmas 2014.2'!$R:$R,$H$5,'[2]turmas 2014.2'!$A:$A,A93)+SUMIFS('[2]turmas 2014.2'!$O:$O,'[2]turmas 2014.2'!$V:$V,$H$5,'[2]turmas 2014.2'!$A:$A,'CRÉDITOS POR CENTRO'!$A93))</f>
        <v>#VALUE!</v>
      </c>
      <c r="I93" s="39" t="e">
        <f t="shared" si="6"/>
        <v>#VALUE!</v>
      </c>
      <c r="J93" s="38" t="e">
        <f t="shared" si="7"/>
        <v>#VALUE!</v>
      </c>
    </row>
    <row r="94" spans="1:10" ht="15">
      <c r="A94" s="269" t="s">
        <v>4542</v>
      </c>
      <c r="B94" s="269" t="s">
        <v>4543</v>
      </c>
      <c r="C94" s="38" t="e">
        <f>SUMIF('[2]turmas 2014.2'!A:A,$A94,'[2]turmas 2014.2'!N:N)+SUMIF('[2]turmas 2014.2'!A:A,$A94,'[2]turmas 2014.2'!O:O)</f>
        <v>#VALUE!</v>
      </c>
      <c r="D94" s="38" t="e">
        <f>(SUMIFS('[2]turmas 2014.2'!$N:$N,'[2]turmas 2014.2'!$R:$R,$D$5,'[2]turmas 2014.2'!$C:$C,B94)+SUMIFS('[2]turmas 2014.2'!$O:$O,'[2]turmas 2014.2'!$V:$V,$D$5,'[2]turmas 2014.2'!$C:$C,'CRÉDITOS POR CENTRO'!$B94))</f>
        <v>#VALUE!</v>
      </c>
      <c r="E94" s="39" t="e">
        <f t="shared" si="4"/>
        <v>#VALUE!</v>
      </c>
      <c r="F94" s="38" t="e">
        <f>(SUMIFS('[2]turmas 2014.2'!$N:$N,'[2]turmas 2014.2'!$R:$R,$F$5,'[2]turmas 2014.2'!$C:$C,B94)+SUMIFS('[2]turmas 2014.2'!$O:$O,'[2]turmas 2014.2'!$V:$V,$F$5,'[2]turmas 2014.2'!$C:$C,'CRÉDITOS POR CENTRO'!$B94))</f>
        <v>#VALUE!</v>
      </c>
      <c r="G94" s="39" t="e">
        <f t="shared" si="5"/>
        <v>#VALUE!</v>
      </c>
      <c r="H94" s="38" t="e">
        <f>(SUMIFS('[2]turmas 2014.2'!$N:$N,'[2]turmas 2014.2'!$R:$R,$H$5,'[2]turmas 2014.2'!$A:$A,A94)+SUMIFS('[2]turmas 2014.2'!$O:$O,'[2]turmas 2014.2'!$V:$V,$H$5,'[2]turmas 2014.2'!$A:$A,'CRÉDITOS POR CENTRO'!$A94))</f>
        <v>#VALUE!</v>
      </c>
      <c r="I94" s="39" t="e">
        <f t="shared" si="6"/>
        <v>#VALUE!</v>
      </c>
      <c r="J94" s="38" t="e">
        <f t="shared" si="7"/>
        <v>#VALUE!</v>
      </c>
    </row>
    <row r="95" spans="1:10" ht="15">
      <c r="A95" s="269" t="s">
        <v>1451</v>
      </c>
      <c r="B95" s="269" t="s">
        <v>1452</v>
      </c>
      <c r="C95" s="38" t="e">
        <f>SUMIF('[2]turmas 2014.2'!A:A,$A95,'[2]turmas 2014.2'!N:N)+SUMIF('[2]turmas 2014.2'!A:A,$A95,'[2]turmas 2014.2'!O:O)</f>
        <v>#VALUE!</v>
      </c>
      <c r="D95" s="38" t="e">
        <f>(SUMIFS('[2]turmas 2014.2'!$N:$N,'[2]turmas 2014.2'!$R:$R,$D$5,'[2]turmas 2014.2'!$C:$C,B95)+SUMIFS('[2]turmas 2014.2'!$O:$O,'[2]turmas 2014.2'!$V:$V,$D$5,'[2]turmas 2014.2'!$C:$C,'CRÉDITOS POR CENTRO'!$B95))</f>
        <v>#VALUE!</v>
      </c>
      <c r="E95" s="39">
        <v>0</v>
      </c>
      <c r="F95" s="38" t="e">
        <f>(SUMIFS('[2]turmas 2014.2'!$N:$N,'[2]turmas 2014.2'!$R:$R,$F$5,'[2]turmas 2014.2'!$C:$C,B95)+SUMIFS('[2]turmas 2014.2'!$O:$O,'[2]turmas 2014.2'!$V:$V,$F$5,'[2]turmas 2014.2'!$C:$C,'CRÉDITOS POR CENTRO'!$B95))</f>
        <v>#VALUE!</v>
      </c>
      <c r="G95" s="39">
        <v>0</v>
      </c>
      <c r="H95" s="38" t="e">
        <f>(SUMIFS('[2]turmas 2014.2'!$N:$N,'[2]turmas 2014.2'!$R:$R,$H$5,'[2]turmas 2014.2'!$A:$A,A95)+SUMIFS('[2]turmas 2014.2'!$O:$O,'[2]turmas 2014.2'!$V:$V,$H$5,'[2]turmas 2014.2'!$A:$A,'CRÉDITOS POR CENTRO'!$A95))</f>
        <v>#VALUE!</v>
      </c>
      <c r="I95" s="39">
        <v>0</v>
      </c>
      <c r="J95" s="38" t="e">
        <f t="shared" si="7"/>
        <v>#VALUE!</v>
      </c>
    </row>
    <row r="96" spans="1:10" ht="15">
      <c r="A96" s="269" t="s">
        <v>4544</v>
      </c>
      <c r="B96" s="269" t="s">
        <v>4545</v>
      </c>
      <c r="C96" s="38" t="e">
        <f>SUMIF('[2]turmas 2014.2'!A:A,$A96,'[2]turmas 2014.2'!N:N)+SUMIF('[2]turmas 2014.2'!A:A,$A96,'[2]turmas 2014.2'!O:O)</f>
        <v>#VALUE!</v>
      </c>
      <c r="D96" s="38" t="e">
        <f>(SUMIFS('[2]turmas 2014.2'!$N:$N,'[2]turmas 2014.2'!$R:$R,$D$5,'[2]turmas 2014.2'!$C:$C,B96)+SUMIFS('[2]turmas 2014.2'!$O:$O,'[2]turmas 2014.2'!$V:$V,$D$5,'[2]turmas 2014.2'!$C:$C,'CRÉDITOS POR CENTRO'!$B96))</f>
        <v>#VALUE!</v>
      </c>
      <c r="E96" s="39">
        <v>0</v>
      </c>
      <c r="F96" s="38" t="e">
        <f>(SUMIFS('[2]turmas 2014.2'!$N:$N,'[2]turmas 2014.2'!$R:$R,$F$5,'[2]turmas 2014.2'!$C:$C,B96)+SUMIFS('[2]turmas 2014.2'!$O:$O,'[2]turmas 2014.2'!$V:$V,$F$5,'[2]turmas 2014.2'!$C:$C,'CRÉDITOS POR CENTRO'!$B96))</f>
        <v>#VALUE!</v>
      </c>
      <c r="G96" s="39">
        <v>0</v>
      </c>
      <c r="H96" s="38" t="e">
        <f>(SUMIFS('[2]turmas 2014.2'!$N:$N,'[2]turmas 2014.2'!$R:$R,$H$5,'[2]turmas 2014.2'!$A:$A,A96)+SUMIFS('[2]turmas 2014.2'!$O:$O,'[2]turmas 2014.2'!$V:$V,$H$5,'[2]turmas 2014.2'!$A:$A,'CRÉDITOS POR CENTRO'!$A96))</f>
        <v>#VALUE!</v>
      </c>
      <c r="I96" s="39">
        <v>0</v>
      </c>
      <c r="J96" s="38" t="e">
        <f t="shared" si="7"/>
        <v>#VALUE!</v>
      </c>
    </row>
    <row r="97" spans="1:10" ht="15">
      <c r="A97" s="269" t="s">
        <v>4546</v>
      </c>
      <c r="B97" s="269" t="s">
        <v>4547</v>
      </c>
      <c r="C97" s="38" t="e">
        <f>SUMIF('[2]turmas 2014.2'!A:A,$A97,'[2]turmas 2014.2'!N:N)+SUMIF('[2]turmas 2014.2'!A:A,$A97,'[2]turmas 2014.2'!O:O)</f>
        <v>#VALUE!</v>
      </c>
      <c r="D97" s="38" t="e">
        <f>(SUMIFS('[2]turmas 2014.2'!$N:$N,'[2]turmas 2014.2'!$R:$R,$D$5,'[2]turmas 2014.2'!$C:$C,B97)+SUMIFS('[2]turmas 2014.2'!$O:$O,'[2]turmas 2014.2'!$V:$V,$D$5,'[2]turmas 2014.2'!$C:$C,'CRÉDITOS POR CENTRO'!$B97))</f>
        <v>#VALUE!</v>
      </c>
      <c r="E97" s="39">
        <v>0</v>
      </c>
      <c r="F97" s="38" t="e">
        <f>(SUMIFS('[2]turmas 2014.2'!$N:$N,'[2]turmas 2014.2'!$R:$R,$F$5,'[2]turmas 2014.2'!$C:$C,B97)+SUMIFS('[2]turmas 2014.2'!$O:$O,'[2]turmas 2014.2'!$V:$V,$F$5,'[2]turmas 2014.2'!$C:$C,'CRÉDITOS POR CENTRO'!$B97))</f>
        <v>#VALUE!</v>
      </c>
      <c r="G97" s="39">
        <v>0</v>
      </c>
      <c r="H97" s="38" t="e">
        <f>(SUMIFS('[2]turmas 2014.2'!$N:$N,'[2]turmas 2014.2'!$R:$R,$H$5,'[2]turmas 2014.2'!$A:$A,A97)+SUMIFS('[2]turmas 2014.2'!$O:$O,'[2]turmas 2014.2'!$V:$V,$H$5,'[2]turmas 2014.2'!$A:$A,'CRÉDITOS POR CENTRO'!$A97))</f>
        <v>#VALUE!</v>
      </c>
      <c r="I97" s="39">
        <v>0</v>
      </c>
      <c r="J97" s="38" t="e">
        <f t="shared" si="7"/>
        <v>#VALUE!</v>
      </c>
    </row>
    <row r="98" spans="1:10" ht="15">
      <c r="A98" s="269" t="s">
        <v>4548</v>
      </c>
      <c r="B98" s="269" t="s">
        <v>4549</v>
      </c>
      <c r="C98" s="38" t="e">
        <f>SUMIF('[2]turmas 2014.2'!A:A,$A98,'[2]turmas 2014.2'!N:N)+SUMIF('[2]turmas 2014.2'!A:A,$A98,'[2]turmas 2014.2'!O:O)</f>
        <v>#VALUE!</v>
      </c>
      <c r="D98" s="38" t="e">
        <f>(SUMIFS('[2]turmas 2014.2'!$N:$N,'[2]turmas 2014.2'!$R:$R,$D$5,'[2]turmas 2014.2'!$C:$C,B98)+SUMIFS('[2]turmas 2014.2'!$O:$O,'[2]turmas 2014.2'!$V:$V,$D$5,'[2]turmas 2014.2'!$C:$C,'CRÉDITOS POR CENTRO'!$B98))</f>
        <v>#VALUE!</v>
      </c>
      <c r="E98" s="39">
        <v>0</v>
      </c>
      <c r="F98" s="38" t="e">
        <f>(SUMIFS('[2]turmas 2014.2'!$N:$N,'[2]turmas 2014.2'!$R:$R,$F$5,'[2]turmas 2014.2'!$C:$C,B98)+SUMIFS('[2]turmas 2014.2'!$O:$O,'[2]turmas 2014.2'!$V:$V,$F$5,'[2]turmas 2014.2'!$C:$C,'CRÉDITOS POR CENTRO'!$B98))</f>
        <v>#VALUE!</v>
      </c>
      <c r="G98" s="39">
        <v>0</v>
      </c>
      <c r="H98" s="38" t="e">
        <f>(SUMIFS('[2]turmas 2014.2'!$N:$N,'[2]turmas 2014.2'!$R:$R,$H$5,'[2]turmas 2014.2'!$A:$A,A98)+SUMIFS('[2]turmas 2014.2'!$O:$O,'[2]turmas 2014.2'!$V:$V,$H$5,'[2]turmas 2014.2'!$A:$A,'CRÉDITOS POR CENTRO'!$A98))</f>
        <v>#VALUE!</v>
      </c>
      <c r="I98" s="39">
        <v>0</v>
      </c>
      <c r="J98" s="38" t="e">
        <f t="shared" si="7"/>
        <v>#VALUE!</v>
      </c>
    </row>
    <row r="99" spans="1:10" ht="15">
      <c r="A99" s="269" t="s">
        <v>1638</v>
      </c>
      <c r="B99" s="269" t="s">
        <v>1639</v>
      </c>
      <c r="C99" s="38" t="e">
        <f>SUMIF('[2]turmas 2014.2'!A:A,$A99,'[2]turmas 2014.2'!N:N)+SUMIF('[2]turmas 2014.2'!A:A,$A99,'[2]turmas 2014.2'!O:O)</f>
        <v>#VALUE!</v>
      </c>
      <c r="D99" s="38" t="e">
        <f>(SUMIFS('[2]turmas 2014.2'!$N:$N,'[2]turmas 2014.2'!$R:$R,$D$5,'[2]turmas 2014.2'!$C:$C,B99)+SUMIFS('[2]turmas 2014.2'!$O:$O,'[2]turmas 2014.2'!$V:$V,$D$5,'[2]turmas 2014.2'!$C:$C,'CRÉDITOS POR CENTRO'!$B99))</f>
        <v>#VALUE!</v>
      </c>
      <c r="E99" s="39">
        <v>0</v>
      </c>
      <c r="F99" s="38" t="e">
        <f>(SUMIFS('[2]turmas 2014.2'!$N:$N,'[2]turmas 2014.2'!$R:$R,$F$5,'[2]turmas 2014.2'!$C:$C,B99)+SUMIFS('[2]turmas 2014.2'!$O:$O,'[2]turmas 2014.2'!$V:$V,$F$5,'[2]turmas 2014.2'!$C:$C,'CRÉDITOS POR CENTRO'!$B99))</f>
        <v>#VALUE!</v>
      </c>
      <c r="G99" s="39">
        <v>0</v>
      </c>
      <c r="H99" s="38" t="e">
        <f>(SUMIFS('[2]turmas 2014.2'!$N:$N,'[2]turmas 2014.2'!$R:$R,$H$5,'[2]turmas 2014.2'!$A:$A,A99)+SUMIFS('[2]turmas 2014.2'!$O:$O,'[2]turmas 2014.2'!$V:$V,$H$5,'[2]turmas 2014.2'!$A:$A,'CRÉDITOS POR CENTRO'!$A99))</f>
        <v>#VALUE!</v>
      </c>
      <c r="I99" s="39">
        <v>0</v>
      </c>
      <c r="J99" s="38" t="e">
        <f t="shared" si="7"/>
        <v>#VALUE!</v>
      </c>
    </row>
    <row r="100" spans="1:10" ht="15">
      <c r="A100" s="269" t="s">
        <v>4550</v>
      </c>
      <c r="B100" s="269" t="s">
        <v>4551</v>
      </c>
      <c r="C100" s="38" t="e">
        <f>SUMIF('[2]turmas 2014.2'!A:A,$A100,'[2]turmas 2014.2'!N:N)+SUMIF('[2]turmas 2014.2'!A:A,$A100,'[2]turmas 2014.2'!O:O)</f>
        <v>#VALUE!</v>
      </c>
      <c r="D100" s="38" t="e">
        <f>(SUMIFS('[2]turmas 2014.2'!$N:$N,'[2]turmas 2014.2'!$R:$R,$D$5,'[2]turmas 2014.2'!$C:$C,B100)+SUMIFS('[2]turmas 2014.2'!$O:$O,'[2]turmas 2014.2'!$V:$V,$D$5,'[2]turmas 2014.2'!$C:$C,'CRÉDITOS POR CENTRO'!$B100))</f>
        <v>#VALUE!</v>
      </c>
      <c r="E100" s="39">
        <v>0</v>
      </c>
      <c r="F100" s="38" t="e">
        <f>(SUMIFS('[2]turmas 2014.2'!$N:$N,'[2]turmas 2014.2'!$R:$R,$F$5,'[2]turmas 2014.2'!$C:$C,B100)+SUMIFS('[2]turmas 2014.2'!$O:$O,'[2]turmas 2014.2'!$V:$V,$F$5,'[2]turmas 2014.2'!$C:$C,'CRÉDITOS POR CENTRO'!$B100))</f>
        <v>#VALUE!</v>
      </c>
      <c r="G100" s="39">
        <v>0</v>
      </c>
      <c r="H100" s="38" t="e">
        <f>(SUMIFS('[2]turmas 2014.2'!$N:$N,'[2]turmas 2014.2'!$R:$R,$H$5,'[2]turmas 2014.2'!$A:$A,A100)+SUMIFS('[2]turmas 2014.2'!$O:$O,'[2]turmas 2014.2'!$V:$V,$H$5,'[2]turmas 2014.2'!$A:$A,'CRÉDITOS POR CENTRO'!$A100))</f>
        <v>#VALUE!</v>
      </c>
      <c r="I100" s="39">
        <v>0</v>
      </c>
      <c r="J100" s="38" t="e">
        <f t="shared" si="7"/>
        <v>#VALUE!</v>
      </c>
    </row>
    <row r="101" spans="1:10" ht="15">
      <c r="A101" s="269" t="s">
        <v>4552</v>
      </c>
      <c r="B101" s="269" t="s">
        <v>4553</v>
      </c>
      <c r="C101" s="38" t="e">
        <f>SUMIF('[2]turmas 2014.2'!A:A,$A101,'[2]turmas 2014.2'!N:N)+SUMIF('[2]turmas 2014.2'!A:A,$A101,'[2]turmas 2014.2'!O:O)</f>
        <v>#VALUE!</v>
      </c>
      <c r="D101" s="38" t="e">
        <f>(SUMIFS('[2]turmas 2014.2'!$N:$N,'[2]turmas 2014.2'!$R:$R,$D$5,'[2]turmas 2014.2'!$C:$C,B101)+SUMIFS('[2]turmas 2014.2'!$O:$O,'[2]turmas 2014.2'!$V:$V,$D$5,'[2]turmas 2014.2'!$C:$C,'CRÉDITOS POR CENTRO'!$B101))</f>
        <v>#VALUE!</v>
      </c>
      <c r="E101" s="39">
        <v>0</v>
      </c>
      <c r="F101" s="38" t="e">
        <f>(SUMIFS('[2]turmas 2014.2'!$N:$N,'[2]turmas 2014.2'!$R:$R,$F$5,'[2]turmas 2014.2'!$C:$C,B101)+SUMIFS('[2]turmas 2014.2'!$O:$O,'[2]turmas 2014.2'!$V:$V,$F$5,'[2]turmas 2014.2'!$C:$C,'CRÉDITOS POR CENTRO'!$B101))</f>
        <v>#VALUE!</v>
      </c>
      <c r="G101" s="39">
        <v>0</v>
      </c>
      <c r="H101" s="38" t="e">
        <f>(SUMIFS('[2]turmas 2014.2'!$N:$N,'[2]turmas 2014.2'!$R:$R,$H$5,'[2]turmas 2014.2'!$A:$A,A101)+SUMIFS('[2]turmas 2014.2'!$O:$O,'[2]turmas 2014.2'!$V:$V,$H$5,'[2]turmas 2014.2'!$A:$A,'CRÉDITOS POR CENTRO'!$A101))</f>
        <v>#VALUE!</v>
      </c>
      <c r="I101" s="39">
        <v>0</v>
      </c>
      <c r="J101" s="38" t="e">
        <f t="shared" si="7"/>
        <v>#VALUE!</v>
      </c>
    </row>
    <row r="102" spans="1:10" ht="15">
      <c r="A102" s="269" t="s">
        <v>4554</v>
      </c>
      <c r="B102" s="269" t="s">
        <v>4555</v>
      </c>
      <c r="C102" s="38" t="e">
        <f>SUMIF('[2]turmas 2014.2'!A:A,$A102,'[2]turmas 2014.2'!N:N)+SUMIF('[2]turmas 2014.2'!A:A,$A102,'[2]turmas 2014.2'!O:O)</f>
        <v>#VALUE!</v>
      </c>
      <c r="D102" s="38" t="e">
        <f>(SUMIFS('[2]turmas 2014.2'!$N:$N,'[2]turmas 2014.2'!$R:$R,$D$5,'[2]turmas 2014.2'!$C:$C,B102)+SUMIFS('[2]turmas 2014.2'!$O:$O,'[2]turmas 2014.2'!$V:$V,$D$5,'[2]turmas 2014.2'!$C:$C,'CRÉDITOS POR CENTRO'!$B102))</f>
        <v>#VALUE!</v>
      </c>
      <c r="E102" s="39">
        <v>0</v>
      </c>
      <c r="F102" s="38" t="e">
        <f>(SUMIFS('[2]turmas 2014.2'!$N:$N,'[2]turmas 2014.2'!$R:$R,$F$5,'[2]turmas 2014.2'!$C:$C,B102)+SUMIFS('[2]turmas 2014.2'!$O:$O,'[2]turmas 2014.2'!$V:$V,$F$5,'[2]turmas 2014.2'!$C:$C,'CRÉDITOS POR CENTRO'!$B102))</f>
        <v>#VALUE!</v>
      </c>
      <c r="G102" s="39">
        <v>0</v>
      </c>
      <c r="H102" s="38" t="e">
        <f>(SUMIFS('[2]turmas 2014.2'!$N:$N,'[2]turmas 2014.2'!$R:$R,$H$5,'[2]turmas 2014.2'!$A:$A,A102)+SUMIFS('[2]turmas 2014.2'!$O:$O,'[2]turmas 2014.2'!$V:$V,$H$5,'[2]turmas 2014.2'!$A:$A,'CRÉDITOS POR CENTRO'!$A102))</f>
        <v>#VALUE!</v>
      </c>
      <c r="I102" s="39">
        <v>0</v>
      </c>
      <c r="J102" s="38" t="e">
        <f t="shared" si="7"/>
        <v>#VALUE!</v>
      </c>
    </row>
    <row r="103" spans="1:10" ht="15">
      <c r="A103" s="269" t="s">
        <v>4556</v>
      </c>
      <c r="B103" s="269" t="s">
        <v>4557</v>
      </c>
      <c r="C103" s="38" t="e">
        <f>SUMIF('[2]turmas 2014.2'!A:A,$A103,'[2]turmas 2014.2'!N:N)+SUMIF('[2]turmas 2014.2'!A:A,$A103,'[2]turmas 2014.2'!O:O)</f>
        <v>#VALUE!</v>
      </c>
      <c r="D103" s="38" t="e">
        <f>(SUMIFS('[2]turmas 2014.2'!$N:$N,'[2]turmas 2014.2'!$R:$R,$D$5,'[2]turmas 2014.2'!$C:$C,B103)+SUMIFS('[2]turmas 2014.2'!$O:$O,'[2]turmas 2014.2'!$V:$V,$D$5,'[2]turmas 2014.2'!$C:$C,'CRÉDITOS POR CENTRO'!$B103))</f>
        <v>#VALUE!</v>
      </c>
      <c r="E103" s="39">
        <v>0</v>
      </c>
      <c r="F103" s="38" t="e">
        <f>(SUMIFS('[2]turmas 2014.2'!$N:$N,'[2]turmas 2014.2'!$R:$R,$F$5,'[2]turmas 2014.2'!$C:$C,B103)+SUMIFS('[2]turmas 2014.2'!$O:$O,'[2]turmas 2014.2'!$V:$V,$F$5,'[2]turmas 2014.2'!$C:$C,'CRÉDITOS POR CENTRO'!$B103))</f>
        <v>#VALUE!</v>
      </c>
      <c r="G103" s="39">
        <v>0</v>
      </c>
      <c r="H103" s="38" t="e">
        <f>(SUMIFS('[2]turmas 2014.2'!$N:$N,'[2]turmas 2014.2'!$R:$R,$H$5,'[2]turmas 2014.2'!$A:$A,A103)+SUMIFS('[2]turmas 2014.2'!$O:$O,'[2]turmas 2014.2'!$V:$V,$H$5,'[2]turmas 2014.2'!$A:$A,'CRÉDITOS POR CENTRO'!$A103))</f>
        <v>#VALUE!</v>
      </c>
      <c r="I103" s="39">
        <v>0</v>
      </c>
      <c r="J103" s="38" t="e">
        <f t="shared" si="7"/>
        <v>#VALUE!</v>
      </c>
    </row>
    <row r="104" spans="1:10" ht="15">
      <c r="A104" s="269" t="s">
        <v>1740</v>
      </c>
      <c r="B104" s="269" t="s">
        <v>1741</v>
      </c>
      <c r="C104" s="38" t="e">
        <f>SUMIF('[2]turmas 2014.2'!A:A,$A104,'[2]turmas 2014.2'!N:N)+SUMIF('[2]turmas 2014.2'!A:A,$A104,'[2]turmas 2014.2'!O:O)</f>
        <v>#VALUE!</v>
      </c>
      <c r="D104" s="38" t="e">
        <f>(SUMIFS('[2]turmas 2014.2'!$N:$N,'[2]turmas 2014.2'!$R:$R,$D$5,'[2]turmas 2014.2'!$C:$C,B104)+SUMIFS('[2]turmas 2014.2'!$O:$O,'[2]turmas 2014.2'!$V:$V,$D$5,'[2]turmas 2014.2'!$C:$C,'CRÉDITOS POR CENTRO'!$B104))</f>
        <v>#VALUE!</v>
      </c>
      <c r="E104" s="39">
        <v>0</v>
      </c>
      <c r="F104" s="38" t="e">
        <f>(SUMIFS('[2]turmas 2014.2'!$N:$N,'[2]turmas 2014.2'!$R:$R,$F$5,'[2]turmas 2014.2'!$C:$C,B104)+SUMIFS('[2]turmas 2014.2'!$O:$O,'[2]turmas 2014.2'!$V:$V,$F$5,'[2]turmas 2014.2'!$C:$C,'CRÉDITOS POR CENTRO'!$B104))</f>
        <v>#VALUE!</v>
      </c>
      <c r="G104" s="39">
        <v>0</v>
      </c>
      <c r="H104" s="38" t="e">
        <f>(SUMIFS('[2]turmas 2014.2'!$N:$N,'[2]turmas 2014.2'!$R:$R,$H$5,'[2]turmas 2014.2'!$A:$A,A104)+SUMIFS('[2]turmas 2014.2'!$O:$O,'[2]turmas 2014.2'!$V:$V,$H$5,'[2]turmas 2014.2'!$A:$A,'CRÉDITOS POR CENTRO'!$A104))</f>
        <v>#VALUE!</v>
      </c>
      <c r="I104" s="39">
        <v>0</v>
      </c>
      <c r="J104" s="38" t="e">
        <f t="shared" si="7"/>
        <v>#VALUE!</v>
      </c>
    </row>
    <row r="105" spans="1:10" ht="15">
      <c r="A105" s="269" t="s">
        <v>1754</v>
      </c>
      <c r="B105" s="269" t="s">
        <v>1755</v>
      </c>
      <c r="C105" s="38" t="e">
        <f>SUMIF('[2]turmas 2014.2'!A:A,$A105,'[2]turmas 2014.2'!N:N)+SUMIF('[2]turmas 2014.2'!A:A,$A105,'[2]turmas 2014.2'!O:O)</f>
        <v>#VALUE!</v>
      </c>
      <c r="D105" s="38" t="e">
        <f>(SUMIFS('[2]turmas 2014.2'!$N:$N,'[2]turmas 2014.2'!$R:$R,$D$5,'[2]turmas 2014.2'!$C:$C,B105)+SUMIFS('[2]turmas 2014.2'!$O:$O,'[2]turmas 2014.2'!$V:$V,$D$5,'[2]turmas 2014.2'!$C:$C,'CRÉDITOS POR CENTRO'!$B105))</f>
        <v>#VALUE!</v>
      </c>
      <c r="E105" s="39">
        <v>0</v>
      </c>
      <c r="F105" s="38" t="e">
        <f>(SUMIFS('[2]turmas 2014.2'!$N:$N,'[2]turmas 2014.2'!$R:$R,$F$5,'[2]turmas 2014.2'!$C:$C,B105)+SUMIFS('[2]turmas 2014.2'!$O:$O,'[2]turmas 2014.2'!$V:$V,$F$5,'[2]turmas 2014.2'!$C:$C,'CRÉDITOS POR CENTRO'!$B105))</f>
        <v>#VALUE!</v>
      </c>
      <c r="G105" s="39">
        <v>0</v>
      </c>
      <c r="H105" s="38" t="e">
        <f>(SUMIFS('[2]turmas 2014.2'!$N:$N,'[2]turmas 2014.2'!$R:$R,$H$5,'[2]turmas 2014.2'!$A:$A,A105)+SUMIFS('[2]turmas 2014.2'!$O:$O,'[2]turmas 2014.2'!$V:$V,$H$5,'[2]turmas 2014.2'!$A:$A,'CRÉDITOS POR CENTRO'!$A105))</f>
        <v>#VALUE!</v>
      </c>
      <c r="I105" s="39">
        <v>0</v>
      </c>
      <c r="J105" s="38" t="e">
        <f t="shared" si="7"/>
        <v>#VALUE!</v>
      </c>
    </row>
    <row r="106" spans="1:10" ht="15">
      <c r="A106" s="269" t="s">
        <v>1780</v>
      </c>
      <c r="B106" s="269" t="s">
        <v>1781</v>
      </c>
      <c r="C106" s="38" t="e">
        <f>SUMIF('[2]turmas 2014.2'!A:A,$A106,'[2]turmas 2014.2'!N:N)+SUMIF('[2]turmas 2014.2'!A:A,$A106,'[2]turmas 2014.2'!O:O)</f>
        <v>#VALUE!</v>
      </c>
      <c r="D106" s="38" t="e">
        <f>(SUMIFS('[2]turmas 2014.2'!$N:$N,'[2]turmas 2014.2'!$R:$R,$D$5,'[2]turmas 2014.2'!$C:$C,B106)+SUMIFS('[2]turmas 2014.2'!$O:$O,'[2]turmas 2014.2'!$V:$V,$D$5,'[2]turmas 2014.2'!$C:$C,'CRÉDITOS POR CENTRO'!$B106))</f>
        <v>#VALUE!</v>
      </c>
      <c r="E106" s="39">
        <v>0</v>
      </c>
      <c r="F106" s="38" t="e">
        <f>(SUMIFS('[2]turmas 2014.2'!$N:$N,'[2]turmas 2014.2'!$R:$R,$F$5,'[2]turmas 2014.2'!$C:$C,B106)+SUMIFS('[2]turmas 2014.2'!$O:$O,'[2]turmas 2014.2'!$V:$V,$F$5,'[2]turmas 2014.2'!$C:$C,'CRÉDITOS POR CENTRO'!$B106))</f>
        <v>#VALUE!</v>
      </c>
      <c r="G106" s="39">
        <v>0</v>
      </c>
      <c r="H106" s="38" t="e">
        <f>(SUMIFS('[2]turmas 2014.2'!$N:$N,'[2]turmas 2014.2'!$R:$R,$H$5,'[2]turmas 2014.2'!$A:$A,A106)+SUMIFS('[2]turmas 2014.2'!$O:$O,'[2]turmas 2014.2'!$V:$V,$H$5,'[2]turmas 2014.2'!$A:$A,'CRÉDITOS POR CENTRO'!$A106))</f>
        <v>#VALUE!</v>
      </c>
      <c r="I106" s="39">
        <v>0</v>
      </c>
      <c r="J106" s="38" t="e">
        <f t="shared" si="7"/>
        <v>#VALUE!</v>
      </c>
    </row>
    <row r="107" spans="1:10" ht="15">
      <c r="A107" s="269" t="s">
        <v>4558</v>
      </c>
      <c r="B107" s="269" t="s">
        <v>4559</v>
      </c>
      <c r="C107" s="38" t="e">
        <f>SUMIF('[2]turmas 2014.2'!A:A,$A107,'[2]turmas 2014.2'!N:N)+SUMIF('[2]turmas 2014.2'!A:A,$A107,'[2]turmas 2014.2'!O:O)</f>
        <v>#VALUE!</v>
      </c>
      <c r="D107" s="38" t="e">
        <f>(SUMIFS('[2]turmas 2014.2'!$N:$N,'[2]turmas 2014.2'!$R:$R,$D$5,'[2]turmas 2014.2'!$C:$C,B107)+SUMIFS('[2]turmas 2014.2'!$O:$O,'[2]turmas 2014.2'!$V:$V,$D$5,'[2]turmas 2014.2'!$C:$C,'CRÉDITOS POR CENTRO'!$B107))</f>
        <v>#VALUE!</v>
      </c>
      <c r="E107" s="39">
        <v>0</v>
      </c>
      <c r="F107" s="38" t="e">
        <f>(SUMIFS('[2]turmas 2014.2'!$N:$N,'[2]turmas 2014.2'!$R:$R,$F$5,'[2]turmas 2014.2'!$C:$C,B107)+SUMIFS('[2]turmas 2014.2'!$O:$O,'[2]turmas 2014.2'!$V:$V,$F$5,'[2]turmas 2014.2'!$C:$C,'CRÉDITOS POR CENTRO'!$B107))</f>
        <v>#VALUE!</v>
      </c>
      <c r="G107" s="39">
        <v>0</v>
      </c>
      <c r="H107" s="38" t="e">
        <f>(SUMIFS('[2]turmas 2014.2'!$N:$N,'[2]turmas 2014.2'!$R:$R,$H$5,'[2]turmas 2014.2'!$A:$A,A107)+SUMIFS('[2]turmas 2014.2'!$O:$O,'[2]turmas 2014.2'!$V:$V,$H$5,'[2]turmas 2014.2'!$A:$A,'CRÉDITOS POR CENTRO'!$A107))</f>
        <v>#VALUE!</v>
      </c>
      <c r="I107" s="39">
        <v>0</v>
      </c>
      <c r="J107" s="38" t="e">
        <f t="shared" si="7"/>
        <v>#VALUE!</v>
      </c>
    </row>
    <row r="108" spans="1:10" ht="15">
      <c r="A108" s="269" t="s">
        <v>4560</v>
      </c>
      <c r="B108" s="269" t="s">
        <v>4561</v>
      </c>
      <c r="C108" s="38" t="e">
        <f>SUMIF('[2]turmas 2014.2'!A:A,$A108,'[2]turmas 2014.2'!N:N)+SUMIF('[2]turmas 2014.2'!A:A,$A108,'[2]turmas 2014.2'!O:O)</f>
        <v>#VALUE!</v>
      </c>
      <c r="D108" s="38" t="e">
        <f>(SUMIFS('[2]turmas 2014.2'!$N:$N,'[2]turmas 2014.2'!$R:$R,$D$5,'[2]turmas 2014.2'!$C:$C,B108)+SUMIFS('[2]turmas 2014.2'!$O:$O,'[2]turmas 2014.2'!$V:$V,$D$5,'[2]turmas 2014.2'!$C:$C,'CRÉDITOS POR CENTRO'!$B108))</f>
        <v>#VALUE!</v>
      </c>
      <c r="E108" s="39">
        <v>0</v>
      </c>
      <c r="F108" s="38" t="e">
        <f>(SUMIFS('[2]turmas 2014.2'!$N:$N,'[2]turmas 2014.2'!$R:$R,$F$5,'[2]turmas 2014.2'!$C:$C,B108)+SUMIFS('[2]turmas 2014.2'!$O:$O,'[2]turmas 2014.2'!$V:$V,$F$5,'[2]turmas 2014.2'!$C:$C,'CRÉDITOS POR CENTRO'!$B108))</f>
        <v>#VALUE!</v>
      </c>
      <c r="G108" s="39">
        <v>0</v>
      </c>
      <c r="H108" s="38" t="e">
        <f>(SUMIFS('[2]turmas 2014.2'!$N:$N,'[2]turmas 2014.2'!$R:$R,$H$5,'[2]turmas 2014.2'!$A:$A,A108)+SUMIFS('[2]turmas 2014.2'!$O:$O,'[2]turmas 2014.2'!$V:$V,$H$5,'[2]turmas 2014.2'!$A:$A,'CRÉDITOS POR CENTRO'!$A108))</f>
        <v>#VALUE!</v>
      </c>
      <c r="I108" s="39">
        <v>0</v>
      </c>
      <c r="J108" s="38" t="e">
        <f t="shared" si="7"/>
        <v>#VALUE!</v>
      </c>
    </row>
    <row r="109" spans="1:10" ht="15">
      <c r="A109" s="269" t="s">
        <v>1814</v>
      </c>
      <c r="B109" s="269" t="s">
        <v>1815</v>
      </c>
      <c r="C109" s="38" t="e">
        <f>SUMIF('[2]turmas 2014.2'!A:A,$A109,'[2]turmas 2014.2'!N:N)+SUMIF('[2]turmas 2014.2'!A:A,$A109,'[2]turmas 2014.2'!O:O)</f>
        <v>#VALUE!</v>
      </c>
      <c r="D109" s="38" t="e">
        <f>(SUMIFS('[2]turmas 2014.2'!$N:$N,'[2]turmas 2014.2'!$R:$R,$D$5,'[2]turmas 2014.2'!$C:$C,B109)+SUMIFS('[2]turmas 2014.2'!$O:$O,'[2]turmas 2014.2'!$V:$V,$D$5,'[2]turmas 2014.2'!$C:$C,'CRÉDITOS POR CENTRO'!$B109))</f>
        <v>#VALUE!</v>
      </c>
      <c r="E109" s="39">
        <v>0</v>
      </c>
      <c r="F109" s="38" t="e">
        <f>(SUMIFS('[2]turmas 2014.2'!$N:$N,'[2]turmas 2014.2'!$R:$R,$F$5,'[2]turmas 2014.2'!$C:$C,B109)+SUMIFS('[2]turmas 2014.2'!$O:$O,'[2]turmas 2014.2'!$V:$V,$F$5,'[2]turmas 2014.2'!$C:$C,'CRÉDITOS POR CENTRO'!$B109))</f>
        <v>#VALUE!</v>
      </c>
      <c r="G109" s="39">
        <v>0</v>
      </c>
      <c r="H109" s="38" t="e">
        <f>(SUMIFS('[2]turmas 2014.2'!$N:$N,'[2]turmas 2014.2'!$R:$R,$H$5,'[2]turmas 2014.2'!$A:$A,A109)+SUMIFS('[2]turmas 2014.2'!$O:$O,'[2]turmas 2014.2'!$V:$V,$H$5,'[2]turmas 2014.2'!$A:$A,'CRÉDITOS POR CENTRO'!$A109))</f>
        <v>#VALUE!</v>
      </c>
      <c r="I109" s="39">
        <v>0</v>
      </c>
      <c r="J109" s="38" t="e">
        <f t="shared" si="7"/>
        <v>#VALUE!</v>
      </c>
    </row>
    <row r="110" spans="1:10" ht="15">
      <c r="A110" s="269" t="s">
        <v>4562</v>
      </c>
      <c r="B110" s="269" t="s">
        <v>4563</v>
      </c>
      <c r="C110" s="38" t="e">
        <f>SUMIF('[2]turmas 2014.2'!A:A,$A110,'[2]turmas 2014.2'!N:N)+SUMIF('[2]turmas 2014.2'!A:A,$A110,'[2]turmas 2014.2'!O:O)</f>
        <v>#VALUE!</v>
      </c>
      <c r="D110" s="38" t="e">
        <f>(SUMIFS('[2]turmas 2014.2'!$N:$N,'[2]turmas 2014.2'!$R:$R,$D$5,'[2]turmas 2014.2'!$C:$C,B110)+SUMIFS('[2]turmas 2014.2'!$O:$O,'[2]turmas 2014.2'!$V:$V,$D$5,'[2]turmas 2014.2'!$C:$C,'CRÉDITOS POR CENTRO'!$B110))</f>
        <v>#VALUE!</v>
      </c>
      <c r="E110" s="39">
        <v>0</v>
      </c>
      <c r="F110" s="38" t="e">
        <f>(SUMIFS('[2]turmas 2014.2'!$N:$N,'[2]turmas 2014.2'!$R:$R,$F$5,'[2]turmas 2014.2'!$C:$C,B110)+SUMIFS('[2]turmas 2014.2'!$O:$O,'[2]turmas 2014.2'!$V:$V,$F$5,'[2]turmas 2014.2'!$C:$C,'CRÉDITOS POR CENTRO'!$B110))</f>
        <v>#VALUE!</v>
      </c>
      <c r="G110" s="39">
        <v>0</v>
      </c>
      <c r="H110" s="38" t="e">
        <f>(SUMIFS('[2]turmas 2014.2'!$N:$N,'[2]turmas 2014.2'!$R:$R,$H$5,'[2]turmas 2014.2'!$A:$A,A110)+SUMIFS('[2]turmas 2014.2'!$O:$O,'[2]turmas 2014.2'!$V:$V,$H$5,'[2]turmas 2014.2'!$A:$A,'CRÉDITOS POR CENTRO'!$A110))</f>
        <v>#VALUE!</v>
      </c>
      <c r="I110" s="39">
        <v>0</v>
      </c>
      <c r="J110" s="38" t="e">
        <f t="shared" si="7"/>
        <v>#VALUE!</v>
      </c>
    </row>
    <row r="111" spans="1:10" ht="15">
      <c r="A111" s="269" t="s">
        <v>1844</v>
      </c>
      <c r="B111" s="269" t="s">
        <v>1845</v>
      </c>
      <c r="C111" s="38" t="e">
        <f>SUMIF('[2]turmas 2014.2'!A:A,$A111,'[2]turmas 2014.2'!N:N)+SUMIF('[2]turmas 2014.2'!A:A,$A111,'[2]turmas 2014.2'!O:O)</f>
        <v>#VALUE!</v>
      </c>
      <c r="D111" s="38" t="e">
        <f>(SUMIFS('[2]turmas 2014.2'!$N:$N,'[2]turmas 2014.2'!$R:$R,$D$5,'[2]turmas 2014.2'!$C:$C,B111)+SUMIFS('[2]turmas 2014.2'!$O:$O,'[2]turmas 2014.2'!$V:$V,$D$5,'[2]turmas 2014.2'!$C:$C,'CRÉDITOS POR CENTRO'!$B111))</f>
        <v>#VALUE!</v>
      </c>
      <c r="E111" s="39">
        <v>0</v>
      </c>
      <c r="F111" s="38" t="e">
        <f>(SUMIFS('[2]turmas 2014.2'!$N:$N,'[2]turmas 2014.2'!$R:$R,$F$5,'[2]turmas 2014.2'!$C:$C,B111)+SUMIFS('[2]turmas 2014.2'!$O:$O,'[2]turmas 2014.2'!$V:$V,$F$5,'[2]turmas 2014.2'!$C:$C,'CRÉDITOS POR CENTRO'!$B111))</f>
        <v>#VALUE!</v>
      </c>
      <c r="G111" s="39">
        <v>0</v>
      </c>
      <c r="H111" s="38" t="e">
        <f>(SUMIFS('[2]turmas 2014.2'!$N:$N,'[2]turmas 2014.2'!$R:$R,$H$5,'[2]turmas 2014.2'!$A:$A,A111)+SUMIFS('[2]turmas 2014.2'!$O:$O,'[2]turmas 2014.2'!$V:$V,$H$5,'[2]turmas 2014.2'!$A:$A,'CRÉDITOS POR CENTRO'!$A111))</f>
        <v>#VALUE!</v>
      </c>
      <c r="I111" s="39">
        <v>0</v>
      </c>
      <c r="J111" s="38" t="e">
        <f t="shared" si="7"/>
        <v>#VALUE!</v>
      </c>
    </row>
    <row r="112" spans="1:10" ht="15">
      <c r="A112" s="269" t="s">
        <v>4564</v>
      </c>
      <c r="B112" s="269" t="s">
        <v>4565</v>
      </c>
      <c r="C112" s="38" t="e">
        <f>SUMIF('[2]turmas 2014.2'!A:A,$A112,'[2]turmas 2014.2'!N:N)+SUMIF('[2]turmas 2014.2'!A:A,$A112,'[2]turmas 2014.2'!O:O)</f>
        <v>#VALUE!</v>
      </c>
      <c r="D112" s="38" t="e">
        <f>(SUMIFS('[2]turmas 2014.2'!$N:$N,'[2]turmas 2014.2'!$R:$R,$D$5,'[2]turmas 2014.2'!$C:$C,B112)+SUMIFS('[2]turmas 2014.2'!$O:$O,'[2]turmas 2014.2'!$V:$V,$D$5,'[2]turmas 2014.2'!$C:$C,'CRÉDITOS POR CENTRO'!$B112))</f>
        <v>#VALUE!</v>
      </c>
      <c r="E112" s="39">
        <v>0</v>
      </c>
      <c r="F112" s="38" t="e">
        <f>(SUMIFS('[2]turmas 2014.2'!$N:$N,'[2]turmas 2014.2'!$R:$R,$F$5,'[2]turmas 2014.2'!$C:$C,B112)+SUMIFS('[2]turmas 2014.2'!$O:$O,'[2]turmas 2014.2'!$V:$V,$F$5,'[2]turmas 2014.2'!$C:$C,'CRÉDITOS POR CENTRO'!$B112))</f>
        <v>#VALUE!</v>
      </c>
      <c r="G112" s="39">
        <v>0</v>
      </c>
      <c r="H112" s="38" t="e">
        <f>(SUMIFS('[2]turmas 2014.2'!$N:$N,'[2]turmas 2014.2'!$R:$R,$H$5,'[2]turmas 2014.2'!$A:$A,A112)+SUMIFS('[2]turmas 2014.2'!$O:$O,'[2]turmas 2014.2'!$V:$V,$H$5,'[2]turmas 2014.2'!$A:$A,'CRÉDITOS POR CENTRO'!$A112))</f>
        <v>#VALUE!</v>
      </c>
      <c r="I112" s="39">
        <v>0</v>
      </c>
      <c r="J112" s="38" t="e">
        <f t="shared" si="7"/>
        <v>#VALUE!</v>
      </c>
    </row>
    <row r="113" spans="1:10" ht="15">
      <c r="A113" s="269" t="s">
        <v>4566</v>
      </c>
      <c r="B113" s="269" t="s">
        <v>4567</v>
      </c>
      <c r="C113" s="38" t="e">
        <f>SUMIF('[2]turmas 2014.2'!A:A,$A113,'[2]turmas 2014.2'!N:N)+SUMIF('[2]turmas 2014.2'!A:A,$A113,'[2]turmas 2014.2'!O:O)</f>
        <v>#VALUE!</v>
      </c>
      <c r="D113" s="38" t="e">
        <f>(SUMIFS('[2]turmas 2014.2'!$N:$N,'[2]turmas 2014.2'!$R:$R,$D$5,'[2]turmas 2014.2'!$C:$C,B113)+SUMIFS('[2]turmas 2014.2'!$O:$O,'[2]turmas 2014.2'!$V:$V,$D$5,'[2]turmas 2014.2'!$C:$C,'CRÉDITOS POR CENTRO'!$B113))</f>
        <v>#VALUE!</v>
      </c>
      <c r="E113" s="39" t="e">
        <f t="shared" si="4"/>
        <v>#VALUE!</v>
      </c>
      <c r="F113" s="38" t="e">
        <f>(SUMIFS('[2]turmas 2014.2'!$N:$N,'[2]turmas 2014.2'!$R:$R,$F$5,'[2]turmas 2014.2'!$C:$C,B113)+SUMIFS('[2]turmas 2014.2'!$O:$O,'[2]turmas 2014.2'!$V:$V,$F$5,'[2]turmas 2014.2'!$C:$C,'CRÉDITOS POR CENTRO'!$B113))</f>
        <v>#VALUE!</v>
      </c>
      <c r="G113" s="39" t="e">
        <f t="shared" si="5"/>
        <v>#VALUE!</v>
      </c>
      <c r="H113" s="38" t="e">
        <f>(SUMIFS('[2]turmas 2014.2'!$N:$N,'[2]turmas 2014.2'!$R:$R,$H$5,'[2]turmas 2014.2'!$A:$A,A113)+SUMIFS('[2]turmas 2014.2'!$O:$O,'[2]turmas 2014.2'!$V:$V,$H$5,'[2]turmas 2014.2'!$A:$A,'CRÉDITOS POR CENTRO'!$A113))</f>
        <v>#VALUE!</v>
      </c>
      <c r="I113" s="39" t="e">
        <f t="shared" si="6"/>
        <v>#VALUE!</v>
      </c>
      <c r="J113" s="38" t="e">
        <f t="shared" si="7"/>
        <v>#VALUE!</v>
      </c>
    </row>
    <row r="114" spans="1:10" ht="15">
      <c r="A114" s="269" t="s">
        <v>4568</v>
      </c>
      <c r="B114" s="269" t="s">
        <v>4569</v>
      </c>
      <c r="C114" s="38" t="e">
        <f>SUMIF('[2]turmas 2014.2'!A:A,$A114,'[2]turmas 2014.2'!N:N)+SUMIF('[2]turmas 2014.2'!A:A,$A114,'[2]turmas 2014.2'!O:O)</f>
        <v>#VALUE!</v>
      </c>
      <c r="D114" s="38" t="e">
        <f>(SUMIFS('[2]turmas 2014.2'!$N:$N,'[2]turmas 2014.2'!$R:$R,$D$5,'[2]turmas 2014.2'!$C:$C,B114)+SUMIFS('[2]turmas 2014.2'!$O:$O,'[2]turmas 2014.2'!$V:$V,$D$5,'[2]turmas 2014.2'!$C:$C,'CRÉDITOS POR CENTRO'!$B114))</f>
        <v>#VALUE!</v>
      </c>
      <c r="E114" s="39" t="e">
        <f t="shared" si="4"/>
        <v>#VALUE!</v>
      </c>
      <c r="F114" s="38" t="e">
        <f>(SUMIFS('[2]turmas 2014.2'!$N:$N,'[2]turmas 2014.2'!$R:$R,$F$5,'[2]turmas 2014.2'!$C:$C,B114)+SUMIFS('[2]turmas 2014.2'!$O:$O,'[2]turmas 2014.2'!$V:$V,$F$5,'[2]turmas 2014.2'!$C:$C,'CRÉDITOS POR CENTRO'!$B114))</f>
        <v>#VALUE!</v>
      </c>
      <c r="G114" s="39" t="e">
        <f t="shared" si="5"/>
        <v>#VALUE!</v>
      </c>
      <c r="H114" s="38" t="e">
        <f>(SUMIFS('[2]turmas 2014.2'!$N:$N,'[2]turmas 2014.2'!$R:$R,$H$5,'[2]turmas 2014.2'!$A:$A,A114)+SUMIFS('[2]turmas 2014.2'!$O:$O,'[2]turmas 2014.2'!$V:$V,$H$5,'[2]turmas 2014.2'!$A:$A,'CRÉDITOS POR CENTRO'!$A114))</f>
        <v>#VALUE!</v>
      </c>
      <c r="I114" s="39" t="e">
        <f t="shared" si="6"/>
        <v>#VALUE!</v>
      </c>
      <c r="J114" s="38" t="e">
        <f t="shared" si="7"/>
        <v>#VALUE!</v>
      </c>
    </row>
    <row r="115" spans="1:10" ht="15">
      <c r="A115" s="269" t="s">
        <v>4570</v>
      </c>
      <c r="B115" s="269" t="s">
        <v>4571</v>
      </c>
      <c r="C115" s="38" t="e">
        <f>SUMIF('[2]turmas 2014.2'!A:A,$A115,'[2]turmas 2014.2'!N:N)+SUMIF('[2]turmas 2014.2'!A:A,$A115,'[2]turmas 2014.2'!O:O)</f>
        <v>#VALUE!</v>
      </c>
      <c r="D115" s="38" t="e">
        <f>(SUMIFS('[2]turmas 2014.2'!$N:$N,'[2]turmas 2014.2'!$R:$R,$D$5,'[2]turmas 2014.2'!$C:$C,B115)+SUMIFS('[2]turmas 2014.2'!$O:$O,'[2]turmas 2014.2'!$V:$V,$D$5,'[2]turmas 2014.2'!$C:$C,'CRÉDITOS POR CENTRO'!$B115))</f>
        <v>#VALUE!</v>
      </c>
      <c r="E115" s="39" t="e">
        <f t="shared" si="4"/>
        <v>#VALUE!</v>
      </c>
      <c r="F115" s="38" t="e">
        <f>(SUMIFS('[2]turmas 2014.2'!$N:$N,'[2]turmas 2014.2'!$R:$R,$F$5,'[2]turmas 2014.2'!$C:$C,B115)+SUMIFS('[2]turmas 2014.2'!$O:$O,'[2]turmas 2014.2'!$V:$V,$F$5,'[2]turmas 2014.2'!$C:$C,'CRÉDITOS POR CENTRO'!$B115))</f>
        <v>#VALUE!</v>
      </c>
      <c r="G115" s="39" t="e">
        <f t="shared" si="5"/>
        <v>#VALUE!</v>
      </c>
      <c r="H115" s="38" t="e">
        <f>(SUMIFS('[2]turmas 2014.2'!$N:$N,'[2]turmas 2014.2'!$R:$R,$H$5,'[2]turmas 2014.2'!$A:$A,A115)+SUMIFS('[2]turmas 2014.2'!$O:$O,'[2]turmas 2014.2'!$V:$V,$H$5,'[2]turmas 2014.2'!$A:$A,'CRÉDITOS POR CENTRO'!$A115))</f>
        <v>#VALUE!</v>
      </c>
      <c r="I115" s="39" t="e">
        <f t="shared" si="6"/>
        <v>#VALUE!</v>
      </c>
      <c r="J115" s="38" t="e">
        <f t="shared" si="7"/>
        <v>#VALUE!</v>
      </c>
    </row>
    <row r="116" spans="1:10" ht="15">
      <c r="A116" s="269" t="s">
        <v>4572</v>
      </c>
      <c r="B116" s="269" t="s">
        <v>4573</v>
      </c>
      <c r="C116" s="38" t="e">
        <f>SUMIF('[2]turmas 2014.2'!A:A,$A116,'[2]turmas 2014.2'!N:N)+SUMIF('[2]turmas 2014.2'!A:A,$A116,'[2]turmas 2014.2'!O:O)</f>
        <v>#VALUE!</v>
      </c>
      <c r="D116" s="38" t="e">
        <f>(SUMIFS('[2]turmas 2014.2'!$N:$N,'[2]turmas 2014.2'!$R:$R,$D$5,'[2]turmas 2014.2'!$C:$C,B116)+SUMIFS('[2]turmas 2014.2'!$O:$O,'[2]turmas 2014.2'!$V:$V,$D$5,'[2]turmas 2014.2'!$C:$C,'CRÉDITOS POR CENTRO'!$B116))</f>
        <v>#VALUE!</v>
      </c>
      <c r="E116" s="39" t="e">
        <f t="shared" si="4"/>
        <v>#VALUE!</v>
      </c>
      <c r="F116" s="38" t="e">
        <f>(SUMIFS('[2]turmas 2014.2'!$N:$N,'[2]turmas 2014.2'!$R:$R,$F$5,'[2]turmas 2014.2'!$C:$C,B116)+SUMIFS('[2]turmas 2014.2'!$O:$O,'[2]turmas 2014.2'!$V:$V,$F$5,'[2]turmas 2014.2'!$C:$C,'CRÉDITOS POR CENTRO'!$B116))</f>
        <v>#VALUE!</v>
      </c>
      <c r="G116" s="39" t="e">
        <f t="shared" si="5"/>
        <v>#VALUE!</v>
      </c>
      <c r="H116" s="38" t="e">
        <f>(SUMIFS('[2]turmas 2014.2'!$N:$N,'[2]turmas 2014.2'!$R:$R,$H$5,'[2]turmas 2014.2'!$A:$A,A116)+SUMIFS('[2]turmas 2014.2'!$O:$O,'[2]turmas 2014.2'!$V:$V,$H$5,'[2]turmas 2014.2'!$A:$A,'CRÉDITOS POR CENTRO'!$A116))</f>
        <v>#VALUE!</v>
      </c>
      <c r="I116" s="39" t="e">
        <f t="shared" si="6"/>
        <v>#VALUE!</v>
      </c>
      <c r="J116" s="38" t="e">
        <f t="shared" si="7"/>
        <v>#VALUE!</v>
      </c>
    </row>
    <row r="117" spans="1:10" ht="15">
      <c r="A117" s="269" t="s">
        <v>1914</v>
      </c>
      <c r="B117" s="269" t="s">
        <v>1915</v>
      </c>
      <c r="C117" s="38" t="e">
        <f>SUMIF('[2]turmas 2014.2'!A:A,$A117,'[2]turmas 2014.2'!N:N)+SUMIF('[2]turmas 2014.2'!A:A,$A117,'[2]turmas 2014.2'!O:O)</f>
        <v>#VALUE!</v>
      </c>
      <c r="D117" s="38" t="e">
        <f>(SUMIFS('[2]turmas 2014.2'!$N:$N,'[2]turmas 2014.2'!$R:$R,$D$5,'[2]turmas 2014.2'!$C:$C,B117)+SUMIFS('[2]turmas 2014.2'!$O:$O,'[2]turmas 2014.2'!$V:$V,$D$5,'[2]turmas 2014.2'!$C:$C,'CRÉDITOS POR CENTRO'!$B117))</f>
        <v>#VALUE!</v>
      </c>
      <c r="E117" s="39" t="e">
        <f t="shared" si="4"/>
        <v>#VALUE!</v>
      </c>
      <c r="F117" s="38" t="e">
        <f>(SUMIFS('[2]turmas 2014.2'!$N:$N,'[2]turmas 2014.2'!$R:$R,$F$5,'[2]turmas 2014.2'!$C:$C,B117)+SUMIFS('[2]turmas 2014.2'!$O:$O,'[2]turmas 2014.2'!$V:$V,$F$5,'[2]turmas 2014.2'!$C:$C,'CRÉDITOS POR CENTRO'!$B117))</f>
        <v>#VALUE!</v>
      </c>
      <c r="G117" s="39" t="e">
        <f t="shared" si="5"/>
        <v>#VALUE!</v>
      </c>
      <c r="H117" s="38" t="e">
        <f>(SUMIFS('[2]turmas 2014.2'!$N:$N,'[2]turmas 2014.2'!$R:$R,$H$5,'[2]turmas 2014.2'!$A:$A,A117)+SUMIFS('[2]turmas 2014.2'!$O:$O,'[2]turmas 2014.2'!$V:$V,$H$5,'[2]turmas 2014.2'!$A:$A,'CRÉDITOS POR CENTRO'!$A117))</f>
        <v>#VALUE!</v>
      </c>
      <c r="I117" s="39" t="e">
        <f t="shared" si="6"/>
        <v>#VALUE!</v>
      </c>
      <c r="J117" s="38" t="e">
        <f t="shared" si="7"/>
        <v>#VALUE!</v>
      </c>
    </row>
    <row r="118" spans="1:10" ht="15">
      <c r="A118" s="269" t="s">
        <v>4574</v>
      </c>
      <c r="B118" s="269" t="s">
        <v>4575</v>
      </c>
      <c r="C118" s="38" t="e">
        <f>SUMIF('[2]turmas 2014.2'!A:A,$A118,'[2]turmas 2014.2'!N:N)+SUMIF('[2]turmas 2014.2'!A:A,$A118,'[2]turmas 2014.2'!O:O)</f>
        <v>#VALUE!</v>
      </c>
      <c r="D118" s="38" t="e">
        <f>(SUMIFS('[2]turmas 2014.2'!$N:$N,'[2]turmas 2014.2'!$R:$R,$D$5,'[2]turmas 2014.2'!$C:$C,B118)+SUMIFS('[2]turmas 2014.2'!$O:$O,'[2]turmas 2014.2'!$V:$V,$D$5,'[2]turmas 2014.2'!$C:$C,'CRÉDITOS POR CENTRO'!$B118))</f>
        <v>#VALUE!</v>
      </c>
      <c r="E118" s="39" t="e">
        <f t="shared" si="4"/>
        <v>#VALUE!</v>
      </c>
      <c r="F118" s="38" t="e">
        <f>(SUMIFS('[2]turmas 2014.2'!$N:$N,'[2]turmas 2014.2'!$R:$R,$F$5,'[2]turmas 2014.2'!$C:$C,B118)+SUMIFS('[2]turmas 2014.2'!$O:$O,'[2]turmas 2014.2'!$V:$V,$F$5,'[2]turmas 2014.2'!$C:$C,'CRÉDITOS POR CENTRO'!$B118))</f>
        <v>#VALUE!</v>
      </c>
      <c r="G118" s="39" t="e">
        <f t="shared" si="5"/>
        <v>#VALUE!</v>
      </c>
      <c r="H118" s="38" t="e">
        <f>(SUMIFS('[2]turmas 2014.2'!$N:$N,'[2]turmas 2014.2'!$R:$R,$H$5,'[2]turmas 2014.2'!$A:$A,A118)+SUMIFS('[2]turmas 2014.2'!$O:$O,'[2]turmas 2014.2'!$V:$V,$H$5,'[2]turmas 2014.2'!$A:$A,'CRÉDITOS POR CENTRO'!$A118))</f>
        <v>#VALUE!</v>
      </c>
      <c r="I118" s="39" t="e">
        <f t="shared" si="6"/>
        <v>#VALUE!</v>
      </c>
      <c r="J118" s="38" t="e">
        <f t="shared" si="7"/>
        <v>#VALUE!</v>
      </c>
    </row>
    <row r="119" spans="1:10" ht="15">
      <c r="A119" s="269" t="s">
        <v>4576</v>
      </c>
      <c r="B119" s="269" t="s">
        <v>4577</v>
      </c>
      <c r="C119" s="38" t="e">
        <f>SUMIF('[2]turmas 2014.2'!A:A,$A119,'[2]turmas 2014.2'!N:N)+SUMIF('[2]turmas 2014.2'!A:A,$A119,'[2]turmas 2014.2'!O:O)</f>
        <v>#VALUE!</v>
      </c>
      <c r="D119" s="38" t="e">
        <f>(SUMIFS('[2]turmas 2014.2'!$N:$N,'[2]turmas 2014.2'!$R:$R,$D$5,'[2]turmas 2014.2'!$C:$C,B119)+SUMIFS('[2]turmas 2014.2'!$O:$O,'[2]turmas 2014.2'!$V:$V,$D$5,'[2]turmas 2014.2'!$C:$C,'CRÉDITOS POR CENTRO'!$B119))</f>
        <v>#VALUE!</v>
      </c>
      <c r="E119" s="39" t="e">
        <f t="shared" si="4"/>
        <v>#VALUE!</v>
      </c>
      <c r="F119" s="38" t="e">
        <f>(SUMIFS('[2]turmas 2014.2'!$N:$N,'[2]turmas 2014.2'!$R:$R,$F$5,'[2]turmas 2014.2'!$C:$C,B119)+SUMIFS('[2]turmas 2014.2'!$O:$O,'[2]turmas 2014.2'!$V:$V,$F$5,'[2]turmas 2014.2'!$C:$C,'CRÉDITOS POR CENTRO'!$B119))</f>
        <v>#VALUE!</v>
      </c>
      <c r="G119" s="39" t="e">
        <f t="shared" si="5"/>
        <v>#VALUE!</v>
      </c>
      <c r="H119" s="38" t="e">
        <f>(SUMIFS('[2]turmas 2014.2'!$N:$N,'[2]turmas 2014.2'!$R:$R,$H$5,'[2]turmas 2014.2'!$A:$A,A119)+SUMIFS('[2]turmas 2014.2'!$O:$O,'[2]turmas 2014.2'!$V:$V,$H$5,'[2]turmas 2014.2'!$A:$A,'CRÉDITOS POR CENTRO'!$A119))</f>
        <v>#VALUE!</v>
      </c>
      <c r="I119" s="39" t="e">
        <f t="shared" si="6"/>
        <v>#VALUE!</v>
      </c>
      <c r="J119" s="38" t="e">
        <f t="shared" si="7"/>
        <v>#VALUE!</v>
      </c>
    </row>
    <row r="120" spans="1:10" ht="15">
      <c r="A120" s="269" t="s">
        <v>4578</v>
      </c>
      <c r="B120" s="269" t="s">
        <v>4579</v>
      </c>
      <c r="C120" s="38" t="e">
        <f>SUMIF('[2]turmas 2014.2'!A:A,$A120,'[2]turmas 2014.2'!N:N)+SUMIF('[2]turmas 2014.2'!A:A,$A120,'[2]turmas 2014.2'!O:O)</f>
        <v>#VALUE!</v>
      </c>
      <c r="D120" s="38" t="e">
        <f>(SUMIFS('[2]turmas 2014.2'!$N:$N,'[2]turmas 2014.2'!$R:$R,$D$5,'[2]turmas 2014.2'!$C:$C,B120)+SUMIFS('[2]turmas 2014.2'!$O:$O,'[2]turmas 2014.2'!$V:$V,$D$5,'[2]turmas 2014.2'!$C:$C,'CRÉDITOS POR CENTRO'!$B120))</f>
        <v>#VALUE!</v>
      </c>
      <c r="E120" s="39" t="e">
        <f t="shared" si="4"/>
        <v>#VALUE!</v>
      </c>
      <c r="F120" s="38" t="e">
        <f>(SUMIFS('[2]turmas 2014.2'!$N:$N,'[2]turmas 2014.2'!$R:$R,$F$5,'[2]turmas 2014.2'!$C:$C,B120)+SUMIFS('[2]turmas 2014.2'!$O:$O,'[2]turmas 2014.2'!$V:$V,$F$5,'[2]turmas 2014.2'!$C:$C,'CRÉDITOS POR CENTRO'!$B120))</f>
        <v>#VALUE!</v>
      </c>
      <c r="G120" s="39" t="e">
        <f t="shared" si="5"/>
        <v>#VALUE!</v>
      </c>
      <c r="H120" s="38" t="e">
        <f>(SUMIFS('[2]turmas 2014.2'!$N:$N,'[2]turmas 2014.2'!$R:$R,$H$5,'[2]turmas 2014.2'!$A:$A,A120)+SUMIFS('[2]turmas 2014.2'!$O:$O,'[2]turmas 2014.2'!$V:$V,$H$5,'[2]turmas 2014.2'!$A:$A,'CRÉDITOS POR CENTRO'!$A120))</f>
        <v>#VALUE!</v>
      </c>
      <c r="I120" s="39" t="e">
        <f t="shared" si="6"/>
        <v>#VALUE!</v>
      </c>
      <c r="J120" s="38" t="e">
        <f t="shared" si="7"/>
        <v>#VALUE!</v>
      </c>
    </row>
    <row r="121" spans="1:10" ht="15">
      <c r="A121" s="269" t="s">
        <v>1960</v>
      </c>
      <c r="B121" s="269" t="s">
        <v>1961</v>
      </c>
      <c r="C121" s="38" t="e">
        <f>SUMIF('[2]turmas 2014.2'!A:A,$A121,'[2]turmas 2014.2'!N:N)+SUMIF('[2]turmas 2014.2'!A:A,$A121,'[2]turmas 2014.2'!O:O)</f>
        <v>#VALUE!</v>
      </c>
      <c r="D121" s="38" t="e">
        <f>(SUMIFS('[2]turmas 2014.2'!$N:$N,'[2]turmas 2014.2'!$R:$R,$D$5,'[2]turmas 2014.2'!$C:$C,B121)+SUMIFS('[2]turmas 2014.2'!$O:$O,'[2]turmas 2014.2'!$V:$V,$D$5,'[2]turmas 2014.2'!$C:$C,'CRÉDITOS POR CENTRO'!$B121))</f>
        <v>#VALUE!</v>
      </c>
      <c r="E121" s="39" t="e">
        <f t="shared" si="4"/>
        <v>#VALUE!</v>
      </c>
      <c r="F121" s="38" t="e">
        <f>(SUMIFS('[2]turmas 2014.2'!$N:$N,'[2]turmas 2014.2'!$R:$R,$F$5,'[2]turmas 2014.2'!$C:$C,B121)+SUMIFS('[2]turmas 2014.2'!$O:$O,'[2]turmas 2014.2'!$V:$V,$F$5,'[2]turmas 2014.2'!$C:$C,'CRÉDITOS POR CENTRO'!$B121))</f>
        <v>#VALUE!</v>
      </c>
      <c r="G121" s="39" t="e">
        <f t="shared" si="5"/>
        <v>#VALUE!</v>
      </c>
      <c r="H121" s="38" t="e">
        <f>(SUMIFS('[2]turmas 2014.2'!$N:$N,'[2]turmas 2014.2'!$R:$R,$H$5,'[2]turmas 2014.2'!$A:$A,A121)+SUMIFS('[2]turmas 2014.2'!$O:$O,'[2]turmas 2014.2'!$V:$V,$H$5,'[2]turmas 2014.2'!$A:$A,'CRÉDITOS POR CENTRO'!$A121))</f>
        <v>#VALUE!</v>
      </c>
      <c r="I121" s="39" t="e">
        <f t="shared" si="6"/>
        <v>#VALUE!</v>
      </c>
      <c r="J121" s="38" t="e">
        <f t="shared" si="7"/>
        <v>#VALUE!</v>
      </c>
    </row>
    <row r="122" spans="1:10" ht="15">
      <c r="A122" s="269" t="s">
        <v>4580</v>
      </c>
      <c r="B122" s="269" t="s">
        <v>4581</v>
      </c>
      <c r="C122" s="38" t="e">
        <f>SUMIF('[2]turmas 2014.2'!A:A,$A122,'[2]turmas 2014.2'!N:N)+SUMIF('[2]turmas 2014.2'!A:A,$A122,'[2]turmas 2014.2'!O:O)</f>
        <v>#VALUE!</v>
      </c>
      <c r="D122" s="38" t="e">
        <f>(SUMIFS('[2]turmas 2014.2'!$N:$N,'[2]turmas 2014.2'!$R:$R,$D$5,'[2]turmas 2014.2'!$C:$C,B122)+SUMIFS('[2]turmas 2014.2'!$O:$O,'[2]turmas 2014.2'!$V:$V,$D$5,'[2]turmas 2014.2'!$C:$C,'CRÉDITOS POR CENTRO'!$B122))</f>
        <v>#VALUE!</v>
      </c>
      <c r="E122" s="39" t="e">
        <f t="shared" si="4"/>
        <v>#VALUE!</v>
      </c>
      <c r="F122" s="38" t="e">
        <f>(SUMIFS('[2]turmas 2014.2'!$N:$N,'[2]turmas 2014.2'!$R:$R,$F$5,'[2]turmas 2014.2'!$C:$C,B122)+SUMIFS('[2]turmas 2014.2'!$O:$O,'[2]turmas 2014.2'!$V:$V,$F$5,'[2]turmas 2014.2'!$C:$C,'CRÉDITOS POR CENTRO'!$B122))</f>
        <v>#VALUE!</v>
      </c>
      <c r="G122" s="39" t="e">
        <f t="shared" si="5"/>
        <v>#VALUE!</v>
      </c>
      <c r="H122" s="38" t="e">
        <f>(SUMIFS('[2]turmas 2014.2'!$N:$N,'[2]turmas 2014.2'!$R:$R,$H$5,'[2]turmas 2014.2'!$A:$A,A122)+SUMIFS('[2]turmas 2014.2'!$O:$O,'[2]turmas 2014.2'!$V:$V,$H$5,'[2]turmas 2014.2'!$A:$A,'CRÉDITOS POR CENTRO'!$A122))</f>
        <v>#VALUE!</v>
      </c>
      <c r="I122" s="39" t="e">
        <f t="shared" si="6"/>
        <v>#VALUE!</v>
      </c>
      <c r="J122" s="38" t="e">
        <f t="shared" si="7"/>
        <v>#VALUE!</v>
      </c>
    </row>
    <row r="123" spans="1:10" ht="15">
      <c r="A123" s="269" t="s">
        <v>4582</v>
      </c>
      <c r="B123" s="269" t="s">
        <v>4583</v>
      </c>
      <c r="C123" s="38" t="e">
        <f>SUMIF('[2]turmas 2014.2'!A:A,$A123,'[2]turmas 2014.2'!N:N)+SUMIF('[2]turmas 2014.2'!A:A,$A123,'[2]turmas 2014.2'!O:O)</f>
        <v>#VALUE!</v>
      </c>
      <c r="D123" s="38" t="e">
        <f>(SUMIFS('[2]turmas 2014.2'!$N:$N,'[2]turmas 2014.2'!$R:$R,$D$5,'[2]turmas 2014.2'!$C:$C,B123)+SUMIFS('[2]turmas 2014.2'!$O:$O,'[2]turmas 2014.2'!$V:$V,$D$5,'[2]turmas 2014.2'!$C:$C,'CRÉDITOS POR CENTRO'!$B123))</f>
        <v>#VALUE!</v>
      </c>
      <c r="E123" s="39" t="e">
        <f t="shared" si="4"/>
        <v>#VALUE!</v>
      </c>
      <c r="F123" s="38" t="e">
        <f>(SUMIFS('[2]turmas 2014.2'!$N:$N,'[2]turmas 2014.2'!$R:$R,$F$5,'[2]turmas 2014.2'!$C:$C,B123)+SUMIFS('[2]turmas 2014.2'!$O:$O,'[2]turmas 2014.2'!$V:$V,$F$5,'[2]turmas 2014.2'!$C:$C,'CRÉDITOS POR CENTRO'!$B123))</f>
        <v>#VALUE!</v>
      </c>
      <c r="G123" s="39" t="e">
        <f t="shared" si="5"/>
        <v>#VALUE!</v>
      </c>
      <c r="H123" s="38" t="e">
        <f>(SUMIFS('[2]turmas 2014.2'!$N:$N,'[2]turmas 2014.2'!$R:$R,$H$5,'[2]turmas 2014.2'!$A:$A,A123)+SUMIFS('[2]turmas 2014.2'!$O:$O,'[2]turmas 2014.2'!$V:$V,$H$5,'[2]turmas 2014.2'!$A:$A,'CRÉDITOS POR CENTRO'!$A123))</f>
        <v>#VALUE!</v>
      </c>
      <c r="I123" s="39" t="e">
        <f t="shared" si="6"/>
        <v>#VALUE!</v>
      </c>
      <c r="J123" s="38" t="e">
        <f t="shared" si="7"/>
        <v>#VALUE!</v>
      </c>
    </row>
    <row r="124" spans="1:10" ht="15">
      <c r="A124" s="269" t="s">
        <v>4584</v>
      </c>
      <c r="B124" s="269" t="s">
        <v>4585</v>
      </c>
      <c r="C124" s="38" t="e">
        <f>SUMIF('[2]turmas 2014.2'!A:A,$A124,'[2]turmas 2014.2'!N:N)+SUMIF('[2]turmas 2014.2'!A:A,$A124,'[2]turmas 2014.2'!O:O)</f>
        <v>#VALUE!</v>
      </c>
      <c r="D124" s="38" t="e">
        <f>(SUMIFS('[2]turmas 2014.2'!$N:$N,'[2]turmas 2014.2'!$R:$R,$D$5,'[2]turmas 2014.2'!$C:$C,B124)+SUMIFS('[2]turmas 2014.2'!$O:$O,'[2]turmas 2014.2'!$V:$V,$D$5,'[2]turmas 2014.2'!$C:$C,'CRÉDITOS POR CENTRO'!$B124))</f>
        <v>#VALUE!</v>
      </c>
      <c r="E124" s="39" t="e">
        <f t="shared" si="4"/>
        <v>#VALUE!</v>
      </c>
      <c r="F124" s="38" t="e">
        <f>(SUMIFS('[2]turmas 2014.2'!$N:$N,'[2]turmas 2014.2'!$R:$R,$F$5,'[2]turmas 2014.2'!$C:$C,B124)+SUMIFS('[2]turmas 2014.2'!$O:$O,'[2]turmas 2014.2'!$V:$V,$F$5,'[2]turmas 2014.2'!$C:$C,'CRÉDITOS POR CENTRO'!$B124))</f>
        <v>#VALUE!</v>
      </c>
      <c r="G124" s="39" t="e">
        <f t="shared" si="5"/>
        <v>#VALUE!</v>
      </c>
      <c r="H124" s="38" t="e">
        <f>(SUMIFS('[2]turmas 2014.2'!$N:$N,'[2]turmas 2014.2'!$R:$R,$H$5,'[2]turmas 2014.2'!$A:$A,A124)+SUMIFS('[2]turmas 2014.2'!$O:$O,'[2]turmas 2014.2'!$V:$V,$H$5,'[2]turmas 2014.2'!$A:$A,'CRÉDITOS POR CENTRO'!$A124))</f>
        <v>#VALUE!</v>
      </c>
      <c r="I124" s="39" t="e">
        <f t="shared" si="6"/>
        <v>#VALUE!</v>
      </c>
      <c r="J124" s="38" t="e">
        <f t="shared" si="7"/>
        <v>#VALUE!</v>
      </c>
    </row>
    <row r="125" spans="1:10" ht="15">
      <c r="A125" s="269" t="s">
        <v>4586</v>
      </c>
      <c r="B125" s="269" t="s">
        <v>4587</v>
      </c>
      <c r="C125" s="38" t="e">
        <f>SUMIF('[2]turmas 2014.2'!A:A,$A125,'[2]turmas 2014.2'!N:N)+SUMIF('[2]turmas 2014.2'!A:A,$A125,'[2]turmas 2014.2'!O:O)</f>
        <v>#VALUE!</v>
      </c>
      <c r="D125" s="38" t="e">
        <f>(SUMIFS('[2]turmas 2014.2'!$N:$N,'[2]turmas 2014.2'!$R:$R,$D$5,'[2]turmas 2014.2'!$C:$C,B125)+SUMIFS('[2]turmas 2014.2'!$O:$O,'[2]turmas 2014.2'!$V:$V,$D$5,'[2]turmas 2014.2'!$C:$C,'CRÉDITOS POR CENTRO'!$B125))</f>
        <v>#VALUE!</v>
      </c>
      <c r="E125" s="39" t="e">
        <f t="shared" si="4"/>
        <v>#VALUE!</v>
      </c>
      <c r="F125" s="38" t="e">
        <f>(SUMIFS('[2]turmas 2014.2'!$N:$N,'[2]turmas 2014.2'!$R:$R,$F$5,'[2]turmas 2014.2'!$C:$C,B125)+SUMIFS('[2]turmas 2014.2'!$O:$O,'[2]turmas 2014.2'!$V:$V,$F$5,'[2]turmas 2014.2'!$C:$C,'CRÉDITOS POR CENTRO'!$B125))</f>
        <v>#VALUE!</v>
      </c>
      <c r="G125" s="39" t="e">
        <f t="shared" si="5"/>
        <v>#VALUE!</v>
      </c>
      <c r="H125" s="38" t="e">
        <f>(SUMIFS('[2]turmas 2014.2'!$N:$N,'[2]turmas 2014.2'!$R:$R,$H$5,'[2]turmas 2014.2'!$A:$A,A125)+SUMIFS('[2]turmas 2014.2'!$O:$O,'[2]turmas 2014.2'!$V:$V,$H$5,'[2]turmas 2014.2'!$A:$A,'CRÉDITOS POR CENTRO'!$A125))</f>
        <v>#VALUE!</v>
      </c>
      <c r="I125" s="39" t="e">
        <f t="shared" si="6"/>
        <v>#VALUE!</v>
      </c>
      <c r="J125" s="38" t="e">
        <f t="shared" si="7"/>
        <v>#VALUE!</v>
      </c>
    </row>
    <row r="126" spans="1:10" ht="15">
      <c r="A126" s="269" t="s">
        <v>4588</v>
      </c>
      <c r="B126" s="269" t="s">
        <v>4589</v>
      </c>
      <c r="C126" s="38" t="e">
        <f>SUMIF('[2]turmas 2014.2'!A:A,$A126,'[2]turmas 2014.2'!N:N)+SUMIF('[2]turmas 2014.2'!A:A,$A126,'[2]turmas 2014.2'!O:O)</f>
        <v>#VALUE!</v>
      </c>
      <c r="D126" s="38" t="e">
        <f>(SUMIFS('[2]turmas 2014.2'!$N:$N,'[2]turmas 2014.2'!$R:$R,$D$5,'[2]turmas 2014.2'!$C:$C,B126)+SUMIFS('[2]turmas 2014.2'!$O:$O,'[2]turmas 2014.2'!$V:$V,$D$5,'[2]turmas 2014.2'!$C:$C,'CRÉDITOS POR CENTRO'!$B126))</f>
        <v>#VALUE!</v>
      </c>
      <c r="E126" s="39" t="e">
        <f t="shared" si="4"/>
        <v>#VALUE!</v>
      </c>
      <c r="F126" s="38" t="e">
        <f>(SUMIFS('[2]turmas 2014.2'!$N:$N,'[2]turmas 2014.2'!$R:$R,$F$5,'[2]turmas 2014.2'!$C:$C,B126)+SUMIFS('[2]turmas 2014.2'!$O:$O,'[2]turmas 2014.2'!$V:$V,$F$5,'[2]turmas 2014.2'!$C:$C,'CRÉDITOS POR CENTRO'!$B126))</f>
        <v>#VALUE!</v>
      </c>
      <c r="G126" s="39" t="e">
        <f t="shared" si="5"/>
        <v>#VALUE!</v>
      </c>
      <c r="H126" s="38" t="e">
        <f>(SUMIFS('[2]turmas 2014.2'!$N:$N,'[2]turmas 2014.2'!$R:$R,$H$5,'[2]turmas 2014.2'!$A:$A,A126)+SUMIFS('[2]turmas 2014.2'!$O:$O,'[2]turmas 2014.2'!$V:$V,$H$5,'[2]turmas 2014.2'!$A:$A,'CRÉDITOS POR CENTRO'!$A126))</f>
        <v>#VALUE!</v>
      </c>
      <c r="I126" s="39" t="e">
        <f t="shared" si="6"/>
        <v>#VALUE!</v>
      </c>
      <c r="J126" s="38" t="e">
        <f t="shared" si="7"/>
        <v>#VALUE!</v>
      </c>
    </row>
    <row r="127" spans="1:10" ht="15">
      <c r="A127" s="269" t="s">
        <v>4590</v>
      </c>
      <c r="B127" s="269" t="s">
        <v>4591</v>
      </c>
      <c r="C127" s="38" t="e">
        <f>SUMIF('[2]turmas 2014.2'!A:A,$A127,'[2]turmas 2014.2'!N:N)+SUMIF('[2]turmas 2014.2'!A:A,$A127,'[2]turmas 2014.2'!O:O)</f>
        <v>#VALUE!</v>
      </c>
      <c r="D127" s="38" t="e">
        <f>(SUMIFS('[2]turmas 2014.2'!$N:$N,'[2]turmas 2014.2'!$R:$R,$D$5,'[2]turmas 2014.2'!$C:$C,B127)+SUMIFS('[2]turmas 2014.2'!$O:$O,'[2]turmas 2014.2'!$V:$V,$D$5,'[2]turmas 2014.2'!$C:$C,'CRÉDITOS POR CENTRO'!$B127))</f>
        <v>#VALUE!</v>
      </c>
      <c r="E127" s="39" t="e">
        <f t="shared" si="4"/>
        <v>#VALUE!</v>
      </c>
      <c r="F127" s="38" t="e">
        <f>(SUMIFS('[2]turmas 2014.2'!$N:$N,'[2]turmas 2014.2'!$R:$R,$F$5,'[2]turmas 2014.2'!$C:$C,B127)+SUMIFS('[2]turmas 2014.2'!$O:$O,'[2]turmas 2014.2'!$V:$V,$F$5,'[2]turmas 2014.2'!$C:$C,'CRÉDITOS POR CENTRO'!$B127))</f>
        <v>#VALUE!</v>
      </c>
      <c r="G127" s="39" t="e">
        <f t="shared" si="5"/>
        <v>#VALUE!</v>
      </c>
      <c r="H127" s="38" t="e">
        <f>(SUMIFS('[2]turmas 2014.2'!$N:$N,'[2]turmas 2014.2'!$R:$R,$H$5,'[2]turmas 2014.2'!$A:$A,A127)+SUMIFS('[2]turmas 2014.2'!$O:$O,'[2]turmas 2014.2'!$V:$V,$H$5,'[2]turmas 2014.2'!$A:$A,'CRÉDITOS POR CENTRO'!$A127))</f>
        <v>#VALUE!</v>
      </c>
      <c r="I127" s="39" t="e">
        <f t="shared" si="6"/>
        <v>#VALUE!</v>
      </c>
      <c r="J127" s="38" t="e">
        <f t="shared" si="7"/>
        <v>#VALUE!</v>
      </c>
    </row>
    <row r="128" spans="1:10" ht="15">
      <c r="A128" s="269" t="s">
        <v>4592</v>
      </c>
      <c r="B128" s="269" t="s">
        <v>4593</v>
      </c>
      <c r="C128" s="38" t="e">
        <f>SUMIF('[2]turmas 2014.2'!A:A,$A128,'[2]turmas 2014.2'!N:N)+SUMIF('[2]turmas 2014.2'!A:A,$A128,'[2]turmas 2014.2'!O:O)</f>
        <v>#VALUE!</v>
      </c>
      <c r="D128" s="38" t="e">
        <f>(SUMIFS('[2]turmas 2014.2'!$N:$N,'[2]turmas 2014.2'!$R:$R,$D$5,'[2]turmas 2014.2'!$C:$C,B128)+SUMIFS('[2]turmas 2014.2'!$O:$O,'[2]turmas 2014.2'!$V:$V,$D$5,'[2]turmas 2014.2'!$C:$C,'CRÉDITOS POR CENTRO'!$B128))</f>
        <v>#VALUE!</v>
      </c>
      <c r="E128" s="39" t="e">
        <f t="shared" si="4"/>
        <v>#VALUE!</v>
      </c>
      <c r="F128" s="38" t="e">
        <f>(SUMIFS('[2]turmas 2014.2'!$N:$N,'[2]turmas 2014.2'!$R:$R,$F$5,'[2]turmas 2014.2'!$C:$C,B128)+SUMIFS('[2]turmas 2014.2'!$O:$O,'[2]turmas 2014.2'!$V:$V,$F$5,'[2]turmas 2014.2'!$C:$C,'CRÉDITOS POR CENTRO'!$B128))</f>
        <v>#VALUE!</v>
      </c>
      <c r="G128" s="39" t="e">
        <f t="shared" si="5"/>
        <v>#VALUE!</v>
      </c>
      <c r="H128" s="38" t="e">
        <f>(SUMIFS('[2]turmas 2014.2'!$N:$N,'[2]turmas 2014.2'!$R:$R,$H$5,'[2]turmas 2014.2'!$A:$A,A128)+SUMIFS('[2]turmas 2014.2'!$O:$O,'[2]turmas 2014.2'!$V:$V,$H$5,'[2]turmas 2014.2'!$A:$A,'CRÉDITOS POR CENTRO'!$A128))</f>
        <v>#VALUE!</v>
      </c>
      <c r="I128" s="39" t="e">
        <f t="shared" si="6"/>
        <v>#VALUE!</v>
      </c>
      <c r="J128" s="38" t="e">
        <f t="shared" si="7"/>
        <v>#VALUE!</v>
      </c>
    </row>
    <row r="129" spans="1:10" ht="15">
      <c r="A129" s="269" t="s">
        <v>4594</v>
      </c>
      <c r="B129" s="269" t="s">
        <v>4595</v>
      </c>
      <c r="C129" s="38" t="e">
        <f>SUMIF('[2]turmas 2014.2'!A:A,$A129,'[2]turmas 2014.2'!N:N)+SUMIF('[2]turmas 2014.2'!A:A,$A129,'[2]turmas 2014.2'!O:O)</f>
        <v>#VALUE!</v>
      </c>
      <c r="D129" s="38" t="e">
        <f>(SUMIFS('[2]turmas 2014.2'!$N:$N,'[2]turmas 2014.2'!$R:$R,$D$5,'[2]turmas 2014.2'!$C:$C,B129)+SUMIFS('[2]turmas 2014.2'!$O:$O,'[2]turmas 2014.2'!$V:$V,$D$5,'[2]turmas 2014.2'!$C:$C,'CRÉDITOS POR CENTRO'!$B129))</f>
        <v>#VALUE!</v>
      </c>
      <c r="E129" s="39" t="e">
        <f t="shared" si="4"/>
        <v>#VALUE!</v>
      </c>
      <c r="F129" s="38" t="e">
        <f>(SUMIFS('[2]turmas 2014.2'!$N:$N,'[2]turmas 2014.2'!$R:$R,$F$5,'[2]turmas 2014.2'!$C:$C,B129)+SUMIFS('[2]turmas 2014.2'!$O:$O,'[2]turmas 2014.2'!$V:$V,$F$5,'[2]turmas 2014.2'!$C:$C,'CRÉDITOS POR CENTRO'!$B129))</f>
        <v>#VALUE!</v>
      </c>
      <c r="G129" s="39" t="e">
        <f t="shared" si="5"/>
        <v>#VALUE!</v>
      </c>
      <c r="H129" s="38" t="e">
        <f>(SUMIFS('[2]turmas 2014.2'!$N:$N,'[2]turmas 2014.2'!$R:$R,$H$5,'[2]turmas 2014.2'!$A:$A,A129)+SUMIFS('[2]turmas 2014.2'!$O:$O,'[2]turmas 2014.2'!$V:$V,$H$5,'[2]turmas 2014.2'!$A:$A,'CRÉDITOS POR CENTRO'!$A129))</f>
        <v>#VALUE!</v>
      </c>
      <c r="I129" s="39" t="e">
        <f t="shared" si="6"/>
        <v>#VALUE!</v>
      </c>
      <c r="J129" s="38" t="e">
        <f t="shared" si="7"/>
        <v>#VALUE!</v>
      </c>
    </row>
    <row r="130" spans="1:10" ht="15">
      <c r="A130" s="269" t="s">
        <v>4596</v>
      </c>
      <c r="B130" s="269" t="s">
        <v>4597</v>
      </c>
      <c r="C130" s="38" t="e">
        <f>SUMIF('[2]turmas 2014.2'!A:A,$A130,'[2]turmas 2014.2'!N:N)+SUMIF('[2]turmas 2014.2'!A:A,$A130,'[2]turmas 2014.2'!O:O)</f>
        <v>#VALUE!</v>
      </c>
      <c r="D130" s="38" t="e">
        <f>(SUMIFS('[2]turmas 2014.2'!$N:$N,'[2]turmas 2014.2'!$R:$R,$D$5,'[2]turmas 2014.2'!$C:$C,B130)+SUMIFS('[2]turmas 2014.2'!$O:$O,'[2]turmas 2014.2'!$V:$V,$D$5,'[2]turmas 2014.2'!$C:$C,'CRÉDITOS POR CENTRO'!$B130))</f>
        <v>#VALUE!</v>
      </c>
      <c r="E130" s="39" t="e">
        <f t="shared" si="4"/>
        <v>#VALUE!</v>
      </c>
      <c r="F130" s="38" t="e">
        <f>(SUMIFS('[2]turmas 2014.2'!$N:$N,'[2]turmas 2014.2'!$R:$R,$F$5,'[2]turmas 2014.2'!$C:$C,B130)+SUMIFS('[2]turmas 2014.2'!$O:$O,'[2]turmas 2014.2'!$V:$V,$F$5,'[2]turmas 2014.2'!$C:$C,'CRÉDITOS POR CENTRO'!$B130))</f>
        <v>#VALUE!</v>
      </c>
      <c r="G130" s="39" t="e">
        <f t="shared" si="5"/>
        <v>#VALUE!</v>
      </c>
      <c r="H130" s="38" t="e">
        <f>(SUMIFS('[2]turmas 2014.2'!$N:$N,'[2]turmas 2014.2'!$R:$R,$H$5,'[2]turmas 2014.2'!$A:$A,A130)+SUMIFS('[2]turmas 2014.2'!$O:$O,'[2]turmas 2014.2'!$V:$V,$H$5,'[2]turmas 2014.2'!$A:$A,'CRÉDITOS POR CENTRO'!$A130))</f>
        <v>#VALUE!</v>
      </c>
      <c r="I130" s="39" t="e">
        <f t="shared" si="6"/>
        <v>#VALUE!</v>
      </c>
      <c r="J130" s="38" t="e">
        <f t="shared" si="7"/>
        <v>#VALUE!</v>
      </c>
    </row>
    <row r="131" spans="1:10" ht="15">
      <c r="A131" s="269" t="s">
        <v>2007</v>
      </c>
      <c r="B131" s="269" t="s">
        <v>2008</v>
      </c>
      <c r="C131" s="38" t="e">
        <f>SUMIF('[2]turmas 2014.2'!A:A,$A131,'[2]turmas 2014.2'!N:N)+SUMIF('[2]turmas 2014.2'!A:A,$A131,'[2]turmas 2014.2'!O:O)</f>
        <v>#VALUE!</v>
      </c>
      <c r="D131" s="38" t="e">
        <f>(SUMIFS('[2]turmas 2014.2'!$N:$N,'[2]turmas 2014.2'!$R:$R,$D$5,'[2]turmas 2014.2'!$C:$C,B131)+SUMIFS('[2]turmas 2014.2'!$O:$O,'[2]turmas 2014.2'!$V:$V,$D$5,'[2]turmas 2014.2'!$C:$C,'CRÉDITOS POR CENTRO'!$B131))</f>
        <v>#VALUE!</v>
      </c>
      <c r="E131" s="39" t="e">
        <f t="shared" si="4"/>
        <v>#VALUE!</v>
      </c>
      <c r="F131" s="38" t="e">
        <f>(SUMIFS('[2]turmas 2014.2'!$N:$N,'[2]turmas 2014.2'!$R:$R,$F$5,'[2]turmas 2014.2'!$C:$C,B131)+SUMIFS('[2]turmas 2014.2'!$O:$O,'[2]turmas 2014.2'!$V:$V,$F$5,'[2]turmas 2014.2'!$C:$C,'CRÉDITOS POR CENTRO'!$B131))</f>
        <v>#VALUE!</v>
      </c>
      <c r="G131" s="39" t="e">
        <f t="shared" si="5"/>
        <v>#VALUE!</v>
      </c>
      <c r="H131" s="38" t="e">
        <f>(SUMIFS('[2]turmas 2014.2'!$N:$N,'[2]turmas 2014.2'!$R:$R,$H$5,'[2]turmas 2014.2'!$A:$A,A131)+SUMIFS('[2]turmas 2014.2'!$O:$O,'[2]turmas 2014.2'!$V:$V,$H$5,'[2]turmas 2014.2'!$A:$A,'CRÉDITOS POR CENTRO'!$A131))</f>
        <v>#VALUE!</v>
      </c>
      <c r="I131" s="39" t="e">
        <f t="shared" si="6"/>
        <v>#VALUE!</v>
      </c>
      <c r="J131" s="38" t="e">
        <f t="shared" si="7"/>
        <v>#VALUE!</v>
      </c>
    </row>
    <row r="132" spans="1:10" ht="15">
      <c r="A132" s="269" t="s">
        <v>19</v>
      </c>
      <c r="B132" s="269" t="s">
        <v>2028</v>
      </c>
      <c r="C132" s="38" t="e">
        <f>SUMIF('[2]turmas 2014.2'!A:A,$A132,'[2]turmas 2014.2'!N:N)+SUMIF('[2]turmas 2014.2'!A:A,$A132,'[2]turmas 2014.2'!O:O)</f>
        <v>#VALUE!</v>
      </c>
      <c r="D132" s="38" t="e">
        <f>(SUMIFS('[2]turmas 2014.2'!$N:$N,'[2]turmas 2014.2'!$R:$R,$D$5,'[2]turmas 2014.2'!$C:$C,B132)+SUMIFS('[2]turmas 2014.2'!$O:$O,'[2]turmas 2014.2'!$V:$V,$D$5,'[2]turmas 2014.2'!$C:$C,'CRÉDITOS POR CENTRO'!$B132))</f>
        <v>#VALUE!</v>
      </c>
      <c r="E132" s="39" t="e">
        <f t="shared" si="4"/>
        <v>#VALUE!</v>
      </c>
      <c r="F132" s="38" t="e">
        <f>(SUMIFS('[2]turmas 2014.2'!$N:$N,'[2]turmas 2014.2'!$R:$R,$F$5,'[2]turmas 2014.2'!$C:$C,B132)+SUMIFS('[2]turmas 2014.2'!$O:$O,'[2]turmas 2014.2'!$V:$V,$F$5,'[2]turmas 2014.2'!$C:$C,'CRÉDITOS POR CENTRO'!$B132))</f>
        <v>#VALUE!</v>
      </c>
      <c r="G132" s="39" t="e">
        <f t="shared" si="5"/>
        <v>#VALUE!</v>
      </c>
      <c r="H132" s="38" t="e">
        <f>(SUMIFS('[2]turmas 2014.2'!$N:$N,'[2]turmas 2014.2'!$R:$R,$H$5,'[2]turmas 2014.2'!$A:$A,A132)+SUMIFS('[2]turmas 2014.2'!$O:$O,'[2]turmas 2014.2'!$V:$V,$H$5,'[2]turmas 2014.2'!$A:$A,'CRÉDITOS POR CENTRO'!$A132))</f>
        <v>#VALUE!</v>
      </c>
      <c r="I132" s="39" t="e">
        <f t="shared" si="6"/>
        <v>#VALUE!</v>
      </c>
      <c r="J132" s="38" t="e">
        <f t="shared" si="7"/>
        <v>#VALUE!</v>
      </c>
    </row>
    <row r="133" spans="1:10" ht="15">
      <c r="A133" s="269" t="s">
        <v>4598</v>
      </c>
      <c r="B133" s="269" t="s">
        <v>4599</v>
      </c>
      <c r="C133" s="38" t="e">
        <f>SUMIF('[2]turmas 2014.2'!A:A,$A133,'[2]turmas 2014.2'!N:N)+SUMIF('[2]turmas 2014.2'!A:A,$A133,'[2]turmas 2014.2'!O:O)</f>
        <v>#VALUE!</v>
      </c>
      <c r="D133" s="38" t="e">
        <f>(SUMIFS('[2]turmas 2014.2'!$N:$N,'[2]turmas 2014.2'!$R:$R,$D$5,'[2]turmas 2014.2'!$C:$C,B133)+SUMIFS('[2]turmas 2014.2'!$O:$O,'[2]turmas 2014.2'!$V:$V,$D$5,'[2]turmas 2014.2'!$C:$C,'CRÉDITOS POR CENTRO'!$B133))</f>
        <v>#VALUE!</v>
      </c>
      <c r="E133" s="39" t="e">
        <f t="shared" si="4"/>
        <v>#VALUE!</v>
      </c>
      <c r="F133" s="38" t="e">
        <f>(SUMIFS('[2]turmas 2014.2'!$N:$N,'[2]turmas 2014.2'!$R:$R,$F$5,'[2]turmas 2014.2'!$C:$C,B133)+SUMIFS('[2]turmas 2014.2'!$O:$O,'[2]turmas 2014.2'!$V:$V,$F$5,'[2]turmas 2014.2'!$C:$C,'CRÉDITOS POR CENTRO'!$B133))</f>
        <v>#VALUE!</v>
      </c>
      <c r="G133" s="39" t="e">
        <f t="shared" si="5"/>
        <v>#VALUE!</v>
      </c>
      <c r="H133" s="38" t="e">
        <f>(SUMIFS('[2]turmas 2014.2'!$N:$N,'[2]turmas 2014.2'!$R:$R,$H$5,'[2]turmas 2014.2'!$A:$A,A133)+SUMIFS('[2]turmas 2014.2'!$O:$O,'[2]turmas 2014.2'!$V:$V,$H$5,'[2]turmas 2014.2'!$A:$A,'CRÉDITOS POR CENTRO'!$A133))</f>
        <v>#VALUE!</v>
      </c>
      <c r="I133" s="39" t="e">
        <f t="shared" si="6"/>
        <v>#VALUE!</v>
      </c>
      <c r="J133" s="38" t="e">
        <f t="shared" si="7"/>
        <v>#VALUE!</v>
      </c>
    </row>
    <row r="134" spans="1:10" ht="15">
      <c r="A134" s="269" t="s">
        <v>2065</v>
      </c>
      <c r="B134" s="269" t="s">
        <v>2066</v>
      </c>
      <c r="C134" s="38" t="e">
        <f>SUMIF('[2]turmas 2014.2'!A:A,$A134,'[2]turmas 2014.2'!N:N)+SUMIF('[2]turmas 2014.2'!A:A,$A134,'[2]turmas 2014.2'!O:O)</f>
        <v>#VALUE!</v>
      </c>
      <c r="D134" s="38" t="e">
        <f>(SUMIFS('[2]turmas 2014.2'!$N:$N,'[2]turmas 2014.2'!$R:$R,$D$5,'[2]turmas 2014.2'!$C:$C,B134)+SUMIFS('[2]turmas 2014.2'!$O:$O,'[2]turmas 2014.2'!$V:$V,$D$5,'[2]turmas 2014.2'!$C:$C,'CRÉDITOS POR CENTRO'!$B134))</f>
        <v>#VALUE!</v>
      </c>
      <c r="E134" s="39" t="e">
        <f t="shared" si="4"/>
        <v>#VALUE!</v>
      </c>
      <c r="F134" s="38" t="e">
        <f>(SUMIFS('[2]turmas 2014.2'!$N:$N,'[2]turmas 2014.2'!$R:$R,$F$5,'[2]turmas 2014.2'!$C:$C,B134)+SUMIFS('[2]turmas 2014.2'!$O:$O,'[2]turmas 2014.2'!$V:$V,$F$5,'[2]turmas 2014.2'!$C:$C,'CRÉDITOS POR CENTRO'!$B134))</f>
        <v>#VALUE!</v>
      </c>
      <c r="G134" s="39" t="e">
        <f t="shared" si="5"/>
        <v>#VALUE!</v>
      </c>
      <c r="H134" s="38" t="e">
        <f>(SUMIFS('[2]turmas 2014.2'!$N:$N,'[2]turmas 2014.2'!$R:$R,$H$5,'[2]turmas 2014.2'!$A:$A,A134)+SUMIFS('[2]turmas 2014.2'!$O:$O,'[2]turmas 2014.2'!$V:$V,$H$5,'[2]turmas 2014.2'!$A:$A,'CRÉDITOS POR CENTRO'!$A134))</f>
        <v>#VALUE!</v>
      </c>
      <c r="I134" s="39" t="e">
        <f t="shared" si="6"/>
        <v>#VALUE!</v>
      </c>
      <c r="J134" s="38" t="e">
        <f t="shared" si="7"/>
        <v>#VALUE!</v>
      </c>
    </row>
    <row r="135" spans="1:10" ht="15">
      <c r="A135" s="269" t="s">
        <v>4600</v>
      </c>
      <c r="B135" s="269" t="s">
        <v>4601</v>
      </c>
      <c r="C135" s="38" t="e">
        <f>SUMIF('[2]turmas 2014.2'!A:A,$A135,'[2]turmas 2014.2'!N:N)+SUMIF('[2]turmas 2014.2'!A:A,$A135,'[2]turmas 2014.2'!O:O)</f>
        <v>#VALUE!</v>
      </c>
      <c r="D135" s="38" t="e">
        <f>(SUMIFS('[2]turmas 2014.2'!$N:$N,'[2]turmas 2014.2'!$R:$R,$D$5,'[2]turmas 2014.2'!$C:$C,B135)+SUMIFS('[2]turmas 2014.2'!$O:$O,'[2]turmas 2014.2'!$V:$V,$D$5,'[2]turmas 2014.2'!$C:$C,'CRÉDITOS POR CENTRO'!$B135))</f>
        <v>#VALUE!</v>
      </c>
      <c r="E135" s="39" t="e">
        <f t="shared" ref="E135:E198" si="8">D135/C135</f>
        <v>#VALUE!</v>
      </c>
      <c r="F135" s="38" t="e">
        <f>(SUMIFS('[2]turmas 2014.2'!$N:$N,'[2]turmas 2014.2'!$R:$R,$F$5,'[2]turmas 2014.2'!$C:$C,B135)+SUMIFS('[2]turmas 2014.2'!$O:$O,'[2]turmas 2014.2'!$V:$V,$F$5,'[2]turmas 2014.2'!$C:$C,'CRÉDITOS POR CENTRO'!$B135))</f>
        <v>#VALUE!</v>
      </c>
      <c r="G135" s="39" t="e">
        <f t="shared" ref="G135:G198" si="9">F135/C135</f>
        <v>#VALUE!</v>
      </c>
      <c r="H135" s="38" t="e">
        <f>(SUMIFS('[2]turmas 2014.2'!$N:$N,'[2]turmas 2014.2'!$R:$R,$H$5,'[2]turmas 2014.2'!$A:$A,A135)+SUMIFS('[2]turmas 2014.2'!$O:$O,'[2]turmas 2014.2'!$V:$V,$H$5,'[2]turmas 2014.2'!$A:$A,'CRÉDITOS POR CENTRO'!$A135))</f>
        <v>#VALUE!</v>
      </c>
      <c r="I135" s="39" t="e">
        <f t="shared" ref="I135:I198" si="10">H135/C135</f>
        <v>#VALUE!</v>
      </c>
      <c r="J135" s="38" t="e">
        <f t="shared" ref="J135:J198" si="11">D135+F135+H135-C135</f>
        <v>#VALUE!</v>
      </c>
    </row>
    <row r="136" spans="1:10" ht="15">
      <c r="A136" s="269" t="s">
        <v>4602</v>
      </c>
      <c r="B136" s="269" t="s">
        <v>4603</v>
      </c>
      <c r="C136" s="38" t="e">
        <f>SUMIF('[2]turmas 2014.2'!A:A,$A136,'[2]turmas 2014.2'!N:N)+SUMIF('[2]turmas 2014.2'!A:A,$A136,'[2]turmas 2014.2'!O:O)</f>
        <v>#VALUE!</v>
      </c>
      <c r="D136" s="38" t="e">
        <f>(SUMIFS('[2]turmas 2014.2'!$N:$N,'[2]turmas 2014.2'!$R:$R,$D$5,'[2]turmas 2014.2'!$C:$C,B136)+SUMIFS('[2]turmas 2014.2'!$O:$O,'[2]turmas 2014.2'!$V:$V,$D$5,'[2]turmas 2014.2'!$C:$C,'CRÉDITOS POR CENTRO'!$B136))</f>
        <v>#VALUE!</v>
      </c>
      <c r="E136" s="39" t="e">
        <f t="shared" si="8"/>
        <v>#VALUE!</v>
      </c>
      <c r="F136" s="38" t="e">
        <f>(SUMIFS('[2]turmas 2014.2'!$N:$N,'[2]turmas 2014.2'!$R:$R,$F$5,'[2]turmas 2014.2'!$C:$C,B136)+SUMIFS('[2]turmas 2014.2'!$O:$O,'[2]turmas 2014.2'!$V:$V,$F$5,'[2]turmas 2014.2'!$C:$C,'CRÉDITOS POR CENTRO'!$B136))</f>
        <v>#VALUE!</v>
      </c>
      <c r="G136" s="39" t="e">
        <f t="shared" si="9"/>
        <v>#VALUE!</v>
      </c>
      <c r="H136" s="38" t="e">
        <f>(SUMIFS('[2]turmas 2014.2'!$N:$N,'[2]turmas 2014.2'!$R:$R,$H$5,'[2]turmas 2014.2'!$A:$A,A136)+SUMIFS('[2]turmas 2014.2'!$O:$O,'[2]turmas 2014.2'!$V:$V,$H$5,'[2]turmas 2014.2'!$A:$A,'CRÉDITOS POR CENTRO'!$A136))</f>
        <v>#VALUE!</v>
      </c>
      <c r="I136" s="39" t="e">
        <f t="shared" si="10"/>
        <v>#VALUE!</v>
      </c>
      <c r="J136" s="38" t="e">
        <f t="shared" si="11"/>
        <v>#VALUE!</v>
      </c>
    </row>
    <row r="137" spans="1:10" ht="15">
      <c r="A137" s="269" t="s">
        <v>4604</v>
      </c>
      <c r="B137" s="269" t="s">
        <v>4603</v>
      </c>
      <c r="C137" s="38" t="e">
        <f>SUMIF('[2]turmas 2014.2'!A:A,$A137,'[2]turmas 2014.2'!N:N)+SUMIF('[2]turmas 2014.2'!A:A,$A137,'[2]turmas 2014.2'!O:O)</f>
        <v>#VALUE!</v>
      </c>
      <c r="D137" s="38" t="e">
        <f>(SUMIFS('[2]turmas 2014.2'!$N:$N,'[2]turmas 2014.2'!$R:$R,$D$5,'[2]turmas 2014.2'!$C:$C,B137)+SUMIFS('[2]turmas 2014.2'!$O:$O,'[2]turmas 2014.2'!$V:$V,$D$5,'[2]turmas 2014.2'!$C:$C,'CRÉDITOS POR CENTRO'!$B137))</f>
        <v>#VALUE!</v>
      </c>
      <c r="E137" s="39" t="e">
        <f t="shared" si="8"/>
        <v>#VALUE!</v>
      </c>
      <c r="F137" s="38" t="e">
        <f>(SUMIFS('[2]turmas 2014.2'!$N:$N,'[2]turmas 2014.2'!$R:$R,$F$5,'[2]turmas 2014.2'!$C:$C,B137)+SUMIFS('[2]turmas 2014.2'!$O:$O,'[2]turmas 2014.2'!$V:$V,$F$5,'[2]turmas 2014.2'!$C:$C,'CRÉDITOS POR CENTRO'!$B137))</f>
        <v>#VALUE!</v>
      </c>
      <c r="G137" s="39" t="e">
        <f t="shared" si="9"/>
        <v>#VALUE!</v>
      </c>
      <c r="H137" s="38" t="e">
        <f>(SUMIFS('[2]turmas 2014.2'!$N:$N,'[2]turmas 2014.2'!$R:$R,$H$5,'[2]turmas 2014.2'!$A:$A,A137)+SUMIFS('[2]turmas 2014.2'!$O:$O,'[2]turmas 2014.2'!$V:$V,$H$5,'[2]turmas 2014.2'!$A:$A,'CRÉDITOS POR CENTRO'!$A137))</f>
        <v>#VALUE!</v>
      </c>
      <c r="I137" s="39" t="e">
        <f t="shared" si="10"/>
        <v>#VALUE!</v>
      </c>
      <c r="J137" s="38" t="e">
        <f t="shared" si="11"/>
        <v>#VALUE!</v>
      </c>
    </row>
    <row r="138" spans="1:10" ht="15">
      <c r="A138" s="269" t="s">
        <v>4605</v>
      </c>
      <c r="B138" s="269" t="s">
        <v>4606</v>
      </c>
      <c r="C138" s="38" t="e">
        <f>SUMIF('[2]turmas 2014.2'!A:A,$A138,'[2]turmas 2014.2'!N:N)+SUMIF('[2]turmas 2014.2'!A:A,$A138,'[2]turmas 2014.2'!O:O)</f>
        <v>#VALUE!</v>
      </c>
      <c r="D138" s="38" t="e">
        <f>(SUMIFS('[2]turmas 2014.2'!$N:$N,'[2]turmas 2014.2'!$R:$R,$D$5,'[2]turmas 2014.2'!$C:$C,B138)+SUMIFS('[2]turmas 2014.2'!$O:$O,'[2]turmas 2014.2'!$V:$V,$D$5,'[2]turmas 2014.2'!$C:$C,'CRÉDITOS POR CENTRO'!$B138))</f>
        <v>#VALUE!</v>
      </c>
      <c r="E138" s="39" t="e">
        <f t="shared" si="8"/>
        <v>#VALUE!</v>
      </c>
      <c r="F138" s="38" t="e">
        <f>(SUMIFS('[2]turmas 2014.2'!$N:$N,'[2]turmas 2014.2'!$R:$R,$F$5,'[2]turmas 2014.2'!$C:$C,B138)+SUMIFS('[2]turmas 2014.2'!$O:$O,'[2]turmas 2014.2'!$V:$V,$F$5,'[2]turmas 2014.2'!$C:$C,'CRÉDITOS POR CENTRO'!$B138))</f>
        <v>#VALUE!</v>
      </c>
      <c r="G138" s="39" t="e">
        <f t="shared" si="9"/>
        <v>#VALUE!</v>
      </c>
      <c r="H138" s="38" t="e">
        <f>(SUMIFS('[2]turmas 2014.2'!$N:$N,'[2]turmas 2014.2'!$R:$R,$H$5,'[2]turmas 2014.2'!$A:$A,A138)+SUMIFS('[2]turmas 2014.2'!$O:$O,'[2]turmas 2014.2'!$V:$V,$H$5,'[2]turmas 2014.2'!$A:$A,'CRÉDITOS POR CENTRO'!$A138))</f>
        <v>#VALUE!</v>
      </c>
      <c r="I138" s="39" t="e">
        <f t="shared" si="10"/>
        <v>#VALUE!</v>
      </c>
      <c r="J138" s="38" t="e">
        <f t="shared" si="11"/>
        <v>#VALUE!</v>
      </c>
    </row>
    <row r="139" spans="1:10" ht="15">
      <c r="A139" s="269" t="s">
        <v>4607</v>
      </c>
      <c r="B139" s="269" t="s">
        <v>4608</v>
      </c>
      <c r="C139" s="38" t="e">
        <f>SUMIF('[2]turmas 2014.2'!A:A,$A139,'[2]turmas 2014.2'!N:N)+SUMIF('[2]turmas 2014.2'!A:A,$A139,'[2]turmas 2014.2'!O:O)</f>
        <v>#VALUE!</v>
      </c>
      <c r="D139" s="38" t="e">
        <f>(SUMIFS('[2]turmas 2014.2'!$N:$N,'[2]turmas 2014.2'!$R:$R,$D$5,'[2]turmas 2014.2'!$C:$C,B139)+SUMIFS('[2]turmas 2014.2'!$O:$O,'[2]turmas 2014.2'!$V:$V,$D$5,'[2]turmas 2014.2'!$C:$C,'CRÉDITOS POR CENTRO'!$B139))</f>
        <v>#VALUE!</v>
      </c>
      <c r="E139" s="39" t="e">
        <f t="shared" si="8"/>
        <v>#VALUE!</v>
      </c>
      <c r="F139" s="38" t="e">
        <f>(SUMIFS('[2]turmas 2014.2'!$N:$N,'[2]turmas 2014.2'!$R:$R,$F$5,'[2]turmas 2014.2'!$C:$C,B139)+SUMIFS('[2]turmas 2014.2'!$O:$O,'[2]turmas 2014.2'!$V:$V,$F$5,'[2]turmas 2014.2'!$C:$C,'CRÉDITOS POR CENTRO'!$B139))</f>
        <v>#VALUE!</v>
      </c>
      <c r="G139" s="39" t="e">
        <f t="shared" si="9"/>
        <v>#VALUE!</v>
      </c>
      <c r="H139" s="38" t="e">
        <f>(SUMIFS('[2]turmas 2014.2'!$N:$N,'[2]turmas 2014.2'!$R:$R,$H$5,'[2]turmas 2014.2'!$A:$A,A139)+SUMIFS('[2]turmas 2014.2'!$O:$O,'[2]turmas 2014.2'!$V:$V,$H$5,'[2]turmas 2014.2'!$A:$A,'CRÉDITOS POR CENTRO'!$A139))</f>
        <v>#VALUE!</v>
      </c>
      <c r="I139" s="39" t="e">
        <f t="shared" si="10"/>
        <v>#VALUE!</v>
      </c>
      <c r="J139" s="38" t="e">
        <f t="shared" si="11"/>
        <v>#VALUE!</v>
      </c>
    </row>
    <row r="140" spans="1:10" ht="15">
      <c r="A140" s="269" t="s">
        <v>4609</v>
      </c>
      <c r="B140" s="269" t="s">
        <v>4610</v>
      </c>
      <c r="C140" s="38" t="e">
        <f>SUMIF('[2]turmas 2014.2'!A:A,$A140,'[2]turmas 2014.2'!N:N)+SUMIF('[2]turmas 2014.2'!A:A,$A140,'[2]turmas 2014.2'!O:O)</f>
        <v>#VALUE!</v>
      </c>
      <c r="D140" s="38" t="e">
        <f>(SUMIFS('[2]turmas 2014.2'!$N:$N,'[2]turmas 2014.2'!$R:$R,$D$5,'[2]turmas 2014.2'!$C:$C,B140)+SUMIFS('[2]turmas 2014.2'!$O:$O,'[2]turmas 2014.2'!$V:$V,$D$5,'[2]turmas 2014.2'!$C:$C,'CRÉDITOS POR CENTRO'!$B140))</f>
        <v>#VALUE!</v>
      </c>
      <c r="E140" s="39" t="e">
        <f t="shared" si="8"/>
        <v>#VALUE!</v>
      </c>
      <c r="F140" s="38" t="e">
        <f>(SUMIFS('[2]turmas 2014.2'!$N:$N,'[2]turmas 2014.2'!$R:$R,$F$5,'[2]turmas 2014.2'!$C:$C,B140)+SUMIFS('[2]turmas 2014.2'!$O:$O,'[2]turmas 2014.2'!$V:$V,$F$5,'[2]turmas 2014.2'!$C:$C,'CRÉDITOS POR CENTRO'!$B140))</f>
        <v>#VALUE!</v>
      </c>
      <c r="G140" s="39" t="e">
        <f t="shared" si="9"/>
        <v>#VALUE!</v>
      </c>
      <c r="H140" s="38" t="e">
        <f>(SUMIFS('[2]turmas 2014.2'!$N:$N,'[2]turmas 2014.2'!$R:$R,$H$5,'[2]turmas 2014.2'!$A:$A,A140)+SUMIFS('[2]turmas 2014.2'!$O:$O,'[2]turmas 2014.2'!$V:$V,$H$5,'[2]turmas 2014.2'!$A:$A,'CRÉDITOS POR CENTRO'!$A140))</f>
        <v>#VALUE!</v>
      </c>
      <c r="I140" s="39" t="e">
        <f t="shared" si="10"/>
        <v>#VALUE!</v>
      </c>
      <c r="J140" s="38" t="e">
        <f t="shared" si="11"/>
        <v>#VALUE!</v>
      </c>
    </row>
    <row r="141" spans="1:10" ht="15">
      <c r="A141" s="269" t="s">
        <v>4611</v>
      </c>
      <c r="B141" s="269" t="s">
        <v>4612</v>
      </c>
      <c r="C141" s="38" t="e">
        <f>SUMIF('[2]turmas 2014.2'!A:A,$A141,'[2]turmas 2014.2'!N:N)+SUMIF('[2]turmas 2014.2'!A:A,$A141,'[2]turmas 2014.2'!O:O)</f>
        <v>#VALUE!</v>
      </c>
      <c r="D141" s="38" t="e">
        <f>(SUMIFS('[2]turmas 2014.2'!$N:$N,'[2]turmas 2014.2'!$R:$R,$D$5,'[2]turmas 2014.2'!$C:$C,B141)+SUMIFS('[2]turmas 2014.2'!$O:$O,'[2]turmas 2014.2'!$V:$V,$D$5,'[2]turmas 2014.2'!$C:$C,'CRÉDITOS POR CENTRO'!$B141))</f>
        <v>#VALUE!</v>
      </c>
      <c r="E141" s="39" t="e">
        <f t="shared" si="8"/>
        <v>#VALUE!</v>
      </c>
      <c r="F141" s="38" t="e">
        <f>(SUMIFS('[2]turmas 2014.2'!$N:$N,'[2]turmas 2014.2'!$R:$R,$F$5,'[2]turmas 2014.2'!$C:$C,B141)+SUMIFS('[2]turmas 2014.2'!$O:$O,'[2]turmas 2014.2'!$V:$V,$F$5,'[2]turmas 2014.2'!$C:$C,'CRÉDITOS POR CENTRO'!$B141))</f>
        <v>#VALUE!</v>
      </c>
      <c r="G141" s="39" t="e">
        <f t="shared" si="9"/>
        <v>#VALUE!</v>
      </c>
      <c r="H141" s="38" t="e">
        <f>(SUMIFS('[2]turmas 2014.2'!$N:$N,'[2]turmas 2014.2'!$R:$R,$H$5,'[2]turmas 2014.2'!$A:$A,A141)+SUMIFS('[2]turmas 2014.2'!$O:$O,'[2]turmas 2014.2'!$V:$V,$H$5,'[2]turmas 2014.2'!$A:$A,'CRÉDITOS POR CENTRO'!$A141))</f>
        <v>#VALUE!</v>
      </c>
      <c r="I141" s="39" t="e">
        <f t="shared" si="10"/>
        <v>#VALUE!</v>
      </c>
      <c r="J141" s="38" t="e">
        <f t="shared" si="11"/>
        <v>#VALUE!</v>
      </c>
    </row>
    <row r="142" spans="1:10" ht="15">
      <c r="A142" s="269" t="s">
        <v>4613</v>
      </c>
      <c r="B142" s="269" t="s">
        <v>2100</v>
      </c>
      <c r="C142" s="38" t="e">
        <f>SUMIF('[2]turmas 2014.2'!A:A,$A142,'[2]turmas 2014.2'!N:N)+SUMIF('[2]turmas 2014.2'!A:A,$A142,'[2]turmas 2014.2'!O:O)</f>
        <v>#VALUE!</v>
      </c>
      <c r="D142" s="38" t="e">
        <f>(SUMIFS('[2]turmas 2014.2'!$N:$N,'[2]turmas 2014.2'!$R:$R,$D$5,'[2]turmas 2014.2'!$C:$C,B142)+SUMIFS('[2]turmas 2014.2'!$O:$O,'[2]turmas 2014.2'!$V:$V,$D$5,'[2]turmas 2014.2'!$C:$C,'CRÉDITOS POR CENTRO'!$B142))</f>
        <v>#VALUE!</v>
      </c>
      <c r="E142" s="39" t="e">
        <f t="shared" si="8"/>
        <v>#VALUE!</v>
      </c>
      <c r="F142" s="38" t="e">
        <f>(SUMIFS('[2]turmas 2014.2'!$N:$N,'[2]turmas 2014.2'!$R:$R,$F$5,'[2]turmas 2014.2'!$C:$C,B142)+SUMIFS('[2]turmas 2014.2'!$O:$O,'[2]turmas 2014.2'!$V:$V,$F$5,'[2]turmas 2014.2'!$C:$C,'CRÉDITOS POR CENTRO'!$B142))</f>
        <v>#VALUE!</v>
      </c>
      <c r="G142" s="39" t="e">
        <f t="shared" si="9"/>
        <v>#VALUE!</v>
      </c>
      <c r="H142" s="38" t="e">
        <f>(SUMIFS('[2]turmas 2014.2'!$N:$N,'[2]turmas 2014.2'!$R:$R,$H$5,'[2]turmas 2014.2'!$A:$A,A142)+SUMIFS('[2]turmas 2014.2'!$O:$O,'[2]turmas 2014.2'!$V:$V,$H$5,'[2]turmas 2014.2'!$A:$A,'CRÉDITOS POR CENTRO'!$A142))</f>
        <v>#VALUE!</v>
      </c>
      <c r="I142" s="39" t="e">
        <f t="shared" si="10"/>
        <v>#VALUE!</v>
      </c>
      <c r="J142" s="38" t="e">
        <f t="shared" si="11"/>
        <v>#VALUE!</v>
      </c>
    </row>
    <row r="143" spans="1:10" ht="15">
      <c r="A143" s="269" t="s">
        <v>4614</v>
      </c>
      <c r="B143" s="269" t="s">
        <v>4615</v>
      </c>
      <c r="C143" s="38" t="e">
        <f>SUMIF('[2]turmas 2014.2'!A:A,$A143,'[2]turmas 2014.2'!N:N)+SUMIF('[2]turmas 2014.2'!A:A,$A143,'[2]turmas 2014.2'!O:O)</f>
        <v>#VALUE!</v>
      </c>
      <c r="D143" s="38" t="e">
        <f>(SUMIFS('[2]turmas 2014.2'!$N:$N,'[2]turmas 2014.2'!$R:$R,$D$5,'[2]turmas 2014.2'!$C:$C,B143)+SUMIFS('[2]turmas 2014.2'!$O:$O,'[2]turmas 2014.2'!$V:$V,$D$5,'[2]turmas 2014.2'!$C:$C,'CRÉDITOS POR CENTRO'!$B143))</f>
        <v>#VALUE!</v>
      </c>
      <c r="E143" s="39" t="e">
        <f t="shared" si="8"/>
        <v>#VALUE!</v>
      </c>
      <c r="F143" s="38" t="e">
        <f>(SUMIFS('[2]turmas 2014.2'!$N:$N,'[2]turmas 2014.2'!$R:$R,$F$5,'[2]turmas 2014.2'!$C:$C,B143)+SUMIFS('[2]turmas 2014.2'!$O:$O,'[2]turmas 2014.2'!$V:$V,$F$5,'[2]turmas 2014.2'!$C:$C,'CRÉDITOS POR CENTRO'!$B143))</f>
        <v>#VALUE!</v>
      </c>
      <c r="G143" s="39" t="e">
        <f t="shared" si="9"/>
        <v>#VALUE!</v>
      </c>
      <c r="H143" s="38" t="e">
        <f>(SUMIFS('[2]turmas 2014.2'!$N:$N,'[2]turmas 2014.2'!$R:$R,$H$5,'[2]turmas 2014.2'!$A:$A,A143)+SUMIFS('[2]turmas 2014.2'!$O:$O,'[2]turmas 2014.2'!$V:$V,$H$5,'[2]turmas 2014.2'!$A:$A,'CRÉDITOS POR CENTRO'!$A143))</f>
        <v>#VALUE!</v>
      </c>
      <c r="I143" s="39" t="e">
        <f t="shared" si="10"/>
        <v>#VALUE!</v>
      </c>
      <c r="J143" s="38" t="e">
        <f t="shared" si="11"/>
        <v>#VALUE!</v>
      </c>
    </row>
    <row r="144" spans="1:10" ht="15">
      <c r="A144" s="269" t="s">
        <v>2125</v>
      </c>
      <c r="B144" s="269" t="s">
        <v>2126</v>
      </c>
      <c r="C144" s="38" t="e">
        <f>SUMIF('[2]turmas 2014.2'!A:A,$A144,'[2]turmas 2014.2'!N:N)+SUMIF('[2]turmas 2014.2'!A:A,$A144,'[2]turmas 2014.2'!O:O)</f>
        <v>#VALUE!</v>
      </c>
      <c r="D144" s="38" t="e">
        <f>(SUMIFS('[2]turmas 2014.2'!$N:$N,'[2]turmas 2014.2'!$R:$R,$D$5,'[2]turmas 2014.2'!$C:$C,B144)+SUMIFS('[2]turmas 2014.2'!$O:$O,'[2]turmas 2014.2'!$V:$V,$D$5,'[2]turmas 2014.2'!$C:$C,'CRÉDITOS POR CENTRO'!$B144))</f>
        <v>#VALUE!</v>
      </c>
      <c r="E144" s="39" t="e">
        <f t="shared" si="8"/>
        <v>#VALUE!</v>
      </c>
      <c r="F144" s="38" t="e">
        <f>(SUMIFS('[2]turmas 2014.2'!$N:$N,'[2]turmas 2014.2'!$R:$R,$F$5,'[2]turmas 2014.2'!$C:$C,B144)+SUMIFS('[2]turmas 2014.2'!$O:$O,'[2]turmas 2014.2'!$V:$V,$F$5,'[2]turmas 2014.2'!$C:$C,'CRÉDITOS POR CENTRO'!$B144))</f>
        <v>#VALUE!</v>
      </c>
      <c r="G144" s="39" t="e">
        <f t="shared" si="9"/>
        <v>#VALUE!</v>
      </c>
      <c r="H144" s="38" t="e">
        <f>(SUMIFS('[2]turmas 2014.2'!$N:$N,'[2]turmas 2014.2'!$R:$R,$H$5,'[2]turmas 2014.2'!$A:$A,A144)+SUMIFS('[2]turmas 2014.2'!$O:$O,'[2]turmas 2014.2'!$V:$V,$H$5,'[2]turmas 2014.2'!$A:$A,'CRÉDITOS POR CENTRO'!$A144))</f>
        <v>#VALUE!</v>
      </c>
      <c r="I144" s="39" t="e">
        <f t="shared" si="10"/>
        <v>#VALUE!</v>
      </c>
      <c r="J144" s="38" t="e">
        <f t="shared" si="11"/>
        <v>#VALUE!</v>
      </c>
    </row>
    <row r="145" spans="1:10" ht="15">
      <c r="A145" s="269" t="s">
        <v>2139</v>
      </c>
      <c r="B145" s="269" t="s">
        <v>2140</v>
      </c>
      <c r="C145" s="38" t="e">
        <f>SUMIF('[2]turmas 2014.2'!A:A,$A145,'[2]turmas 2014.2'!N:N)+SUMIF('[2]turmas 2014.2'!A:A,$A145,'[2]turmas 2014.2'!O:O)</f>
        <v>#VALUE!</v>
      </c>
      <c r="D145" s="38" t="e">
        <f>(SUMIFS('[2]turmas 2014.2'!$N:$N,'[2]turmas 2014.2'!$R:$R,$D$5,'[2]turmas 2014.2'!$C:$C,B145)+SUMIFS('[2]turmas 2014.2'!$O:$O,'[2]turmas 2014.2'!$V:$V,$D$5,'[2]turmas 2014.2'!$C:$C,'CRÉDITOS POR CENTRO'!$B145))</f>
        <v>#VALUE!</v>
      </c>
      <c r="E145" s="39" t="e">
        <f t="shared" si="8"/>
        <v>#VALUE!</v>
      </c>
      <c r="F145" s="38" t="e">
        <f>(SUMIFS('[2]turmas 2014.2'!$N:$N,'[2]turmas 2014.2'!$R:$R,$F$5,'[2]turmas 2014.2'!$C:$C,B145)+SUMIFS('[2]turmas 2014.2'!$O:$O,'[2]turmas 2014.2'!$V:$V,$F$5,'[2]turmas 2014.2'!$C:$C,'CRÉDITOS POR CENTRO'!$B145))</f>
        <v>#VALUE!</v>
      </c>
      <c r="G145" s="39" t="e">
        <f t="shared" si="9"/>
        <v>#VALUE!</v>
      </c>
      <c r="H145" s="38" t="e">
        <f>(SUMIFS('[2]turmas 2014.2'!$N:$N,'[2]turmas 2014.2'!$R:$R,$H$5,'[2]turmas 2014.2'!$A:$A,A145)+SUMIFS('[2]turmas 2014.2'!$O:$O,'[2]turmas 2014.2'!$V:$V,$H$5,'[2]turmas 2014.2'!$A:$A,'CRÉDITOS POR CENTRO'!$A145))</f>
        <v>#VALUE!</v>
      </c>
      <c r="I145" s="39" t="e">
        <f t="shared" si="10"/>
        <v>#VALUE!</v>
      </c>
      <c r="J145" s="38" t="e">
        <f t="shared" si="11"/>
        <v>#VALUE!</v>
      </c>
    </row>
    <row r="146" spans="1:10" ht="15">
      <c r="A146" s="269" t="s">
        <v>4616</v>
      </c>
      <c r="B146" s="269" t="s">
        <v>4617</v>
      </c>
      <c r="C146" s="38" t="e">
        <f>SUMIF('[2]turmas 2014.2'!A:A,$A146,'[2]turmas 2014.2'!N:N)+SUMIF('[2]turmas 2014.2'!A:A,$A146,'[2]turmas 2014.2'!O:O)</f>
        <v>#VALUE!</v>
      </c>
      <c r="D146" s="38" t="e">
        <f>(SUMIFS('[2]turmas 2014.2'!$N:$N,'[2]turmas 2014.2'!$R:$R,$D$5,'[2]turmas 2014.2'!$C:$C,B146)+SUMIFS('[2]turmas 2014.2'!$O:$O,'[2]turmas 2014.2'!$V:$V,$D$5,'[2]turmas 2014.2'!$C:$C,'CRÉDITOS POR CENTRO'!$B146))</f>
        <v>#VALUE!</v>
      </c>
      <c r="E146" s="39" t="e">
        <f t="shared" si="8"/>
        <v>#VALUE!</v>
      </c>
      <c r="F146" s="38" t="e">
        <f>(SUMIFS('[2]turmas 2014.2'!$N:$N,'[2]turmas 2014.2'!$R:$R,$F$5,'[2]turmas 2014.2'!$C:$C,B146)+SUMIFS('[2]turmas 2014.2'!$O:$O,'[2]turmas 2014.2'!$V:$V,$F$5,'[2]turmas 2014.2'!$C:$C,'CRÉDITOS POR CENTRO'!$B146))</f>
        <v>#VALUE!</v>
      </c>
      <c r="G146" s="39" t="e">
        <f t="shared" si="9"/>
        <v>#VALUE!</v>
      </c>
      <c r="H146" s="38" t="e">
        <f>(SUMIFS('[2]turmas 2014.2'!$N:$N,'[2]turmas 2014.2'!$R:$R,$H$5,'[2]turmas 2014.2'!$A:$A,A146)+SUMIFS('[2]turmas 2014.2'!$O:$O,'[2]turmas 2014.2'!$V:$V,$H$5,'[2]turmas 2014.2'!$A:$A,'CRÉDITOS POR CENTRO'!$A146))</f>
        <v>#VALUE!</v>
      </c>
      <c r="I146" s="39" t="e">
        <f t="shared" si="10"/>
        <v>#VALUE!</v>
      </c>
      <c r="J146" s="38" t="e">
        <f t="shared" si="11"/>
        <v>#VALUE!</v>
      </c>
    </row>
    <row r="147" spans="1:10" ht="15">
      <c r="A147" s="269" t="s">
        <v>4618</v>
      </c>
      <c r="B147" s="269" t="s">
        <v>4619</v>
      </c>
      <c r="C147" s="38" t="e">
        <f>SUMIF('[2]turmas 2014.2'!A:A,$A147,'[2]turmas 2014.2'!N:N)+SUMIF('[2]turmas 2014.2'!A:A,$A147,'[2]turmas 2014.2'!O:O)</f>
        <v>#VALUE!</v>
      </c>
      <c r="D147" s="38" t="e">
        <f>(SUMIFS('[2]turmas 2014.2'!$N:$N,'[2]turmas 2014.2'!$R:$R,$D$5,'[2]turmas 2014.2'!$C:$C,B147)+SUMIFS('[2]turmas 2014.2'!$O:$O,'[2]turmas 2014.2'!$V:$V,$D$5,'[2]turmas 2014.2'!$C:$C,'CRÉDITOS POR CENTRO'!$B147))</f>
        <v>#VALUE!</v>
      </c>
      <c r="E147" s="39" t="e">
        <f t="shared" si="8"/>
        <v>#VALUE!</v>
      </c>
      <c r="F147" s="38" t="e">
        <f>(SUMIFS('[2]turmas 2014.2'!$N:$N,'[2]turmas 2014.2'!$R:$R,$F$5,'[2]turmas 2014.2'!$C:$C,B147)+SUMIFS('[2]turmas 2014.2'!$O:$O,'[2]turmas 2014.2'!$V:$V,$F$5,'[2]turmas 2014.2'!$C:$C,'CRÉDITOS POR CENTRO'!$B147))</f>
        <v>#VALUE!</v>
      </c>
      <c r="G147" s="39" t="e">
        <f t="shared" si="9"/>
        <v>#VALUE!</v>
      </c>
      <c r="H147" s="38" t="e">
        <f>(SUMIFS('[2]turmas 2014.2'!$N:$N,'[2]turmas 2014.2'!$R:$R,$H$5,'[2]turmas 2014.2'!$A:$A,A147)+SUMIFS('[2]turmas 2014.2'!$O:$O,'[2]turmas 2014.2'!$V:$V,$H$5,'[2]turmas 2014.2'!$A:$A,'CRÉDITOS POR CENTRO'!$A147))</f>
        <v>#VALUE!</v>
      </c>
      <c r="I147" s="39" t="e">
        <f t="shared" si="10"/>
        <v>#VALUE!</v>
      </c>
      <c r="J147" s="38" t="e">
        <f t="shared" si="11"/>
        <v>#VALUE!</v>
      </c>
    </row>
    <row r="148" spans="1:10" ht="15">
      <c r="A148" s="269" t="s">
        <v>2213</v>
      </c>
      <c r="B148" s="269" t="s">
        <v>2214</v>
      </c>
      <c r="C148" s="38" t="e">
        <f>SUMIF('[2]turmas 2014.2'!A:A,$A148,'[2]turmas 2014.2'!N:N)+SUMIF('[2]turmas 2014.2'!A:A,$A148,'[2]turmas 2014.2'!O:O)</f>
        <v>#VALUE!</v>
      </c>
      <c r="D148" s="38" t="e">
        <f>(SUMIFS('[2]turmas 2014.2'!$N:$N,'[2]turmas 2014.2'!$R:$R,$D$5,'[2]turmas 2014.2'!$C:$C,B148)+SUMIFS('[2]turmas 2014.2'!$O:$O,'[2]turmas 2014.2'!$V:$V,$D$5,'[2]turmas 2014.2'!$C:$C,'CRÉDITOS POR CENTRO'!$B148))</f>
        <v>#VALUE!</v>
      </c>
      <c r="E148" s="39" t="e">
        <f t="shared" si="8"/>
        <v>#VALUE!</v>
      </c>
      <c r="F148" s="38" t="e">
        <f>(SUMIFS('[2]turmas 2014.2'!$N:$N,'[2]turmas 2014.2'!$R:$R,$F$5,'[2]turmas 2014.2'!$C:$C,B148)+SUMIFS('[2]turmas 2014.2'!$O:$O,'[2]turmas 2014.2'!$V:$V,$F$5,'[2]turmas 2014.2'!$C:$C,'CRÉDITOS POR CENTRO'!$B148))</f>
        <v>#VALUE!</v>
      </c>
      <c r="G148" s="39" t="e">
        <f t="shared" si="9"/>
        <v>#VALUE!</v>
      </c>
      <c r="H148" s="38" t="e">
        <f>(SUMIFS('[2]turmas 2014.2'!$N:$N,'[2]turmas 2014.2'!$R:$R,$H$5,'[2]turmas 2014.2'!$A:$A,A148)+SUMIFS('[2]turmas 2014.2'!$O:$O,'[2]turmas 2014.2'!$V:$V,$H$5,'[2]turmas 2014.2'!$A:$A,'CRÉDITOS POR CENTRO'!$A148))</f>
        <v>#VALUE!</v>
      </c>
      <c r="I148" s="39" t="e">
        <f t="shared" si="10"/>
        <v>#VALUE!</v>
      </c>
      <c r="J148" s="38" t="e">
        <f t="shared" si="11"/>
        <v>#VALUE!</v>
      </c>
    </row>
    <row r="149" spans="1:10" ht="15">
      <c r="A149" s="269" t="s">
        <v>4620</v>
      </c>
      <c r="B149" s="269" t="s">
        <v>2219</v>
      </c>
      <c r="C149" s="38" t="e">
        <f>SUMIF('[2]turmas 2014.2'!A:A,$A149,'[2]turmas 2014.2'!N:N)+SUMIF('[2]turmas 2014.2'!A:A,$A149,'[2]turmas 2014.2'!O:O)</f>
        <v>#VALUE!</v>
      </c>
      <c r="D149" s="38" t="e">
        <f>(SUMIFS('[2]turmas 2014.2'!$N:$N,'[2]turmas 2014.2'!$R:$R,$D$5,'[2]turmas 2014.2'!$C:$C,B149)+SUMIFS('[2]turmas 2014.2'!$O:$O,'[2]turmas 2014.2'!$V:$V,$D$5,'[2]turmas 2014.2'!$C:$C,'CRÉDITOS POR CENTRO'!$B149))</f>
        <v>#VALUE!</v>
      </c>
      <c r="E149" s="39" t="e">
        <f t="shared" si="8"/>
        <v>#VALUE!</v>
      </c>
      <c r="F149" s="38" t="e">
        <f>(SUMIFS('[2]turmas 2014.2'!$N:$N,'[2]turmas 2014.2'!$R:$R,$F$5,'[2]turmas 2014.2'!$C:$C,B149)+SUMIFS('[2]turmas 2014.2'!$O:$O,'[2]turmas 2014.2'!$V:$V,$F$5,'[2]turmas 2014.2'!$C:$C,'CRÉDITOS POR CENTRO'!$B149))</f>
        <v>#VALUE!</v>
      </c>
      <c r="G149" s="39" t="e">
        <f t="shared" si="9"/>
        <v>#VALUE!</v>
      </c>
      <c r="H149" s="38" t="e">
        <f>(SUMIFS('[2]turmas 2014.2'!$N:$N,'[2]turmas 2014.2'!$R:$R,$H$5,'[2]turmas 2014.2'!$A:$A,A149)+SUMIFS('[2]turmas 2014.2'!$O:$O,'[2]turmas 2014.2'!$V:$V,$H$5,'[2]turmas 2014.2'!$A:$A,'CRÉDITOS POR CENTRO'!$A149))</f>
        <v>#VALUE!</v>
      </c>
      <c r="I149" s="39" t="e">
        <f t="shared" si="10"/>
        <v>#VALUE!</v>
      </c>
      <c r="J149" s="38" t="e">
        <f t="shared" si="11"/>
        <v>#VALUE!</v>
      </c>
    </row>
    <row r="150" spans="1:10" ht="15">
      <c r="A150" s="269" t="s">
        <v>2223</v>
      </c>
      <c r="B150" s="269" t="s">
        <v>2224</v>
      </c>
      <c r="C150" s="38" t="e">
        <f>SUMIF('[2]turmas 2014.2'!A:A,$A150,'[2]turmas 2014.2'!N:N)+SUMIF('[2]turmas 2014.2'!A:A,$A150,'[2]turmas 2014.2'!O:O)</f>
        <v>#VALUE!</v>
      </c>
      <c r="D150" s="38" t="e">
        <f>(SUMIFS('[2]turmas 2014.2'!$N:$N,'[2]turmas 2014.2'!$R:$R,$D$5,'[2]turmas 2014.2'!$C:$C,B150)+SUMIFS('[2]turmas 2014.2'!$O:$O,'[2]turmas 2014.2'!$V:$V,$D$5,'[2]turmas 2014.2'!$C:$C,'CRÉDITOS POR CENTRO'!$B150))</f>
        <v>#VALUE!</v>
      </c>
      <c r="E150" s="39" t="e">
        <f t="shared" si="8"/>
        <v>#VALUE!</v>
      </c>
      <c r="F150" s="38" t="e">
        <f>(SUMIFS('[2]turmas 2014.2'!$N:$N,'[2]turmas 2014.2'!$R:$R,$F$5,'[2]turmas 2014.2'!$C:$C,B150)+SUMIFS('[2]turmas 2014.2'!$O:$O,'[2]turmas 2014.2'!$V:$V,$F$5,'[2]turmas 2014.2'!$C:$C,'CRÉDITOS POR CENTRO'!$B150))</f>
        <v>#VALUE!</v>
      </c>
      <c r="G150" s="39" t="e">
        <f t="shared" si="9"/>
        <v>#VALUE!</v>
      </c>
      <c r="H150" s="38" t="e">
        <f>(SUMIFS('[2]turmas 2014.2'!$N:$N,'[2]turmas 2014.2'!$R:$R,$H$5,'[2]turmas 2014.2'!$A:$A,A150)+SUMIFS('[2]turmas 2014.2'!$O:$O,'[2]turmas 2014.2'!$V:$V,$H$5,'[2]turmas 2014.2'!$A:$A,'CRÉDITOS POR CENTRO'!$A150))</f>
        <v>#VALUE!</v>
      </c>
      <c r="I150" s="39" t="e">
        <f t="shared" si="10"/>
        <v>#VALUE!</v>
      </c>
      <c r="J150" s="38" t="e">
        <f t="shared" si="11"/>
        <v>#VALUE!</v>
      </c>
    </row>
    <row r="151" spans="1:10" ht="15">
      <c r="A151" s="269" t="s">
        <v>2236</v>
      </c>
      <c r="B151" s="269" t="s">
        <v>2237</v>
      </c>
      <c r="C151" s="38" t="e">
        <f>SUMIF('[2]turmas 2014.2'!A:A,$A151,'[2]turmas 2014.2'!N:N)+SUMIF('[2]turmas 2014.2'!A:A,$A151,'[2]turmas 2014.2'!O:O)</f>
        <v>#VALUE!</v>
      </c>
      <c r="D151" s="38" t="e">
        <f>(SUMIFS('[2]turmas 2014.2'!$N:$N,'[2]turmas 2014.2'!$R:$R,$D$5,'[2]turmas 2014.2'!$C:$C,B151)+SUMIFS('[2]turmas 2014.2'!$O:$O,'[2]turmas 2014.2'!$V:$V,$D$5,'[2]turmas 2014.2'!$C:$C,'CRÉDITOS POR CENTRO'!$B151))</f>
        <v>#VALUE!</v>
      </c>
      <c r="E151" s="39" t="e">
        <f t="shared" si="8"/>
        <v>#VALUE!</v>
      </c>
      <c r="F151" s="38" t="e">
        <f>(SUMIFS('[2]turmas 2014.2'!$N:$N,'[2]turmas 2014.2'!$R:$R,$F$5,'[2]turmas 2014.2'!$C:$C,B151)+SUMIFS('[2]turmas 2014.2'!$O:$O,'[2]turmas 2014.2'!$V:$V,$F$5,'[2]turmas 2014.2'!$C:$C,'CRÉDITOS POR CENTRO'!$B151))</f>
        <v>#VALUE!</v>
      </c>
      <c r="G151" s="39" t="e">
        <f t="shared" si="9"/>
        <v>#VALUE!</v>
      </c>
      <c r="H151" s="38" t="e">
        <f>(SUMIFS('[2]turmas 2014.2'!$N:$N,'[2]turmas 2014.2'!$R:$R,$H$5,'[2]turmas 2014.2'!$A:$A,A151)+SUMIFS('[2]turmas 2014.2'!$O:$O,'[2]turmas 2014.2'!$V:$V,$H$5,'[2]turmas 2014.2'!$A:$A,'CRÉDITOS POR CENTRO'!$A151))</f>
        <v>#VALUE!</v>
      </c>
      <c r="I151" s="39" t="e">
        <f t="shared" si="10"/>
        <v>#VALUE!</v>
      </c>
      <c r="J151" s="38" t="e">
        <f t="shared" si="11"/>
        <v>#VALUE!</v>
      </c>
    </row>
    <row r="152" spans="1:10" ht="15">
      <c r="A152" s="269" t="s">
        <v>2284</v>
      </c>
      <c r="B152" s="269" t="s">
        <v>2285</v>
      </c>
      <c r="C152" s="38" t="e">
        <f>SUMIF('[2]turmas 2014.2'!A:A,$A152,'[2]turmas 2014.2'!N:N)+SUMIF('[2]turmas 2014.2'!A:A,$A152,'[2]turmas 2014.2'!O:O)</f>
        <v>#VALUE!</v>
      </c>
      <c r="D152" s="38" t="e">
        <f>(SUMIFS('[2]turmas 2014.2'!$N:$N,'[2]turmas 2014.2'!$R:$R,$D$5,'[2]turmas 2014.2'!$C:$C,B152)+SUMIFS('[2]turmas 2014.2'!$O:$O,'[2]turmas 2014.2'!$V:$V,$D$5,'[2]turmas 2014.2'!$C:$C,'CRÉDITOS POR CENTRO'!$B152))</f>
        <v>#VALUE!</v>
      </c>
      <c r="E152" s="39" t="e">
        <f t="shared" si="8"/>
        <v>#VALUE!</v>
      </c>
      <c r="F152" s="38" t="e">
        <f>(SUMIFS('[2]turmas 2014.2'!$N:$N,'[2]turmas 2014.2'!$R:$R,$F$5,'[2]turmas 2014.2'!$C:$C,B152)+SUMIFS('[2]turmas 2014.2'!$O:$O,'[2]turmas 2014.2'!$V:$V,$F$5,'[2]turmas 2014.2'!$C:$C,'CRÉDITOS POR CENTRO'!$B152))</f>
        <v>#VALUE!</v>
      </c>
      <c r="G152" s="39" t="e">
        <f t="shared" si="9"/>
        <v>#VALUE!</v>
      </c>
      <c r="H152" s="38" t="e">
        <f>(SUMIFS('[2]turmas 2014.2'!$N:$N,'[2]turmas 2014.2'!$R:$R,$H$5,'[2]turmas 2014.2'!$A:$A,A152)+SUMIFS('[2]turmas 2014.2'!$O:$O,'[2]turmas 2014.2'!$V:$V,$H$5,'[2]turmas 2014.2'!$A:$A,'CRÉDITOS POR CENTRO'!$A152))</f>
        <v>#VALUE!</v>
      </c>
      <c r="I152" s="39" t="e">
        <f t="shared" si="10"/>
        <v>#VALUE!</v>
      </c>
      <c r="J152" s="38" t="e">
        <f t="shared" si="11"/>
        <v>#VALUE!</v>
      </c>
    </row>
    <row r="153" spans="1:10" ht="15">
      <c r="A153" s="269" t="s">
        <v>4621</v>
      </c>
      <c r="B153" s="269" t="s">
        <v>4622</v>
      </c>
      <c r="C153" s="38" t="e">
        <f>SUMIF('[2]turmas 2014.2'!A:A,$A153,'[2]turmas 2014.2'!N:N)+SUMIF('[2]turmas 2014.2'!A:A,$A153,'[2]turmas 2014.2'!O:O)</f>
        <v>#VALUE!</v>
      </c>
      <c r="D153" s="38" t="e">
        <f>(SUMIFS('[2]turmas 2014.2'!$N:$N,'[2]turmas 2014.2'!$R:$R,$D$5,'[2]turmas 2014.2'!$C:$C,B153)+SUMIFS('[2]turmas 2014.2'!$O:$O,'[2]turmas 2014.2'!$V:$V,$D$5,'[2]turmas 2014.2'!$C:$C,'CRÉDITOS POR CENTRO'!$B153))</f>
        <v>#VALUE!</v>
      </c>
      <c r="E153" s="39" t="e">
        <f t="shared" si="8"/>
        <v>#VALUE!</v>
      </c>
      <c r="F153" s="38" t="e">
        <f>(SUMIFS('[2]turmas 2014.2'!$N:$N,'[2]turmas 2014.2'!$R:$R,$F$5,'[2]turmas 2014.2'!$C:$C,B153)+SUMIFS('[2]turmas 2014.2'!$O:$O,'[2]turmas 2014.2'!$V:$V,$F$5,'[2]turmas 2014.2'!$C:$C,'CRÉDITOS POR CENTRO'!$B153))</f>
        <v>#VALUE!</v>
      </c>
      <c r="G153" s="39" t="e">
        <f t="shared" si="9"/>
        <v>#VALUE!</v>
      </c>
      <c r="H153" s="38" t="e">
        <f>(SUMIFS('[2]turmas 2014.2'!$N:$N,'[2]turmas 2014.2'!$R:$R,$H$5,'[2]turmas 2014.2'!$A:$A,A153)+SUMIFS('[2]turmas 2014.2'!$O:$O,'[2]turmas 2014.2'!$V:$V,$H$5,'[2]turmas 2014.2'!$A:$A,'CRÉDITOS POR CENTRO'!$A153))</f>
        <v>#VALUE!</v>
      </c>
      <c r="I153" s="39" t="e">
        <f t="shared" si="10"/>
        <v>#VALUE!</v>
      </c>
      <c r="J153" s="38" t="e">
        <f t="shared" si="11"/>
        <v>#VALUE!</v>
      </c>
    </row>
    <row r="154" spans="1:10" ht="15">
      <c r="A154" s="269" t="s">
        <v>2299</v>
      </c>
      <c r="B154" s="269" t="s">
        <v>2300</v>
      </c>
      <c r="C154" s="38" t="e">
        <f>SUMIF('[2]turmas 2014.2'!A:A,$A154,'[2]turmas 2014.2'!N:N)+SUMIF('[2]turmas 2014.2'!A:A,$A154,'[2]turmas 2014.2'!O:O)</f>
        <v>#VALUE!</v>
      </c>
      <c r="D154" s="38" t="e">
        <f>(SUMIFS('[2]turmas 2014.2'!$N:$N,'[2]turmas 2014.2'!$R:$R,$D$5,'[2]turmas 2014.2'!$C:$C,B154)+SUMIFS('[2]turmas 2014.2'!$O:$O,'[2]turmas 2014.2'!$V:$V,$D$5,'[2]turmas 2014.2'!$C:$C,'CRÉDITOS POR CENTRO'!$B154))</f>
        <v>#VALUE!</v>
      </c>
      <c r="E154" s="39" t="e">
        <f t="shared" si="8"/>
        <v>#VALUE!</v>
      </c>
      <c r="F154" s="38" t="e">
        <f>(SUMIFS('[2]turmas 2014.2'!$N:$N,'[2]turmas 2014.2'!$R:$R,$F$5,'[2]turmas 2014.2'!$C:$C,B154)+SUMIFS('[2]turmas 2014.2'!$O:$O,'[2]turmas 2014.2'!$V:$V,$F$5,'[2]turmas 2014.2'!$C:$C,'CRÉDITOS POR CENTRO'!$B154))</f>
        <v>#VALUE!</v>
      </c>
      <c r="G154" s="39" t="e">
        <f t="shared" si="9"/>
        <v>#VALUE!</v>
      </c>
      <c r="H154" s="38" t="e">
        <f>(SUMIFS('[2]turmas 2014.2'!$N:$N,'[2]turmas 2014.2'!$R:$R,$H$5,'[2]turmas 2014.2'!$A:$A,A154)+SUMIFS('[2]turmas 2014.2'!$O:$O,'[2]turmas 2014.2'!$V:$V,$H$5,'[2]turmas 2014.2'!$A:$A,'CRÉDITOS POR CENTRO'!$A154))</f>
        <v>#VALUE!</v>
      </c>
      <c r="I154" s="39" t="e">
        <f t="shared" si="10"/>
        <v>#VALUE!</v>
      </c>
      <c r="J154" s="38" t="e">
        <f t="shared" si="11"/>
        <v>#VALUE!</v>
      </c>
    </row>
    <row r="155" spans="1:10" ht="15">
      <c r="A155" s="269" t="s">
        <v>4623</v>
      </c>
      <c r="B155" s="269" t="s">
        <v>4624</v>
      </c>
      <c r="C155" s="38" t="e">
        <f>SUMIF('[2]turmas 2014.2'!A:A,$A155,'[2]turmas 2014.2'!N:N)+SUMIF('[2]turmas 2014.2'!A:A,$A155,'[2]turmas 2014.2'!O:O)</f>
        <v>#VALUE!</v>
      </c>
      <c r="D155" s="38" t="e">
        <f>(SUMIFS('[2]turmas 2014.2'!$N:$N,'[2]turmas 2014.2'!$R:$R,$D$5,'[2]turmas 2014.2'!$C:$C,B155)+SUMIFS('[2]turmas 2014.2'!$O:$O,'[2]turmas 2014.2'!$V:$V,$D$5,'[2]turmas 2014.2'!$C:$C,'CRÉDITOS POR CENTRO'!$B155))</f>
        <v>#VALUE!</v>
      </c>
      <c r="E155" s="39" t="e">
        <f t="shared" si="8"/>
        <v>#VALUE!</v>
      </c>
      <c r="F155" s="38" t="e">
        <f>(SUMIFS('[2]turmas 2014.2'!$N:$N,'[2]turmas 2014.2'!$R:$R,$F$5,'[2]turmas 2014.2'!$C:$C,B155)+SUMIFS('[2]turmas 2014.2'!$O:$O,'[2]turmas 2014.2'!$V:$V,$F$5,'[2]turmas 2014.2'!$C:$C,'CRÉDITOS POR CENTRO'!$B155))</f>
        <v>#VALUE!</v>
      </c>
      <c r="G155" s="39" t="e">
        <f t="shared" si="9"/>
        <v>#VALUE!</v>
      </c>
      <c r="H155" s="38" t="e">
        <f>(SUMIFS('[2]turmas 2014.2'!$N:$N,'[2]turmas 2014.2'!$R:$R,$H$5,'[2]turmas 2014.2'!$A:$A,A155)+SUMIFS('[2]turmas 2014.2'!$O:$O,'[2]turmas 2014.2'!$V:$V,$H$5,'[2]turmas 2014.2'!$A:$A,'CRÉDITOS POR CENTRO'!$A155))</f>
        <v>#VALUE!</v>
      </c>
      <c r="I155" s="39" t="e">
        <f t="shared" si="10"/>
        <v>#VALUE!</v>
      </c>
      <c r="J155" s="38" t="e">
        <f t="shared" si="11"/>
        <v>#VALUE!</v>
      </c>
    </row>
    <row r="156" spans="1:10" ht="15">
      <c r="A156" s="269" t="s">
        <v>4625</v>
      </c>
      <c r="B156" s="269" t="s">
        <v>4626</v>
      </c>
      <c r="C156" s="38" t="e">
        <f>SUMIF('[2]turmas 2014.2'!A:A,$A156,'[2]turmas 2014.2'!N:N)+SUMIF('[2]turmas 2014.2'!A:A,$A156,'[2]turmas 2014.2'!O:O)</f>
        <v>#VALUE!</v>
      </c>
      <c r="D156" s="38" t="e">
        <f>(SUMIFS('[2]turmas 2014.2'!$N:$N,'[2]turmas 2014.2'!$R:$R,$D$5,'[2]turmas 2014.2'!$C:$C,B156)+SUMIFS('[2]turmas 2014.2'!$O:$O,'[2]turmas 2014.2'!$V:$V,$D$5,'[2]turmas 2014.2'!$C:$C,'CRÉDITOS POR CENTRO'!$B156))</f>
        <v>#VALUE!</v>
      </c>
      <c r="E156" s="39" t="e">
        <f t="shared" si="8"/>
        <v>#VALUE!</v>
      </c>
      <c r="F156" s="38" t="e">
        <f>(SUMIFS('[2]turmas 2014.2'!$N:$N,'[2]turmas 2014.2'!$R:$R,$F$5,'[2]turmas 2014.2'!$C:$C,B156)+SUMIFS('[2]turmas 2014.2'!$O:$O,'[2]turmas 2014.2'!$V:$V,$F$5,'[2]turmas 2014.2'!$C:$C,'CRÉDITOS POR CENTRO'!$B156))</f>
        <v>#VALUE!</v>
      </c>
      <c r="G156" s="39" t="e">
        <f t="shared" si="9"/>
        <v>#VALUE!</v>
      </c>
      <c r="H156" s="38" t="e">
        <f>(SUMIFS('[2]turmas 2014.2'!$N:$N,'[2]turmas 2014.2'!$R:$R,$H$5,'[2]turmas 2014.2'!$A:$A,A156)+SUMIFS('[2]turmas 2014.2'!$O:$O,'[2]turmas 2014.2'!$V:$V,$H$5,'[2]turmas 2014.2'!$A:$A,'CRÉDITOS POR CENTRO'!$A156))</f>
        <v>#VALUE!</v>
      </c>
      <c r="I156" s="39" t="e">
        <f t="shared" si="10"/>
        <v>#VALUE!</v>
      </c>
      <c r="J156" s="38" t="e">
        <f t="shared" si="11"/>
        <v>#VALUE!</v>
      </c>
    </row>
    <row r="157" spans="1:10" ht="15">
      <c r="A157" s="269" t="s">
        <v>4627</v>
      </c>
      <c r="B157" s="269" t="s">
        <v>4628</v>
      </c>
      <c r="C157" s="38" t="e">
        <f>SUMIF('[2]turmas 2014.2'!A:A,$A157,'[2]turmas 2014.2'!N:N)+SUMIF('[2]turmas 2014.2'!A:A,$A157,'[2]turmas 2014.2'!O:O)</f>
        <v>#VALUE!</v>
      </c>
      <c r="D157" s="38" t="e">
        <f>(SUMIFS('[2]turmas 2014.2'!$N:$N,'[2]turmas 2014.2'!$R:$R,$D$5,'[2]turmas 2014.2'!$C:$C,B157)+SUMIFS('[2]turmas 2014.2'!$O:$O,'[2]turmas 2014.2'!$V:$V,$D$5,'[2]turmas 2014.2'!$C:$C,'CRÉDITOS POR CENTRO'!$B157))</f>
        <v>#VALUE!</v>
      </c>
      <c r="E157" s="39" t="e">
        <f t="shared" si="8"/>
        <v>#VALUE!</v>
      </c>
      <c r="F157" s="38" t="e">
        <f>(SUMIFS('[2]turmas 2014.2'!$N:$N,'[2]turmas 2014.2'!$R:$R,$F$5,'[2]turmas 2014.2'!$C:$C,B157)+SUMIFS('[2]turmas 2014.2'!$O:$O,'[2]turmas 2014.2'!$V:$V,$F$5,'[2]turmas 2014.2'!$C:$C,'CRÉDITOS POR CENTRO'!$B157))</f>
        <v>#VALUE!</v>
      </c>
      <c r="G157" s="39" t="e">
        <f t="shared" si="9"/>
        <v>#VALUE!</v>
      </c>
      <c r="H157" s="38" t="e">
        <f>(SUMIFS('[2]turmas 2014.2'!$N:$N,'[2]turmas 2014.2'!$R:$R,$H$5,'[2]turmas 2014.2'!$A:$A,A157)+SUMIFS('[2]turmas 2014.2'!$O:$O,'[2]turmas 2014.2'!$V:$V,$H$5,'[2]turmas 2014.2'!$A:$A,'CRÉDITOS POR CENTRO'!$A157))</f>
        <v>#VALUE!</v>
      </c>
      <c r="I157" s="39" t="e">
        <f t="shared" si="10"/>
        <v>#VALUE!</v>
      </c>
      <c r="J157" s="38" t="e">
        <f t="shared" si="11"/>
        <v>#VALUE!</v>
      </c>
    </row>
    <row r="158" spans="1:10" ht="15">
      <c r="A158" s="269" t="s">
        <v>4629</v>
      </c>
      <c r="B158" s="269" t="s">
        <v>4630</v>
      </c>
      <c r="C158" s="38" t="e">
        <f>SUMIF('[2]turmas 2014.2'!A:A,$A158,'[2]turmas 2014.2'!N:N)+SUMIF('[2]turmas 2014.2'!A:A,$A158,'[2]turmas 2014.2'!O:O)</f>
        <v>#VALUE!</v>
      </c>
      <c r="D158" s="38" t="e">
        <f>(SUMIFS('[2]turmas 2014.2'!$N:$N,'[2]turmas 2014.2'!$R:$R,$D$5,'[2]turmas 2014.2'!$C:$C,B158)+SUMIFS('[2]turmas 2014.2'!$O:$O,'[2]turmas 2014.2'!$V:$V,$D$5,'[2]turmas 2014.2'!$C:$C,'CRÉDITOS POR CENTRO'!$B158))</f>
        <v>#VALUE!</v>
      </c>
      <c r="E158" s="39" t="e">
        <f t="shared" si="8"/>
        <v>#VALUE!</v>
      </c>
      <c r="F158" s="38" t="e">
        <f>(SUMIFS('[2]turmas 2014.2'!$N:$N,'[2]turmas 2014.2'!$R:$R,$F$5,'[2]turmas 2014.2'!$C:$C,B158)+SUMIFS('[2]turmas 2014.2'!$O:$O,'[2]turmas 2014.2'!$V:$V,$F$5,'[2]turmas 2014.2'!$C:$C,'CRÉDITOS POR CENTRO'!$B158))</f>
        <v>#VALUE!</v>
      </c>
      <c r="G158" s="39" t="e">
        <f t="shared" si="9"/>
        <v>#VALUE!</v>
      </c>
      <c r="H158" s="38" t="e">
        <f>(SUMIFS('[2]turmas 2014.2'!$N:$N,'[2]turmas 2014.2'!$R:$R,$H$5,'[2]turmas 2014.2'!$A:$A,A158)+SUMIFS('[2]turmas 2014.2'!$O:$O,'[2]turmas 2014.2'!$V:$V,$H$5,'[2]turmas 2014.2'!$A:$A,'CRÉDITOS POR CENTRO'!$A158))</f>
        <v>#VALUE!</v>
      </c>
      <c r="I158" s="39" t="e">
        <f t="shared" si="10"/>
        <v>#VALUE!</v>
      </c>
      <c r="J158" s="38" t="e">
        <f t="shared" si="11"/>
        <v>#VALUE!</v>
      </c>
    </row>
    <row r="159" spans="1:10" ht="15">
      <c r="A159" s="269" t="s">
        <v>4631</v>
      </c>
      <c r="B159" s="269" t="s">
        <v>4632</v>
      </c>
      <c r="C159" s="38" t="e">
        <f>SUMIF('[2]turmas 2014.2'!A:A,$A159,'[2]turmas 2014.2'!N:N)+SUMIF('[2]turmas 2014.2'!A:A,$A159,'[2]turmas 2014.2'!O:O)</f>
        <v>#VALUE!</v>
      </c>
      <c r="D159" s="38" t="e">
        <f>(SUMIFS('[2]turmas 2014.2'!$N:$N,'[2]turmas 2014.2'!$R:$R,$D$5,'[2]turmas 2014.2'!$C:$C,B159)+SUMIFS('[2]turmas 2014.2'!$O:$O,'[2]turmas 2014.2'!$V:$V,$D$5,'[2]turmas 2014.2'!$C:$C,'CRÉDITOS POR CENTRO'!$B159))</f>
        <v>#VALUE!</v>
      </c>
      <c r="E159" s="39" t="e">
        <f t="shared" si="8"/>
        <v>#VALUE!</v>
      </c>
      <c r="F159" s="38" t="e">
        <f>(SUMIFS('[2]turmas 2014.2'!$N:$N,'[2]turmas 2014.2'!$R:$R,$F$5,'[2]turmas 2014.2'!$C:$C,B159)+SUMIFS('[2]turmas 2014.2'!$O:$O,'[2]turmas 2014.2'!$V:$V,$F$5,'[2]turmas 2014.2'!$C:$C,'CRÉDITOS POR CENTRO'!$B159))</f>
        <v>#VALUE!</v>
      </c>
      <c r="G159" s="39" t="e">
        <f t="shared" si="9"/>
        <v>#VALUE!</v>
      </c>
      <c r="H159" s="38" t="e">
        <f>(SUMIFS('[2]turmas 2014.2'!$N:$N,'[2]turmas 2014.2'!$R:$R,$H$5,'[2]turmas 2014.2'!$A:$A,A159)+SUMIFS('[2]turmas 2014.2'!$O:$O,'[2]turmas 2014.2'!$V:$V,$H$5,'[2]turmas 2014.2'!$A:$A,'CRÉDITOS POR CENTRO'!$A159))</f>
        <v>#VALUE!</v>
      </c>
      <c r="I159" s="39" t="e">
        <f t="shared" si="10"/>
        <v>#VALUE!</v>
      </c>
      <c r="J159" s="38" t="e">
        <f t="shared" si="11"/>
        <v>#VALUE!</v>
      </c>
    </row>
    <row r="160" spans="1:10" ht="15">
      <c r="A160" s="269" t="s">
        <v>4633</v>
      </c>
      <c r="B160" s="269" t="s">
        <v>4634</v>
      </c>
      <c r="C160" s="38" t="e">
        <f>SUMIF('[2]turmas 2014.2'!A:A,$A160,'[2]turmas 2014.2'!N:N)+SUMIF('[2]turmas 2014.2'!A:A,$A160,'[2]turmas 2014.2'!O:O)</f>
        <v>#VALUE!</v>
      </c>
      <c r="D160" s="38" t="e">
        <f>(SUMIFS('[2]turmas 2014.2'!$N:$N,'[2]turmas 2014.2'!$R:$R,$D$5,'[2]turmas 2014.2'!$C:$C,B160)+SUMIFS('[2]turmas 2014.2'!$O:$O,'[2]turmas 2014.2'!$V:$V,$D$5,'[2]turmas 2014.2'!$C:$C,'CRÉDITOS POR CENTRO'!$B160))</f>
        <v>#VALUE!</v>
      </c>
      <c r="E160" s="39" t="e">
        <f t="shared" si="8"/>
        <v>#VALUE!</v>
      </c>
      <c r="F160" s="38" t="e">
        <f>(SUMIFS('[2]turmas 2014.2'!$N:$N,'[2]turmas 2014.2'!$R:$R,$F$5,'[2]turmas 2014.2'!$C:$C,B160)+SUMIFS('[2]turmas 2014.2'!$O:$O,'[2]turmas 2014.2'!$V:$V,$F$5,'[2]turmas 2014.2'!$C:$C,'CRÉDITOS POR CENTRO'!$B160))</f>
        <v>#VALUE!</v>
      </c>
      <c r="G160" s="39" t="e">
        <f t="shared" si="9"/>
        <v>#VALUE!</v>
      </c>
      <c r="H160" s="38" t="e">
        <f>(SUMIFS('[2]turmas 2014.2'!$N:$N,'[2]turmas 2014.2'!$R:$R,$H$5,'[2]turmas 2014.2'!$A:$A,A160)+SUMIFS('[2]turmas 2014.2'!$O:$O,'[2]turmas 2014.2'!$V:$V,$H$5,'[2]turmas 2014.2'!$A:$A,'CRÉDITOS POR CENTRO'!$A160))</f>
        <v>#VALUE!</v>
      </c>
      <c r="I160" s="39" t="e">
        <f t="shared" si="10"/>
        <v>#VALUE!</v>
      </c>
      <c r="J160" s="38" t="e">
        <f t="shared" si="11"/>
        <v>#VALUE!</v>
      </c>
    </row>
    <row r="161" spans="1:10" ht="15">
      <c r="A161" s="269" t="s">
        <v>2320</v>
      </c>
      <c r="B161" s="269" t="s">
        <v>2321</v>
      </c>
      <c r="C161" s="38" t="e">
        <f>SUMIF('[2]turmas 2014.2'!A:A,$A161,'[2]turmas 2014.2'!N:N)+SUMIF('[2]turmas 2014.2'!A:A,$A161,'[2]turmas 2014.2'!O:O)</f>
        <v>#VALUE!</v>
      </c>
      <c r="D161" s="38" t="e">
        <f>(SUMIFS('[2]turmas 2014.2'!$N:$N,'[2]turmas 2014.2'!$R:$R,$D$5,'[2]turmas 2014.2'!$C:$C,B161)+SUMIFS('[2]turmas 2014.2'!$O:$O,'[2]turmas 2014.2'!$V:$V,$D$5,'[2]turmas 2014.2'!$C:$C,'CRÉDITOS POR CENTRO'!$B161))</f>
        <v>#VALUE!</v>
      </c>
      <c r="E161" s="39" t="e">
        <f t="shared" si="8"/>
        <v>#VALUE!</v>
      </c>
      <c r="F161" s="38" t="e">
        <f>(SUMIFS('[2]turmas 2014.2'!$N:$N,'[2]turmas 2014.2'!$R:$R,$F$5,'[2]turmas 2014.2'!$C:$C,B161)+SUMIFS('[2]turmas 2014.2'!$O:$O,'[2]turmas 2014.2'!$V:$V,$F$5,'[2]turmas 2014.2'!$C:$C,'CRÉDITOS POR CENTRO'!$B161))</f>
        <v>#VALUE!</v>
      </c>
      <c r="G161" s="39" t="e">
        <f t="shared" si="9"/>
        <v>#VALUE!</v>
      </c>
      <c r="H161" s="38" t="e">
        <f>(SUMIFS('[2]turmas 2014.2'!$N:$N,'[2]turmas 2014.2'!$R:$R,$H$5,'[2]turmas 2014.2'!$A:$A,A161)+SUMIFS('[2]turmas 2014.2'!$O:$O,'[2]turmas 2014.2'!$V:$V,$H$5,'[2]turmas 2014.2'!$A:$A,'CRÉDITOS POR CENTRO'!$A161))</f>
        <v>#VALUE!</v>
      </c>
      <c r="I161" s="39" t="e">
        <f t="shared" si="10"/>
        <v>#VALUE!</v>
      </c>
      <c r="J161" s="38" t="e">
        <f t="shared" si="11"/>
        <v>#VALUE!</v>
      </c>
    </row>
    <row r="162" spans="1:10" ht="15">
      <c r="A162" s="269" t="s">
        <v>2360</v>
      </c>
      <c r="B162" s="269" t="s">
        <v>2361</v>
      </c>
      <c r="C162" s="38" t="e">
        <f>SUMIF('[2]turmas 2014.2'!A:A,$A162,'[2]turmas 2014.2'!N:N)+SUMIF('[2]turmas 2014.2'!A:A,$A162,'[2]turmas 2014.2'!O:O)</f>
        <v>#VALUE!</v>
      </c>
      <c r="D162" s="38" t="e">
        <f>(SUMIFS('[2]turmas 2014.2'!$N:$N,'[2]turmas 2014.2'!$R:$R,$D$5,'[2]turmas 2014.2'!$C:$C,B162)+SUMIFS('[2]turmas 2014.2'!$O:$O,'[2]turmas 2014.2'!$V:$V,$D$5,'[2]turmas 2014.2'!$C:$C,'CRÉDITOS POR CENTRO'!$B162))</f>
        <v>#VALUE!</v>
      </c>
      <c r="E162" s="39" t="e">
        <f t="shared" si="8"/>
        <v>#VALUE!</v>
      </c>
      <c r="F162" s="38" t="e">
        <f>(SUMIFS('[2]turmas 2014.2'!$N:$N,'[2]turmas 2014.2'!$R:$R,$F$5,'[2]turmas 2014.2'!$C:$C,B162)+SUMIFS('[2]turmas 2014.2'!$O:$O,'[2]turmas 2014.2'!$V:$V,$F$5,'[2]turmas 2014.2'!$C:$C,'CRÉDITOS POR CENTRO'!$B162))</f>
        <v>#VALUE!</v>
      </c>
      <c r="G162" s="39" t="e">
        <f t="shared" si="9"/>
        <v>#VALUE!</v>
      </c>
      <c r="H162" s="38" t="e">
        <f>(SUMIFS('[2]turmas 2014.2'!$N:$N,'[2]turmas 2014.2'!$R:$R,$H$5,'[2]turmas 2014.2'!$A:$A,A162)+SUMIFS('[2]turmas 2014.2'!$O:$O,'[2]turmas 2014.2'!$V:$V,$H$5,'[2]turmas 2014.2'!$A:$A,'CRÉDITOS POR CENTRO'!$A162))</f>
        <v>#VALUE!</v>
      </c>
      <c r="I162" s="39" t="e">
        <f t="shared" si="10"/>
        <v>#VALUE!</v>
      </c>
      <c r="J162" s="38" t="e">
        <f t="shared" si="11"/>
        <v>#VALUE!</v>
      </c>
    </row>
    <row r="163" spans="1:10" ht="15">
      <c r="A163" s="269" t="s">
        <v>2378</v>
      </c>
      <c r="B163" s="269" t="s">
        <v>2379</v>
      </c>
      <c r="C163" s="38" t="e">
        <f>SUMIF('[2]turmas 2014.2'!A:A,$A163,'[2]turmas 2014.2'!N:N)+SUMIF('[2]turmas 2014.2'!A:A,$A163,'[2]turmas 2014.2'!O:O)</f>
        <v>#VALUE!</v>
      </c>
      <c r="D163" s="38" t="e">
        <f>(SUMIFS('[2]turmas 2014.2'!$N:$N,'[2]turmas 2014.2'!$R:$R,$D$5,'[2]turmas 2014.2'!$C:$C,B163)+SUMIFS('[2]turmas 2014.2'!$O:$O,'[2]turmas 2014.2'!$V:$V,$D$5,'[2]turmas 2014.2'!$C:$C,'CRÉDITOS POR CENTRO'!$B163))</f>
        <v>#VALUE!</v>
      </c>
      <c r="E163" s="39" t="e">
        <f t="shared" si="8"/>
        <v>#VALUE!</v>
      </c>
      <c r="F163" s="38" t="e">
        <f>(SUMIFS('[2]turmas 2014.2'!$N:$N,'[2]turmas 2014.2'!$R:$R,$F$5,'[2]turmas 2014.2'!$C:$C,B163)+SUMIFS('[2]turmas 2014.2'!$O:$O,'[2]turmas 2014.2'!$V:$V,$F$5,'[2]turmas 2014.2'!$C:$C,'CRÉDITOS POR CENTRO'!$B163))</f>
        <v>#VALUE!</v>
      </c>
      <c r="G163" s="39" t="e">
        <f t="shared" si="9"/>
        <v>#VALUE!</v>
      </c>
      <c r="H163" s="38" t="e">
        <f>(SUMIFS('[2]turmas 2014.2'!$N:$N,'[2]turmas 2014.2'!$R:$R,$H$5,'[2]turmas 2014.2'!$A:$A,A163)+SUMIFS('[2]turmas 2014.2'!$O:$O,'[2]turmas 2014.2'!$V:$V,$H$5,'[2]turmas 2014.2'!$A:$A,'CRÉDITOS POR CENTRO'!$A163))</f>
        <v>#VALUE!</v>
      </c>
      <c r="I163" s="39" t="e">
        <f t="shared" si="10"/>
        <v>#VALUE!</v>
      </c>
      <c r="J163" s="38" t="e">
        <f t="shared" si="11"/>
        <v>#VALUE!</v>
      </c>
    </row>
    <row r="164" spans="1:10" ht="15">
      <c r="A164" s="269" t="s">
        <v>2384</v>
      </c>
      <c r="B164" s="269" t="s">
        <v>2385</v>
      </c>
      <c r="C164" s="38" t="e">
        <f>SUMIF('[2]turmas 2014.2'!A:A,$A164,'[2]turmas 2014.2'!N:N)+SUMIF('[2]turmas 2014.2'!A:A,$A164,'[2]turmas 2014.2'!O:O)</f>
        <v>#VALUE!</v>
      </c>
      <c r="D164" s="38" t="e">
        <f>(SUMIFS('[2]turmas 2014.2'!$N:$N,'[2]turmas 2014.2'!$R:$R,$D$5,'[2]turmas 2014.2'!$C:$C,B164)+SUMIFS('[2]turmas 2014.2'!$O:$O,'[2]turmas 2014.2'!$V:$V,$D$5,'[2]turmas 2014.2'!$C:$C,'CRÉDITOS POR CENTRO'!$B164))</f>
        <v>#VALUE!</v>
      </c>
      <c r="E164" s="39" t="e">
        <f t="shared" si="8"/>
        <v>#VALUE!</v>
      </c>
      <c r="F164" s="38" t="e">
        <f>(SUMIFS('[2]turmas 2014.2'!$N:$N,'[2]turmas 2014.2'!$R:$R,$F$5,'[2]turmas 2014.2'!$C:$C,B164)+SUMIFS('[2]turmas 2014.2'!$O:$O,'[2]turmas 2014.2'!$V:$V,$F$5,'[2]turmas 2014.2'!$C:$C,'CRÉDITOS POR CENTRO'!$B164))</f>
        <v>#VALUE!</v>
      </c>
      <c r="G164" s="39" t="e">
        <f t="shared" si="9"/>
        <v>#VALUE!</v>
      </c>
      <c r="H164" s="38" t="e">
        <f>(SUMIFS('[2]turmas 2014.2'!$N:$N,'[2]turmas 2014.2'!$R:$R,$H$5,'[2]turmas 2014.2'!$A:$A,A164)+SUMIFS('[2]turmas 2014.2'!$O:$O,'[2]turmas 2014.2'!$V:$V,$H$5,'[2]turmas 2014.2'!$A:$A,'CRÉDITOS POR CENTRO'!$A164))</f>
        <v>#VALUE!</v>
      </c>
      <c r="I164" s="39" t="e">
        <f t="shared" si="10"/>
        <v>#VALUE!</v>
      </c>
      <c r="J164" s="38" t="e">
        <f t="shared" si="11"/>
        <v>#VALUE!</v>
      </c>
    </row>
    <row r="165" spans="1:10" ht="15">
      <c r="A165" s="269" t="s">
        <v>2430</v>
      </c>
      <c r="B165" s="269" t="s">
        <v>2431</v>
      </c>
      <c r="C165" s="38" t="e">
        <f>SUMIF('[2]turmas 2014.2'!A:A,$A165,'[2]turmas 2014.2'!N:N)+SUMIF('[2]turmas 2014.2'!A:A,$A165,'[2]turmas 2014.2'!O:O)</f>
        <v>#VALUE!</v>
      </c>
      <c r="D165" s="38" t="e">
        <f>(SUMIFS('[2]turmas 2014.2'!$N:$N,'[2]turmas 2014.2'!$R:$R,$D$5,'[2]turmas 2014.2'!$C:$C,B165)+SUMIFS('[2]turmas 2014.2'!$O:$O,'[2]turmas 2014.2'!$V:$V,$D$5,'[2]turmas 2014.2'!$C:$C,'CRÉDITOS POR CENTRO'!$B165))</f>
        <v>#VALUE!</v>
      </c>
      <c r="E165" s="39" t="e">
        <f t="shared" si="8"/>
        <v>#VALUE!</v>
      </c>
      <c r="F165" s="38" t="e">
        <f>(SUMIFS('[2]turmas 2014.2'!$N:$N,'[2]turmas 2014.2'!$R:$R,$F$5,'[2]turmas 2014.2'!$C:$C,B165)+SUMIFS('[2]turmas 2014.2'!$O:$O,'[2]turmas 2014.2'!$V:$V,$F$5,'[2]turmas 2014.2'!$C:$C,'CRÉDITOS POR CENTRO'!$B165))</f>
        <v>#VALUE!</v>
      </c>
      <c r="G165" s="39" t="e">
        <f t="shared" si="9"/>
        <v>#VALUE!</v>
      </c>
      <c r="H165" s="38" t="e">
        <f>(SUMIFS('[2]turmas 2014.2'!$N:$N,'[2]turmas 2014.2'!$R:$R,$H$5,'[2]turmas 2014.2'!$A:$A,A165)+SUMIFS('[2]turmas 2014.2'!$O:$O,'[2]turmas 2014.2'!$V:$V,$H$5,'[2]turmas 2014.2'!$A:$A,'CRÉDITOS POR CENTRO'!$A165))</f>
        <v>#VALUE!</v>
      </c>
      <c r="I165" s="39" t="e">
        <f t="shared" si="10"/>
        <v>#VALUE!</v>
      </c>
      <c r="J165" s="38" t="e">
        <f t="shared" si="11"/>
        <v>#VALUE!</v>
      </c>
    </row>
    <row r="166" spans="1:10" ht="15">
      <c r="A166" s="269" t="s">
        <v>4635</v>
      </c>
      <c r="B166" s="269" t="s">
        <v>4636</v>
      </c>
      <c r="C166" s="38" t="e">
        <f>SUMIF('[2]turmas 2014.2'!A:A,$A166,'[2]turmas 2014.2'!N:N)+SUMIF('[2]turmas 2014.2'!A:A,$A166,'[2]turmas 2014.2'!O:O)</f>
        <v>#VALUE!</v>
      </c>
      <c r="D166" s="38" t="e">
        <f>(SUMIFS('[2]turmas 2014.2'!$N:$N,'[2]turmas 2014.2'!$R:$R,$D$5,'[2]turmas 2014.2'!$C:$C,B166)+SUMIFS('[2]turmas 2014.2'!$O:$O,'[2]turmas 2014.2'!$V:$V,$D$5,'[2]turmas 2014.2'!$C:$C,'CRÉDITOS POR CENTRO'!$B166))</f>
        <v>#VALUE!</v>
      </c>
      <c r="E166" s="39" t="e">
        <f t="shared" si="8"/>
        <v>#VALUE!</v>
      </c>
      <c r="F166" s="38" t="e">
        <f>(SUMIFS('[2]turmas 2014.2'!$N:$N,'[2]turmas 2014.2'!$R:$R,$F$5,'[2]turmas 2014.2'!$C:$C,B166)+SUMIFS('[2]turmas 2014.2'!$O:$O,'[2]turmas 2014.2'!$V:$V,$F$5,'[2]turmas 2014.2'!$C:$C,'CRÉDITOS POR CENTRO'!$B166))</f>
        <v>#VALUE!</v>
      </c>
      <c r="G166" s="39" t="e">
        <f t="shared" si="9"/>
        <v>#VALUE!</v>
      </c>
      <c r="H166" s="38" t="e">
        <f>(SUMIFS('[2]turmas 2014.2'!$N:$N,'[2]turmas 2014.2'!$R:$R,$H$5,'[2]turmas 2014.2'!$A:$A,A166)+SUMIFS('[2]turmas 2014.2'!$O:$O,'[2]turmas 2014.2'!$V:$V,$H$5,'[2]turmas 2014.2'!$A:$A,'CRÉDITOS POR CENTRO'!$A166))</f>
        <v>#VALUE!</v>
      </c>
      <c r="I166" s="39" t="e">
        <f t="shared" si="10"/>
        <v>#VALUE!</v>
      </c>
      <c r="J166" s="38" t="e">
        <f t="shared" si="11"/>
        <v>#VALUE!</v>
      </c>
    </row>
    <row r="167" spans="1:10" ht="15">
      <c r="A167" s="269" t="s">
        <v>2475</v>
      </c>
      <c r="B167" s="269" t="s">
        <v>2476</v>
      </c>
      <c r="C167" s="38" t="e">
        <f>SUMIF('[2]turmas 2014.2'!A:A,$A167,'[2]turmas 2014.2'!N:N)+SUMIF('[2]turmas 2014.2'!A:A,$A167,'[2]turmas 2014.2'!O:O)</f>
        <v>#VALUE!</v>
      </c>
      <c r="D167" s="38" t="e">
        <f>(SUMIFS('[2]turmas 2014.2'!$N:$N,'[2]turmas 2014.2'!$R:$R,$D$5,'[2]turmas 2014.2'!$C:$C,B167)+SUMIFS('[2]turmas 2014.2'!$O:$O,'[2]turmas 2014.2'!$V:$V,$D$5,'[2]turmas 2014.2'!$C:$C,'CRÉDITOS POR CENTRO'!$B167))</f>
        <v>#VALUE!</v>
      </c>
      <c r="E167" s="39" t="e">
        <f t="shared" si="8"/>
        <v>#VALUE!</v>
      </c>
      <c r="F167" s="38" t="e">
        <f>(SUMIFS('[2]turmas 2014.2'!$N:$N,'[2]turmas 2014.2'!$R:$R,$F$5,'[2]turmas 2014.2'!$C:$C,B167)+SUMIFS('[2]turmas 2014.2'!$O:$O,'[2]turmas 2014.2'!$V:$V,$F$5,'[2]turmas 2014.2'!$C:$C,'CRÉDITOS POR CENTRO'!$B167))</f>
        <v>#VALUE!</v>
      </c>
      <c r="G167" s="39" t="e">
        <f t="shared" si="9"/>
        <v>#VALUE!</v>
      </c>
      <c r="H167" s="38" t="e">
        <f>(SUMIFS('[2]turmas 2014.2'!$N:$N,'[2]turmas 2014.2'!$R:$R,$H$5,'[2]turmas 2014.2'!$A:$A,A167)+SUMIFS('[2]turmas 2014.2'!$O:$O,'[2]turmas 2014.2'!$V:$V,$H$5,'[2]turmas 2014.2'!$A:$A,'CRÉDITOS POR CENTRO'!$A167))</f>
        <v>#VALUE!</v>
      </c>
      <c r="I167" s="39" t="e">
        <f t="shared" si="10"/>
        <v>#VALUE!</v>
      </c>
      <c r="J167" s="38" t="e">
        <f t="shared" si="11"/>
        <v>#VALUE!</v>
      </c>
    </row>
    <row r="168" spans="1:10" ht="15">
      <c r="A168" s="269" t="s">
        <v>4637</v>
      </c>
      <c r="B168" s="269" t="s">
        <v>4638</v>
      </c>
      <c r="C168" s="38" t="e">
        <f>SUMIF('[2]turmas 2014.2'!A:A,$A168,'[2]turmas 2014.2'!N:N)+SUMIF('[2]turmas 2014.2'!A:A,$A168,'[2]turmas 2014.2'!O:O)</f>
        <v>#VALUE!</v>
      </c>
      <c r="D168" s="38" t="e">
        <f>(SUMIFS('[2]turmas 2014.2'!$N:$N,'[2]turmas 2014.2'!$R:$R,$D$5,'[2]turmas 2014.2'!$C:$C,B168)+SUMIFS('[2]turmas 2014.2'!$O:$O,'[2]turmas 2014.2'!$V:$V,$D$5,'[2]turmas 2014.2'!$C:$C,'CRÉDITOS POR CENTRO'!$B168))</f>
        <v>#VALUE!</v>
      </c>
      <c r="E168" s="39" t="e">
        <f t="shared" si="8"/>
        <v>#VALUE!</v>
      </c>
      <c r="F168" s="38" t="e">
        <f>(SUMIFS('[2]turmas 2014.2'!$N:$N,'[2]turmas 2014.2'!$R:$R,$F$5,'[2]turmas 2014.2'!$C:$C,B168)+SUMIFS('[2]turmas 2014.2'!$O:$O,'[2]turmas 2014.2'!$V:$V,$F$5,'[2]turmas 2014.2'!$C:$C,'CRÉDITOS POR CENTRO'!$B168))</f>
        <v>#VALUE!</v>
      </c>
      <c r="G168" s="39" t="e">
        <f t="shared" si="9"/>
        <v>#VALUE!</v>
      </c>
      <c r="H168" s="38" t="e">
        <f>(SUMIFS('[2]turmas 2014.2'!$N:$N,'[2]turmas 2014.2'!$R:$R,$H$5,'[2]turmas 2014.2'!$A:$A,A168)+SUMIFS('[2]turmas 2014.2'!$O:$O,'[2]turmas 2014.2'!$V:$V,$H$5,'[2]turmas 2014.2'!$A:$A,'CRÉDITOS POR CENTRO'!$A168))</f>
        <v>#VALUE!</v>
      </c>
      <c r="I168" s="39" t="e">
        <f t="shared" si="10"/>
        <v>#VALUE!</v>
      </c>
      <c r="J168" s="38" t="e">
        <f t="shared" si="11"/>
        <v>#VALUE!</v>
      </c>
    </row>
    <row r="169" spans="1:10" ht="15">
      <c r="A169" s="269" t="s">
        <v>4639</v>
      </c>
      <c r="B169" s="269" t="s">
        <v>4640</v>
      </c>
      <c r="C169" s="38" t="e">
        <f>SUMIF('[2]turmas 2014.2'!A:A,$A169,'[2]turmas 2014.2'!N:N)+SUMIF('[2]turmas 2014.2'!A:A,$A169,'[2]turmas 2014.2'!O:O)</f>
        <v>#VALUE!</v>
      </c>
      <c r="D169" s="38" t="e">
        <f>(SUMIFS('[2]turmas 2014.2'!$N:$N,'[2]turmas 2014.2'!$R:$R,$D$5,'[2]turmas 2014.2'!$C:$C,B169)+SUMIFS('[2]turmas 2014.2'!$O:$O,'[2]turmas 2014.2'!$V:$V,$D$5,'[2]turmas 2014.2'!$C:$C,'CRÉDITOS POR CENTRO'!$B169))</f>
        <v>#VALUE!</v>
      </c>
      <c r="E169" s="39" t="e">
        <f t="shared" si="8"/>
        <v>#VALUE!</v>
      </c>
      <c r="F169" s="38" t="e">
        <f>(SUMIFS('[2]turmas 2014.2'!$N:$N,'[2]turmas 2014.2'!$R:$R,$F$5,'[2]turmas 2014.2'!$C:$C,B169)+SUMIFS('[2]turmas 2014.2'!$O:$O,'[2]turmas 2014.2'!$V:$V,$F$5,'[2]turmas 2014.2'!$C:$C,'CRÉDITOS POR CENTRO'!$B169))</f>
        <v>#VALUE!</v>
      </c>
      <c r="G169" s="39" t="e">
        <f t="shared" si="9"/>
        <v>#VALUE!</v>
      </c>
      <c r="H169" s="38" t="e">
        <f>(SUMIFS('[2]turmas 2014.2'!$N:$N,'[2]turmas 2014.2'!$R:$R,$H$5,'[2]turmas 2014.2'!$A:$A,A169)+SUMIFS('[2]turmas 2014.2'!$O:$O,'[2]turmas 2014.2'!$V:$V,$H$5,'[2]turmas 2014.2'!$A:$A,'CRÉDITOS POR CENTRO'!$A169))</f>
        <v>#VALUE!</v>
      </c>
      <c r="I169" s="39" t="e">
        <f t="shared" si="10"/>
        <v>#VALUE!</v>
      </c>
      <c r="J169" s="38" t="e">
        <f t="shared" si="11"/>
        <v>#VALUE!</v>
      </c>
    </row>
    <row r="170" spans="1:10" ht="15">
      <c r="A170" s="269" t="s">
        <v>2486</v>
      </c>
      <c r="B170" s="269" t="s">
        <v>2487</v>
      </c>
      <c r="C170" s="38" t="e">
        <f>SUMIF('[2]turmas 2014.2'!A:A,$A170,'[2]turmas 2014.2'!N:N)+SUMIF('[2]turmas 2014.2'!A:A,$A170,'[2]turmas 2014.2'!O:O)</f>
        <v>#VALUE!</v>
      </c>
      <c r="D170" s="38" t="e">
        <f>(SUMIFS('[2]turmas 2014.2'!$N:$N,'[2]turmas 2014.2'!$R:$R,$D$5,'[2]turmas 2014.2'!$C:$C,B170)+SUMIFS('[2]turmas 2014.2'!$O:$O,'[2]turmas 2014.2'!$V:$V,$D$5,'[2]turmas 2014.2'!$C:$C,'CRÉDITOS POR CENTRO'!$B170))</f>
        <v>#VALUE!</v>
      </c>
      <c r="E170" s="39" t="e">
        <f t="shared" si="8"/>
        <v>#VALUE!</v>
      </c>
      <c r="F170" s="38" t="e">
        <f>(SUMIFS('[2]turmas 2014.2'!$N:$N,'[2]turmas 2014.2'!$R:$R,$F$5,'[2]turmas 2014.2'!$C:$C,B170)+SUMIFS('[2]turmas 2014.2'!$O:$O,'[2]turmas 2014.2'!$V:$V,$F$5,'[2]turmas 2014.2'!$C:$C,'CRÉDITOS POR CENTRO'!$B170))</f>
        <v>#VALUE!</v>
      </c>
      <c r="G170" s="39" t="e">
        <f t="shared" si="9"/>
        <v>#VALUE!</v>
      </c>
      <c r="H170" s="38" t="e">
        <f>(SUMIFS('[2]turmas 2014.2'!$N:$N,'[2]turmas 2014.2'!$R:$R,$H$5,'[2]turmas 2014.2'!$A:$A,A170)+SUMIFS('[2]turmas 2014.2'!$O:$O,'[2]turmas 2014.2'!$V:$V,$H$5,'[2]turmas 2014.2'!$A:$A,'CRÉDITOS POR CENTRO'!$A170))</f>
        <v>#VALUE!</v>
      </c>
      <c r="I170" s="39" t="e">
        <f t="shared" si="10"/>
        <v>#VALUE!</v>
      </c>
      <c r="J170" s="38" t="e">
        <f t="shared" si="11"/>
        <v>#VALUE!</v>
      </c>
    </row>
    <row r="171" spans="1:10" ht="15">
      <c r="A171" s="269" t="s">
        <v>4641</v>
      </c>
      <c r="B171" s="269" t="s">
        <v>4642</v>
      </c>
      <c r="C171" s="38" t="e">
        <f>SUMIF('[2]turmas 2014.2'!A:A,$A171,'[2]turmas 2014.2'!N:N)+SUMIF('[2]turmas 2014.2'!A:A,$A171,'[2]turmas 2014.2'!O:O)</f>
        <v>#VALUE!</v>
      </c>
      <c r="D171" s="38" t="e">
        <f>(SUMIFS('[2]turmas 2014.2'!$N:$N,'[2]turmas 2014.2'!$R:$R,$D$5,'[2]turmas 2014.2'!$C:$C,B171)+SUMIFS('[2]turmas 2014.2'!$O:$O,'[2]turmas 2014.2'!$V:$V,$D$5,'[2]turmas 2014.2'!$C:$C,'CRÉDITOS POR CENTRO'!$B171))</f>
        <v>#VALUE!</v>
      </c>
      <c r="E171" s="39" t="e">
        <f t="shared" si="8"/>
        <v>#VALUE!</v>
      </c>
      <c r="F171" s="38" t="e">
        <f>(SUMIFS('[2]turmas 2014.2'!$N:$N,'[2]turmas 2014.2'!$R:$R,$F$5,'[2]turmas 2014.2'!$C:$C,B171)+SUMIFS('[2]turmas 2014.2'!$O:$O,'[2]turmas 2014.2'!$V:$V,$F$5,'[2]turmas 2014.2'!$C:$C,'CRÉDITOS POR CENTRO'!$B171))</f>
        <v>#VALUE!</v>
      </c>
      <c r="G171" s="39" t="e">
        <f t="shared" si="9"/>
        <v>#VALUE!</v>
      </c>
      <c r="H171" s="38" t="e">
        <f>(SUMIFS('[2]turmas 2014.2'!$N:$N,'[2]turmas 2014.2'!$R:$R,$H$5,'[2]turmas 2014.2'!$A:$A,A171)+SUMIFS('[2]turmas 2014.2'!$O:$O,'[2]turmas 2014.2'!$V:$V,$H$5,'[2]turmas 2014.2'!$A:$A,'CRÉDITOS POR CENTRO'!$A171))</f>
        <v>#VALUE!</v>
      </c>
      <c r="I171" s="39" t="e">
        <f t="shared" si="10"/>
        <v>#VALUE!</v>
      </c>
      <c r="J171" s="38" t="e">
        <f t="shared" si="11"/>
        <v>#VALUE!</v>
      </c>
    </row>
    <row r="172" spans="1:10" ht="15">
      <c r="A172" s="269" t="s">
        <v>4643</v>
      </c>
      <c r="B172" s="269" t="s">
        <v>4644</v>
      </c>
      <c r="C172" s="38" t="e">
        <f>SUMIF('[2]turmas 2014.2'!A:A,$A172,'[2]turmas 2014.2'!N:N)+SUMIF('[2]turmas 2014.2'!A:A,$A172,'[2]turmas 2014.2'!O:O)</f>
        <v>#VALUE!</v>
      </c>
      <c r="D172" s="38" t="e">
        <f>(SUMIFS('[2]turmas 2014.2'!$N:$N,'[2]turmas 2014.2'!$R:$R,$D$5,'[2]turmas 2014.2'!$C:$C,B172)+SUMIFS('[2]turmas 2014.2'!$O:$O,'[2]turmas 2014.2'!$V:$V,$D$5,'[2]turmas 2014.2'!$C:$C,'CRÉDITOS POR CENTRO'!$B172))</f>
        <v>#VALUE!</v>
      </c>
      <c r="E172" s="39" t="e">
        <f t="shared" si="8"/>
        <v>#VALUE!</v>
      </c>
      <c r="F172" s="38" t="e">
        <f>(SUMIFS('[2]turmas 2014.2'!$N:$N,'[2]turmas 2014.2'!$R:$R,$F$5,'[2]turmas 2014.2'!$C:$C,B172)+SUMIFS('[2]turmas 2014.2'!$O:$O,'[2]turmas 2014.2'!$V:$V,$F$5,'[2]turmas 2014.2'!$C:$C,'CRÉDITOS POR CENTRO'!$B172))</f>
        <v>#VALUE!</v>
      </c>
      <c r="G172" s="39" t="e">
        <f t="shared" si="9"/>
        <v>#VALUE!</v>
      </c>
      <c r="H172" s="38" t="e">
        <f>(SUMIFS('[2]turmas 2014.2'!$N:$N,'[2]turmas 2014.2'!$R:$R,$H$5,'[2]turmas 2014.2'!$A:$A,A172)+SUMIFS('[2]turmas 2014.2'!$O:$O,'[2]turmas 2014.2'!$V:$V,$H$5,'[2]turmas 2014.2'!$A:$A,'CRÉDITOS POR CENTRO'!$A172))</f>
        <v>#VALUE!</v>
      </c>
      <c r="I172" s="39" t="e">
        <f t="shared" si="10"/>
        <v>#VALUE!</v>
      </c>
      <c r="J172" s="38" t="e">
        <f t="shared" si="11"/>
        <v>#VALUE!</v>
      </c>
    </row>
    <row r="173" spans="1:10" ht="15">
      <c r="A173" s="269" t="s">
        <v>4645</v>
      </c>
      <c r="B173" s="269" t="s">
        <v>4646</v>
      </c>
      <c r="C173" s="38" t="e">
        <f>SUMIF('[2]turmas 2014.2'!A:A,$A173,'[2]turmas 2014.2'!N:N)+SUMIF('[2]turmas 2014.2'!A:A,$A173,'[2]turmas 2014.2'!O:O)</f>
        <v>#VALUE!</v>
      </c>
      <c r="D173" s="38" t="e">
        <f>(SUMIFS('[2]turmas 2014.2'!$N:$N,'[2]turmas 2014.2'!$R:$R,$D$5,'[2]turmas 2014.2'!$C:$C,B173)+SUMIFS('[2]turmas 2014.2'!$O:$O,'[2]turmas 2014.2'!$V:$V,$D$5,'[2]turmas 2014.2'!$C:$C,'CRÉDITOS POR CENTRO'!$B173))</f>
        <v>#VALUE!</v>
      </c>
      <c r="E173" s="39" t="e">
        <f t="shared" si="8"/>
        <v>#VALUE!</v>
      </c>
      <c r="F173" s="38" t="e">
        <f>(SUMIFS('[2]turmas 2014.2'!$N:$N,'[2]turmas 2014.2'!$R:$R,$F$5,'[2]turmas 2014.2'!$C:$C,B173)+SUMIFS('[2]turmas 2014.2'!$O:$O,'[2]turmas 2014.2'!$V:$V,$F$5,'[2]turmas 2014.2'!$C:$C,'CRÉDITOS POR CENTRO'!$B173))</f>
        <v>#VALUE!</v>
      </c>
      <c r="G173" s="39" t="e">
        <f t="shared" si="9"/>
        <v>#VALUE!</v>
      </c>
      <c r="H173" s="38" t="e">
        <f>(SUMIFS('[2]turmas 2014.2'!$N:$N,'[2]turmas 2014.2'!$R:$R,$H$5,'[2]turmas 2014.2'!$A:$A,A173)+SUMIFS('[2]turmas 2014.2'!$O:$O,'[2]turmas 2014.2'!$V:$V,$H$5,'[2]turmas 2014.2'!$A:$A,'CRÉDITOS POR CENTRO'!$A173))</f>
        <v>#VALUE!</v>
      </c>
      <c r="I173" s="39" t="e">
        <f t="shared" si="10"/>
        <v>#VALUE!</v>
      </c>
      <c r="J173" s="38" t="e">
        <f t="shared" si="11"/>
        <v>#VALUE!</v>
      </c>
    </row>
    <row r="174" spans="1:10" ht="15">
      <c r="A174" s="269" t="s">
        <v>4647</v>
      </c>
      <c r="B174" s="269" t="s">
        <v>4648</v>
      </c>
      <c r="C174" s="38" t="e">
        <f>SUMIF('[2]turmas 2014.2'!A:A,$A174,'[2]turmas 2014.2'!N:N)+SUMIF('[2]turmas 2014.2'!A:A,$A174,'[2]turmas 2014.2'!O:O)</f>
        <v>#VALUE!</v>
      </c>
      <c r="D174" s="38" t="e">
        <f>(SUMIFS('[2]turmas 2014.2'!$N:$N,'[2]turmas 2014.2'!$R:$R,$D$5,'[2]turmas 2014.2'!$C:$C,B174)+SUMIFS('[2]turmas 2014.2'!$O:$O,'[2]turmas 2014.2'!$V:$V,$D$5,'[2]turmas 2014.2'!$C:$C,'CRÉDITOS POR CENTRO'!$B174))</f>
        <v>#VALUE!</v>
      </c>
      <c r="E174" s="39" t="e">
        <f t="shared" si="8"/>
        <v>#VALUE!</v>
      </c>
      <c r="F174" s="38" t="e">
        <f>(SUMIFS('[2]turmas 2014.2'!$N:$N,'[2]turmas 2014.2'!$R:$R,$F$5,'[2]turmas 2014.2'!$C:$C,B174)+SUMIFS('[2]turmas 2014.2'!$O:$O,'[2]turmas 2014.2'!$V:$V,$F$5,'[2]turmas 2014.2'!$C:$C,'CRÉDITOS POR CENTRO'!$B174))</f>
        <v>#VALUE!</v>
      </c>
      <c r="G174" s="39" t="e">
        <f t="shared" si="9"/>
        <v>#VALUE!</v>
      </c>
      <c r="H174" s="38" t="e">
        <f>(SUMIFS('[2]turmas 2014.2'!$N:$N,'[2]turmas 2014.2'!$R:$R,$H$5,'[2]turmas 2014.2'!$A:$A,A174)+SUMIFS('[2]turmas 2014.2'!$O:$O,'[2]turmas 2014.2'!$V:$V,$H$5,'[2]turmas 2014.2'!$A:$A,'CRÉDITOS POR CENTRO'!$A174))</f>
        <v>#VALUE!</v>
      </c>
      <c r="I174" s="39" t="e">
        <f t="shared" si="10"/>
        <v>#VALUE!</v>
      </c>
      <c r="J174" s="38" t="e">
        <f t="shared" si="11"/>
        <v>#VALUE!</v>
      </c>
    </row>
    <row r="175" spans="1:10" ht="15">
      <c r="A175" s="269" t="s">
        <v>4649</v>
      </c>
      <c r="B175" s="269" t="s">
        <v>4650</v>
      </c>
      <c r="C175" s="38" t="e">
        <f>SUMIF('[2]turmas 2014.2'!A:A,$A175,'[2]turmas 2014.2'!N:N)+SUMIF('[2]turmas 2014.2'!A:A,$A175,'[2]turmas 2014.2'!O:O)</f>
        <v>#VALUE!</v>
      </c>
      <c r="D175" s="38" t="e">
        <f>(SUMIFS('[2]turmas 2014.2'!$N:$N,'[2]turmas 2014.2'!$R:$R,$D$5,'[2]turmas 2014.2'!$C:$C,B175)+SUMIFS('[2]turmas 2014.2'!$O:$O,'[2]turmas 2014.2'!$V:$V,$D$5,'[2]turmas 2014.2'!$C:$C,'CRÉDITOS POR CENTRO'!$B175))</f>
        <v>#VALUE!</v>
      </c>
      <c r="E175" s="39" t="e">
        <f t="shared" si="8"/>
        <v>#VALUE!</v>
      </c>
      <c r="F175" s="38" t="e">
        <f>(SUMIFS('[2]turmas 2014.2'!$N:$N,'[2]turmas 2014.2'!$R:$R,$F$5,'[2]turmas 2014.2'!$C:$C,B175)+SUMIFS('[2]turmas 2014.2'!$O:$O,'[2]turmas 2014.2'!$V:$V,$F$5,'[2]turmas 2014.2'!$C:$C,'CRÉDITOS POR CENTRO'!$B175))</f>
        <v>#VALUE!</v>
      </c>
      <c r="G175" s="39" t="e">
        <f t="shared" si="9"/>
        <v>#VALUE!</v>
      </c>
      <c r="H175" s="38" t="e">
        <f>(SUMIFS('[2]turmas 2014.2'!$N:$N,'[2]turmas 2014.2'!$R:$R,$H$5,'[2]turmas 2014.2'!$A:$A,A175)+SUMIFS('[2]turmas 2014.2'!$O:$O,'[2]turmas 2014.2'!$V:$V,$H$5,'[2]turmas 2014.2'!$A:$A,'CRÉDITOS POR CENTRO'!$A175))</f>
        <v>#VALUE!</v>
      </c>
      <c r="I175" s="39" t="e">
        <f t="shared" si="10"/>
        <v>#VALUE!</v>
      </c>
      <c r="J175" s="38" t="e">
        <f t="shared" si="11"/>
        <v>#VALUE!</v>
      </c>
    </row>
    <row r="176" spans="1:10" ht="15">
      <c r="A176" s="269" t="s">
        <v>4651</v>
      </c>
      <c r="B176" s="269" t="s">
        <v>4652</v>
      </c>
      <c r="C176" s="38" t="e">
        <f>SUMIF('[2]turmas 2014.2'!A:A,$A176,'[2]turmas 2014.2'!N:N)+SUMIF('[2]turmas 2014.2'!A:A,$A176,'[2]turmas 2014.2'!O:O)</f>
        <v>#VALUE!</v>
      </c>
      <c r="D176" s="38" t="e">
        <f>(SUMIFS('[2]turmas 2014.2'!$N:$N,'[2]turmas 2014.2'!$R:$R,$D$5,'[2]turmas 2014.2'!$C:$C,B176)+SUMIFS('[2]turmas 2014.2'!$O:$O,'[2]turmas 2014.2'!$V:$V,$D$5,'[2]turmas 2014.2'!$C:$C,'CRÉDITOS POR CENTRO'!$B176))</f>
        <v>#VALUE!</v>
      </c>
      <c r="E176" s="39" t="e">
        <f t="shared" si="8"/>
        <v>#VALUE!</v>
      </c>
      <c r="F176" s="38" t="e">
        <f>(SUMIFS('[2]turmas 2014.2'!$N:$N,'[2]turmas 2014.2'!$R:$R,$F$5,'[2]turmas 2014.2'!$C:$C,B176)+SUMIFS('[2]turmas 2014.2'!$O:$O,'[2]turmas 2014.2'!$V:$V,$F$5,'[2]turmas 2014.2'!$C:$C,'CRÉDITOS POR CENTRO'!$B176))</f>
        <v>#VALUE!</v>
      </c>
      <c r="G176" s="39" t="e">
        <f t="shared" si="9"/>
        <v>#VALUE!</v>
      </c>
      <c r="H176" s="38" t="e">
        <f>(SUMIFS('[2]turmas 2014.2'!$N:$N,'[2]turmas 2014.2'!$R:$R,$H$5,'[2]turmas 2014.2'!$A:$A,A176)+SUMIFS('[2]turmas 2014.2'!$O:$O,'[2]turmas 2014.2'!$V:$V,$H$5,'[2]turmas 2014.2'!$A:$A,'CRÉDITOS POR CENTRO'!$A176))</f>
        <v>#VALUE!</v>
      </c>
      <c r="I176" s="39" t="e">
        <f t="shared" si="10"/>
        <v>#VALUE!</v>
      </c>
      <c r="J176" s="38" t="e">
        <f t="shared" si="11"/>
        <v>#VALUE!</v>
      </c>
    </row>
    <row r="177" spans="1:10" ht="15">
      <c r="A177" s="269" t="s">
        <v>2524</v>
      </c>
      <c r="B177" s="269" t="s">
        <v>2525</v>
      </c>
      <c r="C177" s="38" t="e">
        <f>SUMIF('[2]turmas 2014.2'!A:A,$A177,'[2]turmas 2014.2'!N:N)+SUMIF('[2]turmas 2014.2'!A:A,$A177,'[2]turmas 2014.2'!O:O)</f>
        <v>#VALUE!</v>
      </c>
      <c r="D177" s="38" t="e">
        <f>(SUMIFS('[2]turmas 2014.2'!$N:$N,'[2]turmas 2014.2'!$R:$R,$D$5,'[2]turmas 2014.2'!$C:$C,B177)+SUMIFS('[2]turmas 2014.2'!$O:$O,'[2]turmas 2014.2'!$V:$V,$D$5,'[2]turmas 2014.2'!$C:$C,'CRÉDITOS POR CENTRO'!$B177))</f>
        <v>#VALUE!</v>
      </c>
      <c r="E177" s="39" t="e">
        <f t="shared" si="8"/>
        <v>#VALUE!</v>
      </c>
      <c r="F177" s="38" t="e">
        <f>(SUMIFS('[2]turmas 2014.2'!$N:$N,'[2]turmas 2014.2'!$R:$R,$F$5,'[2]turmas 2014.2'!$C:$C,B177)+SUMIFS('[2]turmas 2014.2'!$O:$O,'[2]turmas 2014.2'!$V:$V,$F$5,'[2]turmas 2014.2'!$C:$C,'CRÉDITOS POR CENTRO'!$B177))</f>
        <v>#VALUE!</v>
      </c>
      <c r="G177" s="39" t="e">
        <f t="shared" si="9"/>
        <v>#VALUE!</v>
      </c>
      <c r="H177" s="38" t="e">
        <f>(SUMIFS('[2]turmas 2014.2'!$N:$N,'[2]turmas 2014.2'!$R:$R,$H$5,'[2]turmas 2014.2'!$A:$A,A177)+SUMIFS('[2]turmas 2014.2'!$O:$O,'[2]turmas 2014.2'!$V:$V,$H$5,'[2]turmas 2014.2'!$A:$A,'CRÉDITOS POR CENTRO'!$A177))</f>
        <v>#VALUE!</v>
      </c>
      <c r="I177" s="39" t="e">
        <f t="shared" si="10"/>
        <v>#VALUE!</v>
      </c>
      <c r="J177" s="38" t="e">
        <f t="shared" si="11"/>
        <v>#VALUE!</v>
      </c>
    </row>
    <row r="178" spans="1:10" ht="15">
      <c r="A178" s="269" t="s">
        <v>4653</v>
      </c>
      <c r="B178" s="269" t="s">
        <v>4654</v>
      </c>
      <c r="C178" s="38" t="e">
        <f>SUMIF('[2]turmas 2014.2'!A:A,$A178,'[2]turmas 2014.2'!N:N)+SUMIF('[2]turmas 2014.2'!A:A,$A178,'[2]turmas 2014.2'!O:O)</f>
        <v>#VALUE!</v>
      </c>
      <c r="D178" s="38" t="e">
        <f>(SUMIFS('[2]turmas 2014.2'!$N:$N,'[2]turmas 2014.2'!$R:$R,$D$5,'[2]turmas 2014.2'!$C:$C,B178)+SUMIFS('[2]turmas 2014.2'!$O:$O,'[2]turmas 2014.2'!$V:$V,$D$5,'[2]turmas 2014.2'!$C:$C,'CRÉDITOS POR CENTRO'!$B178))</f>
        <v>#VALUE!</v>
      </c>
      <c r="E178" s="39" t="e">
        <f t="shared" si="8"/>
        <v>#VALUE!</v>
      </c>
      <c r="F178" s="38" t="e">
        <f>(SUMIFS('[2]turmas 2014.2'!$N:$N,'[2]turmas 2014.2'!$R:$R,$F$5,'[2]turmas 2014.2'!$C:$C,B178)+SUMIFS('[2]turmas 2014.2'!$O:$O,'[2]turmas 2014.2'!$V:$V,$F$5,'[2]turmas 2014.2'!$C:$C,'CRÉDITOS POR CENTRO'!$B178))</f>
        <v>#VALUE!</v>
      </c>
      <c r="G178" s="39" t="e">
        <f t="shared" si="9"/>
        <v>#VALUE!</v>
      </c>
      <c r="H178" s="38" t="e">
        <f>(SUMIFS('[2]turmas 2014.2'!$N:$N,'[2]turmas 2014.2'!$R:$R,$H$5,'[2]turmas 2014.2'!$A:$A,A178)+SUMIFS('[2]turmas 2014.2'!$O:$O,'[2]turmas 2014.2'!$V:$V,$H$5,'[2]turmas 2014.2'!$A:$A,'CRÉDITOS POR CENTRO'!$A178))</f>
        <v>#VALUE!</v>
      </c>
      <c r="I178" s="39" t="e">
        <f t="shared" si="10"/>
        <v>#VALUE!</v>
      </c>
      <c r="J178" s="38" t="e">
        <f t="shared" si="11"/>
        <v>#VALUE!</v>
      </c>
    </row>
    <row r="179" spans="1:10" ht="15">
      <c r="A179" s="269" t="s">
        <v>4655</v>
      </c>
      <c r="B179" s="269" t="s">
        <v>4656</v>
      </c>
      <c r="C179" s="38" t="e">
        <f>SUMIF('[2]turmas 2014.2'!A:A,$A179,'[2]turmas 2014.2'!N:N)+SUMIF('[2]turmas 2014.2'!A:A,$A179,'[2]turmas 2014.2'!O:O)</f>
        <v>#VALUE!</v>
      </c>
      <c r="D179" s="38" t="e">
        <f>(SUMIFS('[2]turmas 2014.2'!$N:$N,'[2]turmas 2014.2'!$R:$R,$D$5,'[2]turmas 2014.2'!$C:$C,B179)+SUMIFS('[2]turmas 2014.2'!$O:$O,'[2]turmas 2014.2'!$V:$V,$D$5,'[2]turmas 2014.2'!$C:$C,'CRÉDITOS POR CENTRO'!$B179))</f>
        <v>#VALUE!</v>
      </c>
      <c r="E179" s="39" t="e">
        <f t="shared" si="8"/>
        <v>#VALUE!</v>
      </c>
      <c r="F179" s="38" t="e">
        <f>(SUMIFS('[2]turmas 2014.2'!$N:$N,'[2]turmas 2014.2'!$R:$R,$F$5,'[2]turmas 2014.2'!$C:$C,B179)+SUMIFS('[2]turmas 2014.2'!$O:$O,'[2]turmas 2014.2'!$V:$V,$F$5,'[2]turmas 2014.2'!$C:$C,'CRÉDITOS POR CENTRO'!$B179))</f>
        <v>#VALUE!</v>
      </c>
      <c r="G179" s="39" t="e">
        <f t="shared" si="9"/>
        <v>#VALUE!</v>
      </c>
      <c r="H179" s="38" t="e">
        <f>(SUMIFS('[2]turmas 2014.2'!$N:$N,'[2]turmas 2014.2'!$R:$R,$H$5,'[2]turmas 2014.2'!$A:$A,A179)+SUMIFS('[2]turmas 2014.2'!$O:$O,'[2]turmas 2014.2'!$V:$V,$H$5,'[2]turmas 2014.2'!$A:$A,'CRÉDITOS POR CENTRO'!$A179))</f>
        <v>#VALUE!</v>
      </c>
      <c r="I179" s="39" t="e">
        <f t="shared" si="10"/>
        <v>#VALUE!</v>
      </c>
      <c r="J179" s="38" t="e">
        <f t="shared" si="11"/>
        <v>#VALUE!</v>
      </c>
    </row>
    <row r="180" spans="1:10" ht="15">
      <c r="A180" s="269" t="s">
        <v>4657</v>
      </c>
      <c r="B180" s="269" t="s">
        <v>4658</v>
      </c>
      <c r="C180" s="38" t="e">
        <f>SUMIF('[2]turmas 2014.2'!A:A,$A180,'[2]turmas 2014.2'!N:N)+SUMIF('[2]turmas 2014.2'!A:A,$A180,'[2]turmas 2014.2'!O:O)</f>
        <v>#VALUE!</v>
      </c>
      <c r="D180" s="38" t="e">
        <f>(SUMIFS('[2]turmas 2014.2'!$N:$N,'[2]turmas 2014.2'!$R:$R,$D$5,'[2]turmas 2014.2'!$C:$C,B180)+SUMIFS('[2]turmas 2014.2'!$O:$O,'[2]turmas 2014.2'!$V:$V,$D$5,'[2]turmas 2014.2'!$C:$C,'CRÉDITOS POR CENTRO'!$B180))</f>
        <v>#VALUE!</v>
      </c>
      <c r="E180" s="39" t="e">
        <f t="shared" si="8"/>
        <v>#VALUE!</v>
      </c>
      <c r="F180" s="38" t="e">
        <f>(SUMIFS('[2]turmas 2014.2'!$N:$N,'[2]turmas 2014.2'!$R:$R,$F$5,'[2]turmas 2014.2'!$C:$C,B180)+SUMIFS('[2]turmas 2014.2'!$O:$O,'[2]turmas 2014.2'!$V:$V,$F$5,'[2]turmas 2014.2'!$C:$C,'CRÉDITOS POR CENTRO'!$B180))</f>
        <v>#VALUE!</v>
      </c>
      <c r="G180" s="39" t="e">
        <f t="shared" si="9"/>
        <v>#VALUE!</v>
      </c>
      <c r="H180" s="38" t="e">
        <f>(SUMIFS('[2]turmas 2014.2'!$N:$N,'[2]turmas 2014.2'!$R:$R,$H$5,'[2]turmas 2014.2'!$A:$A,A180)+SUMIFS('[2]turmas 2014.2'!$O:$O,'[2]turmas 2014.2'!$V:$V,$H$5,'[2]turmas 2014.2'!$A:$A,'CRÉDITOS POR CENTRO'!$A180))</f>
        <v>#VALUE!</v>
      </c>
      <c r="I180" s="39" t="e">
        <f t="shared" si="10"/>
        <v>#VALUE!</v>
      </c>
      <c r="J180" s="38" t="e">
        <f t="shared" si="11"/>
        <v>#VALUE!</v>
      </c>
    </row>
    <row r="181" spans="1:10" ht="15">
      <c r="A181" s="269" t="s">
        <v>4659</v>
      </c>
      <c r="B181" s="269" t="s">
        <v>4660</v>
      </c>
      <c r="C181" s="38" t="e">
        <f>SUMIF('[2]turmas 2014.2'!A:A,$A181,'[2]turmas 2014.2'!N:N)+SUMIF('[2]turmas 2014.2'!A:A,$A181,'[2]turmas 2014.2'!O:O)</f>
        <v>#VALUE!</v>
      </c>
      <c r="D181" s="38" t="e">
        <f>(SUMIFS('[2]turmas 2014.2'!$N:$N,'[2]turmas 2014.2'!$R:$R,$D$5,'[2]turmas 2014.2'!$C:$C,B181)+SUMIFS('[2]turmas 2014.2'!$O:$O,'[2]turmas 2014.2'!$V:$V,$D$5,'[2]turmas 2014.2'!$C:$C,'CRÉDITOS POR CENTRO'!$B181))</f>
        <v>#VALUE!</v>
      </c>
      <c r="E181" s="39" t="e">
        <f t="shared" si="8"/>
        <v>#VALUE!</v>
      </c>
      <c r="F181" s="38" t="e">
        <f>(SUMIFS('[2]turmas 2014.2'!$N:$N,'[2]turmas 2014.2'!$R:$R,$F$5,'[2]turmas 2014.2'!$C:$C,B181)+SUMIFS('[2]turmas 2014.2'!$O:$O,'[2]turmas 2014.2'!$V:$V,$F$5,'[2]turmas 2014.2'!$C:$C,'CRÉDITOS POR CENTRO'!$B181))</f>
        <v>#VALUE!</v>
      </c>
      <c r="G181" s="39" t="e">
        <f t="shared" si="9"/>
        <v>#VALUE!</v>
      </c>
      <c r="H181" s="38" t="e">
        <f>(SUMIFS('[2]turmas 2014.2'!$N:$N,'[2]turmas 2014.2'!$R:$R,$H$5,'[2]turmas 2014.2'!$A:$A,A181)+SUMIFS('[2]turmas 2014.2'!$O:$O,'[2]turmas 2014.2'!$V:$V,$H$5,'[2]turmas 2014.2'!$A:$A,'CRÉDITOS POR CENTRO'!$A181))</f>
        <v>#VALUE!</v>
      </c>
      <c r="I181" s="39" t="e">
        <f t="shared" si="10"/>
        <v>#VALUE!</v>
      </c>
      <c r="J181" s="38" t="e">
        <f t="shared" si="11"/>
        <v>#VALUE!</v>
      </c>
    </row>
    <row r="182" spans="1:10" ht="15">
      <c r="A182" s="269" t="s">
        <v>4661</v>
      </c>
      <c r="B182" s="269" t="s">
        <v>4662</v>
      </c>
      <c r="C182" s="38" t="e">
        <f>SUMIF('[2]turmas 2014.2'!A:A,$A182,'[2]turmas 2014.2'!N:N)+SUMIF('[2]turmas 2014.2'!A:A,$A182,'[2]turmas 2014.2'!O:O)</f>
        <v>#VALUE!</v>
      </c>
      <c r="D182" s="38" t="e">
        <f>(SUMIFS('[2]turmas 2014.2'!$N:$N,'[2]turmas 2014.2'!$R:$R,$D$5,'[2]turmas 2014.2'!$C:$C,B182)+SUMIFS('[2]turmas 2014.2'!$O:$O,'[2]turmas 2014.2'!$V:$V,$D$5,'[2]turmas 2014.2'!$C:$C,'CRÉDITOS POR CENTRO'!$B182))</f>
        <v>#VALUE!</v>
      </c>
      <c r="E182" s="39" t="e">
        <f t="shared" si="8"/>
        <v>#VALUE!</v>
      </c>
      <c r="F182" s="38" t="e">
        <f>(SUMIFS('[2]turmas 2014.2'!$N:$N,'[2]turmas 2014.2'!$R:$R,$F$5,'[2]turmas 2014.2'!$C:$C,B182)+SUMIFS('[2]turmas 2014.2'!$O:$O,'[2]turmas 2014.2'!$V:$V,$F$5,'[2]turmas 2014.2'!$C:$C,'CRÉDITOS POR CENTRO'!$B182))</f>
        <v>#VALUE!</v>
      </c>
      <c r="G182" s="39" t="e">
        <f t="shared" si="9"/>
        <v>#VALUE!</v>
      </c>
      <c r="H182" s="38" t="e">
        <f>(SUMIFS('[2]turmas 2014.2'!$N:$N,'[2]turmas 2014.2'!$R:$R,$H$5,'[2]turmas 2014.2'!$A:$A,A182)+SUMIFS('[2]turmas 2014.2'!$O:$O,'[2]turmas 2014.2'!$V:$V,$H$5,'[2]turmas 2014.2'!$A:$A,'CRÉDITOS POR CENTRO'!$A182))</f>
        <v>#VALUE!</v>
      </c>
      <c r="I182" s="39" t="e">
        <f t="shared" si="10"/>
        <v>#VALUE!</v>
      </c>
      <c r="J182" s="38" t="e">
        <f t="shared" si="11"/>
        <v>#VALUE!</v>
      </c>
    </row>
    <row r="183" spans="1:10" ht="15">
      <c r="A183" s="269" t="s">
        <v>4663</v>
      </c>
      <c r="B183" s="269" t="s">
        <v>4664</v>
      </c>
      <c r="C183" s="38" t="e">
        <f>SUMIF('[2]turmas 2014.2'!A:A,$A183,'[2]turmas 2014.2'!N:N)+SUMIF('[2]turmas 2014.2'!A:A,$A183,'[2]turmas 2014.2'!O:O)</f>
        <v>#VALUE!</v>
      </c>
      <c r="D183" s="38" t="e">
        <f>(SUMIFS('[2]turmas 2014.2'!$N:$N,'[2]turmas 2014.2'!$R:$R,$D$5,'[2]turmas 2014.2'!$C:$C,B183)+SUMIFS('[2]turmas 2014.2'!$O:$O,'[2]turmas 2014.2'!$V:$V,$D$5,'[2]turmas 2014.2'!$C:$C,'CRÉDITOS POR CENTRO'!$B183))</f>
        <v>#VALUE!</v>
      </c>
      <c r="E183" s="39" t="e">
        <f t="shared" si="8"/>
        <v>#VALUE!</v>
      </c>
      <c r="F183" s="38" t="e">
        <f>(SUMIFS('[2]turmas 2014.2'!$N:$N,'[2]turmas 2014.2'!$R:$R,$F$5,'[2]turmas 2014.2'!$C:$C,B183)+SUMIFS('[2]turmas 2014.2'!$O:$O,'[2]turmas 2014.2'!$V:$V,$F$5,'[2]turmas 2014.2'!$C:$C,'CRÉDITOS POR CENTRO'!$B183))</f>
        <v>#VALUE!</v>
      </c>
      <c r="G183" s="39" t="e">
        <f t="shared" si="9"/>
        <v>#VALUE!</v>
      </c>
      <c r="H183" s="38" t="e">
        <f>(SUMIFS('[2]turmas 2014.2'!$N:$N,'[2]turmas 2014.2'!$R:$R,$H$5,'[2]turmas 2014.2'!$A:$A,A183)+SUMIFS('[2]turmas 2014.2'!$O:$O,'[2]turmas 2014.2'!$V:$V,$H$5,'[2]turmas 2014.2'!$A:$A,'CRÉDITOS POR CENTRO'!$A183))</f>
        <v>#VALUE!</v>
      </c>
      <c r="I183" s="39" t="e">
        <f t="shared" si="10"/>
        <v>#VALUE!</v>
      </c>
      <c r="J183" s="38" t="e">
        <f t="shared" si="11"/>
        <v>#VALUE!</v>
      </c>
    </row>
    <row r="184" spans="1:10" ht="15">
      <c r="A184" s="269" t="s">
        <v>4665</v>
      </c>
      <c r="B184" s="269" t="s">
        <v>4666</v>
      </c>
      <c r="C184" s="38" t="e">
        <f>SUMIF('[2]turmas 2014.2'!A:A,$A184,'[2]turmas 2014.2'!N:N)+SUMIF('[2]turmas 2014.2'!A:A,$A184,'[2]turmas 2014.2'!O:O)</f>
        <v>#VALUE!</v>
      </c>
      <c r="D184" s="38" t="e">
        <f>(SUMIFS('[2]turmas 2014.2'!$N:$N,'[2]turmas 2014.2'!$R:$R,$D$5,'[2]turmas 2014.2'!$C:$C,B184)+SUMIFS('[2]turmas 2014.2'!$O:$O,'[2]turmas 2014.2'!$V:$V,$D$5,'[2]turmas 2014.2'!$C:$C,'CRÉDITOS POR CENTRO'!$B184))</f>
        <v>#VALUE!</v>
      </c>
      <c r="E184" s="39" t="e">
        <f t="shared" si="8"/>
        <v>#VALUE!</v>
      </c>
      <c r="F184" s="38" t="e">
        <f>(SUMIFS('[2]turmas 2014.2'!$N:$N,'[2]turmas 2014.2'!$R:$R,$F$5,'[2]turmas 2014.2'!$C:$C,B184)+SUMIFS('[2]turmas 2014.2'!$O:$O,'[2]turmas 2014.2'!$V:$V,$F$5,'[2]turmas 2014.2'!$C:$C,'CRÉDITOS POR CENTRO'!$B184))</f>
        <v>#VALUE!</v>
      </c>
      <c r="G184" s="39" t="e">
        <f t="shared" si="9"/>
        <v>#VALUE!</v>
      </c>
      <c r="H184" s="38" t="e">
        <f>(SUMIFS('[2]turmas 2014.2'!$N:$N,'[2]turmas 2014.2'!$R:$R,$H$5,'[2]turmas 2014.2'!$A:$A,A184)+SUMIFS('[2]turmas 2014.2'!$O:$O,'[2]turmas 2014.2'!$V:$V,$H$5,'[2]turmas 2014.2'!$A:$A,'CRÉDITOS POR CENTRO'!$A184))</f>
        <v>#VALUE!</v>
      </c>
      <c r="I184" s="39" t="e">
        <f t="shared" si="10"/>
        <v>#VALUE!</v>
      </c>
      <c r="J184" s="38" t="e">
        <f t="shared" si="11"/>
        <v>#VALUE!</v>
      </c>
    </row>
    <row r="185" spans="1:10" ht="15">
      <c r="A185" s="269" t="s">
        <v>4667</v>
      </c>
      <c r="B185" s="269" t="s">
        <v>4668</v>
      </c>
      <c r="C185" s="38" t="e">
        <f>SUMIF('[2]turmas 2014.2'!A:A,$A185,'[2]turmas 2014.2'!N:N)+SUMIF('[2]turmas 2014.2'!A:A,$A185,'[2]turmas 2014.2'!O:O)</f>
        <v>#VALUE!</v>
      </c>
      <c r="D185" s="38" t="e">
        <f>(SUMIFS('[2]turmas 2014.2'!$N:$N,'[2]turmas 2014.2'!$R:$R,$D$5,'[2]turmas 2014.2'!$C:$C,B185)+SUMIFS('[2]turmas 2014.2'!$O:$O,'[2]turmas 2014.2'!$V:$V,$D$5,'[2]turmas 2014.2'!$C:$C,'CRÉDITOS POR CENTRO'!$B185))</f>
        <v>#VALUE!</v>
      </c>
      <c r="E185" s="39" t="e">
        <f t="shared" si="8"/>
        <v>#VALUE!</v>
      </c>
      <c r="F185" s="38" t="e">
        <f>(SUMIFS('[2]turmas 2014.2'!$N:$N,'[2]turmas 2014.2'!$R:$R,$F$5,'[2]turmas 2014.2'!$C:$C,B185)+SUMIFS('[2]turmas 2014.2'!$O:$O,'[2]turmas 2014.2'!$V:$V,$F$5,'[2]turmas 2014.2'!$C:$C,'CRÉDITOS POR CENTRO'!$B185))</f>
        <v>#VALUE!</v>
      </c>
      <c r="G185" s="39" t="e">
        <f t="shared" si="9"/>
        <v>#VALUE!</v>
      </c>
      <c r="H185" s="38" t="e">
        <f>(SUMIFS('[2]turmas 2014.2'!$N:$N,'[2]turmas 2014.2'!$R:$R,$H$5,'[2]turmas 2014.2'!$A:$A,A185)+SUMIFS('[2]turmas 2014.2'!$O:$O,'[2]turmas 2014.2'!$V:$V,$H$5,'[2]turmas 2014.2'!$A:$A,'CRÉDITOS POR CENTRO'!$A185))</f>
        <v>#VALUE!</v>
      </c>
      <c r="I185" s="39" t="e">
        <f t="shared" si="10"/>
        <v>#VALUE!</v>
      </c>
      <c r="J185" s="38" t="e">
        <f t="shared" si="11"/>
        <v>#VALUE!</v>
      </c>
    </row>
    <row r="186" spans="1:10" ht="15">
      <c r="A186" s="269" t="s">
        <v>2620</v>
      </c>
      <c r="B186" s="269" t="s">
        <v>2621</v>
      </c>
      <c r="C186" s="38" t="e">
        <f>SUMIF('[2]turmas 2014.2'!A:A,$A186,'[2]turmas 2014.2'!N:N)+SUMIF('[2]turmas 2014.2'!A:A,$A186,'[2]turmas 2014.2'!O:O)</f>
        <v>#VALUE!</v>
      </c>
      <c r="D186" s="38" t="e">
        <f>(SUMIFS('[2]turmas 2014.2'!$N:$N,'[2]turmas 2014.2'!$R:$R,$D$5,'[2]turmas 2014.2'!$C:$C,B186)+SUMIFS('[2]turmas 2014.2'!$O:$O,'[2]turmas 2014.2'!$V:$V,$D$5,'[2]turmas 2014.2'!$C:$C,'CRÉDITOS POR CENTRO'!$B186))</f>
        <v>#VALUE!</v>
      </c>
      <c r="E186" s="39" t="e">
        <f t="shared" si="8"/>
        <v>#VALUE!</v>
      </c>
      <c r="F186" s="38" t="e">
        <f>(SUMIFS('[2]turmas 2014.2'!$N:$N,'[2]turmas 2014.2'!$R:$R,$F$5,'[2]turmas 2014.2'!$C:$C,B186)+SUMIFS('[2]turmas 2014.2'!$O:$O,'[2]turmas 2014.2'!$V:$V,$F$5,'[2]turmas 2014.2'!$C:$C,'CRÉDITOS POR CENTRO'!$B186))</f>
        <v>#VALUE!</v>
      </c>
      <c r="G186" s="39" t="e">
        <f t="shared" si="9"/>
        <v>#VALUE!</v>
      </c>
      <c r="H186" s="38" t="e">
        <f>(SUMIFS('[2]turmas 2014.2'!$N:$N,'[2]turmas 2014.2'!$R:$R,$H$5,'[2]turmas 2014.2'!$A:$A,A186)+SUMIFS('[2]turmas 2014.2'!$O:$O,'[2]turmas 2014.2'!$V:$V,$H$5,'[2]turmas 2014.2'!$A:$A,'CRÉDITOS POR CENTRO'!$A186))</f>
        <v>#VALUE!</v>
      </c>
      <c r="I186" s="39" t="e">
        <f t="shared" si="10"/>
        <v>#VALUE!</v>
      </c>
      <c r="J186" s="38" t="e">
        <f t="shared" si="11"/>
        <v>#VALUE!</v>
      </c>
    </row>
    <row r="187" spans="1:10" ht="15">
      <c r="A187" s="269" t="s">
        <v>4669</v>
      </c>
      <c r="B187" s="269" t="s">
        <v>4670</v>
      </c>
      <c r="C187" s="38" t="e">
        <f>SUMIF('[2]turmas 2014.2'!A:A,$A187,'[2]turmas 2014.2'!N:N)+SUMIF('[2]turmas 2014.2'!A:A,$A187,'[2]turmas 2014.2'!O:O)</f>
        <v>#VALUE!</v>
      </c>
      <c r="D187" s="38" t="e">
        <f>(SUMIFS('[2]turmas 2014.2'!$N:$N,'[2]turmas 2014.2'!$R:$R,$D$5,'[2]turmas 2014.2'!$C:$C,B187)+SUMIFS('[2]turmas 2014.2'!$O:$O,'[2]turmas 2014.2'!$V:$V,$D$5,'[2]turmas 2014.2'!$C:$C,'CRÉDITOS POR CENTRO'!$B187))</f>
        <v>#VALUE!</v>
      </c>
      <c r="E187" s="39" t="e">
        <f t="shared" si="8"/>
        <v>#VALUE!</v>
      </c>
      <c r="F187" s="38" t="e">
        <f>(SUMIFS('[2]turmas 2014.2'!$N:$N,'[2]turmas 2014.2'!$R:$R,$F$5,'[2]turmas 2014.2'!$C:$C,B187)+SUMIFS('[2]turmas 2014.2'!$O:$O,'[2]turmas 2014.2'!$V:$V,$F$5,'[2]turmas 2014.2'!$C:$C,'CRÉDITOS POR CENTRO'!$B187))</f>
        <v>#VALUE!</v>
      </c>
      <c r="G187" s="39" t="e">
        <f t="shared" si="9"/>
        <v>#VALUE!</v>
      </c>
      <c r="H187" s="38" t="e">
        <f>(SUMIFS('[2]turmas 2014.2'!$N:$N,'[2]turmas 2014.2'!$R:$R,$H$5,'[2]turmas 2014.2'!$A:$A,A187)+SUMIFS('[2]turmas 2014.2'!$O:$O,'[2]turmas 2014.2'!$V:$V,$H$5,'[2]turmas 2014.2'!$A:$A,'CRÉDITOS POR CENTRO'!$A187))</f>
        <v>#VALUE!</v>
      </c>
      <c r="I187" s="39" t="e">
        <f t="shared" si="10"/>
        <v>#VALUE!</v>
      </c>
      <c r="J187" s="38" t="e">
        <f t="shared" si="11"/>
        <v>#VALUE!</v>
      </c>
    </row>
    <row r="188" spans="1:10" ht="15">
      <c r="A188" s="269" t="s">
        <v>2654</v>
      </c>
      <c r="B188" s="269" t="s">
        <v>2655</v>
      </c>
      <c r="C188" s="38" t="e">
        <f>SUMIF('[2]turmas 2014.2'!A:A,$A188,'[2]turmas 2014.2'!N:N)+SUMIF('[2]turmas 2014.2'!A:A,$A188,'[2]turmas 2014.2'!O:O)</f>
        <v>#VALUE!</v>
      </c>
      <c r="D188" s="38" t="e">
        <f>(SUMIFS('[2]turmas 2014.2'!$N:$N,'[2]turmas 2014.2'!$R:$R,$D$5,'[2]turmas 2014.2'!$C:$C,B188)+SUMIFS('[2]turmas 2014.2'!$O:$O,'[2]turmas 2014.2'!$V:$V,$D$5,'[2]turmas 2014.2'!$C:$C,'CRÉDITOS POR CENTRO'!$B188))</f>
        <v>#VALUE!</v>
      </c>
      <c r="E188" s="39" t="e">
        <f t="shared" si="8"/>
        <v>#VALUE!</v>
      </c>
      <c r="F188" s="38" t="e">
        <f>(SUMIFS('[2]turmas 2014.2'!$N:$N,'[2]turmas 2014.2'!$R:$R,$F$5,'[2]turmas 2014.2'!$C:$C,B188)+SUMIFS('[2]turmas 2014.2'!$O:$O,'[2]turmas 2014.2'!$V:$V,$F$5,'[2]turmas 2014.2'!$C:$C,'CRÉDITOS POR CENTRO'!$B188))</f>
        <v>#VALUE!</v>
      </c>
      <c r="G188" s="39" t="e">
        <f t="shared" si="9"/>
        <v>#VALUE!</v>
      </c>
      <c r="H188" s="38" t="e">
        <f>(SUMIFS('[2]turmas 2014.2'!$N:$N,'[2]turmas 2014.2'!$R:$R,$H$5,'[2]turmas 2014.2'!$A:$A,A188)+SUMIFS('[2]turmas 2014.2'!$O:$O,'[2]turmas 2014.2'!$V:$V,$H$5,'[2]turmas 2014.2'!$A:$A,'CRÉDITOS POR CENTRO'!$A188))</f>
        <v>#VALUE!</v>
      </c>
      <c r="I188" s="39" t="e">
        <f t="shared" si="10"/>
        <v>#VALUE!</v>
      </c>
      <c r="J188" s="38" t="e">
        <f t="shared" si="11"/>
        <v>#VALUE!</v>
      </c>
    </row>
    <row r="189" spans="1:10" ht="15">
      <c r="A189" s="269" t="s">
        <v>4671</v>
      </c>
      <c r="B189" s="269" t="s">
        <v>4672</v>
      </c>
      <c r="C189" s="38" t="e">
        <f>SUMIF('[2]turmas 2014.2'!A:A,$A189,'[2]turmas 2014.2'!N:N)+SUMIF('[2]turmas 2014.2'!A:A,$A189,'[2]turmas 2014.2'!O:O)</f>
        <v>#VALUE!</v>
      </c>
      <c r="D189" s="38" t="e">
        <f>(SUMIFS('[2]turmas 2014.2'!$N:$N,'[2]turmas 2014.2'!$R:$R,$D$5,'[2]turmas 2014.2'!$C:$C,B189)+SUMIFS('[2]turmas 2014.2'!$O:$O,'[2]turmas 2014.2'!$V:$V,$D$5,'[2]turmas 2014.2'!$C:$C,'CRÉDITOS POR CENTRO'!$B189))</f>
        <v>#VALUE!</v>
      </c>
      <c r="E189" s="39" t="e">
        <f t="shared" si="8"/>
        <v>#VALUE!</v>
      </c>
      <c r="F189" s="38" t="e">
        <f>(SUMIFS('[2]turmas 2014.2'!$N:$N,'[2]turmas 2014.2'!$R:$R,$F$5,'[2]turmas 2014.2'!$C:$C,B189)+SUMIFS('[2]turmas 2014.2'!$O:$O,'[2]turmas 2014.2'!$V:$V,$F$5,'[2]turmas 2014.2'!$C:$C,'CRÉDITOS POR CENTRO'!$B189))</f>
        <v>#VALUE!</v>
      </c>
      <c r="G189" s="39" t="e">
        <f t="shared" si="9"/>
        <v>#VALUE!</v>
      </c>
      <c r="H189" s="38" t="e">
        <f>(SUMIFS('[2]turmas 2014.2'!$N:$N,'[2]turmas 2014.2'!$R:$R,$H$5,'[2]turmas 2014.2'!$A:$A,A189)+SUMIFS('[2]turmas 2014.2'!$O:$O,'[2]turmas 2014.2'!$V:$V,$H$5,'[2]turmas 2014.2'!$A:$A,'CRÉDITOS POR CENTRO'!$A189))</f>
        <v>#VALUE!</v>
      </c>
      <c r="I189" s="39" t="e">
        <f t="shared" si="10"/>
        <v>#VALUE!</v>
      </c>
      <c r="J189" s="38" t="e">
        <f t="shared" si="11"/>
        <v>#VALUE!</v>
      </c>
    </row>
    <row r="190" spans="1:10" ht="15">
      <c r="A190" s="269" t="s">
        <v>4673</v>
      </c>
      <c r="B190" s="269" t="s">
        <v>4674</v>
      </c>
      <c r="C190" s="38" t="e">
        <f>SUMIF('[2]turmas 2014.2'!A:A,$A190,'[2]turmas 2014.2'!N:N)+SUMIF('[2]turmas 2014.2'!A:A,$A190,'[2]turmas 2014.2'!O:O)</f>
        <v>#VALUE!</v>
      </c>
      <c r="D190" s="38" t="e">
        <f>(SUMIFS('[2]turmas 2014.2'!$N:$N,'[2]turmas 2014.2'!$R:$R,$D$5,'[2]turmas 2014.2'!$C:$C,B190)+SUMIFS('[2]turmas 2014.2'!$O:$O,'[2]turmas 2014.2'!$V:$V,$D$5,'[2]turmas 2014.2'!$C:$C,'CRÉDITOS POR CENTRO'!$B190))</f>
        <v>#VALUE!</v>
      </c>
      <c r="E190" s="39" t="e">
        <f t="shared" si="8"/>
        <v>#VALUE!</v>
      </c>
      <c r="F190" s="38" t="e">
        <f>(SUMIFS('[2]turmas 2014.2'!$N:$N,'[2]turmas 2014.2'!$R:$R,$F$5,'[2]turmas 2014.2'!$C:$C,B190)+SUMIFS('[2]turmas 2014.2'!$O:$O,'[2]turmas 2014.2'!$V:$V,$F$5,'[2]turmas 2014.2'!$C:$C,'CRÉDITOS POR CENTRO'!$B190))</f>
        <v>#VALUE!</v>
      </c>
      <c r="G190" s="39" t="e">
        <f t="shared" si="9"/>
        <v>#VALUE!</v>
      </c>
      <c r="H190" s="38" t="e">
        <f>(SUMIFS('[2]turmas 2014.2'!$N:$N,'[2]turmas 2014.2'!$R:$R,$H$5,'[2]turmas 2014.2'!$A:$A,A190)+SUMIFS('[2]turmas 2014.2'!$O:$O,'[2]turmas 2014.2'!$V:$V,$H$5,'[2]turmas 2014.2'!$A:$A,'CRÉDITOS POR CENTRO'!$A190))</f>
        <v>#VALUE!</v>
      </c>
      <c r="I190" s="39" t="e">
        <f t="shared" si="10"/>
        <v>#VALUE!</v>
      </c>
      <c r="J190" s="38" t="e">
        <f t="shared" si="11"/>
        <v>#VALUE!</v>
      </c>
    </row>
    <row r="191" spans="1:10" ht="15">
      <c r="A191" s="269" t="s">
        <v>4675</v>
      </c>
      <c r="B191" s="269" t="s">
        <v>4676</v>
      </c>
      <c r="C191" s="38" t="e">
        <f>SUMIF('[2]turmas 2014.2'!A:A,$A191,'[2]turmas 2014.2'!N:N)+SUMIF('[2]turmas 2014.2'!A:A,$A191,'[2]turmas 2014.2'!O:O)</f>
        <v>#VALUE!</v>
      </c>
      <c r="D191" s="38" t="e">
        <f>(SUMIFS('[2]turmas 2014.2'!$N:$N,'[2]turmas 2014.2'!$R:$R,$D$5,'[2]turmas 2014.2'!$C:$C,B191)+SUMIFS('[2]turmas 2014.2'!$O:$O,'[2]turmas 2014.2'!$V:$V,$D$5,'[2]turmas 2014.2'!$C:$C,'CRÉDITOS POR CENTRO'!$B191))</f>
        <v>#VALUE!</v>
      </c>
      <c r="E191" s="39" t="e">
        <f t="shared" si="8"/>
        <v>#VALUE!</v>
      </c>
      <c r="F191" s="38" t="e">
        <f>(SUMIFS('[2]turmas 2014.2'!$N:$N,'[2]turmas 2014.2'!$R:$R,$F$5,'[2]turmas 2014.2'!$C:$C,B191)+SUMIFS('[2]turmas 2014.2'!$O:$O,'[2]turmas 2014.2'!$V:$V,$F$5,'[2]turmas 2014.2'!$C:$C,'CRÉDITOS POR CENTRO'!$B191))</f>
        <v>#VALUE!</v>
      </c>
      <c r="G191" s="39" t="e">
        <f t="shared" si="9"/>
        <v>#VALUE!</v>
      </c>
      <c r="H191" s="38" t="e">
        <f>(SUMIFS('[2]turmas 2014.2'!$N:$N,'[2]turmas 2014.2'!$R:$R,$H$5,'[2]turmas 2014.2'!$A:$A,A191)+SUMIFS('[2]turmas 2014.2'!$O:$O,'[2]turmas 2014.2'!$V:$V,$H$5,'[2]turmas 2014.2'!$A:$A,'CRÉDITOS POR CENTRO'!$A191))</f>
        <v>#VALUE!</v>
      </c>
      <c r="I191" s="39" t="e">
        <f t="shared" si="10"/>
        <v>#VALUE!</v>
      </c>
      <c r="J191" s="38" t="e">
        <f t="shared" si="11"/>
        <v>#VALUE!</v>
      </c>
    </row>
    <row r="192" spans="1:10" ht="15">
      <c r="A192" s="269" t="s">
        <v>4677</v>
      </c>
      <c r="B192" s="269" t="s">
        <v>4678</v>
      </c>
      <c r="C192" s="38" t="e">
        <f>SUMIF('[2]turmas 2014.2'!A:A,$A192,'[2]turmas 2014.2'!N:N)+SUMIF('[2]turmas 2014.2'!A:A,$A192,'[2]turmas 2014.2'!O:O)</f>
        <v>#VALUE!</v>
      </c>
      <c r="D192" s="38" t="e">
        <f>(SUMIFS('[2]turmas 2014.2'!$N:$N,'[2]turmas 2014.2'!$R:$R,$D$5,'[2]turmas 2014.2'!$C:$C,B192)+SUMIFS('[2]turmas 2014.2'!$O:$O,'[2]turmas 2014.2'!$V:$V,$D$5,'[2]turmas 2014.2'!$C:$C,'CRÉDITOS POR CENTRO'!$B192))</f>
        <v>#VALUE!</v>
      </c>
      <c r="E192" s="39" t="e">
        <f t="shared" si="8"/>
        <v>#VALUE!</v>
      </c>
      <c r="F192" s="38" t="e">
        <f>(SUMIFS('[2]turmas 2014.2'!$N:$N,'[2]turmas 2014.2'!$R:$R,$F$5,'[2]turmas 2014.2'!$C:$C,B192)+SUMIFS('[2]turmas 2014.2'!$O:$O,'[2]turmas 2014.2'!$V:$V,$F$5,'[2]turmas 2014.2'!$C:$C,'CRÉDITOS POR CENTRO'!$B192))</f>
        <v>#VALUE!</v>
      </c>
      <c r="G192" s="39" t="e">
        <f t="shared" si="9"/>
        <v>#VALUE!</v>
      </c>
      <c r="H192" s="38" t="e">
        <f>(SUMIFS('[2]turmas 2014.2'!$N:$N,'[2]turmas 2014.2'!$R:$R,$H$5,'[2]turmas 2014.2'!$A:$A,A192)+SUMIFS('[2]turmas 2014.2'!$O:$O,'[2]turmas 2014.2'!$V:$V,$H$5,'[2]turmas 2014.2'!$A:$A,'CRÉDITOS POR CENTRO'!$A192))</f>
        <v>#VALUE!</v>
      </c>
      <c r="I192" s="39" t="e">
        <f t="shared" si="10"/>
        <v>#VALUE!</v>
      </c>
      <c r="J192" s="38" t="e">
        <f t="shared" si="11"/>
        <v>#VALUE!</v>
      </c>
    </row>
    <row r="193" spans="1:10" ht="15">
      <c r="A193" s="269" t="s">
        <v>4679</v>
      </c>
      <c r="B193" s="269" t="s">
        <v>4680</v>
      </c>
      <c r="C193" s="38" t="e">
        <f>SUMIF('[2]turmas 2014.2'!A:A,$A193,'[2]turmas 2014.2'!N:N)+SUMIF('[2]turmas 2014.2'!A:A,$A193,'[2]turmas 2014.2'!O:O)</f>
        <v>#VALUE!</v>
      </c>
      <c r="D193" s="38" t="e">
        <f>(SUMIFS('[2]turmas 2014.2'!$N:$N,'[2]turmas 2014.2'!$R:$R,$D$5,'[2]turmas 2014.2'!$C:$C,B193)+SUMIFS('[2]turmas 2014.2'!$O:$O,'[2]turmas 2014.2'!$V:$V,$D$5,'[2]turmas 2014.2'!$C:$C,'CRÉDITOS POR CENTRO'!$B193))</f>
        <v>#VALUE!</v>
      </c>
      <c r="E193" s="39" t="e">
        <f t="shared" si="8"/>
        <v>#VALUE!</v>
      </c>
      <c r="F193" s="38" t="e">
        <f>(SUMIFS('[2]turmas 2014.2'!$N:$N,'[2]turmas 2014.2'!$R:$R,$F$5,'[2]turmas 2014.2'!$C:$C,B193)+SUMIFS('[2]turmas 2014.2'!$O:$O,'[2]turmas 2014.2'!$V:$V,$F$5,'[2]turmas 2014.2'!$C:$C,'CRÉDITOS POR CENTRO'!$B193))</f>
        <v>#VALUE!</v>
      </c>
      <c r="G193" s="39" t="e">
        <f t="shared" si="9"/>
        <v>#VALUE!</v>
      </c>
      <c r="H193" s="38" t="e">
        <f>(SUMIFS('[2]turmas 2014.2'!$N:$N,'[2]turmas 2014.2'!$R:$R,$H$5,'[2]turmas 2014.2'!$A:$A,A193)+SUMIFS('[2]turmas 2014.2'!$O:$O,'[2]turmas 2014.2'!$V:$V,$H$5,'[2]turmas 2014.2'!$A:$A,'CRÉDITOS POR CENTRO'!$A193))</f>
        <v>#VALUE!</v>
      </c>
      <c r="I193" s="39" t="e">
        <f t="shared" si="10"/>
        <v>#VALUE!</v>
      </c>
      <c r="J193" s="38" t="e">
        <f t="shared" si="11"/>
        <v>#VALUE!</v>
      </c>
    </row>
    <row r="194" spans="1:10" ht="15">
      <c r="A194" s="269" t="s">
        <v>4681</v>
      </c>
      <c r="B194" s="269" t="s">
        <v>4682</v>
      </c>
      <c r="C194" s="38" t="e">
        <f>SUMIF('[2]turmas 2014.2'!A:A,$A194,'[2]turmas 2014.2'!N:N)+SUMIF('[2]turmas 2014.2'!A:A,$A194,'[2]turmas 2014.2'!O:O)</f>
        <v>#VALUE!</v>
      </c>
      <c r="D194" s="38" t="e">
        <f>(SUMIFS('[2]turmas 2014.2'!$N:$N,'[2]turmas 2014.2'!$R:$R,$D$5,'[2]turmas 2014.2'!$C:$C,B194)+SUMIFS('[2]turmas 2014.2'!$O:$O,'[2]turmas 2014.2'!$V:$V,$D$5,'[2]turmas 2014.2'!$C:$C,'CRÉDITOS POR CENTRO'!$B194))</f>
        <v>#VALUE!</v>
      </c>
      <c r="E194" s="39" t="e">
        <f t="shared" si="8"/>
        <v>#VALUE!</v>
      </c>
      <c r="F194" s="38" t="e">
        <f>(SUMIFS('[2]turmas 2014.2'!$N:$N,'[2]turmas 2014.2'!$R:$R,$F$5,'[2]turmas 2014.2'!$C:$C,B194)+SUMIFS('[2]turmas 2014.2'!$O:$O,'[2]turmas 2014.2'!$V:$V,$F$5,'[2]turmas 2014.2'!$C:$C,'CRÉDITOS POR CENTRO'!$B194))</f>
        <v>#VALUE!</v>
      </c>
      <c r="G194" s="39" t="e">
        <f t="shared" si="9"/>
        <v>#VALUE!</v>
      </c>
      <c r="H194" s="38" t="e">
        <f>(SUMIFS('[2]turmas 2014.2'!$N:$N,'[2]turmas 2014.2'!$R:$R,$H$5,'[2]turmas 2014.2'!$A:$A,A194)+SUMIFS('[2]turmas 2014.2'!$O:$O,'[2]turmas 2014.2'!$V:$V,$H$5,'[2]turmas 2014.2'!$A:$A,'CRÉDITOS POR CENTRO'!$A194))</f>
        <v>#VALUE!</v>
      </c>
      <c r="I194" s="39" t="e">
        <f t="shared" si="10"/>
        <v>#VALUE!</v>
      </c>
      <c r="J194" s="38" t="e">
        <f t="shared" si="11"/>
        <v>#VALUE!</v>
      </c>
    </row>
    <row r="195" spans="1:10" ht="15">
      <c r="A195" s="269" t="s">
        <v>4683</v>
      </c>
      <c r="B195" s="269" t="s">
        <v>4684</v>
      </c>
      <c r="C195" s="38" t="e">
        <f>SUMIF('[2]turmas 2014.2'!A:A,$A195,'[2]turmas 2014.2'!N:N)+SUMIF('[2]turmas 2014.2'!A:A,$A195,'[2]turmas 2014.2'!O:O)</f>
        <v>#VALUE!</v>
      </c>
      <c r="D195" s="38" t="e">
        <f>(SUMIFS('[2]turmas 2014.2'!$N:$N,'[2]turmas 2014.2'!$R:$R,$D$5,'[2]turmas 2014.2'!$C:$C,B195)+SUMIFS('[2]turmas 2014.2'!$O:$O,'[2]turmas 2014.2'!$V:$V,$D$5,'[2]turmas 2014.2'!$C:$C,'CRÉDITOS POR CENTRO'!$B195))</f>
        <v>#VALUE!</v>
      </c>
      <c r="E195" s="39" t="e">
        <f t="shared" si="8"/>
        <v>#VALUE!</v>
      </c>
      <c r="F195" s="38" t="e">
        <f>(SUMIFS('[2]turmas 2014.2'!$N:$N,'[2]turmas 2014.2'!$R:$R,$F$5,'[2]turmas 2014.2'!$C:$C,B195)+SUMIFS('[2]turmas 2014.2'!$O:$O,'[2]turmas 2014.2'!$V:$V,$F$5,'[2]turmas 2014.2'!$C:$C,'CRÉDITOS POR CENTRO'!$B195))</f>
        <v>#VALUE!</v>
      </c>
      <c r="G195" s="39" t="e">
        <f t="shared" si="9"/>
        <v>#VALUE!</v>
      </c>
      <c r="H195" s="38" t="e">
        <f>(SUMIFS('[2]turmas 2014.2'!$N:$N,'[2]turmas 2014.2'!$R:$R,$H$5,'[2]turmas 2014.2'!$A:$A,A195)+SUMIFS('[2]turmas 2014.2'!$O:$O,'[2]turmas 2014.2'!$V:$V,$H$5,'[2]turmas 2014.2'!$A:$A,'CRÉDITOS POR CENTRO'!$A195))</f>
        <v>#VALUE!</v>
      </c>
      <c r="I195" s="39" t="e">
        <f t="shared" si="10"/>
        <v>#VALUE!</v>
      </c>
      <c r="J195" s="38" t="e">
        <f t="shared" si="11"/>
        <v>#VALUE!</v>
      </c>
    </row>
    <row r="196" spans="1:10" ht="15">
      <c r="A196" s="269" t="s">
        <v>4685</v>
      </c>
      <c r="B196" s="269" t="s">
        <v>4686</v>
      </c>
      <c r="C196" s="38" t="e">
        <f>SUMIF('[2]turmas 2014.2'!A:A,$A196,'[2]turmas 2014.2'!N:N)+SUMIF('[2]turmas 2014.2'!A:A,$A196,'[2]turmas 2014.2'!O:O)</f>
        <v>#VALUE!</v>
      </c>
      <c r="D196" s="38" t="e">
        <f>(SUMIFS('[2]turmas 2014.2'!$N:$N,'[2]turmas 2014.2'!$R:$R,$D$5,'[2]turmas 2014.2'!$C:$C,B196)+SUMIFS('[2]turmas 2014.2'!$O:$O,'[2]turmas 2014.2'!$V:$V,$D$5,'[2]turmas 2014.2'!$C:$C,'CRÉDITOS POR CENTRO'!$B196))</f>
        <v>#VALUE!</v>
      </c>
      <c r="E196" s="39" t="e">
        <f t="shared" si="8"/>
        <v>#VALUE!</v>
      </c>
      <c r="F196" s="38" t="e">
        <f>(SUMIFS('[2]turmas 2014.2'!$N:$N,'[2]turmas 2014.2'!$R:$R,$F$5,'[2]turmas 2014.2'!$C:$C,B196)+SUMIFS('[2]turmas 2014.2'!$O:$O,'[2]turmas 2014.2'!$V:$V,$F$5,'[2]turmas 2014.2'!$C:$C,'CRÉDITOS POR CENTRO'!$B196))</f>
        <v>#VALUE!</v>
      </c>
      <c r="G196" s="39" t="e">
        <f t="shared" si="9"/>
        <v>#VALUE!</v>
      </c>
      <c r="H196" s="38" t="e">
        <f>(SUMIFS('[2]turmas 2014.2'!$N:$N,'[2]turmas 2014.2'!$R:$R,$H$5,'[2]turmas 2014.2'!$A:$A,A196)+SUMIFS('[2]turmas 2014.2'!$O:$O,'[2]turmas 2014.2'!$V:$V,$H$5,'[2]turmas 2014.2'!$A:$A,'CRÉDITOS POR CENTRO'!$A196))</f>
        <v>#VALUE!</v>
      </c>
      <c r="I196" s="39" t="e">
        <f t="shared" si="10"/>
        <v>#VALUE!</v>
      </c>
      <c r="J196" s="38" t="e">
        <f t="shared" si="11"/>
        <v>#VALUE!</v>
      </c>
    </row>
    <row r="197" spans="1:10" ht="15">
      <c r="A197" s="269" t="s">
        <v>4687</v>
      </c>
      <c r="B197" s="269" t="s">
        <v>4688</v>
      </c>
      <c r="C197" s="38" t="e">
        <f>SUMIF('[2]turmas 2014.2'!A:A,$A197,'[2]turmas 2014.2'!N:N)+SUMIF('[2]turmas 2014.2'!A:A,$A197,'[2]turmas 2014.2'!O:O)</f>
        <v>#VALUE!</v>
      </c>
      <c r="D197" s="38" t="e">
        <f>(SUMIFS('[2]turmas 2014.2'!$N:$N,'[2]turmas 2014.2'!$R:$R,$D$5,'[2]turmas 2014.2'!$C:$C,B197)+SUMIFS('[2]turmas 2014.2'!$O:$O,'[2]turmas 2014.2'!$V:$V,$D$5,'[2]turmas 2014.2'!$C:$C,'CRÉDITOS POR CENTRO'!$B197))</f>
        <v>#VALUE!</v>
      </c>
      <c r="E197" s="39" t="e">
        <f t="shared" si="8"/>
        <v>#VALUE!</v>
      </c>
      <c r="F197" s="38" t="e">
        <f>(SUMIFS('[2]turmas 2014.2'!$N:$N,'[2]turmas 2014.2'!$R:$R,$F$5,'[2]turmas 2014.2'!$C:$C,B197)+SUMIFS('[2]turmas 2014.2'!$O:$O,'[2]turmas 2014.2'!$V:$V,$F$5,'[2]turmas 2014.2'!$C:$C,'CRÉDITOS POR CENTRO'!$B197))</f>
        <v>#VALUE!</v>
      </c>
      <c r="G197" s="39" t="e">
        <f t="shared" si="9"/>
        <v>#VALUE!</v>
      </c>
      <c r="H197" s="38" t="e">
        <f>(SUMIFS('[2]turmas 2014.2'!$N:$N,'[2]turmas 2014.2'!$R:$R,$H$5,'[2]turmas 2014.2'!$A:$A,A197)+SUMIFS('[2]turmas 2014.2'!$O:$O,'[2]turmas 2014.2'!$V:$V,$H$5,'[2]turmas 2014.2'!$A:$A,'CRÉDITOS POR CENTRO'!$A197))</f>
        <v>#VALUE!</v>
      </c>
      <c r="I197" s="39" t="e">
        <f t="shared" si="10"/>
        <v>#VALUE!</v>
      </c>
      <c r="J197" s="38" t="e">
        <f t="shared" si="11"/>
        <v>#VALUE!</v>
      </c>
    </row>
    <row r="198" spans="1:10" ht="15">
      <c r="A198" s="269" t="s">
        <v>4689</v>
      </c>
      <c r="B198" s="269" t="s">
        <v>4690</v>
      </c>
      <c r="C198" s="38" t="e">
        <f>SUMIF('[2]turmas 2014.2'!A:A,$A198,'[2]turmas 2014.2'!N:N)+SUMIF('[2]turmas 2014.2'!A:A,$A198,'[2]turmas 2014.2'!O:O)</f>
        <v>#VALUE!</v>
      </c>
      <c r="D198" s="38" t="e">
        <f>(SUMIFS('[2]turmas 2014.2'!$N:$N,'[2]turmas 2014.2'!$R:$R,$D$5,'[2]turmas 2014.2'!$C:$C,B198)+SUMIFS('[2]turmas 2014.2'!$O:$O,'[2]turmas 2014.2'!$V:$V,$D$5,'[2]turmas 2014.2'!$C:$C,'CRÉDITOS POR CENTRO'!$B198))</f>
        <v>#VALUE!</v>
      </c>
      <c r="E198" s="39" t="e">
        <f t="shared" si="8"/>
        <v>#VALUE!</v>
      </c>
      <c r="F198" s="38" t="e">
        <f>(SUMIFS('[2]turmas 2014.2'!$N:$N,'[2]turmas 2014.2'!$R:$R,$F$5,'[2]turmas 2014.2'!$C:$C,B198)+SUMIFS('[2]turmas 2014.2'!$O:$O,'[2]turmas 2014.2'!$V:$V,$F$5,'[2]turmas 2014.2'!$C:$C,'CRÉDITOS POR CENTRO'!$B198))</f>
        <v>#VALUE!</v>
      </c>
      <c r="G198" s="39" t="e">
        <f t="shared" si="9"/>
        <v>#VALUE!</v>
      </c>
      <c r="H198" s="38" t="e">
        <f>(SUMIFS('[2]turmas 2014.2'!$N:$N,'[2]turmas 2014.2'!$R:$R,$H$5,'[2]turmas 2014.2'!$A:$A,A198)+SUMIFS('[2]turmas 2014.2'!$O:$O,'[2]turmas 2014.2'!$V:$V,$H$5,'[2]turmas 2014.2'!$A:$A,'CRÉDITOS POR CENTRO'!$A198))</f>
        <v>#VALUE!</v>
      </c>
      <c r="I198" s="39" t="e">
        <f t="shared" si="10"/>
        <v>#VALUE!</v>
      </c>
      <c r="J198" s="38" t="e">
        <f t="shared" si="11"/>
        <v>#VALUE!</v>
      </c>
    </row>
    <row r="199" spans="1:10" ht="15">
      <c r="A199" s="269" t="s">
        <v>4691</v>
      </c>
      <c r="B199" s="269" t="s">
        <v>4692</v>
      </c>
      <c r="C199" s="38" t="e">
        <f>SUMIF('[2]turmas 2014.2'!A:A,$A199,'[2]turmas 2014.2'!N:N)+SUMIF('[2]turmas 2014.2'!A:A,$A199,'[2]turmas 2014.2'!O:O)</f>
        <v>#VALUE!</v>
      </c>
      <c r="D199" s="38" t="e">
        <f>(SUMIFS('[2]turmas 2014.2'!$N:$N,'[2]turmas 2014.2'!$R:$R,$D$5,'[2]turmas 2014.2'!$C:$C,B199)+SUMIFS('[2]turmas 2014.2'!$O:$O,'[2]turmas 2014.2'!$V:$V,$D$5,'[2]turmas 2014.2'!$C:$C,'CRÉDITOS POR CENTRO'!$B199))</f>
        <v>#VALUE!</v>
      </c>
      <c r="E199" s="39" t="e">
        <f t="shared" ref="E199:E262" si="12">D199/C199</f>
        <v>#VALUE!</v>
      </c>
      <c r="F199" s="38" t="e">
        <f>(SUMIFS('[2]turmas 2014.2'!$N:$N,'[2]turmas 2014.2'!$R:$R,$F$5,'[2]turmas 2014.2'!$C:$C,B199)+SUMIFS('[2]turmas 2014.2'!$O:$O,'[2]turmas 2014.2'!$V:$V,$F$5,'[2]turmas 2014.2'!$C:$C,'CRÉDITOS POR CENTRO'!$B199))</f>
        <v>#VALUE!</v>
      </c>
      <c r="G199" s="39" t="e">
        <f t="shared" ref="G199:G262" si="13">F199/C199</f>
        <v>#VALUE!</v>
      </c>
      <c r="H199" s="38" t="e">
        <f>(SUMIFS('[2]turmas 2014.2'!$N:$N,'[2]turmas 2014.2'!$R:$R,$H$5,'[2]turmas 2014.2'!$A:$A,A199)+SUMIFS('[2]turmas 2014.2'!$O:$O,'[2]turmas 2014.2'!$V:$V,$H$5,'[2]turmas 2014.2'!$A:$A,'CRÉDITOS POR CENTRO'!$A199))</f>
        <v>#VALUE!</v>
      </c>
      <c r="I199" s="39" t="e">
        <f t="shared" ref="I199:I262" si="14">H199/C199</f>
        <v>#VALUE!</v>
      </c>
      <c r="J199" s="38" t="e">
        <f t="shared" ref="J199:J262" si="15">D199+F199+H199-C199</f>
        <v>#VALUE!</v>
      </c>
    </row>
    <row r="200" spans="1:10" ht="15">
      <c r="A200" s="269" t="s">
        <v>4693</v>
      </c>
      <c r="B200" s="269" t="s">
        <v>4694</v>
      </c>
      <c r="C200" s="38" t="e">
        <f>SUMIF('[2]turmas 2014.2'!A:A,$A200,'[2]turmas 2014.2'!N:N)+SUMIF('[2]turmas 2014.2'!A:A,$A200,'[2]turmas 2014.2'!O:O)</f>
        <v>#VALUE!</v>
      </c>
      <c r="D200" s="38" t="e">
        <f>(SUMIFS('[2]turmas 2014.2'!$N:$N,'[2]turmas 2014.2'!$R:$R,$D$5,'[2]turmas 2014.2'!$C:$C,B200)+SUMIFS('[2]turmas 2014.2'!$O:$O,'[2]turmas 2014.2'!$V:$V,$D$5,'[2]turmas 2014.2'!$C:$C,'CRÉDITOS POR CENTRO'!$B200))</f>
        <v>#VALUE!</v>
      </c>
      <c r="E200" s="39" t="e">
        <f t="shared" si="12"/>
        <v>#VALUE!</v>
      </c>
      <c r="F200" s="38" t="e">
        <f>(SUMIFS('[2]turmas 2014.2'!$N:$N,'[2]turmas 2014.2'!$R:$R,$F$5,'[2]turmas 2014.2'!$C:$C,B200)+SUMIFS('[2]turmas 2014.2'!$O:$O,'[2]turmas 2014.2'!$V:$V,$F$5,'[2]turmas 2014.2'!$C:$C,'CRÉDITOS POR CENTRO'!$B200))</f>
        <v>#VALUE!</v>
      </c>
      <c r="G200" s="39" t="e">
        <f t="shared" si="13"/>
        <v>#VALUE!</v>
      </c>
      <c r="H200" s="38" t="e">
        <f>(SUMIFS('[2]turmas 2014.2'!$N:$N,'[2]turmas 2014.2'!$R:$R,$H$5,'[2]turmas 2014.2'!$A:$A,A200)+SUMIFS('[2]turmas 2014.2'!$O:$O,'[2]turmas 2014.2'!$V:$V,$H$5,'[2]turmas 2014.2'!$A:$A,'CRÉDITOS POR CENTRO'!$A200))</f>
        <v>#VALUE!</v>
      </c>
      <c r="I200" s="39" t="e">
        <f t="shared" si="14"/>
        <v>#VALUE!</v>
      </c>
      <c r="J200" s="38" t="e">
        <f t="shared" si="15"/>
        <v>#VALUE!</v>
      </c>
    </row>
    <row r="201" spans="1:10" ht="15">
      <c r="A201" s="269" t="s">
        <v>4695</v>
      </c>
      <c r="B201" s="269" t="s">
        <v>4696</v>
      </c>
      <c r="C201" s="38" t="e">
        <f>SUMIF('[2]turmas 2014.2'!A:A,$A201,'[2]turmas 2014.2'!N:N)+SUMIF('[2]turmas 2014.2'!A:A,$A201,'[2]turmas 2014.2'!O:O)</f>
        <v>#VALUE!</v>
      </c>
      <c r="D201" s="38" t="e">
        <f>(SUMIFS('[2]turmas 2014.2'!$N:$N,'[2]turmas 2014.2'!$R:$R,$D$5,'[2]turmas 2014.2'!$C:$C,B201)+SUMIFS('[2]turmas 2014.2'!$O:$O,'[2]turmas 2014.2'!$V:$V,$D$5,'[2]turmas 2014.2'!$C:$C,'CRÉDITOS POR CENTRO'!$B201))</f>
        <v>#VALUE!</v>
      </c>
      <c r="E201" s="39">
        <v>0</v>
      </c>
      <c r="F201" s="38" t="e">
        <f>(SUMIFS('[2]turmas 2014.2'!$N:$N,'[2]turmas 2014.2'!$R:$R,$F$5,'[2]turmas 2014.2'!$C:$C,B201)+SUMIFS('[2]turmas 2014.2'!$O:$O,'[2]turmas 2014.2'!$V:$V,$F$5,'[2]turmas 2014.2'!$C:$C,'CRÉDITOS POR CENTRO'!$B201))</f>
        <v>#VALUE!</v>
      </c>
      <c r="G201" s="39">
        <v>0</v>
      </c>
      <c r="H201" s="38" t="e">
        <f>(SUMIFS('[2]turmas 2014.2'!$N:$N,'[2]turmas 2014.2'!$R:$R,$H$5,'[2]turmas 2014.2'!$A:$A,A201)+SUMIFS('[2]turmas 2014.2'!$O:$O,'[2]turmas 2014.2'!$V:$V,$H$5,'[2]turmas 2014.2'!$A:$A,'CRÉDITOS POR CENTRO'!$A201))</f>
        <v>#VALUE!</v>
      </c>
      <c r="I201" s="39">
        <v>0</v>
      </c>
      <c r="J201" s="38" t="e">
        <f t="shared" si="15"/>
        <v>#VALUE!</v>
      </c>
    </row>
    <row r="202" spans="1:10" ht="15">
      <c r="A202" s="269" t="s">
        <v>4697</v>
      </c>
      <c r="B202" s="269" t="s">
        <v>4698</v>
      </c>
      <c r="C202" s="38" t="e">
        <f>SUMIF('[2]turmas 2014.2'!A:A,$A202,'[2]turmas 2014.2'!N:N)+SUMIF('[2]turmas 2014.2'!A:A,$A202,'[2]turmas 2014.2'!O:O)</f>
        <v>#VALUE!</v>
      </c>
      <c r="D202" s="38" t="e">
        <f>(SUMIFS('[2]turmas 2014.2'!$N:$N,'[2]turmas 2014.2'!$R:$R,$D$5,'[2]turmas 2014.2'!$C:$C,B202)+SUMIFS('[2]turmas 2014.2'!$O:$O,'[2]turmas 2014.2'!$V:$V,$D$5,'[2]turmas 2014.2'!$C:$C,'CRÉDITOS POR CENTRO'!$B202))</f>
        <v>#VALUE!</v>
      </c>
      <c r="E202" s="39">
        <v>0</v>
      </c>
      <c r="F202" s="38" t="e">
        <f>(SUMIFS('[2]turmas 2014.2'!$N:$N,'[2]turmas 2014.2'!$R:$R,$F$5,'[2]turmas 2014.2'!$C:$C,B202)+SUMIFS('[2]turmas 2014.2'!$O:$O,'[2]turmas 2014.2'!$V:$V,$F$5,'[2]turmas 2014.2'!$C:$C,'CRÉDITOS POR CENTRO'!$B202))</f>
        <v>#VALUE!</v>
      </c>
      <c r="G202" s="39">
        <v>0</v>
      </c>
      <c r="H202" s="38" t="e">
        <f>(SUMIFS('[2]turmas 2014.2'!$N:$N,'[2]turmas 2014.2'!$R:$R,$H$5,'[2]turmas 2014.2'!$A:$A,A202)+SUMIFS('[2]turmas 2014.2'!$O:$O,'[2]turmas 2014.2'!$V:$V,$H$5,'[2]turmas 2014.2'!$A:$A,'CRÉDITOS POR CENTRO'!$A202))</f>
        <v>#VALUE!</v>
      </c>
      <c r="I202" s="39">
        <v>0</v>
      </c>
      <c r="J202" s="38" t="e">
        <f t="shared" si="15"/>
        <v>#VALUE!</v>
      </c>
    </row>
    <row r="203" spans="1:10" ht="15">
      <c r="A203" s="269" t="s">
        <v>4699</v>
      </c>
      <c r="B203" s="269" t="s">
        <v>4700</v>
      </c>
      <c r="C203" s="38" t="e">
        <f>SUMIF('[2]turmas 2014.2'!A:A,$A203,'[2]turmas 2014.2'!N:N)+SUMIF('[2]turmas 2014.2'!A:A,$A203,'[2]turmas 2014.2'!O:O)</f>
        <v>#VALUE!</v>
      </c>
      <c r="D203" s="38" t="e">
        <f>(SUMIFS('[2]turmas 2014.2'!$N:$N,'[2]turmas 2014.2'!$R:$R,$D$5,'[2]turmas 2014.2'!$C:$C,B203)+SUMIFS('[2]turmas 2014.2'!$O:$O,'[2]turmas 2014.2'!$V:$V,$D$5,'[2]turmas 2014.2'!$C:$C,'CRÉDITOS POR CENTRO'!$B203))</f>
        <v>#VALUE!</v>
      </c>
      <c r="E203" s="39" t="e">
        <f t="shared" si="12"/>
        <v>#VALUE!</v>
      </c>
      <c r="F203" s="38" t="e">
        <f>(SUMIFS('[2]turmas 2014.2'!$N:$N,'[2]turmas 2014.2'!$R:$R,$F$5,'[2]turmas 2014.2'!$C:$C,B203)+SUMIFS('[2]turmas 2014.2'!$O:$O,'[2]turmas 2014.2'!$V:$V,$F$5,'[2]turmas 2014.2'!$C:$C,'CRÉDITOS POR CENTRO'!$B203))</f>
        <v>#VALUE!</v>
      </c>
      <c r="G203" s="39" t="e">
        <f t="shared" si="13"/>
        <v>#VALUE!</v>
      </c>
      <c r="H203" s="38" t="e">
        <f>(SUMIFS('[2]turmas 2014.2'!$N:$N,'[2]turmas 2014.2'!$R:$R,$H$5,'[2]turmas 2014.2'!$A:$A,A203)+SUMIFS('[2]turmas 2014.2'!$O:$O,'[2]turmas 2014.2'!$V:$V,$H$5,'[2]turmas 2014.2'!$A:$A,'CRÉDITOS POR CENTRO'!$A203))</f>
        <v>#VALUE!</v>
      </c>
      <c r="I203" s="39" t="e">
        <f t="shared" si="14"/>
        <v>#VALUE!</v>
      </c>
      <c r="J203" s="38" t="e">
        <f t="shared" si="15"/>
        <v>#VALUE!</v>
      </c>
    </row>
    <row r="204" spans="1:10" ht="15">
      <c r="A204" s="269" t="s">
        <v>4701</v>
      </c>
      <c r="B204" s="269" t="s">
        <v>4702</v>
      </c>
      <c r="C204" s="38" t="e">
        <f>SUMIF('[2]turmas 2014.2'!A:A,$A204,'[2]turmas 2014.2'!N:N)+SUMIF('[2]turmas 2014.2'!A:A,$A204,'[2]turmas 2014.2'!O:O)</f>
        <v>#VALUE!</v>
      </c>
      <c r="D204" s="38" t="e">
        <f>(SUMIFS('[2]turmas 2014.2'!$N:$N,'[2]turmas 2014.2'!$R:$R,$D$5,'[2]turmas 2014.2'!$C:$C,B204)+SUMIFS('[2]turmas 2014.2'!$O:$O,'[2]turmas 2014.2'!$V:$V,$D$5,'[2]turmas 2014.2'!$C:$C,'CRÉDITOS POR CENTRO'!$B204))</f>
        <v>#VALUE!</v>
      </c>
      <c r="E204" s="39" t="e">
        <f t="shared" si="12"/>
        <v>#VALUE!</v>
      </c>
      <c r="F204" s="38" t="e">
        <f>(SUMIFS('[2]turmas 2014.2'!$N:$N,'[2]turmas 2014.2'!$R:$R,$F$5,'[2]turmas 2014.2'!$C:$C,B204)+SUMIFS('[2]turmas 2014.2'!$O:$O,'[2]turmas 2014.2'!$V:$V,$F$5,'[2]turmas 2014.2'!$C:$C,'CRÉDITOS POR CENTRO'!$B204))</f>
        <v>#VALUE!</v>
      </c>
      <c r="G204" s="39" t="e">
        <f t="shared" si="13"/>
        <v>#VALUE!</v>
      </c>
      <c r="H204" s="38" t="e">
        <f>(SUMIFS('[2]turmas 2014.2'!$N:$N,'[2]turmas 2014.2'!$R:$R,$H$5,'[2]turmas 2014.2'!$A:$A,A204)+SUMIFS('[2]turmas 2014.2'!$O:$O,'[2]turmas 2014.2'!$V:$V,$H$5,'[2]turmas 2014.2'!$A:$A,'CRÉDITOS POR CENTRO'!$A204))</f>
        <v>#VALUE!</v>
      </c>
      <c r="I204" s="39" t="e">
        <f t="shared" si="14"/>
        <v>#VALUE!</v>
      </c>
      <c r="J204" s="38" t="e">
        <f t="shared" si="15"/>
        <v>#VALUE!</v>
      </c>
    </row>
    <row r="205" spans="1:10" ht="15">
      <c r="A205" s="269" t="s">
        <v>4703</v>
      </c>
      <c r="B205" s="269" t="s">
        <v>4704</v>
      </c>
      <c r="C205" s="38" t="e">
        <f>SUMIF('[2]turmas 2014.2'!A:A,$A205,'[2]turmas 2014.2'!N:N)+SUMIF('[2]turmas 2014.2'!A:A,$A205,'[2]turmas 2014.2'!O:O)</f>
        <v>#VALUE!</v>
      </c>
      <c r="D205" s="38" t="e">
        <f>(SUMIFS('[2]turmas 2014.2'!$N:$N,'[2]turmas 2014.2'!$R:$R,$D$5,'[2]turmas 2014.2'!$C:$C,B205)+SUMIFS('[2]turmas 2014.2'!$O:$O,'[2]turmas 2014.2'!$V:$V,$D$5,'[2]turmas 2014.2'!$C:$C,'CRÉDITOS POR CENTRO'!$B205))</f>
        <v>#VALUE!</v>
      </c>
      <c r="E205" s="39" t="e">
        <f t="shared" si="12"/>
        <v>#VALUE!</v>
      </c>
      <c r="F205" s="38" t="e">
        <f>(SUMIFS('[2]turmas 2014.2'!$N:$N,'[2]turmas 2014.2'!$R:$R,$F$5,'[2]turmas 2014.2'!$C:$C,B205)+SUMIFS('[2]turmas 2014.2'!$O:$O,'[2]turmas 2014.2'!$V:$V,$F$5,'[2]turmas 2014.2'!$C:$C,'CRÉDITOS POR CENTRO'!$B205))</f>
        <v>#VALUE!</v>
      </c>
      <c r="G205" s="39" t="e">
        <f t="shared" si="13"/>
        <v>#VALUE!</v>
      </c>
      <c r="H205" s="38" t="e">
        <f>(SUMIFS('[2]turmas 2014.2'!$N:$N,'[2]turmas 2014.2'!$R:$R,$H$5,'[2]turmas 2014.2'!$A:$A,A205)+SUMIFS('[2]turmas 2014.2'!$O:$O,'[2]turmas 2014.2'!$V:$V,$H$5,'[2]turmas 2014.2'!$A:$A,'CRÉDITOS POR CENTRO'!$A205))</f>
        <v>#VALUE!</v>
      </c>
      <c r="I205" s="39" t="e">
        <f t="shared" si="14"/>
        <v>#VALUE!</v>
      </c>
      <c r="J205" s="38" t="e">
        <f t="shared" si="15"/>
        <v>#VALUE!</v>
      </c>
    </row>
    <row r="206" spans="1:10" ht="15">
      <c r="A206" s="269" t="s">
        <v>4705</v>
      </c>
      <c r="B206" s="269" t="s">
        <v>4706</v>
      </c>
      <c r="C206" s="38" t="e">
        <f>SUMIF('[2]turmas 2014.2'!A:A,$A206,'[2]turmas 2014.2'!N:N)+SUMIF('[2]turmas 2014.2'!A:A,$A206,'[2]turmas 2014.2'!O:O)</f>
        <v>#VALUE!</v>
      </c>
      <c r="D206" s="38" t="e">
        <f>(SUMIFS('[2]turmas 2014.2'!$N:$N,'[2]turmas 2014.2'!$R:$R,$D$5,'[2]turmas 2014.2'!$C:$C,B206)+SUMIFS('[2]turmas 2014.2'!$O:$O,'[2]turmas 2014.2'!$V:$V,$D$5,'[2]turmas 2014.2'!$C:$C,'CRÉDITOS POR CENTRO'!$B206))</f>
        <v>#VALUE!</v>
      </c>
      <c r="E206" s="39" t="e">
        <f t="shared" si="12"/>
        <v>#VALUE!</v>
      </c>
      <c r="F206" s="38" t="e">
        <f>(SUMIFS('[2]turmas 2014.2'!$N:$N,'[2]turmas 2014.2'!$R:$R,$F$5,'[2]turmas 2014.2'!$C:$C,B206)+SUMIFS('[2]turmas 2014.2'!$O:$O,'[2]turmas 2014.2'!$V:$V,$F$5,'[2]turmas 2014.2'!$C:$C,'CRÉDITOS POR CENTRO'!$B206))</f>
        <v>#VALUE!</v>
      </c>
      <c r="G206" s="39" t="e">
        <f t="shared" si="13"/>
        <v>#VALUE!</v>
      </c>
      <c r="H206" s="38" t="e">
        <f>(SUMIFS('[2]turmas 2014.2'!$N:$N,'[2]turmas 2014.2'!$R:$R,$H$5,'[2]turmas 2014.2'!$A:$A,A206)+SUMIFS('[2]turmas 2014.2'!$O:$O,'[2]turmas 2014.2'!$V:$V,$H$5,'[2]turmas 2014.2'!$A:$A,'CRÉDITOS POR CENTRO'!$A206))</f>
        <v>#VALUE!</v>
      </c>
      <c r="I206" s="39" t="e">
        <f t="shared" si="14"/>
        <v>#VALUE!</v>
      </c>
      <c r="J206" s="38" t="e">
        <f t="shared" si="15"/>
        <v>#VALUE!</v>
      </c>
    </row>
    <row r="207" spans="1:10" ht="15">
      <c r="A207" s="269" t="s">
        <v>4707</v>
      </c>
      <c r="B207" s="269" t="s">
        <v>4708</v>
      </c>
      <c r="C207" s="38" t="e">
        <f>SUMIF('[2]turmas 2014.2'!A:A,$A207,'[2]turmas 2014.2'!N:N)+SUMIF('[2]turmas 2014.2'!A:A,$A207,'[2]turmas 2014.2'!O:O)</f>
        <v>#VALUE!</v>
      </c>
      <c r="D207" s="38" t="e">
        <f>(SUMIFS('[2]turmas 2014.2'!$N:$N,'[2]turmas 2014.2'!$R:$R,$D$5,'[2]turmas 2014.2'!$C:$C,B207)+SUMIFS('[2]turmas 2014.2'!$O:$O,'[2]turmas 2014.2'!$V:$V,$D$5,'[2]turmas 2014.2'!$C:$C,'CRÉDITOS POR CENTRO'!$B207))</f>
        <v>#VALUE!</v>
      </c>
      <c r="E207" s="39" t="e">
        <f t="shared" si="12"/>
        <v>#VALUE!</v>
      </c>
      <c r="F207" s="38" t="e">
        <f>(SUMIFS('[2]turmas 2014.2'!$N:$N,'[2]turmas 2014.2'!$R:$R,$F$5,'[2]turmas 2014.2'!$C:$C,B207)+SUMIFS('[2]turmas 2014.2'!$O:$O,'[2]turmas 2014.2'!$V:$V,$F$5,'[2]turmas 2014.2'!$C:$C,'CRÉDITOS POR CENTRO'!$B207))</f>
        <v>#VALUE!</v>
      </c>
      <c r="G207" s="39" t="e">
        <f t="shared" si="13"/>
        <v>#VALUE!</v>
      </c>
      <c r="H207" s="38" t="e">
        <f>(SUMIFS('[2]turmas 2014.2'!$N:$N,'[2]turmas 2014.2'!$R:$R,$H$5,'[2]turmas 2014.2'!$A:$A,A207)+SUMIFS('[2]turmas 2014.2'!$O:$O,'[2]turmas 2014.2'!$V:$V,$H$5,'[2]turmas 2014.2'!$A:$A,'CRÉDITOS POR CENTRO'!$A207))</f>
        <v>#VALUE!</v>
      </c>
      <c r="I207" s="39" t="e">
        <f t="shared" si="14"/>
        <v>#VALUE!</v>
      </c>
      <c r="J207" s="38" t="e">
        <f t="shared" si="15"/>
        <v>#VALUE!</v>
      </c>
    </row>
    <row r="208" spans="1:10" ht="15">
      <c r="A208" s="269" t="s">
        <v>4709</v>
      </c>
      <c r="B208" s="269" t="s">
        <v>4710</v>
      </c>
      <c r="C208" s="38" t="e">
        <f>SUMIF('[2]turmas 2014.2'!A:A,$A208,'[2]turmas 2014.2'!N:N)+SUMIF('[2]turmas 2014.2'!A:A,$A208,'[2]turmas 2014.2'!O:O)</f>
        <v>#VALUE!</v>
      </c>
      <c r="D208" s="38" t="e">
        <f>(SUMIFS('[2]turmas 2014.2'!$N:$N,'[2]turmas 2014.2'!$R:$R,$D$5,'[2]turmas 2014.2'!$C:$C,B208)+SUMIFS('[2]turmas 2014.2'!$O:$O,'[2]turmas 2014.2'!$V:$V,$D$5,'[2]turmas 2014.2'!$C:$C,'CRÉDITOS POR CENTRO'!$B208))</f>
        <v>#VALUE!</v>
      </c>
      <c r="E208" s="39" t="e">
        <f t="shared" si="12"/>
        <v>#VALUE!</v>
      </c>
      <c r="F208" s="38" t="e">
        <f>(SUMIFS('[2]turmas 2014.2'!$N:$N,'[2]turmas 2014.2'!$R:$R,$F$5,'[2]turmas 2014.2'!$C:$C,B208)+SUMIFS('[2]turmas 2014.2'!$O:$O,'[2]turmas 2014.2'!$V:$V,$F$5,'[2]turmas 2014.2'!$C:$C,'CRÉDITOS POR CENTRO'!$B208))</f>
        <v>#VALUE!</v>
      </c>
      <c r="G208" s="39" t="e">
        <f t="shared" si="13"/>
        <v>#VALUE!</v>
      </c>
      <c r="H208" s="38" t="e">
        <f>(SUMIFS('[2]turmas 2014.2'!$N:$N,'[2]turmas 2014.2'!$R:$R,$H$5,'[2]turmas 2014.2'!$A:$A,A208)+SUMIFS('[2]turmas 2014.2'!$O:$O,'[2]turmas 2014.2'!$V:$V,$H$5,'[2]turmas 2014.2'!$A:$A,'CRÉDITOS POR CENTRO'!$A208))</f>
        <v>#VALUE!</v>
      </c>
      <c r="I208" s="39" t="e">
        <f t="shared" si="14"/>
        <v>#VALUE!</v>
      </c>
      <c r="J208" s="38" t="e">
        <f t="shared" si="15"/>
        <v>#VALUE!</v>
      </c>
    </row>
    <row r="209" spans="1:10" ht="15">
      <c r="A209" s="269" t="s">
        <v>2876</v>
      </c>
      <c r="B209" s="269" t="s">
        <v>2877</v>
      </c>
      <c r="C209" s="38" t="e">
        <f>SUMIF('[2]turmas 2014.2'!A:A,$A209,'[2]turmas 2014.2'!N:N)+SUMIF('[2]turmas 2014.2'!A:A,$A209,'[2]turmas 2014.2'!O:O)</f>
        <v>#VALUE!</v>
      </c>
      <c r="D209" s="38" t="e">
        <f>(SUMIFS('[2]turmas 2014.2'!$N:$N,'[2]turmas 2014.2'!$R:$R,$D$5,'[2]turmas 2014.2'!$C:$C,B209)+SUMIFS('[2]turmas 2014.2'!$O:$O,'[2]turmas 2014.2'!$V:$V,$D$5,'[2]turmas 2014.2'!$C:$C,'CRÉDITOS POR CENTRO'!$B209))</f>
        <v>#VALUE!</v>
      </c>
      <c r="E209" s="39" t="e">
        <f t="shared" si="12"/>
        <v>#VALUE!</v>
      </c>
      <c r="F209" s="38" t="e">
        <f>(SUMIFS('[2]turmas 2014.2'!$N:$N,'[2]turmas 2014.2'!$R:$R,$F$5,'[2]turmas 2014.2'!$C:$C,B209)+SUMIFS('[2]turmas 2014.2'!$O:$O,'[2]turmas 2014.2'!$V:$V,$F$5,'[2]turmas 2014.2'!$C:$C,'CRÉDITOS POR CENTRO'!$B209))</f>
        <v>#VALUE!</v>
      </c>
      <c r="G209" s="39" t="e">
        <f t="shared" si="13"/>
        <v>#VALUE!</v>
      </c>
      <c r="H209" s="38" t="e">
        <f>(SUMIFS('[2]turmas 2014.2'!$N:$N,'[2]turmas 2014.2'!$R:$R,$H$5,'[2]turmas 2014.2'!$A:$A,A209)+SUMIFS('[2]turmas 2014.2'!$O:$O,'[2]turmas 2014.2'!$V:$V,$H$5,'[2]turmas 2014.2'!$A:$A,'CRÉDITOS POR CENTRO'!$A209))</f>
        <v>#VALUE!</v>
      </c>
      <c r="I209" s="39" t="e">
        <f t="shared" si="14"/>
        <v>#VALUE!</v>
      </c>
      <c r="J209" s="38" t="e">
        <f t="shared" si="15"/>
        <v>#VALUE!</v>
      </c>
    </row>
    <row r="210" spans="1:10" ht="15">
      <c r="A210" s="269" t="s">
        <v>4711</v>
      </c>
      <c r="B210" s="269" t="s">
        <v>4712</v>
      </c>
      <c r="C210" s="38" t="e">
        <f>SUMIF('[2]turmas 2014.2'!A:A,$A210,'[2]turmas 2014.2'!N:N)+SUMIF('[2]turmas 2014.2'!A:A,$A210,'[2]turmas 2014.2'!O:O)</f>
        <v>#VALUE!</v>
      </c>
      <c r="D210" s="38" t="e">
        <f>(SUMIFS('[2]turmas 2014.2'!$N:$N,'[2]turmas 2014.2'!$R:$R,$D$5,'[2]turmas 2014.2'!$C:$C,B210)+SUMIFS('[2]turmas 2014.2'!$O:$O,'[2]turmas 2014.2'!$V:$V,$D$5,'[2]turmas 2014.2'!$C:$C,'CRÉDITOS POR CENTRO'!$B210))</f>
        <v>#VALUE!</v>
      </c>
      <c r="E210" s="39" t="e">
        <f t="shared" si="12"/>
        <v>#VALUE!</v>
      </c>
      <c r="F210" s="38" t="e">
        <f>(SUMIFS('[2]turmas 2014.2'!$N:$N,'[2]turmas 2014.2'!$R:$R,$F$5,'[2]turmas 2014.2'!$C:$C,B210)+SUMIFS('[2]turmas 2014.2'!$O:$O,'[2]turmas 2014.2'!$V:$V,$F$5,'[2]turmas 2014.2'!$C:$C,'CRÉDITOS POR CENTRO'!$B210))</f>
        <v>#VALUE!</v>
      </c>
      <c r="G210" s="39" t="e">
        <f t="shared" si="13"/>
        <v>#VALUE!</v>
      </c>
      <c r="H210" s="38" t="e">
        <f>(SUMIFS('[2]turmas 2014.2'!$N:$N,'[2]turmas 2014.2'!$R:$R,$H$5,'[2]turmas 2014.2'!$A:$A,A210)+SUMIFS('[2]turmas 2014.2'!$O:$O,'[2]turmas 2014.2'!$V:$V,$H$5,'[2]turmas 2014.2'!$A:$A,'CRÉDITOS POR CENTRO'!$A210))</f>
        <v>#VALUE!</v>
      </c>
      <c r="I210" s="39" t="e">
        <f t="shared" si="14"/>
        <v>#VALUE!</v>
      </c>
      <c r="J210" s="38" t="e">
        <f t="shared" si="15"/>
        <v>#VALUE!</v>
      </c>
    </row>
    <row r="211" spans="1:10" ht="15">
      <c r="A211" s="269" t="s">
        <v>4713</v>
      </c>
      <c r="B211" s="269" t="s">
        <v>4714</v>
      </c>
      <c r="C211" s="38" t="e">
        <f>SUMIF('[2]turmas 2014.2'!A:A,$A211,'[2]turmas 2014.2'!N:N)+SUMIF('[2]turmas 2014.2'!A:A,$A211,'[2]turmas 2014.2'!O:O)</f>
        <v>#VALUE!</v>
      </c>
      <c r="D211" s="38" t="e">
        <f>(SUMIFS('[2]turmas 2014.2'!$N:$N,'[2]turmas 2014.2'!$R:$R,$D$5,'[2]turmas 2014.2'!$C:$C,B211)+SUMIFS('[2]turmas 2014.2'!$O:$O,'[2]turmas 2014.2'!$V:$V,$D$5,'[2]turmas 2014.2'!$C:$C,'CRÉDITOS POR CENTRO'!$B211))</f>
        <v>#VALUE!</v>
      </c>
      <c r="E211" s="39" t="e">
        <f t="shared" si="12"/>
        <v>#VALUE!</v>
      </c>
      <c r="F211" s="38" t="e">
        <f>(SUMIFS('[2]turmas 2014.2'!$N:$N,'[2]turmas 2014.2'!$R:$R,$F$5,'[2]turmas 2014.2'!$C:$C,B211)+SUMIFS('[2]turmas 2014.2'!$O:$O,'[2]turmas 2014.2'!$V:$V,$F$5,'[2]turmas 2014.2'!$C:$C,'CRÉDITOS POR CENTRO'!$B211))</f>
        <v>#VALUE!</v>
      </c>
      <c r="G211" s="39" t="e">
        <f t="shared" si="13"/>
        <v>#VALUE!</v>
      </c>
      <c r="H211" s="38" t="e">
        <f>(SUMIFS('[2]turmas 2014.2'!$N:$N,'[2]turmas 2014.2'!$R:$R,$H$5,'[2]turmas 2014.2'!$A:$A,A211)+SUMIFS('[2]turmas 2014.2'!$O:$O,'[2]turmas 2014.2'!$V:$V,$H$5,'[2]turmas 2014.2'!$A:$A,'CRÉDITOS POR CENTRO'!$A211))</f>
        <v>#VALUE!</v>
      </c>
      <c r="I211" s="39" t="e">
        <f t="shared" si="14"/>
        <v>#VALUE!</v>
      </c>
      <c r="J211" s="38" t="e">
        <f t="shared" si="15"/>
        <v>#VALUE!</v>
      </c>
    </row>
    <row r="212" spans="1:10" ht="15">
      <c r="A212" s="269" t="s">
        <v>4715</v>
      </c>
      <c r="B212" s="269" t="s">
        <v>4716</v>
      </c>
      <c r="C212" s="38" t="e">
        <f>SUMIF('[2]turmas 2014.2'!A:A,$A212,'[2]turmas 2014.2'!N:N)+SUMIF('[2]turmas 2014.2'!A:A,$A212,'[2]turmas 2014.2'!O:O)</f>
        <v>#VALUE!</v>
      </c>
      <c r="D212" s="38" t="e">
        <f>(SUMIFS('[2]turmas 2014.2'!$N:$N,'[2]turmas 2014.2'!$R:$R,$D$5,'[2]turmas 2014.2'!$C:$C,B212)+SUMIFS('[2]turmas 2014.2'!$O:$O,'[2]turmas 2014.2'!$V:$V,$D$5,'[2]turmas 2014.2'!$C:$C,'CRÉDITOS POR CENTRO'!$B212))</f>
        <v>#VALUE!</v>
      </c>
      <c r="E212" s="39" t="e">
        <f t="shared" si="12"/>
        <v>#VALUE!</v>
      </c>
      <c r="F212" s="38" t="e">
        <f>(SUMIFS('[2]turmas 2014.2'!$N:$N,'[2]turmas 2014.2'!$R:$R,$F$5,'[2]turmas 2014.2'!$C:$C,B212)+SUMIFS('[2]turmas 2014.2'!$O:$O,'[2]turmas 2014.2'!$V:$V,$F$5,'[2]turmas 2014.2'!$C:$C,'CRÉDITOS POR CENTRO'!$B212))</f>
        <v>#VALUE!</v>
      </c>
      <c r="G212" s="39" t="e">
        <f t="shared" si="13"/>
        <v>#VALUE!</v>
      </c>
      <c r="H212" s="38" t="e">
        <f>(SUMIFS('[2]turmas 2014.2'!$N:$N,'[2]turmas 2014.2'!$R:$R,$H$5,'[2]turmas 2014.2'!$A:$A,A212)+SUMIFS('[2]turmas 2014.2'!$O:$O,'[2]turmas 2014.2'!$V:$V,$H$5,'[2]turmas 2014.2'!$A:$A,'CRÉDITOS POR CENTRO'!$A212))</f>
        <v>#VALUE!</v>
      </c>
      <c r="I212" s="39" t="e">
        <f t="shared" si="14"/>
        <v>#VALUE!</v>
      </c>
      <c r="J212" s="38" t="e">
        <f t="shared" si="15"/>
        <v>#VALUE!</v>
      </c>
    </row>
    <row r="213" spans="1:10" ht="15">
      <c r="A213" s="269" t="s">
        <v>4717</v>
      </c>
      <c r="B213" s="269" t="s">
        <v>4718</v>
      </c>
      <c r="C213" s="38" t="e">
        <f>SUMIF('[2]turmas 2014.2'!A:A,$A213,'[2]turmas 2014.2'!N:N)+SUMIF('[2]turmas 2014.2'!A:A,$A213,'[2]turmas 2014.2'!O:O)</f>
        <v>#VALUE!</v>
      </c>
      <c r="D213" s="38" t="e">
        <f>(SUMIFS('[2]turmas 2014.2'!$N:$N,'[2]turmas 2014.2'!$R:$R,$D$5,'[2]turmas 2014.2'!$C:$C,B213)+SUMIFS('[2]turmas 2014.2'!$O:$O,'[2]turmas 2014.2'!$V:$V,$D$5,'[2]turmas 2014.2'!$C:$C,'CRÉDITOS POR CENTRO'!$B213))</f>
        <v>#VALUE!</v>
      </c>
      <c r="E213" s="39" t="e">
        <f t="shared" si="12"/>
        <v>#VALUE!</v>
      </c>
      <c r="F213" s="38" t="e">
        <f>(SUMIFS('[2]turmas 2014.2'!$N:$N,'[2]turmas 2014.2'!$R:$R,$F$5,'[2]turmas 2014.2'!$C:$C,B213)+SUMIFS('[2]turmas 2014.2'!$O:$O,'[2]turmas 2014.2'!$V:$V,$F$5,'[2]turmas 2014.2'!$C:$C,'CRÉDITOS POR CENTRO'!$B213))</f>
        <v>#VALUE!</v>
      </c>
      <c r="G213" s="39" t="e">
        <f t="shared" si="13"/>
        <v>#VALUE!</v>
      </c>
      <c r="H213" s="38" t="e">
        <f>(SUMIFS('[2]turmas 2014.2'!$N:$N,'[2]turmas 2014.2'!$R:$R,$H$5,'[2]turmas 2014.2'!$A:$A,A213)+SUMIFS('[2]turmas 2014.2'!$O:$O,'[2]turmas 2014.2'!$V:$V,$H$5,'[2]turmas 2014.2'!$A:$A,'CRÉDITOS POR CENTRO'!$A213))</f>
        <v>#VALUE!</v>
      </c>
      <c r="I213" s="39" t="e">
        <f t="shared" si="14"/>
        <v>#VALUE!</v>
      </c>
      <c r="J213" s="38" t="e">
        <f t="shared" si="15"/>
        <v>#VALUE!</v>
      </c>
    </row>
    <row r="214" spans="1:10" ht="15">
      <c r="A214" s="269" t="s">
        <v>4719</v>
      </c>
      <c r="B214" s="269" t="s">
        <v>4720</v>
      </c>
      <c r="C214" s="38" t="e">
        <f>SUMIF('[2]turmas 2014.2'!A:A,$A214,'[2]turmas 2014.2'!N:N)+SUMIF('[2]turmas 2014.2'!A:A,$A214,'[2]turmas 2014.2'!O:O)</f>
        <v>#VALUE!</v>
      </c>
      <c r="D214" s="38" t="e">
        <f>(SUMIFS('[2]turmas 2014.2'!$N:$N,'[2]turmas 2014.2'!$R:$R,$D$5,'[2]turmas 2014.2'!$C:$C,B214)+SUMIFS('[2]turmas 2014.2'!$O:$O,'[2]turmas 2014.2'!$V:$V,$D$5,'[2]turmas 2014.2'!$C:$C,'CRÉDITOS POR CENTRO'!$B214))</f>
        <v>#VALUE!</v>
      </c>
      <c r="E214" s="39" t="e">
        <f t="shared" si="12"/>
        <v>#VALUE!</v>
      </c>
      <c r="F214" s="38" t="e">
        <f>(SUMIFS('[2]turmas 2014.2'!$N:$N,'[2]turmas 2014.2'!$R:$R,$F$5,'[2]turmas 2014.2'!$C:$C,B214)+SUMIFS('[2]turmas 2014.2'!$O:$O,'[2]turmas 2014.2'!$V:$V,$F$5,'[2]turmas 2014.2'!$C:$C,'CRÉDITOS POR CENTRO'!$B214))</f>
        <v>#VALUE!</v>
      </c>
      <c r="G214" s="39" t="e">
        <f t="shared" si="13"/>
        <v>#VALUE!</v>
      </c>
      <c r="H214" s="38" t="e">
        <f>(SUMIFS('[2]turmas 2014.2'!$N:$N,'[2]turmas 2014.2'!$R:$R,$H$5,'[2]turmas 2014.2'!$A:$A,A214)+SUMIFS('[2]turmas 2014.2'!$O:$O,'[2]turmas 2014.2'!$V:$V,$H$5,'[2]turmas 2014.2'!$A:$A,'CRÉDITOS POR CENTRO'!$A214))</f>
        <v>#VALUE!</v>
      </c>
      <c r="I214" s="39" t="e">
        <f t="shared" si="14"/>
        <v>#VALUE!</v>
      </c>
      <c r="J214" s="38" t="e">
        <f t="shared" si="15"/>
        <v>#VALUE!</v>
      </c>
    </row>
    <row r="215" spans="1:10" ht="15">
      <c r="A215" s="269" t="s">
        <v>2983</v>
      </c>
      <c r="B215" s="269" t="s">
        <v>2984</v>
      </c>
      <c r="C215" s="38" t="e">
        <f>SUMIF('[2]turmas 2014.2'!A:A,$A215,'[2]turmas 2014.2'!N:N)+SUMIF('[2]turmas 2014.2'!A:A,$A215,'[2]turmas 2014.2'!O:O)</f>
        <v>#VALUE!</v>
      </c>
      <c r="D215" s="38" t="e">
        <f>(SUMIFS('[2]turmas 2014.2'!$N:$N,'[2]turmas 2014.2'!$R:$R,$D$5,'[2]turmas 2014.2'!$C:$C,B215)+SUMIFS('[2]turmas 2014.2'!$O:$O,'[2]turmas 2014.2'!$V:$V,$D$5,'[2]turmas 2014.2'!$C:$C,'CRÉDITOS POR CENTRO'!$B215))</f>
        <v>#VALUE!</v>
      </c>
      <c r="E215" s="39" t="e">
        <f t="shared" si="12"/>
        <v>#VALUE!</v>
      </c>
      <c r="F215" s="38" t="e">
        <f>(SUMIFS('[2]turmas 2014.2'!$N:$N,'[2]turmas 2014.2'!$R:$R,$F$5,'[2]turmas 2014.2'!$C:$C,B215)+SUMIFS('[2]turmas 2014.2'!$O:$O,'[2]turmas 2014.2'!$V:$V,$F$5,'[2]turmas 2014.2'!$C:$C,'CRÉDITOS POR CENTRO'!$B215))</f>
        <v>#VALUE!</v>
      </c>
      <c r="G215" s="39" t="e">
        <f t="shared" si="13"/>
        <v>#VALUE!</v>
      </c>
      <c r="H215" s="38" t="e">
        <f>(SUMIFS('[2]turmas 2014.2'!$N:$N,'[2]turmas 2014.2'!$R:$R,$H$5,'[2]turmas 2014.2'!$A:$A,A215)+SUMIFS('[2]turmas 2014.2'!$O:$O,'[2]turmas 2014.2'!$V:$V,$H$5,'[2]turmas 2014.2'!$A:$A,'CRÉDITOS POR CENTRO'!$A215))</f>
        <v>#VALUE!</v>
      </c>
      <c r="I215" s="39" t="e">
        <f t="shared" si="14"/>
        <v>#VALUE!</v>
      </c>
      <c r="J215" s="38" t="e">
        <f t="shared" si="15"/>
        <v>#VALUE!</v>
      </c>
    </row>
    <row r="216" spans="1:10" ht="15">
      <c r="A216" s="269" t="s">
        <v>4721</v>
      </c>
      <c r="B216" s="269" t="s">
        <v>4722</v>
      </c>
      <c r="C216" s="38" t="e">
        <f>SUMIF('[2]turmas 2014.2'!A:A,$A216,'[2]turmas 2014.2'!N:N)+SUMIF('[2]turmas 2014.2'!A:A,$A216,'[2]turmas 2014.2'!O:O)</f>
        <v>#VALUE!</v>
      </c>
      <c r="D216" s="38" t="e">
        <f>(SUMIFS('[2]turmas 2014.2'!$N:$N,'[2]turmas 2014.2'!$R:$R,$D$5,'[2]turmas 2014.2'!$C:$C,B216)+SUMIFS('[2]turmas 2014.2'!$O:$O,'[2]turmas 2014.2'!$V:$V,$D$5,'[2]turmas 2014.2'!$C:$C,'CRÉDITOS POR CENTRO'!$B216))</f>
        <v>#VALUE!</v>
      </c>
      <c r="E216" s="39" t="e">
        <f t="shared" si="12"/>
        <v>#VALUE!</v>
      </c>
      <c r="F216" s="38" t="e">
        <f>(SUMIFS('[2]turmas 2014.2'!$N:$N,'[2]turmas 2014.2'!$R:$R,$F$5,'[2]turmas 2014.2'!$C:$C,B216)+SUMIFS('[2]turmas 2014.2'!$O:$O,'[2]turmas 2014.2'!$V:$V,$F$5,'[2]turmas 2014.2'!$C:$C,'CRÉDITOS POR CENTRO'!$B216))</f>
        <v>#VALUE!</v>
      </c>
      <c r="G216" s="39" t="e">
        <f t="shared" si="13"/>
        <v>#VALUE!</v>
      </c>
      <c r="H216" s="38" t="e">
        <f>(SUMIFS('[2]turmas 2014.2'!$N:$N,'[2]turmas 2014.2'!$R:$R,$H$5,'[2]turmas 2014.2'!$A:$A,A216)+SUMIFS('[2]turmas 2014.2'!$O:$O,'[2]turmas 2014.2'!$V:$V,$H$5,'[2]turmas 2014.2'!$A:$A,'CRÉDITOS POR CENTRO'!$A216))</f>
        <v>#VALUE!</v>
      </c>
      <c r="I216" s="39" t="e">
        <f t="shared" si="14"/>
        <v>#VALUE!</v>
      </c>
      <c r="J216" s="38" t="e">
        <f t="shared" si="15"/>
        <v>#VALUE!</v>
      </c>
    </row>
    <row r="217" spans="1:10" ht="15">
      <c r="A217" s="269" t="s">
        <v>4723</v>
      </c>
      <c r="B217" s="269" t="s">
        <v>4724</v>
      </c>
      <c r="C217" s="38" t="e">
        <f>SUMIF('[2]turmas 2014.2'!A:A,$A217,'[2]turmas 2014.2'!N:N)+SUMIF('[2]turmas 2014.2'!A:A,$A217,'[2]turmas 2014.2'!O:O)</f>
        <v>#VALUE!</v>
      </c>
      <c r="D217" s="38" t="e">
        <f>(SUMIFS('[2]turmas 2014.2'!$N:$N,'[2]turmas 2014.2'!$R:$R,$D$5,'[2]turmas 2014.2'!$C:$C,B217)+SUMIFS('[2]turmas 2014.2'!$O:$O,'[2]turmas 2014.2'!$V:$V,$D$5,'[2]turmas 2014.2'!$C:$C,'CRÉDITOS POR CENTRO'!$B217))</f>
        <v>#VALUE!</v>
      </c>
      <c r="E217" s="39" t="e">
        <f t="shared" si="12"/>
        <v>#VALUE!</v>
      </c>
      <c r="F217" s="38" t="e">
        <f>(SUMIFS('[2]turmas 2014.2'!$N:$N,'[2]turmas 2014.2'!$R:$R,$F$5,'[2]turmas 2014.2'!$C:$C,B217)+SUMIFS('[2]turmas 2014.2'!$O:$O,'[2]turmas 2014.2'!$V:$V,$F$5,'[2]turmas 2014.2'!$C:$C,'CRÉDITOS POR CENTRO'!$B217))</f>
        <v>#VALUE!</v>
      </c>
      <c r="G217" s="39" t="e">
        <f t="shared" si="13"/>
        <v>#VALUE!</v>
      </c>
      <c r="H217" s="38" t="e">
        <f>(SUMIFS('[2]turmas 2014.2'!$N:$N,'[2]turmas 2014.2'!$R:$R,$H$5,'[2]turmas 2014.2'!$A:$A,A217)+SUMIFS('[2]turmas 2014.2'!$O:$O,'[2]turmas 2014.2'!$V:$V,$H$5,'[2]turmas 2014.2'!$A:$A,'CRÉDITOS POR CENTRO'!$A217))</f>
        <v>#VALUE!</v>
      </c>
      <c r="I217" s="39" t="e">
        <f t="shared" si="14"/>
        <v>#VALUE!</v>
      </c>
      <c r="J217" s="38" t="e">
        <f t="shared" si="15"/>
        <v>#VALUE!</v>
      </c>
    </row>
    <row r="218" spans="1:10" ht="15">
      <c r="A218" s="269" t="s">
        <v>4725</v>
      </c>
      <c r="B218" s="269" t="s">
        <v>4726</v>
      </c>
      <c r="C218" s="38" t="e">
        <f>SUMIF('[2]turmas 2014.2'!A:A,$A218,'[2]turmas 2014.2'!N:N)+SUMIF('[2]turmas 2014.2'!A:A,$A218,'[2]turmas 2014.2'!O:O)</f>
        <v>#VALUE!</v>
      </c>
      <c r="D218" s="38" t="e">
        <f>(SUMIFS('[2]turmas 2014.2'!$N:$N,'[2]turmas 2014.2'!$R:$R,$D$5,'[2]turmas 2014.2'!$C:$C,B218)+SUMIFS('[2]turmas 2014.2'!$O:$O,'[2]turmas 2014.2'!$V:$V,$D$5,'[2]turmas 2014.2'!$C:$C,'CRÉDITOS POR CENTRO'!$B218))</f>
        <v>#VALUE!</v>
      </c>
      <c r="E218" s="39" t="e">
        <f t="shared" si="12"/>
        <v>#VALUE!</v>
      </c>
      <c r="F218" s="38" t="e">
        <f>(SUMIFS('[2]turmas 2014.2'!$N:$N,'[2]turmas 2014.2'!$R:$R,$F$5,'[2]turmas 2014.2'!$C:$C,B218)+SUMIFS('[2]turmas 2014.2'!$O:$O,'[2]turmas 2014.2'!$V:$V,$F$5,'[2]turmas 2014.2'!$C:$C,'CRÉDITOS POR CENTRO'!$B218))</f>
        <v>#VALUE!</v>
      </c>
      <c r="G218" s="39" t="e">
        <f t="shared" si="13"/>
        <v>#VALUE!</v>
      </c>
      <c r="H218" s="38" t="e">
        <f>(SUMIFS('[2]turmas 2014.2'!$N:$N,'[2]turmas 2014.2'!$R:$R,$H$5,'[2]turmas 2014.2'!$A:$A,A218)+SUMIFS('[2]turmas 2014.2'!$O:$O,'[2]turmas 2014.2'!$V:$V,$H$5,'[2]turmas 2014.2'!$A:$A,'CRÉDITOS POR CENTRO'!$A218))</f>
        <v>#VALUE!</v>
      </c>
      <c r="I218" s="39" t="e">
        <f t="shared" si="14"/>
        <v>#VALUE!</v>
      </c>
      <c r="J218" s="38" t="e">
        <f t="shared" si="15"/>
        <v>#VALUE!</v>
      </c>
    </row>
    <row r="219" spans="1:10" ht="15">
      <c r="A219" s="269" t="s">
        <v>4727</v>
      </c>
      <c r="B219" s="269" t="s">
        <v>4728</v>
      </c>
      <c r="C219" s="38" t="e">
        <f>SUMIF('[2]turmas 2014.2'!A:A,$A219,'[2]turmas 2014.2'!N:N)+SUMIF('[2]turmas 2014.2'!A:A,$A219,'[2]turmas 2014.2'!O:O)</f>
        <v>#VALUE!</v>
      </c>
      <c r="D219" s="38" t="e">
        <f>(SUMIFS('[2]turmas 2014.2'!$N:$N,'[2]turmas 2014.2'!$R:$R,$D$5,'[2]turmas 2014.2'!$C:$C,B219)+SUMIFS('[2]turmas 2014.2'!$O:$O,'[2]turmas 2014.2'!$V:$V,$D$5,'[2]turmas 2014.2'!$C:$C,'CRÉDITOS POR CENTRO'!$B219))</f>
        <v>#VALUE!</v>
      </c>
      <c r="E219" s="39" t="e">
        <f t="shared" si="12"/>
        <v>#VALUE!</v>
      </c>
      <c r="F219" s="38" t="e">
        <f>(SUMIFS('[2]turmas 2014.2'!$N:$N,'[2]turmas 2014.2'!$R:$R,$F$5,'[2]turmas 2014.2'!$C:$C,B219)+SUMIFS('[2]turmas 2014.2'!$O:$O,'[2]turmas 2014.2'!$V:$V,$F$5,'[2]turmas 2014.2'!$C:$C,'CRÉDITOS POR CENTRO'!$B219))</f>
        <v>#VALUE!</v>
      </c>
      <c r="G219" s="39" t="e">
        <f t="shared" si="13"/>
        <v>#VALUE!</v>
      </c>
      <c r="H219" s="38" t="e">
        <f>(SUMIFS('[2]turmas 2014.2'!$N:$N,'[2]turmas 2014.2'!$R:$R,$H$5,'[2]turmas 2014.2'!$A:$A,A219)+SUMIFS('[2]turmas 2014.2'!$O:$O,'[2]turmas 2014.2'!$V:$V,$H$5,'[2]turmas 2014.2'!$A:$A,'CRÉDITOS POR CENTRO'!$A219))</f>
        <v>#VALUE!</v>
      </c>
      <c r="I219" s="39" t="e">
        <f t="shared" si="14"/>
        <v>#VALUE!</v>
      </c>
      <c r="J219" s="38" t="e">
        <f t="shared" si="15"/>
        <v>#VALUE!</v>
      </c>
    </row>
    <row r="220" spans="1:10" ht="15">
      <c r="A220" s="269" t="s">
        <v>2998</v>
      </c>
      <c r="B220" s="269" t="s">
        <v>2999</v>
      </c>
      <c r="C220" s="38" t="e">
        <f>SUMIF('[2]turmas 2014.2'!A:A,$A220,'[2]turmas 2014.2'!N:N)+SUMIF('[2]turmas 2014.2'!A:A,$A220,'[2]turmas 2014.2'!O:O)</f>
        <v>#VALUE!</v>
      </c>
      <c r="D220" s="38" t="e">
        <f>(SUMIFS('[2]turmas 2014.2'!$N:$N,'[2]turmas 2014.2'!$R:$R,$D$5,'[2]turmas 2014.2'!$C:$C,B220)+SUMIFS('[2]turmas 2014.2'!$O:$O,'[2]turmas 2014.2'!$V:$V,$D$5,'[2]turmas 2014.2'!$C:$C,'CRÉDITOS POR CENTRO'!$B220))</f>
        <v>#VALUE!</v>
      </c>
      <c r="E220" s="39" t="e">
        <f t="shared" si="12"/>
        <v>#VALUE!</v>
      </c>
      <c r="F220" s="38" t="e">
        <f>(SUMIFS('[2]turmas 2014.2'!$N:$N,'[2]turmas 2014.2'!$R:$R,$F$5,'[2]turmas 2014.2'!$C:$C,B220)+SUMIFS('[2]turmas 2014.2'!$O:$O,'[2]turmas 2014.2'!$V:$V,$F$5,'[2]turmas 2014.2'!$C:$C,'CRÉDITOS POR CENTRO'!$B220))</f>
        <v>#VALUE!</v>
      </c>
      <c r="G220" s="39" t="e">
        <f t="shared" si="13"/>
        <v>#VALUE!</v>
      </c>
      <c r="H220" s="38" t="e">
        <f>(SUMIFS('[2]turmas 2014.2'!$N:$N,'[2]turmas 2014.2'!$R:$R,$H$5,'[2]turmas 2014.2'!$A:$A,A220)+SUMIFS('[2]turmas 2014.2'!$O:$O,'[2]turmas 2014.2'!$V:$V,$H$5,'[2]turmas 2014.2'!$A:$A,'CRÉDITOS POR CENTRO'!$A220))</f>
        <v>#VALUE!</v>
      </c>
      <c r="I220" s="39" t="e">
        <f t="shared" si="14"/>
        <v>#VALUE!</v>
      </c>
      <c r="J220" s="38" t="e">
        <f t="shared" si="15"/>
        <v>#VALUE!</v>
      </c>
    </row>
    <row r="221" spans="1:10" ht="15">
      <c r="A221" s="269" t="s">
        <v>4729</v>
      </c>
      <c r="B221" s="269" t="s">
        <v>4730</v>
      </c>
      <c r="C221" s="38" t="e">
        <f>SUMIF('[2]turmas 2014.2'!A:A,$A221,'[2]turmas 2014.2'!N:N)+SUMIF('[2]turmas 2014.2'!A:A,$A221,'[2]turmas 2014.2'!O:O)</f>
        <v>#VALUE!</v>
      </c>
      <c r="D221" s="38" t="e">
        <f>(SUMIFS('[2]turmas 2014.2'!$N:$N,'[2]turmas 2014.2'!$R:$R,$D$5,'[2]turmas 2014.2'!$C:$C,B221)+SUMIFS('[2]turmas 2014.2'!$O:$O,'[2]turmas 2014.2'!$V:$V,$D$5,'[2]turmas 2014.2'!$C:$C,'CRÉDITOS POR CENTRO'!$B221))</f>
        <v>#VALUE!</v>
      </c>
      <c r="E221" s="39" t="e">
        <f t="shared" si="12"/>
        <v>#VALUE!</v>
      </c>
      <c r="F221" s="38" t="e">
        <f>(SUMIFS('[2]turmas 2014.2'!$N:$N,'[2]turmas 2014.2'!$R:$R,$F$5,'[2]turmas 2014.2'!$C:$C,B221)+SUMIFS('[2]turmas 2014.2'!$O:$O,'[2]turmas 2014.2'!$V:$V,$F$5,'[2]turmas 2014.2'!$C:$C,'CRÉDITOS POR CENTRO'!$B221))</f>
        <v>#VALUE!</v>
      </c>
      <c r="G221" s="39" t="e">
        <f t="shared" si="13"/>
        <v>#VALUE!</v>
      </c>
      <c r="H221" s="38" t="e">
        <f>(SUMIFS('[2]turmas 2014.2'!$N:$N,'[2]turmas 2014.2'!$R:$R,$H$5,'[2]turmas 2014.2'!$A:$A,A221)+SUMIFS('[2]turmas 2014.2'!$O:$O,'[2]turmas 2014.2'!$V:$V,$H$5,'[2]turmas 2014.2'!$A:$A,'CRÉDITOS POR CENTRO'!$A221))</f>
        <v>#VALUE!</v>
      </c>
      <c r="I221" s="39" t="e">
        <f t="shared" si="14"/>
        <v>#VALUE!</v>
      </c>
      <c r="J221" s="38" t="e">
        <f t="shared" si="15"/>
        <v>#VALUE!</v>
      </c>
    </row>
    <row r="222" spans="1:10" ht="15">
      <c r="A222" s="269" t="s">
        <v>4731</v>
      </c>
      <c r="B222" s="269" t="s">
        <v>4732</v>
      </c>
      <c r="C222" s="38" t="e">
        <f>SUMIF('[2]turmas 2014.2'!A:A,$A222,'[2]turmas 2014.2'!N:N)+SUMIF('[2]turmas 2014.2'!A:A,$A222,'[2]turmas 2014.2'!O:O)</f>
        <v>#VALUE!</v>
      </c>
      <c r="D222" s="38" t="e">
        <f>(SUMIFS('[2]turmas 2014.2'!$N:$N,'[2]turmas 2014.2'!$R:$R,$D$5,'[2]turmas 2014.2'!$C:$C,B222)+SUMIFS('[2]turmas 2014.2'!$O:$O,'[2]turmas 2014.2'!$V:$V,$D$5,'[2]turmas 2014.2'!$C:$C,'CRÉDITOS POR CENTRO'!$B222))</f>
        <v>#VALUE!</v>
      </c>
      <c r="E222" s="39" t="e">
        <f t="shared" si="12"/>
        <v>#VALUE!</v>
      </c>
      <c r="F222" s="38" t="e">
        <f>(SUMIFS('[2]turmas 2014.2'!$N:$N,'[2]turmas 2014.2'!$R:$R,$F$5,'[2]turmas 2014.2'!$C:$C,B222)+SUMIFS('[2]turmas 2014.2'!$O:$O,'[2]turmas 2014.2'!$V:$V,$F$5,'[2]turmas 2014.2'!$C:$C,'CRÉDITOS POR CENTRO'!$B222))</f>
        <v>#VALUE!</v>
      </c>
      <c r="G222" s="39" t="e">
        <f t="shared" si="13"/>
        <v>#VALUE!</v>
      </c>
      <c r="H222" s="38" t="e">
        <f>(SUMIFS('[2]turmas 2014.2'!$N:$N,'[2]turmas 2014.2'!$R:$R,$H$5,'[2]turmas 2014.2'!$A:$A,A222)+SUMIFS('[2]turmas 2014.2'!$O:$O,'[2]turmas 2014.2'!$V:$V,$H$5,'[2]turmas 2014.2'!$A:$A,'CRÉDITOS POR CENTRO'!$A222))</f>
        <v>#VALUE!</v>
      </c>
      <c r="I222" s="39" t="e">
        <f t="shared" si="14"/>
        <v>#VALUE!</v>
      </c>
      <c r="J222" s="38" t="e">
        <f t="shared" si="15"/>
        <v>#VALUE!</v>
      </c>
    </row>
    <row r="223" spans="1:10" ht="15">
      <c r="A223" s="269" t="s">
        <v>4733</v>
      </c>
      <c r="B223" s="269" t="s">
        <v>4734</v>
      </c>
      <c r="C223" s="38" t="e">
        <f>SUMIF('[2]turmas 2014.2'!A:A,$A223,'[2]turmas 2014.2'!N:N)+SUMIF('[2]turmas 2014.2'!A:A,$A223,'[2]turmas 2014.2'!O:O)</f>
        <v>#VALUE!</v>
      </c>
      <c r="D223" s="38" t="e">
        <f>(SUMIFS('[2]turmas 2014.2'!$N:$N,'[2]turmas 2014.2'!$R:$R,$D$5,'[2]turmas 2014.2'!$C:$C,B223)+SUMIFS('[2]turmas 2014.2'!$O:$O,'[2]turmas 2014.2'!$V:$V,$D$5,'[2]turmas 2014.2'!$C:$C,'CRÉDITOS POR CENTRO'!$B223))</f>
        <v>#VALUE!</v>
      </c>
      <c r="E223" s="39" t="e">
        <f t="shared" si="12"/>
        <v>#VALUE!</v>
      </c>
      <c r="F223" s="38" t="e">
        <f>(SUMIFS('[2]turmas 2014.2'!$N:$N,'[2]turmas 2014.2'!$R:$R,$F$5,'[2]turmas 2014.2'!$C:$C,B223)+SUMIFS('[2]turmas 2014.2'!$O:$O,'[2]turmas 2014.2'!$V:$V,$F$5,'[2]turmas 2014.2'!$C:$C,'CRÉDITOS POR CENTRO'!$B223))</f>
        <v>#VALUE!</v>
      </c>
      <c r="G223" s="39" t="e">
        <f t="shared" si="13"/>
        <v>#VALUE!</v>
      </c>
      <c r="H223" s="38" t="e">
        <f>(SUMIFS('[2]turmas 2014.2'!$N:$N,'[2]turmas 2014.2'!$R:$R,$H$5,'[2]turmas 2014.2'!$A:$A,A223)+SUMIFS('[2]turmas 2014.2'!$O:$O,'[2]turmas 2014.2'!$V:$V,$H$5,'[2]turmas 2014.2'!$A:$A,'CRÉDITOS POR CENTRO'!$A223))</f>
        <v>#VALUE!</v>
      </c>
      <c r="I223" s="39" t="e">
        <f t="shared" si="14"/>
        <v>#VALUE!</v>
      </c>
      <c r="J223" s="38" t="e">
        <f t="shared" si="15"/>
        <v>#VALUE!</v>
      </c>
    </row>
    <row r="224" spans="1:10" ht="15">
      <c r="A224" s="269" t="s">
        <v>4735</v>
      </c>
      <c r="B224" s="269" t="s">
        <v>4736</v>
      </c>
      <c r="C224" s="38" t="e">
        <f>SUMIF('[2]turmas 2014.2'!A:A,$A224,'[2]turmas 2014.2'!N:N)+SUMIF('[2]turmas 2014.2'!A:A,$A224,'[2]turmas 2014.2'!O:O)</f>
        <v>#VALUE!</v>
      </c>
      <c r="D224" s="38" t="e">
        <f>(SUMIFS('[2]turmas 2014.2'!$N:$N,'[2]turmas 2014.2'!$R:$R,$D$5,'[2]turmas 2014.2'!$C:$C,B224)+SUMIFS('[2]turmas 2014.2'!$O:$O,'[2]turmas 2014.2'!$V:$V,$D$5,'[2]turmas 2014.2'!$C:$C,'CRÉDITOS POR CENTRO'!$B224))</f>
        <v>#VALUE!</v>
      </c>
      <c r="E224" s="39" t="e">
        <f t="shared" si="12"/>
        <v>#VALUE!</v>
      </c>
      <c r="F224" s="38" t="e">
        <f>(SUMIFS('[2]turmas 2014.2'!$N:$N,'[2]turmas 2014.2'!$R:$R,$F$5,'[2]turmas 2014.2'!$C:$C,B224)+SUMIFS('[2]turmas 2014.2'!$O:$O,'[2]turmas 2014.2'!$V:$V,$F$5,'[2]turmas 2014.2'!$C:$C,'CRÉDITOS POR CENTRO'!$B224))</f>
        <v>#VALUE!</v>
      </c>
      <c r="G224" s="39" t="e">
        <f t="shared" si="13"/>
        <v>#VALUE!</v>
      </c>
      <c r="H224" s="38" t="e">
        <f>(SUMIFS('[2]turmas 2014.2'!$N:$N,'[2]turmas 2014.2'!$R:$R,$H$5,'[2]turmas 2014.2'!$A:$A,A224)+SUMIFS('[2]turmas 2014.2'!$O:$O,'[2]turmas 2014.2'!$V:$V,$H$5,'[2]turmas 2014.2'!$A:$A,'CRÉDITOS POR CENTRO'!$A224))</f>
        <v>#VALUE!</v>
      </c>
      <c r="I224" s="39" t="e">
        <f t="shared" si="14"/>
        <v>#VALUE!</v>
      </c>
      <c r="J224" s="38" t="e">
        <f t="shared" si="15"/>
        <v>#VALUE!</v>
      </c>
    </row>
    <row r="225" spans="1:10" ht="15">
      <c r="A225" s="269" t="s">
        <v>4737</v>
      </c>
      <c r="B225" s="269" t="s">
        <v>4738</v>
      </c>
      <c r="C225" s="38" t="e">
        <f>SUMIF('[2]turmas 2014.2'!A:A,$A225,'[2]turmas 2014.2'!N:N)+SUMIF('[2]turmas 2014.2'!A:A,$A225,'[2]turmas 2014.2'!O:O)</f>
        <v>#VALUE!</v>
      </c>
      <c r="D225" s="38" t="e">
        <f>(SUMIFS('[2]turmas 2014.2'!$N:$N,'[2]turmas 2014.2'!$R:$R,$D$5,'[2]turmas 2014.2'!$C:$C,B225)+SUMIFS('[2]turmas 2014.2'!$O:$O,'[2]turmas 2014.2'!$V:$V,$D$5,'[2]turmas 2014.2'!$C:$C,'CRÉDITOS POR CENTRO'!$B225))</f>
        <v>#VALUE!</v>
      </c>
      <c r="E225" s="39" t="e">
        <f t="shared" si="12"/>
        <v>#VALUE!</v>
      </c>
      <c r="F225" s="38" t="e">
        <f>(SUMIFS('[2]turmas 2014.2'!$N:$N,'[2]turmas 2014.2'!$R:$R,$F$5,'[2]turmas 2014.2'!$C:$C,B225)+SUMIFS('[2]turmas 2014.2'!$O:$O,'[2]turmas 2014.2'!$V:$V,$F$5,'[2]turmas 2014.2'!$C:$C,'CRÉDITOS POR CENTRO'!$B225))</f>
        <v>#VALUE!</v>
      </c>
      <c r="G225" s="39" t="e">
        <f t="shared" si="13"/>
        <v>#VALUE!</v>
      </c>
      <c r="H225" s="38" t="e">
        <f>(SUMIFS('[2]turmas 2014.2'!$N:$N,'[2]turmas 2014.2'!$R:$R,$H$5,'[2]turmas 2014.2'!$A:$A,A225)+SUMIFS('[2]turmas 2014.2'!$O:$O,'[2]turmas 2014.2'!$V:$V,$H$5,'[2]turmas 2014.2'!$A:$A,'CRÉDITOS POR CENTRO'!$A225))</f>
        <v>#VALUE!</v>
      </c>
      <c r="I225" s="39" t="e">
        <f t="shared" si="14"/>
        <v>#VALUE!</v>
      </c>
      <c r="J225" s="38" t="e">
        <f t="shared" si="15"/>
        <v>#VALUE!</v>
      </c>
    </row>
    <row r="226" spans="1:10" ht="15">
      <c r="A226" s="269" t="s">
        <v>4739</v>
      </c>
      <c r="B226" s="269" t="s">
        <v>4740</v>
      </c>
      <c r="C226" s="38" t="e">
        <f>SUMIF('[2]turmas 2014.2'!A:A,$A226,'[2]turmas 2014.2'!N:N)+SUMIF('[2]turmas 2014.2'!A:A,$A226,'[2]turmas 2014.2'!O:O)</f>
        <v>#VALUE!</v>
      </c>
      <c r="D226" s="38" t="e">
        <f>(SUMIFS('[2]turmas 2014.2'!$N:$N,'[2]turmas 2014.2'!$R:$R,$D$5,'[2]turmas 2014.2'!$C:$C,B226)+SUMIFS('[2]turmas 2014.2'!$O:$O,'[2]turmas 2014.2'!$V:$V,$D$5,'[2]turmas 2014.2'!$C:$C,'CRÉDITOS POR CENTRO'!$B226))</f>
        <v>#VALUE!</v>
      </c>
      <c r="E226" s="39" t="e">
        <f t="shared" si="12"/>
        <v>#VALUE!</v>
      </c>
      <c r="F226" s="38" t="e">
        <f>(SUMIFS('[2]turmas 2014.2'!$N:$N,'[2]turmas 2014.2'!$R:$R,$F$5,'[2]turmas 2014.2'!$C:$C,B226)+SUMIFS('[2]turmas 2014.2'!$O:$O,'[2]turmas 2014.2'!$V:$V,$F$5,'[2]turmas 2014.2'!$C:$C,'CRÉDITOS POR CENTRO'!$B226))</f>
        <v>#VALUE!</v>
      </c>
      <c r="G226" s="39" t="e">
        <f t="shared" si="13"/>
        <v>#VALUE!</v>
      </c>
      <c r="H226" s="38" t="e">
        <f>(SUMIFS('[2]turmas 2014.2'!$N:$N,'[2]turmas 2014.2'!$R:$R,$H$5,'[2]turmas 2014.2'!$A:$A,A226)+SUMIFS('[2]turmas 2014.2'!$O:$O,'[2]turmas 2014.2'!$V:$V,$H$5,'[2]turmas 2014.2'!$A:$A,'CRÉDITOS POR CENTRO'!$A226))</f>
        <v>#VALUE!</v>
      </c>
      <c r="I226" s="39" t="e">
        <f t="shared" si="14"/>
        <v>#VALUE!</v>
      </c>
      <c r="J226" s="38" t="e">
        <f t="shared" si="15"/>
        <v>#VALUE!</v>
      </c>
    </row>
    <row r="227" spans="1:10" ht="15">
      <c r="A227" s="269" t="s">
        <v>4741</v>
      </c>
      <c r="B227" s="269" t="s">
        <v>4742</v>
      </c>
      <c r="C227" s="38" t="e">
        <f>SUMIF('[2]turmas 2014.2'!A:A,$A227,'[2]turmas 2014.2'!N:N)+SUMIF('[2]turmas 2014.2'!A:A,$A227,'[2]turmas 2014.2'!O:O)</f>
        <v>#VALUE!</v>
      </c>
      <c r="D227" s="38" t="e">
        <f>(SUMIFS('[2]turmas 2014.2'!$N:$N,'[2]turmas 2014.2'!$R:$R,$D$5,'[2]turmas 2014.2'!$C:$C,B227)+SUMIFS('[2]turmas 2014.2'!$O:$O,'[2]turmas 2014.2'!$V:$V,$D$5,'[2]turmas 2014.2'!$C:$C,'CRÉDITOS POR CENTRO'!$B227))</f>
        <v>#VALUE!</v>
      </c>
      <c r="E227" s="39" t="e">
        <f t="shared" si="12"/>
        <v>#VALUE!</v>
      </c>
      <c r="F227" s="38" t="e">
        <f>(SUMIFS('[2]turmas 2014.2'!$N:$N,'[2]turmas 2014.2'!$R:$R,$F$5,'[2]turmas 2014.2'!$C:$C,B227)+SUMIFS('[2]turmas 2014.2'!$O:$O,'[2]turmas 2014.2'!$V:$V,$F$5,'[2]turmas 2014.2'!$C:$C,'CRÉDITOS POR CENTRO'!$B227))</f>
        <v>#VALUE!</v>
      </c>
      <c r="G227" s="39" t="e">
        <f t="shared" si="13"/>
        <v>#VALUE!</v>
      </c>
      <c r="H227" s="38" t="e">
        <f>(SUMIFS('[2]turmas 2014.2'!$N:$N,'[2]turmas 2014.2'!$R:$R,$H$5,'[2]turmas 2014.2'!$A:$A,A227)+SUMIFS('[2]turmas 2014.2'!$O:$O,'[2]turmas 2014.2'!$V:$V,$H$5,'[2]turmas 2014.2'!$A:$A,'CRÉDITOS POR CENTRO'!$A227))</f>
        <v>#VALUE!</v>
      </c>
      <c r="I227" s="39" t="e">
        <f t="shared" si="14"/>
        <v>#VALUE!</v>
      </c>
      <c r="J227" s="38" t="e">
        <f t="shared" si="15"/>
        <v>#VALUE!</v>
      </c>
    </row>
    <row r="228" spans="1:10" ht="15">
      <c r="A228" s="269" t="s">
        <v>4743</v>
      </c>
      <c r="B228" s="269" t="s">
        <v>4744</v>
      </c>
      <c r="C228" s="38" t="e">
        <f>SUMIF('[2]turmas 2014.2'!A:A,$A228,'[2]turmas 2014.2'!N:N)+SUMIF('[2]turmas 2014.2'!A:A,$A228,'[2]turmas 2014.2'!O:O)</f>
        <v>#VALUE!</v>
      </c>
      <c r="D228" s="38" t="e">
        <f>(SUMIFS('[2]turmas 2014.2'!$N:$N,'[2]turmas 2014.2'!$R:$R,$D$5,'[2]turmas 2014.2'!$C:$C,B228)+SUMIFS('[2]turmas 2014.2'!$O:$O,'[2]turmas 2014.2'!$V:$V,$D$5,'[2]turmas 2014.2'!$C:$C,'CRÉDITOS POR CENTRO'!$B228))</f>
        <v>#VALUE!</v>
      </c>
      <c r="E228" s="39" t="e">
        <f t="shared" si="12"/>
        <v>#VALUE!</v>
      </c>
      <c r="F228" s="38" t="e">
        <f>(SUMIFS('[2]turmas 2014.2'!$N:$N,'[2]turmas 2014.2'!$R:$R,$F$5,'[2]turmas 2014.2'!$C:$C,B228)+SUMIFS('[2]turmas 2014.2'!$O:$O,'[2]turmas 2014.2'!$V:$V,$F$5,'[2]turmas 2014.2'!$C:$C,'CRÉDITOS POR CENTRO'!$B228))</f>
        <v>#VALUE!</v>
      </c>
      <c r="G228" s="39" t="e">
        <f t="shared" si="13"/>
        <v>#VALUE!</v>
      </c>
      <c r="H228" s="38" t="e">
        <f>(SUMIFS('[2]turmas 2014.2'!$N:$N,'[2]turmas 2014.2'!$R:$R,$H$5,'[2]turmas 2014.2'!$A:$A,A228)+SUMIFS('[2]turmas 2014.2'!$O:$O,'[2]turmas 2014.2'!$V:$V,$H$5,'[2]turmas 2014.2'!$A:$A,'CRÉDITOS POR CENTRO'!$A228))</f>
        <v>#VALUE!</v>
      </c>
      <c r="I228" s="39" t="e">
        <f t="shared" si="14"/>
        <v>#VALUE!</v>
      </c>
      <c r="J228" s="38" t="e">
        <f t="shared" si="15"/>
        <v>#VALUE!</v>
      </c>
    </row>
    <row r="229" spans="1:10" ht="15">
      <c r="A229" s="269" t="s">
        <v>4745</v>
      </c>
      <c r="B229" s="269" t="s">
        <v>4746</v>
      </c>
      <c r="C229" s="38" t="e">
        <f>SUMIF('[2]turmas 2014.2'!A:A,$A229,'[2]turmas 2014.2'!N:N)+SUMIF('[2]turmas 2014.2'!A:A,$A229,'[2]turmas 2014.2'!O:O)</f>
        <v>#VALUE!</v>
      </c>
      <c r="D229" s="38" t="e">
        <f>(SUMIFS('[2]turmas 2014.2'!$N:$N,'[2]turmas 2014.2'!$R:$R,$D$5,'[2]turmas 2014.2'!$C:$C,B229)+SUMIFS('[2]turmas 2014.2'!$O:$O,'[2]turmas 2014.2'!$V:$V,$D$5,'[2]turmas 2014.2'!$C:$C,'CRÉDITOS POR CENTRO'!$B229))</f>
        <v>#VALUE!</v>
      </c>
      <c r="E229" s="39" t="e">
        <f t="shared" si="12"/>
        <v>#VALUE!</v>
      </c>
      <c r="F229" s="38" t="e">
        <f>(SUMIFS('[2]turmas 2014.2'!$N:$N,'[2]turmas 2014.2'!$R:$R,$F$5,'[2]turmas 2014.2'!$C:$C,B229)+SUMIFS('[2]turmas 2014.2'!$O:$O,'[2]turmas 2014.2'!$V:$V,$F$5,'[2]turmas 2014.2'!$C:$C,'CRÉDITOS POR CENTRO'!$B229))</f>
        <v>#VALUE!</v>
      </c>
      <c r="G229" s="39" t="e">
        <f t="shared" si="13"/>
        <v>#VALUE!</v>
      </c>
      <c r="H229" s="38" t="e">
        <f>(SUMIFS('[2]turmas 2014.2'!$N:$N,'[2]turmas 2014.2'!$R:$R,$H$5,'[2]turmas 2014.2'!$A:$A,A229)+SUMIFS('[2]turmas 2014.2'!$O:$O,'[2]turmas 2014.2'!$V:$V,$H$5,'[2]turmas 2014.2'!$A:$A,'CRÉDITOS POR CENTRO'!$A229))</f>
        <v>#VALUE!</v>
      </c>
      <c r="I229" s="39" t="e">
        <f t="shared" si="14"/>
        <v>#VALUE!</v>
      </c>
      <c r="J229" s="38" t="e">
        <f t="shared" si="15"/>
        <v>#VALUE!</v>
      </c>
    </row>
    <row r="230" spans="1:10" ht="15">
      <c r="A230" s="269" t="s">
        <v>4747</v>
      </c>
      <c r="B230" s="269" t="s">
        <v>4748</v>
      </c>
      <c r="C230" s="38" t="e">
        <f>SUMIF('[2]turmas 2014.2'!A:A,$A230,'[2]turmas 2014.2'!N:N)+SUMIF('[2]turmas 2014.2'!A:A,$A230,'[2]turmas 2014.2'!O:O)</f>
        <v>#VALUE!</v>
      </c>
      <c r="D230" s="38" t="e">
        <f>(SUMIFS('[2]turmas 2014.2'!$N:$N,'[2]turmas 2014.2'!$R:$R,$D$5,'[2]turmas 2014.2'!$C:$C,B230)+SUMIFS('[2]turmas 2014.2'!$O:$O,'[2]turmas 2014.2'!$V:$V,$D$5,'[2]turmas 2014.2'!$C:$C,'CRÉDITOS POR CENTRO'!$B230))</f>
        <v>#VALUE!</v>
      </c>
      <c r="E230" s="39" t="e">
        <f t="shared" si="12"/>
        <v>#VALUE!</v>
      </c>
      <c r="F230" s="38" t="e">
        <f>(SUMIFS('[2]turmas 2014.2'!$N:$N,'[2]turmas 2014.2'!$R:$R,$F$5,'[2]turmas 2014.2'!$C:$C,B230)+SUMIFS('[2]turmas 2014.2'!$O:$O,'[2]turmas 2014.2'!$V:$V,$F$5,'[2]turmas 2014.2'!$C:$C,'CRÉDITOS POR CENTRO'!$B230))</f>
        <v>#VALUE!</v>
      </c>
      <c r="G230" s="39" t="e">
        <f t="shared" si="13"/>
        <v>#VALUE!</v>
      </c>
      <c r="H230" s="38" t="e">
        <f>(SUMIFS('[2]turmas 2014.2'!$N:$N,'[2]turmas 2014.2'!$R:$R,$H$5,'[2]turmas 2014.2'!$A:$A,A230)+SUMIFS('[2]turmas 2014.2'!$O:$O,'[2]turmas 2014.2'!$V:$V,$H$5,'[2]turmas 2014.2'!$A:$A,'CRÉDITOS POR CENTRO'!$A230))</f>
        <v>#VALUE!</v>
      </c>
      <c r="I230" s="39" t="e">
        <f t="shared" si="14"/>
        <v>#VALUE!</v>
      </c>
      <c r="J230" s="38" t="e">
        <f t="shared" si="15"/>
        <v>#VALUE!</v>
      </c>
    </row>
    <row r="231" spans="1:10" ht="15">
      <c r="A231" s="269" t="s">
        <v>4749</v>
      </c>
      <c r="B231" s="269" t="s">
        <v>4750</v>
      </c>
      <c r="C231" s="38" t="e">
        <f>SUMIF('[2]turmas 2014.2'!A:A,$A231,'[2]turmas 2014.2'!N:N)+SUMIF('[2]turmas 2014.2'!A:A,$A231,'[2]turmas 2014.2'!O:O)</f>
        <v>#VALUE!</v>
      </c>
      <c r="D231" s="38" t="e">
        <f>(SUMIFS('[2]turmas 2014.2'!$N:$N,'[2]turmas 2014.2'!$R:$R,$D$5,'[2]turmas 2014.2'!$C:$C,B231)+SUMIFS('[2]turmas 2014.2'!$O:$O,'[2]turmas 2014.2'!$V:$V,$D$5,'[2]turmas 2014.2'!$C:$C,'CRÉDITOS POR CENTRO'!$B231))</f>
        <v>#VALUE!</v>
      </c>
      <c r="E231" s="39" t="e">
        <f t="shared" si="12"/>
        <v>#VALUE!</v>
      </c>
      <c r="F231" s="38" t="e">
        <f>(SUMIFS('[2]turmas 2014.2'!$N:$N,'[2]turmas 2014.2'!$R:$R,$F$5,'[2]turmas 2014.2'!$C:$C,B231)+SUMIFS('[2]turmas 2014.2'!$O:$O,'[2]turmas 2014.2'!$V:$V,$F$5,'[2]turmas 2014.2'!$C:$C,'CRÉDITOS POR CENTRO'!$B231))</f>
        <v>#VALUE!</v>
      </c>
      <c r="G231" s="39" t="e">
        <f t="shared" si="13"/>
        <v>#VALUE!</v>
      </c>
      <c r="H231" s="38" t="e">
        <f>(SUMIFS('[2]turmas 2014.2'!$N:$N,'[2]turmas 2014.2'!$R:$R,$H$5,'[2]turmas 2014.2'!$A:$A,A231)+SUMIFS('[2]turmas 2014.2'!$O:$O,'[2]turmas 2014.2'!$V:$V,$H$5,'[2]turmas 2014.2'!$A:$A,'CRÉDITOS POR CENTRO'!$A231))</f>
        <v>#VALUE!</v>
      </c>
      <c r="I231" s="39" t="e">
        <f t="shared" si="14"/>
        <v>#VALUE!</v>
      </c>
      <c r="J231" s="38" t="e">
        <f t="shared" si="15"/>
        <v>#VALUE!</v>
      </c>
    </row>
    <row r="232" spans="1:10" ht="15">
      <c r="A232" s="269" t="s">
        <v>4751</v>
      </c>
      <c r="B232" s="269" t="s">
        <v>4752</v>
      </c>
      <c r="C232" s="38" t="e">
        <f>SUMIF('[2]turmas 2014.2'!A:A,$A232,'[2]turmas 2014.2'!N:N)+SUMIF('[2]turmas 2014.2'!A:A,$A232,'[2]turmas 2014.2'!O:O)</f>
        <v>#VALUE!</v>
      </c>
      <c r="D232" s="38" t="e">
        <f>(SUMIFS('[2]turmas 2014.2'!$N:$N,'[2]turmas 2014.2'!$R:$R,$D$5,'[2]turmas 2014.2'!$C:$C,B232)+SUMIFS('[2]turmas 2014.2'!$O:$O,'[2]turmas 2014.2'!$V:$V,$D$5,'[2]turmas 2014.2'!$C:$C,'CRÉDITOS POR CENTRO'!$B232))</f>
        <v>#VALUE!</v>
      </c>
      <c r="E232" s="39" t="e">
        <f t="shared" si="12"/>
        <v>#VALUE!</v>
      </c>
      <c r="F232" s="38" t="e">
        <f>(SUMIFS('[2]turmas 2014.2'!$N:$N,'[2]turmas 2014.2'!$R:$R,$F$5,'[2]turmas 2014.2'!$C:$C,B232)+SUMIFS('[2]turmas 2014.2'!$O:$O,'[2]turmas 2014.2'!$V:$V,$F$5,'[2]turmas 2014.2'!$C:$C,'CRÉDITOS POR CENTRO'!$B232))</f>
        <v>#VALUE!</v>
      </c>
      <c r="G232" s="39" t="e">
        <f t="shared" si="13"/>
        <v>#VALUE!</v>
      </c>
      <c r="H232" s="38" t="e">
        <f>(SUMIFS('[2]turmas 2014.2'!$N:$N,'[2]turmas 2014.2'!$R:$R,$H$5,'[2]turmas 2014.2'!$A:$A,A232)+SUMIFS('[2]turmas 2014.2'!$O:$O,'[2]turmas 2014.2'!$V:$V,$H$5,'[2]turmas 2014.2'!$A:$A,'CRÉDITOS POR CENTRO'!$A232))</f>
        <v>#VALUE!</v>
      </c>
      <c r="I232" s="39" t="e">
        <f t="shared" si="14"/>
        <v>#VALUE!</v>
      </c>
      <c r="J232" s="38" t="e">
        <f t="shared" si="15"/>
        <v>#VALUE!</v>
      </c>
    </row>
    <row r="233" spans="1:10" ht="15">
      <c r="A233" s="269" t="s">
        <v>4753</v>
      </c>
      <c r="B233" s="269" t="s">
        <v>4754</v>
      </c>
      <c r="C233" s="38" t="e">
        <f>SUMIF('[2]turmas 2014.2'!A:A,$A233,'[2]turmas 2014.2'!N:N)+SUMIF('[2]turmas 2014.2'!A:A,$A233,'[2]turmas 2014.2'!O:O)</f>
        <v>#VALUE!</v>
      </c>
      <c r="D233" s="38" t="e">
        <f>(SUMIFS('[2]turmas 2014.2'!$N:$N,'[2]turmas 2014.2'!$R:$R,$D$5,'[2]turmas 2014.2'!$C:$C,B233)+SUMIFS('[2]turmas 2014.2'!$O:$O,'[2]turmas 2014.2'!$V:$V,$D$5,'[2]turmas 2014.2'!$C:$C,'CRÉDITOS POR CENTRO'!$B233))</f>
        <v>#VALUE!</v>
      </c>
      <c r="E233" s="39" t="e">
        <f t="shared" si="12"/>
        <v>#VALUE!</v>
      </c>
      <c r="F233" s="38" t="e">
        <f>(SUMIFS('[2]turmas 2014.2'!$N:$N,'[2]turmas 2014.2'!$R:$R,$F$5,'[2]turmas 2014.2'!$C:$C,B233)+SUMIFS('[2]turmas 2014.2'!$O:$O,'[2]turmas 2014.2'!$V:$V,$F$5,'[2]turmas 2014.2'!$C:$C,'CRÉDITOS POR CENTRO'!$B233))</f>
        <v>#VALUE!</v>
      </c>
      <c r="G233" s="39" t="e">
        <f t="shared" si="13"/>
        <v>#VALUE!</v>
      </c>
      <c r="H233" s="38" t="e">
        <f>(SUMIFS('[2]turmas 2014.2'!$N:$N,'[2]turmas 2014.2'!$R:$R,$H$5,'[2]turmas 2014.2'!$A:$A,A233)+SUMIFS('[2]turmas 2014.2'!$O:$O,'[2]turmas 2014.2'!$V:$V,$H$5,'[2]turmas 2014.2'!$A:$A,'CRÉDITOS POR CENTRO'!$A233))</f>
        <v>#VALUE!</v>
      </c>
      <c r="I233" s="39" t="e">
        <f t="shared" si="14"/>
        <v>#VALUE!</v>
      </c>
      <c r="J233" s="38" t="e">
        <f t="shared" si="15"/>
        <v>#VALUE!</v>
      </c>
    </row>
    <row r="234" spans="1:10" ht="15">
      <c r="A234" s="269" t="s">
        <v>3105</v>
      </c>
      <c r="B234" s="269" t="s">
        <v>3106</v>
      </c>
      <c r="C234" s="38" t="e">
        <f>SUMIF('[2]turmas 2014.2'!A:A,$A234,'[2]turmas 2014.2'!N:N)+SUMIF('[2]turmas 2014.2'!A:A,$A234,'[2]turmas 2014.2'!O:O)</f>
        <v>#VALUE!</v>
      </c>
      <c r="D234" s="38" t="e">
        <f>(SUMIFS('[2]turmas 2014.2'!$N:$N,'[2]turmas 2014.2'!$R:$R,$D$5,'[2]turmas 2014.2'!$C:$C,B234)+SUMIFS('[2]turmas 2014.2'!$O:$O,'[2]turmas 2014.2'!$V:$V,$D$5,'[2]turmas 2014.2'!$C:$C,'CRÉDITOS POR CENTRO'!$B234))</f>
        <v>#VALUE!</v>
      </c>
      <c r="E234" s="39" t="e">
        <f t="shared" si="12"/>
        <v>#VALUE!</v>
      </c>
      <c r="F234" s="38" t="e">
        <f>(SUMIFS('[2]turmas 2014.2'!$N:$N,'[2]turmas 2014.2'!$R:$R,$F$5,'[2]turmas 2014.2'!$C:$C,B234)+SUMIFS('[2]turmas 2014.2'!$O:$O,'[2]turmas 2014.2'!$V:$V,$F$5,'[2]turmas 2014.2'!$C:$C,'CRÉDITOS POR CENTRO'!$B234))</f>
        <v>#VALUE!</v>
      </c>
      <c r="G234" s="39" t="e">
        <f t="shared" si="13"/>
        <v>#VALUE!</v>
      </c>
      <c r="H234" s="38" t="e">
        <f>(SUMIFS('[2]turmas 2014.2'!$N:$N,'[2]turmas 2014.2'!$R:$R,$H$5,'[2]turmas 2014.2'!$A:$A,A234)+SUMIFS('[2]turmas 2014.2'!$O:$O,'[2]turmas 2014.2'!$V:$V,$H$5,'[2]turmas 2014.2'!$A:$A,'CRÉDITOS POR CENTRO'!$A234))</f>
        <v>#VALUE!</v>
      </c>
      <c r="I234" s="39" t="e">
        <f t="shared" si="14"/>
        <v>#VALUE!</v>
      </c>
      <c r="J234" s="38" t="e">
        <f t="shared" si="15"/>
        <v>#VALUE!</v>
      </c>
    </row>
    <row r="235" spans="1:10" ht="15">
      <c r="A235" s="269" t="s">
        <v>4755</v>
      </c>
      <c r="B235" s="269" t="s">
        <v>4756</v>
      </c>
      <c r="C235" s="38" t="e">
        <f>SUMIF('[2]turmas 2014.2'!A:A,$A235,'[2]turmas 2014.2'!N:N)+SUMIF('[2]turmas 2014.2'!A:A,$A235,'[2]turmas 2014.2'!O:O)</f>
        <v>#VALUE!</v>
      </c>
      <c r="D235" s="38" t="e">
        <f>(SUMIFS('[2]turmas 2014.2'!$N:$N,'[2]turmas 2014.2'!$R:$R,$D$5,'[2]turmas 2014.2'!$C:$C,B235)+SUMIFS('[2]turmas 2014.2'!$O:$O,'[2]turmas 2014.2'!$V:$V,$D$5,'[2]turmas 2014.2'!$C:$C,'CRÉDITOS POR CENTRO'!$B235))</f>
        <v>#VALUE!</v>
      </c>
      <c r="E235" s="39" t="e">
        <f t="shared" si="12"/>
        <v>#VALUE!</v>
      </c>
      <c r="F235" s="38" t="e">
        <f>(SUMIFS('[2]turmas 2014.2'!$N:$N,'[2]turmas 2014.2'!$R:$R,$F$5,'[2]turmas 2014.2'!$C:$C,B235)+SUMIFS('[2]turmas 2014.2'!$O:$O,'[2]turmas 2014.2'!$V:$V,$F$5,'[2]turmas 2014.2'!$C:$C,'CRÉDITOS POR CENTRO'!$B235))</f>
        <v>#VALUE!</v>
      </c>
      <c r="G235" s="39" t="e">
        <f t="shared" si="13"/>
        <v>#VALUE!</v>
      </c>
      <c r="H235" s="38" t="e">
        <f>(SUMIFS('[2]turmas 2014.2'!$N:$N,'[2]turmas 2014.2'!$R:$R,$H$5,'[2]turmas 2014.2'!$A:$A,A235)+SUMIFS('[2]turmas 2014.2'!$O:$O,'[2]turmas 2014.2'!$V:$V,$H$5,'[2]turmas 2014.2'!$A:$A,'CRÉDITOS POR CENTRO'!$A235))</f>
        <v>#VALUE!</v>
      </c>
      <c r="I235" s="39" t="e">
        <f t="shared" si="14"/>
        <v>#VALUE!</v>
      </c>
      <c r="J235" s="38" t="e">
        <f t="shared" si="15"/>
        <v>#VALUE!</v>
      </c>
    </row>
    <row r="236" spans="1:10" ht="15">
      <c r="A236" s="269" t="s">
        <v>4757</v>
      </c>
      <c r="B236" s="269" t="s">
        <v>4758</v>
      </c>
      <c r="C236" s="38" t="e">
        <f>SUMIF('[2]turmas 2014.2'!A:A,$A236,'[2]turmas 2014.2'!N:N)+SUMIF('[2]turmas 2014.2'!A:A,$A236,'[2]turmas 2014.2'!O:O)</f>
        <v>#VALUE!</v>
      </c>
      <c r="D236" s="38" t="e">
        <f>(SUMIFS('[2]turmas 2014.2'!$N:$N,'[2]turmas 2014.2'!$R:$R,$D$5,'[2]turmas 2014.2'!$C:$C,B236)+SUMIFS('[2]turmas 2014.2'!$O:$O,'[2]turmas 2014.2'!$V:$V,$D$5,'[2]turmas 2014.2'!$C:$C,'CRÉDITOS POR CENTRO'!$B236))</f>
        <v>#VALUE!</v>
      </c>
      <c r="E236" s="39" t="e">
        <f t="shared" si="12"/>
        <v>#VALUE!</v>
      </c>
      <c r="F236" s="38" t="e">
        <f>(SUMIFS('[2]turmas 2014.2'!$N:$N,'[2]turmas 2014.2'!$R:$R,$F$5,'[2]turmas 2014.2'!$C:$C,B236)+SUMIFS('[2]turmas 2014.2'!$O:$O,'[2]turmas 2014.2'!$V:$V,$F$5,'[2]turmas 2014.2'!$C:$C,'CRÉDITOS POR CENTRO'!$B236))</f>
        <v>#VALUE!</v>
      </c>
      <c r="G236" s="39" t="e">
        <f t="shared" si="13"/>
        <v>#VALUE!</v>
      </c>
      <c r="H236" s="38" t="e">
        <f>(SUMIFS('[2]turmas 2014.2'!$N:$N,'[2]turmas 2014.2'!$R:$R,$H$5,'[2]turmas 2014.2'!$A:$A,A236)+SUMIFS('[2]turmas 2014.2'!$O:$O,'[2]turmas 2014.2'!$V:$V,$H$5,'[2]turmas 2014.2'!$A:$A,'CRÉDITOS POR CENTRO'!$A236))</f>
        <v>#VALUE!</v>
      </c>
      <c r="I236" s="39" t="e">
        <f t="shared" si="14"/>
        <v>#VALUE!</v>
      </c>
      <c r="J236" s="38" t="e">
        <f t="shared" si="15"/>
        <v>#VALUE!</v>
      </c>
    </row>
    <row r="237" spans="1:10" ht="15">
      <c r="A237" s="269" t="s">
        <v>4759</v>
      </c>
      <c r="B237" s="269" t="s">
        <v>4760</v>
      </c>
      <c r="C237" s="38" t="e">
        <f>SUMIF('[2]turmas 2014.2'!A:A,$A237,'[2]turmas 2014.2'!N:N)+SUMIF('[2]turmas 2014.2'!A:A,$A237,'[2]turmas 2014.2'!O:O)</f>
        <v>#VALUE!</v>
      </c>
      <c r="D237" s="38" t="e">
        <f>(SUMIFS('[2]turmas 2014.2'!$N:$N,'[2]turmas 2014.2'!$R:$R,$D$5,'[2]turmas 2014.2'!$C:$C,B237)+SUMIFS('[2]turmas 2014.2'!$O:$O,'[2]turmas 2014.2'!$V:$V,$D$5,'[2]turmas 2014.2'!$C:$C,'CRÉDITOS POR CENTRO'!$B237))</f>
        <v>#VALUE!</v>
      </c>
      <c r="E237" s="39" t="e">
        <f t="shared" si="12"/>
        <v>#VALUE!</v>
      </c>
      <c r="F237" s="38" t="e">
        <f>(SUMIFS('[2]turmas 2014.2'!$N:$N,'[2]turmas 2014.2'!$R:$R,$F$5,'[2]turmas 2014.2'!$C:$C,B237)+SUMIFS('[2]turmas 2014.2'!$O:$O,'[2]turmas 2014.2'!$V:$V,$F$5,'[2]turmas 2014.2'!$C:$C,'CRÉDITOS POR CENTRO'!$B237))</f>
        <v>#VALUE!</v>
      </c>
      <c r="G237" s="39" t="e">
        <f t="shared" si="13"/>
        <v>#VALUE!</v>
      </c>
      <c r="H237" s="38" t="e">
        <f>(SUMIFS('[2]turmas 2014.2'!$N:$N,'[2]turmas 2014.2'!$R:$R,$H$5,'[2]turmas 2014.2'!$A:$A,A237)+SUMIFS('[2]turmas 2014.2'!$O:$O,'[2]turmas 2014.2'!$V:$V,$H$5,'[2]turmas 2014.2'!$A:$A,'CRÉDITOS POR CENTRO'!$A237))</f>
        <v>#VALUE!</v>
      </c>
      <c r="I237" s="39" t="e">
        <f t="shared" si="14"/>
        <v>#VALUE!</v>
      </c>
      <c r="J237" s="38" t="e">
        <f t="shared" si="15"/>
        <v>#VALUE!</v>
      </c>
    </row>
    <row r="238" spans="1:10" ht="15">
      <c r="A238" s="269" t="s">
        <v>4761</v>
      </c>
      <c r="B238" s="269" t="s">
        <v>4762</v>
      </c>
      <c r="C238" s="38" t="e">
        <f>SUMIF('[2]turmas 2014.2'!A:A,$A238,'[2]turmas 2014.2'!N:N)+SUMIF('[2]turmas 2014.2'!A:A,$A238,'[2]turmas 2014.2'!O:O)</f>
        <v>#VALUE!</v>
      </c>
      <c r="D238" s="38" t="e">
        <f>(SUMIFS('[2]turmas 2014.2'!$N:$N,'[2]turmas 2014.2'!$R:$R,$D$5,'[2]turmas 2014.2'!$C:$C,B238)+SUMIFS('[2]turmas 2014.2'!$O:$O,'[2]turmas 2014.2'!$V:$V,$D$5,'[2]turmas 2014.2'!$C:$C,'CRÉDITOS POR CENTRO'!$B238))</f>
        <v>#VALUE!</v>
      </c>
      <c r="E238" s="39" t="e">
        <f t="shared" si="12"/>
        <v>#VALUE!</v>
      </c>
      <c r="F238" s="38" t="e">
        <f>(SUMIFS('[2]turmas 2014.2'!$N:$N,'[2]turmas 2014.2'!$R:$R,$F$5,'[2]turmas 2014.2'!$C:$C,B238)+SUMIFS('[2]turmas 2014.2'!$O:$O,'[2]turmas 2014.2'!$V:$V,$F$5,'[2]turmas 2014.2'!$C:$C,'CRÉDITOS POR CENTRO'!$B238))</f>
        <v>#VALUE!</v>
      </c>
      <c r="G238" s="39" t="e">
        <f t="shared" si="13"/>
        <v>#VALUE!</v>
      </c>
      <c r="H238" s="38" t="e">
        <f>(SUMIFS('[2]turmas 2014.2'!$N:$N,'[2]turmas 2014.2'!$R:$R,$H$5,'[2]turmas 2014.2'!$A:$A,A238)+SUMIFS('[2]turmas 2014.2'!$O:$O,'[2]turmas 2014.2'!$V:$V,$H$5,'[2]turmas 2014.2'!$A:$A,'CRÉDITOS POR CENTRO'!$A238))</f>
        <v>#VALUE!</v>
      </c>
      <c r="I238" s="39" t="e">
        <f t="shared" si="14"/>
        <v>#VALUE!</v>
      </c>
      <c r="J238" s="38" t="e">
        <f t="shared" si="15"/>
        <v>#VALUE!</v>
      </c>
    </row>
    <row r="239" spans="1:10" ht="15">
      <c r="A239" s="269" t="s">
        <v>4763</v>
      </c>
      <c r="B239" s="269" t="s">
        <v>4764</v>
      </c>
      <c r="C239" s="38" t="e">
        <f>SUMIF('[2]turmas 2014.2'!A:A,$A239,'[2]turmas 2014.2'!N:N)+SUMIF('[2]turmas 2014.2'!A:A,$A239,'[2]turmas 2014.2'!O:O)</f>
        <v>#VALUE!</v>
      </c>
      <c r="D239" s="38" t="e">
        <f>(SUMIFS('[2]turmas 2014.2'!$N:$N,'[2]turmas 2014.2'!$R:$R,$D$5,'[2]turmas 2014.2'!$C:$C,B239)+SUMIFS('[2]turmas 2014.2'!$O:$O,'[2]turmas 2014.2'!$V:$V,$D$5,'[2]turmas 2014.2'!$C:$C,'CRÉDITOS POR CENTRO'!$B239))</f>
        <v>#VALUE!</v>
      </c>
      <c r="E239" s="39" t="e">
        <f t="shared" si="12"/>
        <v>#VALUE!</v>
      </c>
      <c r="F239" s="38" t="e">
        <f>(SUMIFS('[2]turmas 2014.2'!$N:$N,'[2]turmas 2014.2'!$R:$R,$F$5,'[2]turmas 2014.2'!$C:$C,B239)+SUMIFS('[2]turmas 2014.2'!$O:$O,'[2]turmas 2014.2'!$V:$V,$F$5,'[2]turmas 2014.2'!$C:$C,'CRÉDITOS POR CENTRO'!$B239))</f>
        <v>#VALUE!</v>
      </c>
      <c r="G239" s="39" t="e">
        <f t="shared" si="13"/>
        <v>#VALUE!</v>
      </c>
      <c r="H239" s="38" t="e">
        <f>(SUMIFS('[2]turmas 2014.2'!$N:$N,'[2]turmas 2014.2'!$R:$R,$H$5,'[2]turmas 2014.2'!$A:$A,A239)+SUMIFS('[2]turmas 2014.2'!$O:$O,'[2]turmas 2014.2'!$V:$V,$H$5,'[2]turmas 2014.2'!$A:$A,'CRÉDITOS POR CENTRO'!$A239))</f>
        <v>#VALUE!</v>
      </c>
      <c r="I239" s="39" t="e">
        <f t="shared" si="14"/>
        <v>#VALUE!</v>
      </c>
      <c r="J239" s="38" t="e">
        <f t="shared" si="15"/>
        <v>#VALUE!</v>
      </c>
    </row>
    <row r="240" spans="1:10" ht="15">
      <c r="A240" s="269" t="s">
        <v>4765</v>
      </c>
      <c r="B240" s="269" t="s">
        <v>4766</v>
      </c>
      <c r="C240" s="38" t="e">
        <f>SUMIF('[2]turmas 2014.2'!A:A,$A240,'[2]turmas 2014.2'!N:N)+SUMIF('[2]turmas 2014.2'!A:A,$A240,'[2]turmas 2014.2'!O:O)</f>
        <v>#VALUE!</v>
      </c>
      <c r="D240" s="38" t="e">
        <f>(SUMIFS('[2]turmas 2014.2'!$N:$N,'[2]turmas 2014.2'!$R:$R,$D$5,'[2]turmas 2014.2'!$C:$C,B240)+SUMIFS('[2]turmas 2014.2'!$O:$O,'[2]turmas 2014.2'!$V:$V,$D$5,'[2]turmas 2014.2'!$C:$C,'CRÉDITOS POR CENTRO'!$B240))</f>
        <v>#VALUE!</v>
      </c>
      <c r="E240" s="39" t="e">
        <f t="shared" si="12"/>
        <v>#VALUE!</v>
      </c>
      <c r="F240" s="38" t="e">
        <f>(SUMIFS('[2]turmas 2014.2'!$N:$N,'[2]turmas 2014.2'!$R:$R,$F$5,'[2]turmas 2014.2'!$C:$C,B240)+SUMIFS('[2]turmas 2014.2'!$O:$O,'[2]turmas 2014.2'!$V:$V,$F$5,'[2]turmas 2014.2'!$C:$C,'CRÉDITOS POR CENTRO'!$B240))</f>
        <v>#VALUE!</v>
      </c>
      <c r="G240" s="39" t="e">
        <f t="shared" si="13"/>
        <v>#VALUE!</v>
      </c>
      <c r="H240" s="38" t="e">
        <f>(SUMIFS('[2]turmas 2014.2'!$N:$N,'[2]turmas 2014.2'!$R:$R,$H$5,'[2]turmas 2014.2'!$A:$A,A240)+SUMIFS('[2]turmas 2014.2'!$O:$O,'[2]turmas 2014.2'!$V:$V,$H$5,'[2]turmas 2014.2'!$A:$A,'CRÉDITOS POR CENTRO'!$A240))</f>
        <v>#VALUE!</v>
      </c>
      <c r="I240" s="39" t="e">
        <f t="shared" si="14"/>
        <v>#VALUE!</v>
      </c>
      <c r="J240" s="38" t="e">
        <f t="shared" si="15"/>
        <v>#VALUE!</v>
      </c>
    </row>
    <row r="241" spans="1:10" ht="15">
      <c r="A241" s="269" t="s">
        <v>4767</v>
      </c>
      <c r="B241" s="269" t="s">
        <v>4768</v>
      </c>
      <c r="C241" s="38" t="e">
        <f>SUMIF('[2]turmas 2014.2'!A:A,$A241,'[2]turmas 2014.2'!N:N)+SUMIF('[2]turmas 2014.2'!A:A,$A241,'[2]turmas 2014.2'!O:O)</f>
        <v>#VALUE!</v>
      </c>
      <c r="D241" s="38" t="e">
        <f>(SUMIFS('[2]turmas 2014.2'!$N:$N,'[2]turmas 2014.2'!$R:$R,$D$5,'[2]turmas 2014.2'!$C:$C,B241)+SUMIFS('[2]turmas 2014.2'!$O:$O,'[2]turmas 2014.2'!$V:$V,$D$5,'[2]turmas 2014.2'!$C:$C,'CRÉDITOS POR CENTRO'!$B241))</f>
        <v>#VALUE!</v>
      </c>
      <c r="E241" s="39" t="e">
        <f t="shared" si="12"/>
        <v>#VALUE!</v>
      </c>
      <c r="F241" s="38" t="e">
        <f>(SUMIFS('[2]turmas 2014.2'!$N:$N,'[2]turmas 2014.2'!$R:$R,$F$5,'[2]turmas 2014.2'!$C:$C,B241)+SUMIFS('[2]turmas 2014.2'!$O:$O,'[2]turmas 2014.2'!$V:$V,$F$5,'[2]turmas 2014.2'!$C:$C,'CRÉDITOS POR CENTRO'!$B241))</f>
        <v>#VALUE!</v>
      </c>
      <c r="G241" s="39" t="e">
        <f t="shared" si="13"/>
        <v>#VALUE!</v>
      </c>
      <c r="H241" s="38" t="e">
        <f>(SUMIFS('[2]turmas 2014.2'!$N:$N,'[2]turmas 2014.2'!$R:$R,$H$5,'[2]turmas 2014.2'!$A:$A,A241)+SUMIFS('[2]turmas 2014.2'!$O:$O,'[2]turmas 2014.2'!$V:$V,$H$5,'[2]turmas 2014.2'!$A:$A,'CRÉDITOS POR CENTRO'!$A241))</f>
        <v>#VALUE!</v>
      </c>
      <c r="I241" s="39" t="e">
        <f t="shared" si="14"/>
        <v>#VALUE!</v>
      </c>
      <c r="J241" s="38" t="e">
        <f t="shared" si="15"/>
        <v>#VALUE!</v>
      </c>
    </row>
    <row r="242" spans="1:10" ht="15">
      <c r="A242" s="269" t="s">
        <v>4769</v>
      </c>
      <c r="B242" s="269" t="s">
        <v>4770</v>
      </c>
      <c r="C242" s="38" t="e">
        <f>SUMIF('[2]turmas 2014.2'!A:A,$A242,'[2]turmas 2014.2'!N:N)+SUMIF('[2]turmas 2014.2'!A:A,$A242,'[2]turmas 2014.2'!O:O)</f>
        <v>#VALUE!</v>
      </c>
      <c r="D242" s="38" t="e">
        <f>(SUMIFS('[2]turmas 2014.2'!$N:$N,'[2]turmas 2014.2'!$R:$R,$D$5,'[2]turmas 2014.2'!$C:$C,B242)+SUMIFS('[2]turmas 2014.2'!$O:$O,'[2]turmas 2014.2'!$V:$V,$D$5,'[2]turmas 2014.2'!$C:$C,'CRÉDITOS POR CENTRO'!$B242))</f>
        <v>#VALUE!</v>
      </c>
      <c r="E242" s="39" t="e">
        <f t="shared" si="12"/>
        <v>#VALUE!</v>
      </c>
      <c r="F242" s="38" t="e">
        <f>(SUMIFS('[2]turmas 2014.2'!$N:$N,'[2]turmas 2014.2'!$R:$R,$F$5,'[2]turmas 2014.2'!$C:$C,B242)+SUMIFS('[2]turmas 2014.2'!$O:$O,'[2]turmas 2014.2'!$V:$V,$F$5,'[2]turmas 2014.2'!$C:$C,'CRÉDITOS POR CENTRO'!$B242))</f>
        <v>#VALUE!</v>
      </c>
      <c r="G242" s="39" t="e">
        <f t="shared" si="13"/>
        <v>#VALUE!</v>
      </c>
      <c r="H242" s="38" t="e">
        <f>(SUMIFS('[2]turmas 2014.2'!$N:$N,'[2]turmas 2014.2'!$R:$R,$H$5,'[2]turmas 2014.2'!$A:$A,A242)+SUMIFS('[2]turmas 2014.2'!$O:$O,'[2]turmas 2014.2'!$V:$V,$H$5,'[2]turmas 2014.2'!$A:$A,'CRÉDITOS POR CENTRO'!$A242))</f>
        <v>#VALUE!</v>
      </c>
      <c r="I242" s="39" t="e">
        <f t="shared" si="14"/>
        <v>#VALUE!</v>
      </c>
      <c r="J242" s="38" t="e">
        <f t="shared" si="15"/>
        <v>#VALUE!</v>
      </c>
    </row>
    <row r="243" spans="1:10" ht="15">
      <c r="A243" s="269" t="s">
        <v>4771</v>
      </c>
      <c r="B243" s="269" t="s">
        <v>4772</v>
      </c>
      <c r="C243" s="38" t="e">
        <f>SUMIF('[2]turmas 2014.2'!A:A,$A243,'[2]turmas 2014.2'!N:N)+SUMIF('[2]turmas 2014.2'!A:A,$A243,'[2]turmas 2014.2'!O:O)</f>
        <v>#VALUE!</v>
      </c>
      <c r="D243" s="38" t="e">
        <f>(SUMIFS('[2]turmas 2014.2'!$N:$N,'[2]turmas 2014.2'!$R:$R,$D$5,'[2]turmas 2014.2'!$C:$C,B243)+SUMIFS('[2]turmas 2014.2'!$O:$O,'[2]turmas 2014.2'!$V:$V,$D$5,'[2]turmas 2014.2'!$C:$C,'CRÉDITOS POR CENTRO'!$B243))</f>
        <v>#VALUE!</v>
      </c>
      <c r="E243" s="39" t="e">
        <f t="shared" si="12"/>
        <v>#VALUE!</v>
      </c>
      <c r="F243" s="38" t="e">
        <f>(SUMIFS('[2]turmas 2014.2'!$N:$N,'[2]turmas 2014.2'!$R:$R,$F$5,'[2]turmas 2014.2'!$C:$C,B243)+SUMIFS('[2]turmas 2014.2'!$O:$O,'[2]turmas 2014.2'!$V:$V,$F$5,'[2]turmas 2014.2'!$C:$C,'CRÉDITOS POR CENTRO'!$B243))</f>
        <v>#VALUE!</v>
      </c>
      <c r="G243" s="39" t="e">
        <f t="shared" si="13"/>
        <v>#VALUE!</v>
      </c>
      <c r="H243" s="38" t="e">
        <f>(SUMIFS('[2]turmas 2014.2'!$N:$N,'[2]turmas 2014.2'!$R:$R,$H$5,'[2]turmas 2014.2'!$A:$A,A243)+SUMIFS('[2]turmas 2014.2'!$O:$O,'[2]turmas 2014.2'!$V:$V,$H$5,'[2]turmas 2014.2'!$A:$A,'CRÉDITOS POR CENTRO'!$A243))</f>
        <v>#VALUE!</v>
      </c>
      <c r="I243" s="39" t="e">
        <f t="shared" si="14"/>
        <v>#VALUE!</v>
      </c>
      <c r="J243" s="38" t="e">
        <f t="shared" si="15"/>
        <v>#VALUE!</v>
      </c>
    </row>
    <row r="244" spans="1:10" ht="15">
      <c r="A244" s="269" t="s">
        <v>4773</v>
      </c>
      <c r="B244" s="269" t="s">
        <v>4774</v>
      </c>
      <c r="C244" s="38" t="e">
        <f>SUMIF('[2]turmas 2014.2'!A:A,$A244,'[2]turmas 2014.2'!N:N)+SUMIF('[2]turmas 2014.2'!A:A,$A244,'[2]turmas 2014.2'!O:O)</f>
        <v>#VALUE!</v>
      </c>
      <c r="D244" s="38" t="e">
        <f>(SUMIFS('[2]turmas 2014.2'!$N:$N,'[2]turmas 2014.2'!$R:$R,$D$5,'[2]turmas 2014.2'!$C:$C,B244)+SUMIFS('[2]turmas 2014.2'!$O:$O,'[2]turmas 2014.2'!$V:$V,$D$5,'[2]turmas 2014.2'!$C:$C,'CRÉDITOS POR CENTRO'!$B244))</f>
        <v>#VALUE!</v>
      </c>
      <c r="E244" s="39" t="e">
        <f t="shared" si="12"/>
        <v>#VALUE!</v>
      </c>
      <c r="F244" s="38" t="e">
        <f>(SUMIFS('[2]turmas 2014.2'!$N:$N,'[2]turmas 2014.2'!$R:$R,$F$5,'[2]turmas 2014.2'!$C:$C,B244)+SUMIFS('[2]turmas 2014.2'!$O:$O,'[2]turmas 2014.2'!$V:$V,$F$5,'[2]turmas 2014.2'!$C:$C,'CRÉDITOS POR CENTRO'!$B244))</f>
        <v>#VALUE!</v>
      </c>
      <c r="G244" s="39" t="e">
        <f t="shared" si="13"/>
        <v>#VALUE!</v>
      </c>
      <c r="H244" s="38" t="e">
        <f>(SUMIFS('[2]turmas 2014.2'!$N:$N,'[2]turmas 2014.2'!$R:$R,$H$5,'[2]turmas 2014.2'!$A:$A,A244)+SUMIFS('[2]turmas 2014.2'!$O:$O,'[2]turmas 2014.2'!$V:$V,$H$5,'[2]turmas 2014.2'!$A:$A,'CRÉDITOS POR CENTRO'!$A244))</f>
        <v>#VALUE!</v>
      </c>
      <c r="I244" s="39" t="e">
        <f t="shared" si="14"/>
        <v>#VALUE!</v>
      </c>
      <c r="J244" s="38" t="e">
        <f t="shared" si="15"/>
        <v>#VALUE!</v>
      </c>
    </row>
    <row r="245" spans="1:10" ht="15">
      <c r="A245" s="269" t="s">
        <v>3197</v>
      </c>
      <c r="B245" s="269" t="s">
        <v>3198</v>
      </c>
      <c r="C245" s="38" t="e">
        <f>SUMIF('[2]turmas 2014.2'!A:A,$A245,'[2]turmas 2014.2'!N:N)+SUMIF('[2]turmas 2014.2'!A:A,$A245,'[2]turmas 2014.2'!O:O)</f>
        <v>#VALUE!</v>
      </c>
      <c r="D245" s="38" t="e">
        <f>(SUMIFS('[2]turmas 2014.2'!$N:$N,'[2]turmas 2014.2'!$R:$R,$D$5,'[2]turmas 2014.2'!$C:$C,B245)+SUMIFS('[2]turmas 2014.2'!$O:$O,'[2]turmas 2014.2'!$V:$V,$D$5,'[2]turmas 2014.2'!$C:$C,'CRÉDITOS POR CENTRO'!$B245))</f>
        <v>#VALUE!</v>
      </c>
      <c r="E245" s="39" t="e">
        <f t="shared" si="12"/>
        <v>#VALUE!</v>
      </c>
      <c r="F245" s="38" t="e">
        <f>(SUMIFS('[2]turmas 2014.2'!$N:$N,'[2]turmas 2014.2'!$R:$R,$F$5,'[2]turmas 2014.2'!$C:$C,B245)+SUMIFS('[2]turmas 2014.2'!$O:$O,'[2]turmas 2014.2'!$V:$V,$F$5,'[2]turmas 2014.2'!$C:$C,'CRÉDITOS POR CENTRO'!$B245))</f>
        <v>#VALUE!</v>
      </c>
      <c r="G245" s="39" t="e">
        <f t="shared" si="13"/>
        <v>#VALUE!</v>
      </c>
      <c r="H245" s="38" t="e">
        <f>(SUMIFS('[2]turmas 2014.2'!$N:$N,'[2]turmas 2014.2'!$R:$R,$H$5,'[2]turmas 2014.2'!$A:$A,A245)+SUMIFS('[2]turmas 2014.2'!$O:$O,'[2]turmas 2014.2'!$V:$V,$H$5,'[2]turmas 2014.2'!$A:$A,'CRÉDITOS POR CENTRO'!$A245))</f>
        <v>#VALUE!</v>
      </c>
      <c r="I245" s="39" t="e">
        <f t="shared" si="14"/>
        <v>#VALUE!</v>
      </c>
      <c r="J245" s="38" t="e">
        <f t="shared" si="15"/>
        <v>#VALUE!</v>
      </c>
    </row>
    <row r="246" spans="1:10" ht="15">
      <c r="A246" s="269" t="s">
        <v>3205</v>
      </c>
      <c r="B246" s="269" t="s">
        <v>3206</v>
      </c>
      <c r="C246" s="38" t="e">
        <f>SUMIF('[2]turmas 2014.2'!A:A,$A246,'[2]turmas 2014.2'!N:N)+SUMIF('[2]turmas 2014.2'!A:A,$A246,'[2]turmas 2014.2'!O:O)</f>
        <v>#VALUE!</v>
      </c>
      <c r="D246" s="38" t="e">
        <f>(SUMIFS('[2]turmas 2014.2'!$N:$N,'[2]turmas 2014.2'!$R:$R,$D$5,'[2]turmas 2014.2'!$C:$C,B246)+SUMIFS('[2]turmas 2014.2'!$O:$O,'[2]turmas 2014.2'!$V:$V,$D$5,'[2]turmas 2014.2'!$C:$C,'CRÉDITOS POR CENTRO'!$B246))</f>
        <v>#VALUE!</v>
      </c>
      <c r="E246" s="39" t="e">
        <f t="shared" si="12"/>
        <v>#VALUE!</v>
      </c>
      <c r="F246" s="38" t="e">
        <f>(SUMIFS('[2]turmas 2014.2'!$N:$N,'[2]turmas 2014.2'!$R:$R,$F$5,'[2]turmas 2014.2'!$C:$C,B246)+SUMIFS('[2]turmas 2014.2'!$O:$O,'[2]turmas 2014.2'!$V:$V,$F$5,'[2]turmas 2014.2'!$C:$C,'CRÉDITOS POR CENTRO'!$B246))</f>
        <v>#VALUE!</v>
      </c>
      <c r="G246" s="39" t="e">
        <f t="shared" si="13"/>
        <v>#VALUE!</v>
      </c>
      <c r="H246" s="38" t="e">
        <f>(SUMIFS('[2]turmas 2014.2'!$N:$N,'[2]turmas 2014.2'!$R:$R,$H$5,'[2]turmas 2014.2'!$A:$A,A246)+SUMIFS('[2]turmas 2014.2'!$O:$O,'[2]turmas 2014.2'!$V:$V,$H$5,'[2]turmas 2014.2'!$A:$A,'CRÉDITOS POR CENTRO'!$A246))</f>
        <v>#VALUE!</v>
      </c>
      <c r="I246" s="39" t="e">
        <f t="shared" si="14"/>
        <v>#VALUE!</v>
      </c>
      <c r="J246" s="38" t="e">
        <f t="shared" si="15"/>
        <v>#VALUE!</v>
      </c>
    </row>
    <row r="247" spans="1:10" ht="15">
      <c r="A247" s="269" t="s">
        <v>3215</v>
      </c>
      <c r="B247" s="269" t="s">
        <v>3216</v>
      </c>
      <c r="C247" s="38" t="e">
        <f>SUMIF('[2]turmas 2014.2'!A:A,$A247,'[2]turmas 2014.2'!N:N)+SUMIF('[2]turmas 2014.2'!A:A,$A247,'[2]turmas 2014.2'!O:O)</f>
        <v>#VALUE!</v>
      </c>
      <c r="D247" s="38" t="e">
        <f>(SUMIFS('[2]turmas 2014.2'!$N:$N,'[2]turmas 2014.2'!$R:$R,$D$5,'[2]turmas 2014.2'!$C:$C,B247)+SUMIFS('[2]turmas 2014.2'!$O:$O,'[2]turmas 2014.2'!$V:$V,$D$5,'[2]turmas 2014.2'!$C:$C,'CRÉDITOS POR CENTRO'!$B247))</f>
        <v>#VALUE!</v>
      </c>
      <c r="E247" s="39" t="e">
        <f t="shared" si="12"/>
        <v>#VALUE!</v>
      </c>
      <c r="F247" s="38" t="e">
        <f>(SUMIFS('[2]turmas 2014.2'!$N:$N,'[2]turmas 2014.2'!$R:$R,$F$5,'[2]turmas 2014.2'!$C:$C,B247)+SUMIFS('[2]turmas 2014.2'!$O:$O,'[2]turmas 2014.2'!$V:$V,$F$5,'[2]turmas 2014.2'!$C:$C,'CRÉDITOS POR CENTRO'!$B247))</f>
        <v>#VALUE!</v>
      </c>
      <c r="G247" s="39" t="e">
        <f t="shared" si="13"/>
        <v>#VALUE!</v>
      </c>
      <c r="H247" s="38" t="e">
        <f>(SUMIFS('[2]turmas 2014.2'!$N:$N,'[2]turmas 2014.2'!$R:$R,$H$5,'[2]turmas 2014.2'!$A:$A,A247)+SUMIFS('[2]turmas 2014.2'!$O:$O,'[2]turmas 2014.2'!$V:$V,$H$5,'[2]turmas 2014.2'!$A:$A,'CRÉDITOS POR CENTRO'!$A247))</f>
        <v>#VALUE!</v>
      </c>
      <c r="I247" s="39" t="e">
        <f t="shared" si="14"/>
        <v>#VALUE!</v>
      </c>
      <c r="J247" s="38" t="e">
        <f t="shared" si="15"/>
        <v>#VALUE!</v>
      </c>
    </row>
    <row r="248" spans="1:10" ht="15">
      <c r="A248" s="269" t="s">
        <v>4775</v>
      </c>
      <c r="B248" s="269" t="s">
        <v>4776</v>
      </c>
      <c r="C248" s="38" t="e">
        <f>SUMIF('[2]turmas 2014.2'!A:A,$A248,'[2]turmas 2014.2'!N:N)+SUMIF('[2]turmas 2014.2'!A:A,$A248,'[2]turmas 2014.2'!O:O)</f>
        <v>#VALUE!</v>
      </c>
      <c r="D248" s="38" t="e">
        <f>(SUMIFS('[2]turmas 2014.2'!$N:$N,'[2]turmas 2014.2'!$R:$R,$D$5,'[2]turmas 2014.2'!$C:$C,B248)+SUMIFS('[2]turmas 2014.2'!$O:$O,'[2]turmas 2014.2'!$V:$V,$D$5,'[2]turmas 2014.2'!$C:$C,'CRÉDITOS POR CENTRO'!$B248))</f>
        <v>#VALUE!</v>
      </c>
      <c r="E248" s="39" t="e">
        <f t="shared" si="12"/>
        <v>#VALUE!</v>
      </c>
      <c r="F248" s="38" t="e">
        <f>(SUMIFS('[2]turmas 2014.2'!$N:$N,'[2]turmas 2014.2'!$R:$R,$F$5,'[2]turmas 2014.2'!$C:$C,B248)+SUMIFS('[2]turmas 2014.2'!$O:$O,'[2]turmas 2014.2'!$V:$V,$F$5,'[2]turmas 2014.2'!$C:$C,'CRÉDITOS POR CENTRO'!$B248))</f>
        <v>#VALUE!</v>
      </c>
      <c r="G248" s="39" t="e">
        <f t="shared" si="13"/>
        <v>#VALUE!</v>
      </c>
      <c r="H248" s="38" t="e">
        <f>(SUMIFS('[2]turmas 2014.2'!$N:$N,'[2]turmas 2014.2'!$R:$R,$H$5,'[2]turmas 2014.2'!$A:$A,A248)+SUMIFS('[2]turmas 2014.2'!$O:$O,'[2]turmas 2014.2'!$V:$V,$H$5,'[2]turmas 2014.2'!$A:$A,'CRÉDITOS POR CENTRO'!$A248))</f>
        <v>#VALUE!</v>
      </c>
      <c r="I248" s="39" t="e">
        <f t="shared" si="14"/>
        <v>#VALUE!</v>
      </c>
      <c r="J248" s="38" t="e">
        <f t="shared" si="15"/>
        <v>#VALUE!</v>
      </c>
    </row>
    <row r="249" spans="1:10" ht="15">
      <c r="A249" s="269" t="s">
        <v>3229</v>
      </c>
      <c r="B249" s="269" t="s">
        <v>3230</v>
      </c>
      <c r="C249" s="38" t="e">
        <f>SUMIF('[2]turmas 2014.2'!A:A,$A249,'[2]turmas 2014.2'!N:N)+SUMIF('[2]turmas 2014.2'!A:A,$A249,'[2]turmas 2014.2'!O:O)</f>
        <v>#VALUE!</v>
      </c>
      <c r="D249" s="38" t="e">
        <f>(SUMIFS('[2]turmas 2014.2'!$N:$N,'[2]turmas 2014.2'!$R:$R,$D$5,'[2]turmas 2014.2'!$C:$C,B249)+SUMIFS('[2]turmas 2014.2'!$O:$O,'[2]turmas 2014.2'!$V:$V,$D$5,'[2]turmas 2014.2'!$C:$C,'CRÉDITOS POR CENTRO'!$B249))</f>
        <v>#VALUE!</v>
      </c>
      <c r="E249" s="39" t="e">
        <f t="shared" si="12"/>
        <v>#VALUE!</v>
      </c>
      <c r="F249" s="38" t="e">
        <f>(SUMIFS('[2]turmas 2014.2'!$N:$N,'[2]turmas 2014.2'!$R:$R,$F$5,'[2]turmas 2014.2'!$C:$C,B249)+SUMIFS('[2]turmas 2014.2'!$O:$O,'[2]turmas 2014.2'!$V:$V,$F$5,'[2]turmas 2014.2'!$C:$C,'CRÉDITOS POR CENTRO'!$B249))</f>
        <v>#VALUE!</v>
      </c>
      <c r="G249" s="39" t="e">
        <f t="shared" si="13"/>
        <v>#VALUE!</v>
      </c>
      <c r="H249" s="38" t="e">
        <f>(SUMIFS('[2]turmas 2014.2'!$N:$N,'[2]turmas 2014.2'!$R:$R,$H$5,'[2]turmas 2014.2'!$A:$A,A249)+SUMIFS('[2]turmas 2014.2'!$O:$O,'[2]turmas 2014.2'!$V:$V,$H$5,'[2]turmas 2014.2'!$A:$A,'CRÉDITOS POR CENTRO'!$A249))</f>
        <v>#VALUE!</v>
      </c>
      <c r="I249" s="39" t="e">
        <f t="shared" si="14"/>
        <v>#VALUE!</v>
      </c>
      <c r="J249" s="38" t="e">
        <f t="shared" si="15"/>
        <v>#VALUE!</v>
      </c>
    </row>
    <row r="250" spans="1:10" ht="15">
      <c r="A250" s="269" t="s">
        <v>4777</v>
      </c>
      <c r="B250" s="269" t="s">
        <v>4778</v>
      </c>
      <c r="C250" s="38" t="e">
        <f>SUMIF('[2]turmas 2014.2'!A:A,$A250,'[2]turmas 2014.2'!N:N)+SUMIF('[2]turmas 2014.2'!A:A,$A250,'[2]turmas 2014.2'!O:O)</f>
        <v>#VALUE!</v>
      </c>
      <c r="D250" s="38" t="e">
        <f>(SUMIFS('[2]turmas 2014.2'!$N:$N,'[2]turmas 2014.2'!$R:$R,$D$5,'[2]turmas 2014.2'!$C:$C,B250)+SUMIFS('[2]turmas 2014.2'!$O:$O,'[2]turmas 2014.2'!$V:$V,$D$5,'[2]turmas 2014.2'!$C:$C,'CRÉDITOS POR CENTRO'!$B250))</f>
        <v>#VALUE!</v>
      </c>
      <c r="E250" s="39" t="e">
        <f t="shared" si="12"/>
        <v>#VALUE!</v>
      </c>
      <c r="F250" s="38" t="e">
        <f>(SUMIFS('[2]turmas 2014.2'!$N:$N,'[2]turmas 2014.2'!$R:$R,$F$5,'[2]turmas 2014.2'!$C:$C,B250)+SUMIFS('[2]turmas 2014.2'!$O:$O,'[2]turmas 2014.2'!$V:$V,$F$5,'[2]turmas 2014.2'!$C:$C,'CRÉDITOS POR CENTRO'!$B250))</f>
        <v>#VALUE!</v>
      </c>
      <c r="G250" s="39" t="e">
        <f t="shared" si="13"/>
        <v>#VALUE!</v>
      </c>
      <c r="H250" s="38" t="e">
        <f>(SUMIFS('[2]turmas 2014.2'!$N:$N,'[2]turmas 2014.2'!$R:$R,$H$5,'[2]turmas 2014.2'!$A:$A,A250)+SUMIFS('[2]turmas 2014.2'!$O:$O,'[2]turmas 2014.2'!$V:$V,$H$5,'[2]turmas 2014.2'!$A:$A,'CRÉDITOS POR CENTRO'!$A250))</f>
        <v>#VALUE!</v>
      </c>
      <c r="I250" s="39" t="e">
        <f t="shared" si="14"/>
        <v>#VALUE!</v>
      </c>
      <c r="J250" s="38" t="e">
        <f t="shared" si="15"/>
        <v>#VALUE!</v>
      </c>
    </row>
    <row r="251" spans="1:10" ht="15">
      <c r="A251" s="269" t="s">
        <v>3243</v>
      </c>
      <c r="B251" s="269" t="s">
        <v>3244</v>
      </c>
      <c r="C251" s="38" t="e">
        <f>SUMIF('[2]turmas 2014.2'!A:A,$A251,'[2]turmas 2014.2'!N:N)+SUMIF('[2]turmas 2014.2'!A:A,$A251,'[2]turmas 2014.2'!O:O)</f>
        <v>#VALUE!</v>
      </c>
      <c r="D251" s="38" t="e">
        <f>(SUMIFS('[2]turmas 2014.2'!$N:$N,'[2]turmas 2014.2'!$R:$R,$D$5,'[2]turmas 2014.2'!$C:$C,B251)+SUMIFS('[2]turmas 2014.2'!$O:$O,'[2]turmas 2014.2'!$V:$V,$D$5,'[2]turmas 2014.2'!$C:$C,'CRÉDITOS POR CENTRO'!$B251))</f>
        <v>#VALUE!</v>
      </c>
      <c r="E251" s="39" t="e">
        <f t="shared" si="12"/>
        <v>#VALUE!</v>
      </c>
      <c r="F251" s="38" t="e">
        <f>(SUMIFS('[2]turmas 2014.2'!$N:$N,'[2]turmas 2014.2'!$R:$R,$F$5,'[2]turmas 2014.2'!$C:$C,B251)+SUMIFS('[2]turmas 2014.2'!$O:$O,'[2]turmas 2014.2'!$V:$V,$F$5,'[2]turmas 2014.2'!$C:$C,'CRÉDITOS POR CENTRO'!$B251))</f>
        <v>#VALUE!</v>
      </c>
      <c r="G251" s="39" t="e">
        <f t="shared" si="13"/>
        <v>#VALUE!</v>
      </c>
      <c r="H251" s="38" t="e">
        <f>(SUMIFS('[2]turmas 2014.2'!$N:$N,'[2]turmas 2014.2'!$R:$R,$H$5,'[2]turmas 2014.2'!$A:$A,A251)+SUMIFS('[2]turmas 2014.2'!$O:$O,'[2]turmas 2014.2'!$V:$V,$H$5,'[2]turmas 2014.2'!$A:$A,'CRÉDITOS POR CENTRO'!$A251))</f>
        <v>#VALUE!</v>
      </c>
      <c r="I251" s="39" t="e">
        <f t="shared" si="14"/>
        <v>#VALUE!</v>
      </c>
      <c r="J251" s="38" t="e">
        <f t="shared" si="15"/>
        <v>#VALUE!</v>
      </c>
    </row>
    <row r="252" spans="1:10" ht="15">
      <c r="A252" s="269" t="s">
        <v>3260</v>
      </c>
      <c r="B252" s="269" t="s">
        <v>3261</v>
      </c>
      <c r="C252" s="38" t="e">
        <f>SUMIF('[2]turmas 2014.2'!A:A,$A252,'[2]turmas 2014.2'!N:N)+SUMIF('[2]turmas 2014.2'!A:A,$A252,'[2]turmas 2014.2'!O:O)</f>
        <v>#VALUE!</v>
      </c>
      <c r="D252" s="38" t="e">
        <f>(SUMIFS('[2]turmas 2014.2'!$N:$N,'[2]turmas 2014.2'!$R:$R,$D$5,'[2]turmas 2014.2'!$C:$C,B252)+SUMIFS('[2]turmas 2014.2'!$O:$O,'[2]turmas 2014.2'!$V:$V,$D$5,'[2]turmas 2014.2'!$C:$C,'CRÉDITOS POR CENTRO'!$B252))</f>
        <v>#VALUE!</v>
      </c>
      <c r="E252" s="39" t="e">
        <f t="shared" si="12"/>
        <v>#VALUE!</v>
      </c>
      <c r="F252" s="38" t="e">
        <f>(SUMIFS('[2]turmas 2014.2'!$N:$N,'[2]turmas 2014.2'!$R:$R,$F$5,'[2]turmas 2014.2'!$C:$C,B252)+SUMIFS('[2]turmas 2014.2'!$O:$O,'[2]turmas 2014.2'!$V:$V,$F$5,'[2]turmas 2014.2'!$C:$C,'CRÉDITOS POR CENTRO'!$B252))</f>
        <v>#VALUE!</v>
      </c>
      <c r="G252" s="39" t="e">
        <f t="shared" si="13"/>
        <v>#VALUE!</v>
      </c>
      <c r="H252" s="38" t="e">
        <f>(SUMIFS('[2]turmas 2014.2'!$N:$N,'[2]turmas 2014.2'!$R:$R,$H$5,'[2]turmas 2014.2'!$A:$A,A252)+SUMIFS('[2]turmas 2014.2'!$O:$O,'[2]turmas 2014.2'!$V:$V,$H$5,'[2]turmas 2014.2'!$A:$A,'CRÉDITOS POR CENTRO'!$A252))</f>
        <v>#VALUE!</v>
      </c>
      <c r="I252" s="39" t="e">
        <f t="shared" si="14"/>
        <v>#VALUE!</v>
      </c>
      <c r="J252" s="38" t="e">
        <f t="shared" si="15"/>
        <v>#VALUE!</v>
      </c>
    </row>
    <row r="253" spans="1:10" ht="15">
      <c r="A253" s="269" t="s">
        <v>4779</v>
      </c>
      <c r="B253" s="269" t="s">
        <v>4780</v>
      </c>
      <c r="C253" s="38" t="e">
        <f>SUMIF('[2]turmas 2014.2'!A:A,$A253,'[2]turmas 2014.2'!N:N)+SUMIF('[2]turmas 2014.2'!A:A,$A253,'[2]turmas 2014.2'!O:O)</f>
        <v>#VALUE!</v>
      </c>
      <c r="D253" s="38" t="e">
        <f>(SUMIFS('[2]turmas 2014.2'!$N:$N,'[2]turmas 2014.2'!$R:$R,$D$5,'[2]turmas 2014.2'!$C:$C,B253)+SUMIFS('[2]turmas 2014.2'!$O:$O,'[2]turmas 2014.2'!$V:$V,$D$5,'[2]turmas 2014.2'!$C:$C,'CRÉDITOS POR CENTRO'!$B253))</f>
        <v>#VALUE!</v>
      </c>
      <c r="E253" s="39" t="e">
        <f t="shared" si="12"/>
        <v>#VALUE!</v>
      </c>
      <c r="F253" s="38" t="e">
        <f>(SUMIFS('[2]turmas 2014.2'!$N:$N,'[2]turmas 2014.2'!$R:$R,$F$5,'[2]turmas 2014.2'!$C:$C,B253)+SUMIFS('[2]turmas 2014.2'!$O:$O,'[2]turmas 2014.2'!$V:$V,$F$5,'[2]turmas 2014.2'!$C:$C,'CRÉDITOS POR CENTRO'!$B253))</f>
        <v>#VALUE!</v>
      </c>
      <c r="G253" s="39" t="e">
        <f t="shared" si="13"/>
        <v>#VALUE!</v>
      </c>
      <c r="H253" s="38" t="e">
        <f>(SUMIFS('[2]turmas 2014.2'!$N:$N,'[2]turmas 2014.2'!$R:$R,$H$5,'[2]turmas 2014.2'!$A:$A,A253)+SUMIFS('[2]turmas 2014.2'!$O:$O,'[2]turmas 2014.2'!$V:$V,$H$5,'[2]turmas 2014.2'!$A:$A,'CRÉDITOS POR CENTRO'!$A253))</f>
        <v>#VALUE!</v>
      </c>
      <c r="I253" s="39" t="e">
        <f t="shared" si="14"/>
        <v>#VALUE!</v>
      </c>
      <c r="J253" s="38" t="e">
        <f t="shared" si="15"/>
        <v>#VALUE!</v>
      </c>
    </row>
    <row r="254" spans="1:10" ht="15">
      <c r="A254" s="269" t="s">
        <v>3266</v>
      </c>
      <c r="B254" s="269" t="s">
        <v>3267</v>
      </c>
      <c r="C254" s="38" t="e">
        <f>SUMIF('[2]turmas 2014.2'!A:A,$A254,'[2]turmas 2014.2'!N:N)+SUMIF('[2]turmas 2014.2'!A:A,$A254,'[2]turmas 2014.2'!O:O)</f>
        <v>#VALUE!</v>
      </c>
      <c r="D254" s="38" t="e">
        <f>(SUMIFS('[2]turmas 2014.2'!$N:$N,'[2]turmas 2014.2'!$R:$R,$D$5,'[2]turmas 2014.2'!$C:$C,B254)+SUMIFS('[2]turmas 2014.2'!$O:$O,'[2]turmas 2014.2'!$V:$V,$D$5,'[2]turmas 2014.2'!$C:$C,'CRÉDITOS POR CENTRO'!$B254))</f>
        <v>#VALUE!</v>
      </c>
      <c r="E254" s="39" t="e">
        <f t="shared" si="12"/>
        <v>#VALUE!</v>
      </c>
      <c r="F254" s="38" t="e">
        <f>(SUMIFS('[2]turmas 2014.2'!$N:$N,'[2]turmas 2014.2'!$R:$R,$F$5,'[2]turmas 2014.2'!$C:$C,B254)+SUMIFS('[2]turmas 2014.2'!$O:$O,'[2]turmas 2014.2'!$V:$V,$F$5,'[2]turmas 2014.2'!$C:$C,'CRÉDITOS POR CENTRO'!$B254))</f>
        <v>#VALUE!</v>
      </c>
      <c r="G254" s="39" t="e">
        <f t="shared" si="13"/>
        <v>#VALUE!</v>
      </c>
      <c r="H254" s="38" t="e">
        <f>(SUMIFS('[2]turmas 2014.2'!$N:$N,'[2]turmas 2014.2'!$R:$R,$H$5,'[2]turmas 2014.2'!$A:$A,A254)+SUMIFS('[2]turmas 2014.2'!$O:$O,'[2]turmas 2014.2'!$V:$V,$H$5,'[2]turmas 2014.2'!$A:$A,'CRÉDITOS POR CENTRO'!$A254))</f>
        <v>#VALUE!</v>
      </c>
      <c r="I254" s="39" t="e">
        <f t="shared" si="14"/>
        <v>#VALUE!</v>
      </c>
      <c r="J254" s="38" t="e">
        <f t="shared" si="15"/>
        <v>#VALUE!</v>
      </c>
    </row>
    <row r="255" spans="1:10" ht="15">
      <c r="A255" s="269" t="s">
        <v>4781</v>
      </c>
      <c r="B255" s="269" t="s">
        <v>4782</v>
      </c>
      <c r="C255" s="38" t="e">
        <f>SUMIF('[2]turmas 2014.2'!A:A,$A255,'[2]turmas 2014.2'!N:N)+SUMIF('[2]turmas 2014.2'!A:A,$A255,'[2]turmas 2014.2'!O:O)</f>
        <v>#VALUE!</v>
      </c>
      <c r="D255" s="38" t="e">
        <f>(SUMIFS('[2]turmas 2014.2'!$N:$N,'[2]turmas 2014.2'!$R:$R,$D$5,'[2]turmas 2014.2'!$C:$C,B255)+SUMIFS('[2]turmas 2014.2'!$O:$O,'[2]turmas 2014.2'!$V:$V,$D$5,'[2]turmas 2014.2'!$C:$C,'CRÉDITOS POR CENTRO'!$B255))</f>
        <v>#VALUE!</v>
      </c>
      <c r="E255" s="39" t="e">
        <f t="shared" si="12"/>
        <v>#VALUE!</v>
      </c>
      <c r="F255" s="38" t="e">
        <f>(SUMIFS('[2]turmas 2014.2'!$N:$N,'[2]turmas 2014.2'!$R:$R,$F$5,'[2]turmas 2014.2'!$C:$C,B255)+SUMIFS('[2]turmas 2014.2'!$O:$O,'[2]turmas 2014.2'!$V:$V,$F$5,'[2]turmas 2014.2'!$C:$C,'CRÉDITOS POR CENTRO'!$B255))</f>
        <v>#VALUE!</v>
      </c>
      <c r="G255" s="39" t="e">
        <f t="shared" si="13"/>
        <v>#VALUE!</v>
      </c>
      <c r="H255" s="38" t="e">
        <f>(SUMIFS('[2]turmas 2014.2'!$N:$N,'[2]turmas 2014.2'!$R:$R,$H$5,'[2]turmas 2014.2'!$A:$A,A255)+SUMIFS('[2]turmas 2014.2'!$O:$O,'[2]turmas 2014.2'!$V:$V,$H$5,'[2]turmas 2014.2'!$A:$A,'CRÉDITOS POR CENTRO'!$A255))</f>
        <v>#VALUE!</v>
      </c>
      <c r="I255" s="39" t="e">
        <f t="shared" si="14"/>
        <v>#VALUE!</v>
      </c>
      <c r="J255" s="38" t="e">
        <f t="shared" si="15"/>
        <v>#VALUE!</v>
      </c>
    </row>
    <row r="256" spans="1:10" ht="15">
      <c r="A256" s="269" t="s">
        <v>4783</v>
      </c>
      <c r="B256" s="269" t="s">
        <v>4784</v>
      </c>
      <c r="C256" s="38" t="e">
        <f>SUMIF('[2]turmas 2014.2'!A:A,$A256,'[2]turmas 2014.2'!N:N)+SUMIF('[2]turmas 2014.2'!A:A,$A256,'[2]turmas 2014.2'!O:O)</f>
        <v>#VALUE!</v>
      </c>
      <c r="D256" s="38" t="e">
        <f>(SUMIFS('[2]turmas 2014.2'!$N:$N,'[2]turmas 2014.2'!$R:$R,$D$5,'[2]turmas 2014.2'!$C:$C,B256)+SUMIFS('[2]turmas 2014.2'!$O:$O,'[2]turmas 2014.2'!$V:$V,$D$5,'[2]turmas 2014.2'!$C:$C,'CRÉDITOS POR CENTRO'!$B256))</f>
        <v>#VALUE!</v>
      </c>
      <c r="E256" s="39" t="e">
        <f t="shared" si="12"/>
        <v>#VALUE!</v>
      </c>
      <c r="F256" s="38" t="e">
        <f>(SUMIFS('[2]turmas 2014.2'!$N:$N,'[2]turmas 2014.2'!$R:$R,$F$5,'[2]turmas 2014.2'!$C:$C,B256)+SUMIFS('[2]turmas 2014.2'!$O:$O,'[2]turmas 2014.2'!$V:$V,$F$5,'[2]turmas 2014.2'!$C:$C,'CRÉDITOS POR CENTRO'!$B256))</f>
        <v>#VALUE!</v>
      </c>
      <c r="G256" s="39" t="e">
        <f t="shared" si="13"/>
        <v>#VALUE!</v>
      </c>
      <c r="H256" s="38" t="e">
        <f>(SUMIFS('[2]turmas 2014.2'!$N:$N,'[2]turmas 2014.2'!$R:$R,$H$5,'[2]turmas 2014.2'!$A:$A,A256)+SUMIFS('[2]turmas 2014.2'!$O:$O,'[2]turmas 2014.2'!$V:$V,$H$5,'[2]turmas 2014.2'!$A:$A,'CRÉDITOS POR CENTRO'!$A256))</f>
        <v>#VALUE!</v>
      </c>
      <c r="I256" s="39" t="e">
        <f t="shared" si="14"/>
        <v>#VALUE!</v>
      </c>
      <c r="J256" s="38" t="e">
        <f t="shared" si="15"/>
        <v>#VALUE!</v>
      </c>
    </row>
    <row r="257" spans="1:10" ht="15">
      <c r="A257" s="269" t="s">
        <v>4785</v>
      </c>
      <c r="B257" s="269" t="s">
        <v>4786</v>
      </c>
      <c r="C257" s="38" t="e">
        <f>SUMIF('[2]turmas 2014.2'!A:A,$A257,'[2]turmas 2014.2'!N:N)+SUMIF('[2]turmas 2014.2'!A:A,$A257,'[2]turmas 2014.2'!O:O)</f>
        <v>#VALUE!</v>
      </c>
      <c r="D257" s="38" t="e">
        <f>(SUMIFS('[2]turmas 2014.2'!$N:$N,'[2]turmas 2014.2'!$R:$R,$D$5,'[2]turmas 2014.2'!$C:$C,B257)+SUMIFS('[2]turmas 2014.2'!$O:$O,'[2]turmas 2014.2'!$V:$V,$D$5,'[2]turmas 2014.2'!$C:$C,'CRÉDITOS POR CENTRO'!$B257))</f>
        <v>#VALUE!</v>
      </c>
      <c r="E257" s="39" t="e">
        <f t="shared" si="12"/>
        <v>#VALUE!</v>
      </c>
      <c r="F257" s="38" t="e">
        <f>(SUMIFS('[2]turmas 2014.2'!$N:$N,'[2]turmas 2014.2'!$R:$R,$F$5,'[2]turmas 2014.2'!$C:$C,B257)+SUMIFS('[2]turmas 2014.2'!$O:$O,'[2]turmas 2014.2'!$V:$V,$F$5,'[2]turmas 2014.2'!$C:$C,'CRÉDITOS POR CENTRO'!$B257))</f>
        <v>#VALUE!</v>
      </c>
      <c r="G257" s="39" t="e">
        <f t="shared" si="13"/>
        <v>#VALUE!</v>
      </c>
      <c r="H257" s="38" t="e">
        <f>(SUMIFS('[2]turmas 2014.2'!$N:$N,'[2]turmas 2014.2'!$R:$R,$H$5,'[2]turmas 2014.2'!$A:$A,A257)+SUMIFS('[2]turmas 2014.2'!$O:$O,'[2]turmas 2014.2'!$V:$V,$H$5,'[2]turmas 2014.2'!$A:$A,'CRÉDITOS POR CENTRO'!$A257))</f>
        <v>#VALUE!</v>
      </c>
      <c r="I257" s="39" t="e">
        <f t="shared" si="14"/>
        <v>#VALUE!</v>
      </c>
      <c r="J257" s="38" t="e">
        <f t="shared" si="15"/>
        <v>#VALUE!</v>
      </c>
    </row>
    <row r="258" spans="1:10" ht="15">
      <c r="A258" s="269" t="s">
        <v>4787</v>
      </c>
      <c r="B258" s="269" t="s">
        <v>4788</v>
      </c>
      <c r="C258" s="38" t="e">
        <f>SUMIF('[2]turmas 2014.2'!A:A,$A258,'[2]turmas 2014.2'!N:N)+SUMIF('[2]turmas 2014.2'!A:A,$A258,'[2]turmas 2014.2'!O:O)</f>
        <v>#VALUE!</v>
      </c>
      <c r="D258" s="38" t="e">
        <f>(SUMIFS('[2]turmas 2014.2'!$N:$N,'[2]turmas 2014.2'!$R:$R,$D$5,'[2]turmas 2014.2'!$C:$C,B258)+SUMIFS('[2]turmas 2014.2'!$O:$O,'[2]turmas 2014.2'!$V:$V,$D$5,'[2]turmas 2014.2'!$C:$C,'CRÉDITOS POR CENTRO'!$B258))</f>
        <v>#VALUE!</v>
      </c>
      <c r="E258" s="39" t="e">
        <f t="shared" si="12"/>
        <v>#VALUE!</v>
      </c>
      <c r="F258" s="38" t="e">
        <f>(SUMIFS('[2]turmas 2014.2'!$N:$N,'[2]turmas 2014.2'!$R:$R,$F$5,'[2]turmas 2014.2'!$C:$C,B258)+SUMIFS('[2]turmas 2014.2'!$O:$O,'[2]turmas 2014.2'!$V:$V,$F$5,'[2]turmas 2014.2'!$C:$C,'CRÉDITOS POR CENTRO'!$B258))</f>
        <v>#VALUE!</v>
      </c>
      <c r="G258" s="39" t="e">
        <f t="shared" si="13"/>
        <v>#VALUE!</v>
      </c>
      <c r="H258" s="38" t="e">
        <f>(SUMIFS('[2]turmas 2014.2'!$N:$N,'[2]turmas 2014.2'!$R:$R,$H$5,'[2]turmas 2014.2'!$A:$A,A258)+SUMIFS('[2]turmas 2014.2'!$O:$O,'[2]turmas 2014.2'!$V:$V,$H$5,'[2]turmas 2014.2'!$A:$A,'CRÉDITOS POR CENTRO'!$A258))</f>
        <v>#VALUE!</v>
      </c>
      <c r="I258" s="39" t="e">
        <f t="shared" si="14"/>
        <v>#VALUE!</v>
      </c>
      <c r="J258" s="38" t="e">
        <f t="shared" si="15"/>
        <v>#VALUE!</v>
      </c>
    </row>
    <row r="259" spans="1:10" ht="15">
      <c r="A259" s="269" t="s">
        <v>4789</v>
      </c>
      <c r="B259" s="269" t="s">
        <v>4790</v>
      </c>
      <c r="C259" s="38" t="e">
        <f>SUMIF('[2]turmas 2014.2'!A:A,$A259,'[2]turmas 2014.2'!N:N)+SUMIF('[2]turmas 2014.2'!A:A,$A259,'[2]turmas 2014.2'!O:O)</f>
        <v>#VALUE!</v>
      </c>
      <c r="D259" s="38" t="e">
        <f>(SUMIFS('[2]turmas 2014.2'!$N:$N,'[2]turmas 2014.2'!$R:$R,$D$5,'[2]turmas 2014.2'!$C:$C,B259)+SUMIFS('[2]turmas 2014.2'!$O:$O,'[2]turmas 2014.2'!$V:$V,$D$5,'[2]turmas 2014.2'!$C:$C,'CRÉDITOS POR CENTRO'!$B259))</f>
        <v>#VALUE!</v>
      </c>
      <c r="E259" s="39" t="e">
        <f t="shared" si="12"/>
        <v>#VALUE!</v>
      </c>
      <c r="F259" s="38" t="e">
        <f>(SUMIFS('[2]turmas 2014.2'!$N:$N,'[2]turmas 2014.2'!$R:$R,$F$5,'[2]turmas 2014.2'!$C:$C,B259)+SUMIFS('[2]turmas 2014.2'!$O:$O,'[2]turmas 2014.2'!$V:$V,$F$5,'[2]turmas 2014.2'!$C:$C,'CRÉDITOS POR CENTRO'!$B259))</f>
        <v>#VALUE!</v>
      </c>
      <c r="G259" s="39" t="e">
        <f t="shared" si="13"/>
        <v>#VALUE!</v>
      </c>
      <c r="H259" s="38" t="e">
        <f>(SUMIFS('[2]turmas 2014.2'!$N:$N,'[2]turmas 2014.2'!$R:$R,$H$5,'[2]turmas 2014.2'!$A:$A,A259)+SUMIFS('[2]turmas 2014.2'!$O:$O,'[2]turmas 2014.2'!$V:$V,$H$5,'[2]turmas 2014.2'!$A:$A,'CRÉDITOS POR CENTRO'!$A259))</f>
        <v>#VALUE!</v>
      </c>
      <c r="I259" s="39" t="e">
        <f t="shared" si="14"/>
        <v>#VALUE!</v>
      </c>
      <c r="J259" s="38" t="e">
        <f t="shared" si="15"/>
        <v>#VALUE!</v>
      </c>
    </row>
    <row r="260" spans="1:10" ht="15">
      <c r="A260" s="269" t="s">
        <v>4791</v>
      </c>
      <c r="B260" s="269" t="s">
        <v>4792</v>
      </c>
      <c r="C260" s="38" t="e">
        <f>SUMIF('[2]turmas 2014.2'!A:A,$A260,'[2]turmas 2014.2'!N:N)+SUMIF('[2]turmas 2014.2'!A:A,$A260,'[2]turmas 2014.2'!O:O)</f>
        <v>#VALUE!</v>
      </c>
      <c r="D260" s="38" t="e">
        <f>(SUMIFS('[2]turmas 2014.2'!$N:$N,'[2]turmas 2014.2'!$R:$R,$D$5,'[2]turmas 2014.2'!$C:$C,B260)+SUMIFS('[2]turmas 2014.2'!$O:$O,'[2]turmas 2014.2'!$V:$V,$D$5,'[2]turmas 2014.2'!$C:$C,'CRÉDITOS POR CENTRO'!$B260))</f>
        <v>#VALUE!</v>
      </c>
      <c r="E260" s="39" t="e">
        <f t="shared" si="12"/>
        <v>#VALUE!</v>
      </c>
      <c r="F260" s="38" t="e">
        <f>(SUMIFS('[2]turmas 2014.2'!$N:$N,'[2]turmas 2014.2'!$R:$R,$F$5,'[2]turmas 2014.2'!$C:$C,B260)+SUMIFS('[2]turmas 2014.2'!$O:$O,'[2]turmas 2014.2'!$V:$V,$F$5,'[2]turmas 2014.2'!$C:$C,'CRÉDITOS POR CENTRO'!$B260))</f>
        <v>#VALUE!</v>
      </c>
      <c r="G260" s="39" t="e">
        <f t="shared" si="13"/>
        <v>#VALUE!</v>
      </c>
      <c r="H260" s="38" t="e">
        <f>(SUMIFS('[2]turmas 2014.2'!$N:$N,'[2]turmas 2014.2'!$R:$R,$H$5,'[2]turmas 2014.2'!$A:$A,A260)+SUMIFS('[2]turmas 2014.2'!$O:$O,'[2]turmas 2014.2'!$V:$V,$H$5,'[2]turmas 2014.2'!$A:$A,'CRÉDITOS POR CENTRO'!$A260))</f>
        <v>#VALUE!</v>
      </c>
      <c r="I260" s="39" t="e">
        <f t="shared" si="14"/>
        <v>#VALUE!</v>
      </c>
      <c r="J260" s="38" t="e">
        <f t="shared" si="15"/>
        <v>#VALUE!</v>
      </c>
    </row>
    <row r="261" spans="1:10" ht="15">
      <c r="A261" s="269" t="s">
        <v>3366</v>
      </c>
      <c r="B261" s="269" t="s">
        <v>3367</v>
      </c>
      <c r="C261" s="38" t="e">
        <f>SUMIF('[2]turmas 2014.2'!A:A,$A261,'[2]turmas 2014.2'!N:N)+SUMIF('[2]turmas 2014.2'!A:A,$A261,'[2]turmas 2014.2'!O:O)</f>
        <v>#VALUE!</v>
      </c>
      <c r="D261" s="38" t="e">
        <f>(SUMIFS('[2]turmas 2014.2'!$N:$N,'[2]turmas 2014.2'!$R:$R,$D$5,'[2]turmas 2014.2'!$C:$C,B261)+SUMIFS('[2]turmas 2014.2'!$O:$O,'[2]turmas 2014.2'!$V:$V,$D$5,'[2]turmas 2014.2'!$C:$C,'CRÉDITOS POR CENTRO'!$B261))</f>
        <v>#VALUE!</v>
      </c>
      <c r="E261" s="39" t="e">
        <f t="shared" si="12"/>
        <v>#VALUE!</v>
      </c>
      <c r="F261" s="38" t="e">
        <f>(SUMIFS('[2]turmas 2014.2'!$N:$N,'[2]turmas 2014.2'!$R:$R,$F$5,'[2]turmas 2014.2'!$C:$C,B261)+SUMIFS('[2]turmas 2014.2'!$O:$O,'[2]turmas 2014.2'!$V:$V,$F$5,'[2]turmas 2014.2'!$C:$C,'CRÉDITOS POR CENTRO'!$B261))</f>
        <v>#VALUE!</v>
      </c>
      <c r="G261" s="39" t="e">
        <f t="shared" si="13"/>
        <v>#VALUE!</v>
      </c>
      <c r="H261" s="38" t="e">
        <f>(SUMIFS('[2]turmas 2014.2'!$N:$N,'[2]turmas 2014.2'!$R:$R,$H$5,'[2]turmas 2014.2'!$A:$A,A261)+SUMIFS('[2]turmas 2014.2'!$O:$O,'[2]turmas 2014.2'!$V:$V,$H$5,'[2]turmas 2014.2'!$A:$A,'CRÉDITOS POR CENTRO'!$A261))</f>
        <v>#VALUE!</v>
      </c>
      <c r="I261" s="39" t="e">
        <f t="shared" si="14"/>
        <v>#VALUE!</v>
      </c>
      <c r="J261" s="38" t="e">
        <f t="shared" si="15"/>
        <v>#VALUE!</v>
      </c>
    </row>
    <row r="262" spans="1:10" ht="15">
      <c r="A262" s="269" t="s">
        <v>4793</v>
      </c>
      <c r="B262" s="269" t="s">
        <v>4794</v>
      </c>
      <c r="C262" s="38" t="e">
        <f>SUMIF('[2]turmas 2014.2'!A:A,$A262,'[2]turmas 2014.2'!N:N)+SUMIF('[2]turmas 2014.2'!A:A,$A262,'[2]turmas 2014.2'!O:O)</f>
        <v>#VALUE!</v>
      </c>
      <c r="D262" s="38" t="e">
        <f>(SUMIFS('[2]turmas 2014.2'!$N:$N,'[2]turmas 2014.2'!$R:$R,$D$5,'[2]turmas 2014.2'!$C:$C,B262)+SUMIFS('[2]turmas 2014.2'!$O:$O,'[2]turmas 2014.2'!$V:$V,$D$5,'[2]turmas 2014.2'!$C:$C,'CRÉDITOS POR CENTRO'!$B262))</f>
        <v>#VALUE!</v>
      </c>
      <c r="E262" s="39" t="e">
        <f t="shared" si="12"/>
        <v>#VALUE!</v>
      </c>
      <c r="F262" s="38" t="e">
        <f>(SUMIFS('[2]turmas 2014.2'!$N:$N,'[2]turmas 2014.2'!$R:$R,$F$5,'[2]turmas 2014.2'!$C:$C,B262)+SUMIFS('[2]turmas 2014.2'!$O:$O,'[2]turmas 2014.2'!$V:$V,$F$5,'[2]turmas 2014.2'!$C:$C,'CRÉDITOS POR CENTRO'!$B262))</f>
        <v>#VALUE!</v>
      </c>
      <c r="G262" s="39" t="e">
        <f t="shared" si="13"/>
        <v>#VALUE!</v>
      </c>
      <c r="H262" s="38" t="e">
        <f>(SUMIFS('[2]turmas 2014.2'!$N:$N,'[2]turmas 2014.2'!$R:$R,$H$5,'[2]turmas 2014.2'!$A:$A,A262)+SUMIFS('[2]turmas 2014.2'!$O:$O,'[2]turmas 2014.2'!$V:$V,$H$5,'[2]turmas 2014.2'!$A:$A,'CRÉDITOS POR CENTRO'!$A262))</f>
        <v>#VALUE!</v>
      </c>
      <c r="I262" s="39" t="e">
        <f t="shared" si="14"/>
        <v>#VALUE!</v>
      </c>
      <c r="J262" s="38" t="e">
        <f t="shared" si="15"/>
        <v>#VALUE!</v>
      </c>
    </row>
    <row r="263" spans="1:10" ht="15">
      <c r="A263" s="269" t="s">
        <v>3387</v>
      </c>
      <c r="B263" s="269" t="s">
        <v>3388</v>
      </c>
      <c r="C263" s="38" t="e">
        <f>SUMIF('[2]turmas 2014.2'!A:A,$A263,'[2]turmas 2014.2'!N:N)+SUMIF('[2]turmas 2014.2'!A:A,$A263,'[2]turmas 2014.2'!O:O)</f>
        <v>#VALUE!</v>
      </c>
      <c r="D263" s="38" t="e">
        <f>(SUMIFS('[2]turmas 2014.2'!$N:$N,'[2]turmas 2014.2'!$R:$R,$D$5,'[2]turmas 2014.2'!$C:$C,B263)+SUMIFS('[2]turmas 2014.2'!$O:$O,'[2]turmas 2014.2'!$V:$V,$D$5,'[2]turmas 2014.2'!$C:$C,'CRÉDITOS POR CENTRO'!$B263))</f>
        <v>#VALUE!</v>
      </c>
      <c r="E263" s="39" t="e">
        <f>D263/C263</f>
        <v>#VALUE!</v>
      </c>
      <c r="F263" s="38" t="e">
        <f>(SUMIFS('[2]turmas 2014.2'!$N:$N,'[2]turmas 2014.2'!$R:$R,$F$5,'[2]turmas 2014.2'!$C:$C,B263)+SUMIFS('[2]turmas 2014.2'!$O:$O,'[2]turmas 2014.2'!$V:$V,$F$5,'[2]turmas 2014.2'!$C:$C,'CRÉDITOS POR CENTRO'!$B263))</f>
        <v>#VALUE!</v>
      </c>
      <c r="G263" s="39" t="e">
        <f>F263/C263</f>
        <v>#VALUE!</v>
      </c>
      <c r="H263" s="38" t="e">
        <f>(SUMIFS('[2]turmas 2014.2'!$N:$N,'[2]turmas 2014.2'!$R:$R,$H$5,'[2]turmas 2014.2'!$A:$A,A263)+SUMIFS('[2]turmas 2014.2'!$O:$O,'[2]turmas 2014.2'!$V:$V,$H$5,'[2]turmas 2014.2'!$A:$A,'CRÉDITOS POR CENTRO'!$A263))</f>
        <v>#VALUE!</v>
      </c>
      <c r="I263" s="39" t="e">
        <f>H263/C263</f>
        <v>#VALUE!</v>
      </c>
      <c r="J263" s="38" t="e">
        <f>D263+F263+H263-C263</f>
        <v>#VALUE!</v>
      </c>
    </row>
    <row r="264" spans="1:10" s="40" customFormat="1" ht="15">
      <c r="A264" s="40" t="s">
        <v>4795</v>
      </c>
      <c r="B264" s="40" t="s">
        <v>4796</v>
      </c>
      <c r="C264" s="41" t="e">
        <f>SUM(C6:C263)</f>
        <v>#VALUE!</v>
      </c>
      <c r="D264" s="41" t="e">
        <f>SUM(D6:D263)</f>
        <v>#VALUE!</v>
      </c>
      <c r="E264" s="42"/>
      <c r="F264" s="41" t="e">
        <f>SUM(F6:F263)</f>
        <v>#VALUE!</v>
      </c>
      <c r="G264" s="42"/>
      <c r="H264" s="41" t="e">
        <f>SUM(H6:H263)</f>
        <v>#VALUE!</v>
      </c>
      <c r="I264" s="42"/>
      <c r="J264" s="41" t="e">
        <f>SUM(J6:J263)</f>
        <v>#VALUE!</v>
      </c>
    </row>
    <row r="265" spans="1:10" ht="15">
      <c r="A265" s="1" t="s">
        <v>4797</v>
      </c>
      <c r="B265" s="1" t="s">
        <v>4798</v>
      </c>
      <c r="J265" s="32" t="s">
        <v>4799</v>
      </c>
    </row>
    <row r="266" spans="1:10" ht="15">
      <c r="A266" s="1" t="s">
        <v>4800</v>
      </c>
      <c r="B266" s="1" t="s">
        <v>4801</v>
      </c>
    </row>
    <row r="267" spans="1:10" ht="15">
      <c r="A267" s="1" t="s">
        <v>4802</v>
      </c>
      <c r="B267" s="1" t="s">
        <v>4803</v>
      </c>
    </row>
    <row r="268" spans="1:10" ht="15">
      <c r="A268" s="1" t="s">
        <v>3441</v>
      </c>
      <c r="B268" s="1" t="s">
        <v>3442</v>
      </c>
    </row>
    <row r="269" spans="1:10" ht="15">
      <c r="A269" s="1" t="s">
        <v>4804</v>
      </c>
      <c r="B269" s="1" t="s">
        <v>4805</v>
      </c>
    </row>
    <row r="270" spans="1:10" ht="15">
      <c r="A270" s="1" t="s">
        <v>4806</v>
      </c>
      <c r="B270" s="1" t="s">
        <v>4807</v>
      </c>
    </row>
    <row r="271" spans="1:10" ht="15">
      <c r="A271" s="1" t="s">
        <v>4808</v>
      </c>
      <c r="B271" s="1" t="s">
        <v>4809</v>
      </c>
    </row>
    <row r="272" spans="1:10" ht="15">
      <c r="A272" s="1" t="s">
        <v>4810</v>
      </c>
      <c r="B272" s="1" t="s">
        <v>4811</v>
      </c>
    </row>
    <row r="273" spans="1:2" ht="15">
      <c r="A273" s="1" t="s">
        <v>4812</v>
      </c>
      <c r="B273" s="1" t="s">
        <v>4813</v>
      </c>
    </row>
    <row r="274" spans="1:2" ht="15">
      <c r="A274" s="1" t="s">
        <v>4814</v>
      </c>
      <c r="B274" s="1" t="s">
        <v>4815</v>
      </c>
    </row>
    <row r="275" spans="1:2" ht="15">
      <c r="A275" s="1" t="s">
        <v>3472</v>
      </c>
      <c r="B275" s="1" t="s">
        <v>3473</v>
      </c>
    </row>
    <row r="276" spans="1:2" ht="15">
      <c r="A276" s="1" t="s">
        <v>3484</v>
      </c>
      <c r="B276" s="1" t="s">
        <v>3485</v>
      </c>
    </row>
    <row r="277" spans="1:2" ht="15">
      <c r="A277" s="1" t="s">
        <v>4816</v>
      </c>
      <c r="B277" s="1" t="s">
        <v>4817</v>
      </c>
    </row>
    <row r="278" spans="1:2" ht="15">
      <c r="A278" s="1" t="s">
        <v>4818</v>
      </c>
      <c r="B278" s="1" t="s">
        <v>4819</v>
      </c>
    </row>
    <row r="279" spans="1:2" ht="15">
      <c r="A279" s="1" t="s">
        <v>3523</v>
      </c>
      <c r="B279" s="1" t="s">
        <v>3524</v>
      </c>
    </row>
    <row r="280" spans="1:2" ht="15">
      <c r="A280" s="1" t="s">
        <v>4820</v>
      </c>
      <c r="B280" s="1" t="s">
        <v>4821</v>
      </c>
    </row>
    <row r="281" spans="1:2" ht="15">
      <c r="A281" s="1" t="s">
        <v>4822</v>
      </c>
      <c r="B281" s="1" t="s">
        <v>4823</v>
      </c>
    </row>
    <row r="282" spans="1:2" ht="15">
      <c r="A282" s="1" t="s">
        <v>4824</v>
      </c>
      <c r="B282" s="1" t="s">
        <v>4825</v>
      </c>
    </row>
    <row r="283" spans="1:2" ht="15">
      <c r="A283" s="1" t="s">
        <v>4826</v>
      </c>
      <c r="B283" s="1" t="s">
        <v>4827</v>
      </c>
    </row>
    <row r="284" spans="1:2" ht="15">
      <c r="A284" s="1" t="s">
        <v>4828</v>
      </c>
      <c r="B284" s="1" t="s">
        <v>4829</v>
      </c>
    </row>
    <row r="285" spans="1:2" ht="15">
      <c r="A285" s="1" t="s">
        <v>4830</v>
      </c>
      <c r="B285" s="1" t="s">
        <v>4831</v>
      </c>
    </row>
    <row r="286" spans="1:2" ht="15">
      <c r="A286" s="1" t="s">
        <v>4832</v>
      </c>
      <c r="B286" s="1" t="s">
        <v>4833</v>
      </c>
    </row>
    <row r="287" spans="1:2" ht="15">
      <c r="A287" s="1" t="s">
        <v>36</v>
      </c>
      <c r="B287" s="1" t="s">
        <v>4834</v>
      </c>
    </row>
  </sheetData>
  <sheetProtection selectLockedCells="1" selectUnlockedCells="1"/>
  <mergeCells count="5">
    <mergeCell ref="B1:J1"/>
    <mergeCell ref="A2:J2"/>
    <mergeCell ref="A4:A5"/>
    <mergeCell ref="B4:B5"/>
    <mergeCell ref="C4:J4"/>
  </mergeCells>
  <pageMargins left="0.51180555555555551" right="0.51180555555555551" top="0.78749999999999998" bottom="0.78749999999999998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Maria Cristina Zomignan</dc:creator>
  <cp:keywords/>
  <dc:description/>
  <cp:lastModifiedBy>Marcelo Bussotti Reyes</cp:lastModifiedBy>
  <cp:revision/>
  <dcterms:created xsi:type="dcterms:W3CDTF">2014-08-20T14:38:54Z</dcterms:created>
  <dcterms:modified xsi:type="dcterms:W3CDTF">2015-05-19T13:11:08Z</dcterms:modified>
</cp:coreProperties>
</file>