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960" windowWidth="17520" windowHeight="9180" tabRatio="832" activeTab="4"/>
  </bookViews>
  <sheets>
    <sheet name="Resumo Créditos  red. Labs" sheetId="13" r:id="rId1"/>
    <sheet name="Resumo Créditos  sem red." sheetId="14" r:id="rId2"/>
    <sheet name="2014.1" sheetId="1" r:id="rId3"/>
    <sheet name="Disciplinas Repetidas 2014.1" sheetId="16" r:id="rId4"/>
    <sheet name="2014.2" sheetId="2" r:id="rId5"/>
    <sheet name="Disciplinas Repetidas 2014.2" sheetId="18" r:id="rId6"/>
    <sheet name="2014.3" sheetId="3" r:id="rId7"/>
    <sheet name="CURSOS" sheetId="5" state="hidden" r:id="rId8"/>
    <sheet name="LOG" sheetId="6" state="hidden" r:id="rId9"/>
    <sheet name="Plan1" sheetId="7" state="hidden" r:id="rId10"/>
    <sheet name="Disciplinas Repetidas 2014.3" sheetId="19" r:id="rId11"/>
  </sheets>
  <definedNames>
    <definedName name="_xlnm._FilterDatabase" localSheetId="2" hidden="1">'2014.1'!$A$1:$X$620</definedName>
    <definedName name="_xlnm._FilterDatabase" localSheetId="4" hidden="1">'2014.2'!$A$1:$U$608</definedName>
    <definedName name="_xlnm._FilterDatabase" localSheetId="6" hidden="1">'2014.3'!$A$1:$Y$617</definedName>
    <definedName name="_xlnm._FilterDatabase" localSheetId="3" hidden="1">'Disciplinas Repetidas 2014.1'!$B$2:$D$65</definedName>
    <definedName name="_xlnm._FilterDatabase" localSheetId="5" hidden="1">'Disciplinas Repetidas 2014.2'!$A$2:$D$178</definedName>
    <definedName name="_xlnm._FilterDatabase" localSheetId="10" hidden="1">'Disciplinas Repetidas 2014.3'!$A$2:$D$66</definedName>
  </definedNames>
  <calcPr calcId="125725"/>
</workbook>
</file>

<file path=xl/calcChain.xml><?xml version="1.0" encoding="utf-8"?>
<calcChain xmlns="http://schemas.openxmlformats.org/spreadsheetml/2006/main">
  <c r="D10" i="14"/>
  <c r="D13" s="1"/>
  <c r="C10"/>
  <c r="C13" s="1"/>
  <c r="B10"/>
  <c r="B13" s="1"/>
  <c r="E9"/>
  <c r="E8"/>
  <c r="E7"/>
  <c r="E6"/>
  <c r="E5"/>
  <c r="E4"/>
  <c r="D10" i="13"/>
  <c r="D11" s="1"/>
  <c r="C10"/>
  <c r="C13" s="1"/>
  <c r="B10"/>
  <c r="B13" s="1"/>
  <c r="E9"/>
  <c r="E8"/>
  <c r="E7"/>
  <c r="E6"/>
  <c r="E5"/>
  <c r="E4"/>
  <c r="N617" i="3"/>
  <c r="Q628"/>
  <c r="P628"/>
  <c r="O628"/>
  <c r="Q626"/>
  <c r="P626"/>
  <c r="O626"/>
  <c r="Q619" i="2"/>
  <c r="P619"/>
  <c r="O619"/>
  <c r="Q617"/>
  <c r="P617"/>
  <c r="O617"/>
  <c r="O631" i="1"/>
  <c r="Q631"/>
  <c r="P631"/>
  <c r="Q629"/>
  <c r="P629"/>
  <c r="O629"/>
  <c r="Q571"/>
  <c r="D11" i="14" l="1"/>
  <c r="E13"/>
  <c r="D12"/>
  <c r="D14" s="1"/>
  <c r="C12"/>
  <c r="E10"/>
  <c r="C11"/>
  <c r="B11"/>
  <c r="B12"/>
  <c r="N631" i="1"/>
  <c r="N629"/>
  <c r="D12" i="13"/>
  <c r="D13"/>
  <c r="E13" s="1"/>
  <c r="C12"/>
  <c r="E10"/>
  <c r="C11"/>
  <c r="B11"/>
  <c r="B12"/>
  <c r="N628" i="3"/>
  <c r="N626"/>
  <c r="N617" i="2"/>
  <c r="N619"/>
  <c r="C14" i="14" l="1"/>
  <c r="B14"/>
  <c r="E14" s="1"/>
  <c r="E11"/>
  <c r="E12"/>
  <c r="C14" i="13"/>
  <c r="D14"/>
  <c r="B14"/>
  <c r="E11"/>
  <c r="E12"/>
  <c r="Q181" i="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"/>
  <c r="Q3"/>
  <c r="Q4"/>
  <c r="Q5"/>
  <c r="Q6"/>
  <c r="Q7"/>
  <c r="Q8"/>
  <c r="Q9"/>
  <c r="Q10"/>
  <c r="Q11"/>
  <c r="Q12"/>
  <c r="Q13"/>
  <c r="Q14"/>
  <c r="Q15"/>
  <c r="Q16"/>
  <c r="Q17"/>
  <c r="Q18"/>
  <c r="Q19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60"/>
  <c r="Q61"/>
  <c r="Q62"/>
  <c r="Q63"/>
  <c r="Q64"/>
  <c r="Q65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R291" s="1"/>
  <c r="Q292"/>
  <c r="R292" s="1"/>
  <c r="Q293"/>
  <c r="R293" s="1"/>
  <c r="Q294"/>
  <c r="R294" s="1"/>
  <c r="Q295"/>
  <c r="R295" s="1"/>
  <c r="Q296"/>
  <c r="R296" s="1"/>
  <c r="Q297"/>
  <c r="R297" s="1"/>
  <c r="Q298"/>
  <c r="R298" s="1"/>
  <c r="Q299"/>
  <c r="R299" s="1"/>
  <c r="Q300"/>
  <c r="R300" s="1"/>
  <c r="Q301"/>
  <c r="R301" s="1"/>
  <c r="Q302"/>
  <c r="R302" s="1"/>
  <c r="Q303"/>
  <c r="R303" s="1"/>
  <c r="Q304"/>
  <c r="R304" s="1"/>
  <c r="Q305"/>
  <c r="R305" s="1"/>
  <c r="Q306"/>
  <c r="R306" s="1"/>
  <c r="Q307"/>
  <c r="R307" s="1"/>
  <c r="Q308"/>
  <c r="R308" s="1"/>
  <c r="Q309"/>
  <c r="R309" s="1"/>
  <c r="Q310"/>
  <c r="R310" s="1"/>
  <c r="Q311"/>
  <c r="R311" s="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50"/>
  <c r="Q451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70"/>
  <c r="Q572"/>
  <c r="Q575"/>
  <c r="Q576"/>
  <c r="Q546"/>
  <c r="Q547"/>
  <c r="Q548"/>
  <c r="Q549"/>
  <c r="Q550"/>
  <c r="Q551"/>
  <c r="Q552"/>
  <c r="Q553"/>
  <c r="Q554"/>
  <c r="Q555"/>
  <c r="Q556"/>
  <c r="Q557"/>
  <c r="Q558"/>
  <c r="Q559"/>
  <c r="Q560"/>
  <c r="Q561"/>
  <c r="Q564"/>
  <c r="Q565"/>
  <c r="Q566"/>
  <c r="Q567"/>
  <c r="Q577"/>
  <c r="Q578"/>
  <c r="Q579"/>
  <c r="Q580"/>
  <c r="Q581"/>
  <c r="Q582"/>
  <c r="Q583"/>
  <c r="Q584"/>
  <c r="Q585"/>
  <c r="Q586"/>
  <c r="Q587"/>
  <c r="Q588"/>
  <c r="Q599"/>
  <c r="Q600"/>
  <c r="Q601"/>
  <c r="Q602"/>
  <c r="Q603"/>
  <c r="Q604"/>
  <c r="Q605"/>
  <c r="Q606"/>
  <c r="Q611"/>
  <c r="Q612"/>
  <c r="Q613"/>
  <c r="Q614"/>
  <c r="Q615"/>
  <c r="Q616"/>
  <c r="Q619"/>
  <c r="Q180"/>
  <c r="R620" l="1"/>
  <c r="E14" i="13"/>
  <c r="Q620" i="1"/>
  <c r="Q617" i="3" l="1"/>
  <c r="K621" s="1"/>
  <c r="F626" s="1"/>
  <c r="K623"/>
  <c r="J637"/>
  <c r="J636"/>
  <c r="J635"/>
  <c r="J634"/>
  <c r="J630"/>
  <c r="F630"/>
  <c r="F629"/>
  <c r="F628"/>
  <c r="J620" i="2"/>
  <c r="J621"/>
  <c r="F620"/>
  <c r="F621"/>
  <c r="F639" i="3" l="1"/>
  <c r="F645" s="1"/>
  <c r="R617"/>
  <c r="L621" s="1"/>
  <c r="J628"/>
  <c r="J629"/>
  <c r="J619" i="2"/>
  <c r="F619"/>
  <c r="R608"/>
  <c r="J617" s="1"/>
  <c r="Q608"/>
  <c r="K612" s="1"/>
  <c r="F617" s="1"/>
  <c r="N608"/>
  <c r="K614" s="1"/>
  <c r="J628"/>
  <c r="J627"/>
  <c r="J626"/>
  <c r="J625"/>
  <c r="F644" i="3" l="1"/>
  <c r="F643"/>
  <c r="F642"/>
  <c r="J626"/>
  <c r="J639" s="1"/>
  <c r="F630" i="2"/>
  <c r="F633" s="1"/>
  <c r="L612"/>
  <c r="J630"/>
  <c r="J644" i="3" l="1"/>
  <c r="J642"/>
  <c r="J645"/>
  <c r="J643"/>
  <c r="F634" i="2"/>
  <c r="F635"/>
  <c r="F636"/>
  <c r="J633"/>
  <c r="J636"/>
  <c r="J635"/>
  <c r="J634"/>
  <c r="J638" i="1" l="1"/>
  <c r="J639"/>
  <c r="J640"/>
  <c r="J637"/>
  <c r="J633" l="1"/>
  <c r="J632"/>
  <c r="J631"/>
  <c r="F633"/>
  <c r="F632"/>
  <c r="F631"/>
  <c r="L624"/>
  <c r="K624"/>
  <c r="N620"/>
  <c r="K626" s="1"/>
  <c r="J629" l="1"/>
  <c r="J642" s="1"/>
  <c r="J646" l="1"/>
  <c r="J645"/>
  <c r="J648"/>
  <c r="J647"/>
  <c r="F629" l="1"/>
  <c r="F642" s="1"/>
  <c r="F647" l="1"/>
  <c r="F645"/>
  <c r="F646"/>
  <c r="F648" l="1"/>
</calcChain>
</file>

<file path=xl/comments1.xml><?xml version="1.0" encoding="utf-8"?>
<comments xmlns="http://schemas.openxmlformats.org/spreadsheetml/2006/main">
  <authors>
    <author>Autor</author>
  </authors>
  <commentList>
    <comment ref="Q1" authorId="0">
      <text>
        <r>
          <rPr>
            <sz val="8"/>
            <color indexed="81"/>
            <rFont val="Tahoma"/>
            <family val="2"/>
          </rPr>
          <t xml:space="preserve">Sem redução decorrente da junção das turmas de teoria.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Q1" authorId="0">
      <text>
        <r>
          <rPr>
            <sz val="8"/>
            <color indexed="81"/>
            <rFont val="Tahoma"/>
            <family val="2"/>
          </rPr>
          <t xml:space="preserve">Sem redução decorrente da junção das turmas de teoria.
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Q1" authorId="0">
      <text>
        <r>
          <rPr>
            <sz val="8"/>
            <color indexed="81"/>
            <rFont val="Tahoma"/>
            <family val="2"/>
          </rPr>
          <t xml:space="preserve">Sem redução decorrente da junção das turmas de teoria.
</t>
        </r>
      </text>
    </comment>
  </commentList>
</comments>
</file>

<file path=xl/sharedStrings.xml><?xml version="1.0" encoding="utf-8"?>
<sst xmlns="http://schemas.openxmlformats.org/spreadsheetml/2006/main" count="19007" uniqueCount="1783">
  <si>
    <t>CÓDIGO</t>
  </si>
  <si>
    <t>DISCIPLINA</t>
  </si>
  <si>
    <t>T</t>
  </si>
  <si>
    <t>P</t>
  </si>
  <si>
    <t>I</t>
  </si>
  <si>
    <r>
      <t xml:space="preserve">CATEGORIA
</t>
    </r>
    <r>
      <rPr>
        <b/>
        <sz val="8"/>
        <rFont val="Calibri"/>
        <family val="2"/>
      </rPr>
      <t>(no curso)</t>
    </r>
  </si>
  <si>
    <t>RECOMENDAÇÃO</t>
  </si>
  <si>
    <r>
      <t xml:space="preserve">TURNO
</t>
    </r>
    <r>
      <rPr>
        <b/>
        <sz val="8"/>
        <rFont val="Calibri"/>
        <family val="2"/>
      </rPr>
      <t>(D/N)</t>
    </r>
  </si>
  <si>
    <r>
      <t xml:space="preserve">CAMPUS
</t>
    </r>
    <r>
      <rPr>
        <b/>
        <sz val="8"/>
        <rFont val="Calibri"/>
        <family val="2"/>
      </rPr>
      <t>(SA/SB)</t>
    </r>
  </si>
  <si>
    <t>TURMAS</t>
  </si>
  <si>
    <r>
      <t xml:space="preserve">VAGAS
</t>
    </r>
    <r>
      <rPr>
        <b/>
        <sz val="8"/>
        <rFont val="Calibri"/>
        <family val="2"/>
      </rPr>
      <t>(por turma)</t>
    </r>
  </si>
  <si>
    <r>
      <t xml:space="preserve">VAGAS
</t>
    </r>
    <r>
      <rPr>
        <b/>
        <sz val="8"/>
        <rFont val="Calibri"/>
        <family val="2"/>
      </rPr>
      <t>(total)</t>
    </r>
  </si>
  <si>
    <t>CRÉDITOS</t>
  </si>
  <si>
    <r>
      <t xml:space="preserve">Tipo de laboratório
</t>
    </r>
    <r>
      <rPr>
        <b/>
        <sz val="8"/>
        <rFont val="Calibri"/>
        <family val="2"/>
      </rPr>
      <t>(seco, úmido ou informática)
Informar se demanda um laboratório específico</t>
    </r>
  </si>
  <si>
    <r>
      <t xml:space="preserve">Uso do laboratório
</t>
    </r>
    <r>
      <rPr>
        <b/>
        <sz val="8"/>
        <rFont val="Calibri"/>
        <family val="2"/>
      </rPr>
      <t>(semanal ou quinzenal)</t>
    </r>
  </si>
  <si>
    <r>
      <t xml:space="preserve">OBSERVAÇÃO
</t>
    </r>
    <r>
      <rPr>
        <b/>
        <sz val="8"/>
        <rFont val="Calibri"/>
        <family val="2"/>
      </rPr>
      <t>(se houver)</t>
    </r>
  </si>
  <si>
    <t>Bacharelado em Ciência da Computação</t>
  </si>
  <si>
    <t>Bacharelado em Ciência e Tecnologia</t>
  </si>
  <si>
    <t>Bacharelado em Ciências Biológicas</t>
  </si>
  <si>
    <t>Bacharelado em Ciências e Humanidades</t>
  </si>
  <si>
    <t>Bacharelado em Ciências Econômicas</t>
  </si>
  <si>
    <t>Bacharelado em Física</t>
  </si>
  <si>
    <t>Bacharelado em Matemática</t>
  </si>
  <si>
    <t>Bacharelado em Neurociência</t>
  </si>
  <si>
    <t>Bacharelado em Planejamento Territorial</t>
  </si>
  <si>
    <t>Bacharelado em Políticas Públicas</t>
  </si>
  <si>
    <t>Bacharelado em Química</t>
  </si>
  <si>
    <t>Bacharelado em Relações Internacionais</t>
  </si>
  <si>
    <t>Engenharia Aeroespacial</t>
  </si>
  <si>
    <t>Engenharia Ambiental e Urbana</t>
  </si>
  <si>
    <t>Engenharia Biomédica</t>
  </si>
  <si>
    <t>Engenharia de Energia</t>
  </si>
  <si>
    <t>Engenharia de Gestão</t>
  </si>
  <si>
    <t>Engenharia de Informação</t>
  </si>
  <si>
    <t>Engenharia de Instrumentação, Automação e Robótica</t>
  </si>
  <si>
    <t>Engenharia de Materiais</t>
  </si>
  <si>
    <t>Licenciatura em Ciências Biológicas</t>
  </si>
  <si>
    <t>Licenciatura em Física</t>
  </si>
  <si>
    <t>Licenciatura em Matemática</t>
  </si>
  <si>
    <t>CATEGORIA</t>
  </si>
  <si>
    <t>BCT</t>
  </si>
  <si>
    <t>BCH</t>
  </si>
  <si>
    <t>AERO</t>
  </si>
  <si>
    <t>AMB</t>
  </si>
  <si>
    <t>BCB</t>
  </si>
  <si>
    <t>BCC</t>
  </si>
  <si>
    <t>BCE</t>
  </si>
  <si>
    <t>BFIS</t>
  </si>
  <si>
    <t>BIO</t>
  </si>
  <si>
    <t>BMAT</t>
  </si>
  <si>
    <t>BNC</t>
  </si>
  <si>
    <t>BPP</t>
  </si>
  <si>
    <t>BPT</t>
  </si>
  <si>
    <t>BQUIM</t>
  </si>
  <si>
    <t>BRI</t>
  </si>
  <si>
    <t>EMAT</t>
  </si>
  <si>
    <t>ENERG</t>
  </si>
  <si>
    <t>GESTAO</t>
  </si>
  <si>
    <t>IAR</t>
  </si>
  <si>
    <t>INF</t>
  </si>
  <si>
    <t>LCB</t>
  </si>
  <si>
    <t>LFILO</t>
  </si>
  <si>
    <t>LFIS</t>
  </si>
  <si>
    <t>LMAT</t>
  </si>
  <si>
    <t>LQUIM</t>
  </si>
  <si>
    <t>BFILO</t>
  </si>
  <si>
    <t>EN2714</t>
  </si>
  <si>
    <t>Acionamentos Elétricos</t>
  </si>
  <si>
    <t>Máquinas Elétricas</t>
  </si>
  <si>
    <t xml:space="preserve"> </t>
  </si>
  <si>
    <t>Livre</t>
  </si>
  <si>
    <t>Obrigatória</t>
  </si>
  <si>
    <t>Energia: Fontes e Tecnologias de Conversão</t>
  </si>
  <si>
    <t>Opção Limitada</t>
  </si>
  <si>
    <t>CS2121</t>
  </si>
  <si>
    <t>Administração Municipal e Desenvolvimento Local</t>
  </si>
  <si>
    <t>Não há</t>
  </si>
  <si>
    <t>CS2122</t>
  </si>
  <si>
    <t>Administração Pública e Reforma do Estado em Perspectiva Comparada</t>
  </si>
  <si>
    <t>Escoamento Compressível</t>
  </si>
  <si>
    <t>EN2213</t>
  </si>
  <si>
    <t>Aerodinâmica I</t>
  </si>
  <si>
    <t>Mecânica dos Fluidos Viscosos</t>
  </si>
  <si>
    <t>EN3218</t>
  </si>
  <si>
    <t>Aerodinâmica II</t>
  </si>
  <si>
    <t>EN2210</t>
  </si>
  <si>
    <t>Aeroelasticidade</t>
  </si>
  <si>
    <t>Mecânica dos Sólidos I</t>
  </si>
  <si>
    <t>EN2220</t>
  </si>
  <si>
    <t>BC1425</t>
  </si>
  <si>
    <t>Álgebra Linear</t>
  </si>
  <si>
    <t>Geometria Analítica</t>
  </si>
  <si>
    <t>MC1301</t>
  </si>
  <si>
    <t>Álgebra Linear Avançada I</t>
  </si>
  <si>
    <t>Álgebra Linear; Matemática Discreta</t>
  </si>
  <si>
    <t>MC1101</t>
  </si>
  <si>
    <t>Álgebra Linear Avançada II</t>
  </si>
  <si>
    <t>BC1424</t>
  </si>
  <si>
    <t>Algoritmos e Estruturas de Dados I</t>
  </si>
  <si>
    <t>Programação Orientada a Objetos</t>
  </si>
  <si>
    <t>MC3305</t>
  </si>
  <si>
    <t>Algoritmos e Estruturas de Dados II</t>
  </si>
  <si>
    <t>Funções de Variáveis Complexas</t>
  </si>
  <si>
    <t>BC1435</t>
  </si>
  <si>
    <t>Análise de Algoritmos</t>
  </si>
  <si>
    <t>Custos</t>
  </si>
  <si>
    <t>Pesquisa Operacional</t>
  </si>
  <si>
    <t>EN2706</t>
  </si>
  <si>
    <t>Análise de Sistemas Dinâmicos Lineares</t>
  </si>
  <si>
    <t>Instrumentação e Controle</t>
  </si>
  <si>
    <t>EN2135</t>
  </si>
  <si>
    <t>Análise de Sistemas e Modelagem Ambiental</t>
  </si>
  <si>
    <t>EN2325</t>
  </si>
  <si>
    <t>Modelagem e Simulação de Sistemas Biomédicos</t>
  </si>
  <si>
    <t>BH1116</t>
  </si>
  <si>
    <t>Análise Econômica de Projetos</t>
  </si>
  <si>
    <t>Análise Econômica de Projetos Energéticos</t>
  </si>
  <si>
    <t>Introdução aos Sistemas Elétricos de Potência</t>
  </si>
  <si>
    <t>Mecânica dos Sólidos</t>
  </si>
  <si>
    <t>MC1306</t>
  </si>
  <si>
    <t>Análise no Rn I</t>
  </si>
  <si>
    <t>Análise Real I; Cálculo Vetorial e Tensorial; Álgebra Linear</t>
  </si>
  <si>
    <t>MC2102</t>
  </si>
  <si>
    <t>Análise no Rn II</t>
  </si>
  <si>
    <t>BC1421</t>
  </si>
  <si>
    <t>Análise Real I</t>
  </si>
  <si>
    <t>Sequências e Séries</t>
  </si>
  <si>
    <t>MC1201</t>
  </si>
  <si>
    <t>Análise Real II</t>
  </si>
  <si>
    <t>MC1305</t>
  </si>
  <si>
    <t>Anéis e Corpos</t>
  </si>
  <si>
    <t>Teoria Aritmética dos Números</t>
  </si>
  <si>
    <t>EN3233</t>
  </si>
  <si>
    <t>Introdução às Equações Diferenciais Ordinárias; Cálculo Numérico</t>
  </si>
  <si>
    <t>Inteligência Artificial</t>
  </si>
  <si>
    <t>BC1503</t>
  </si>
  <si>
    <t>Arquitetura de Computadores</t>
  </si>
  <si>
    <t>Circuitos Digitais</t>
  </si>
  <si>
    <t>BH1343</t>
  </si>
  <si>
    <t>Arranjos Institucionais e Marco Regulatório do Território</t>
  </si>
  <si>
    <t>Cursar durante o BC&amp;T</t>
  </si>
  <si>
    <t>NH1002</t>
  </si>
  <si>
    <t>Astrobiologia</t>
  </si>
  <si>
    <t>Origem da Vida e Diversidade dos Seres Vivos; Transformações Bioquímicas</t>
  </si>
  <si>
    <t>EN2721</t>
  </si>
  <si>
    <t>Automação de Sistemas Industriais</t>
  </si>
  <si>
    <t>Sistemas de Controle II</t>
  </si>
  <si>
    <t>EN3555</t>
  </si>
  <si>
    <t>Automação em Sistemas de Manufatura</t>
  </si>
  <si>
    <t>Sistemas CAD/CAM</t>
  </si>
  <si>
    <t>Redes de Computadores</t>
  </si>
  <si>
    <t>EN2132</t>
  </si>
  <si>
    <t>Avaliação de Impactos Ambientais</t>
  </si>
  <si>
    <t>Regulação Ambiental e Urbana; Cartografia e Geoprocessamento</t>
  </si>
  <si>
    <t>EN3234</t>
  </si>
  <si>
    <t>Aviônica</t>
  </si>
  <si>
    <t>Circuitos Elétricos e Fotônica</t>
  </si>
  <si>
    <t>MC3310</t>
  </si>
  <si>
    <t>Banco de Dados</t>
  </si>
  <si>
    <t>BC0001</t>
  </si>
  <si>
    <t>Base Experimental das Ciências Naturais</t>
  </si>
  <si>
    <t>EN2319</t>
  </si>
  <si>
    <t>Bases Biológicas para Engenharia I</t>
  </si>
  <si>
    <t>Biologia Celular</t>
  </si>
  <si>
    <t>EN2320</t>
  </si>
  <si>
    <t>Bases Biológicas para Engenharia II</t>
  </si>
  <si>
    <t>BC0005</t>
  </si>
  <si>
    <t>Bases Computacionais da Ciência</t>
  </si>
  <si>
    <t>BC0004</t>
  </si>
  <si>
    <t>Bases Epistemológicas da Ciência Moderna</t>
  </si>
  <si>
    <t>BC0003</t>
  </si>
  <si>
    <t>Bases Matemáticas</t>
  </si>
  <si>
    <t>Introdução à Neurociência</t>
  </si>
  <si>
    <t>BH1222</t>
  </si>
  <si>
    <t>BH1223</t>
  </si>
  <si>
    <t>Prática de Ensino de Filosofia</t>
  </si>
  <si>
    <t>Bioestatística</t>
  </si>
  <si>
    <t>BC1604</t>
  </si>
  <si>
    <t>Bioética</t>
  </si>
  <si>
    <t>BC1308</t>
  </si>
  <si>
    <t>Biofísica</t>
  </si>
  <si>
    <t>Transformações Bioquímicas; Biologia Celular</t>
  </si>
  <si>
    <t>NH1703</t>
  </si>
  <si>
    <t>Biologia Animal I</t>
  </si>
  <si>
    <t>Sistemática e Biogeografia</t>
  </si>
  <si>
    <t>NH1803</t>
  </si>
  <si>
    <t>Biologia Animal II</t>
  </si>
  <si>
    <t>Sistemática e Biogeografia; Biologia Animal I</t>
  </si>
  <si>
    <t>NH1903</t>
  </si>
  <si>
    <t>Biologia Animal III</t>
  </si>
  <si>
    <t>Sistemática e Biogeografia; Biologia Animal II</t>
  </si>
  <si>
    <t>BC1307</t>
  </si>
  <si>
    <t>Origem da Vida e Diversidade dos Seres Vivos</t>
  </si>
  <si>
    <t>NH1003</t>
  </si>
  <si>
    <t>Biologia do Desenvolvimento</t>
  </si>
  <si>
    <t>BC1320</t>
  </si>
  <si>
    <t>Biologia Molecular e Biotecnologia</t>
  </si>
  <si>
    <t>Biologia Celular; Sistemas Biológicos I</t>
  </si>
  <si>
    <t>NH1702</t>
  </si>
  <si>
    <t>Biologia Vegetal I</t>
  </si>
  <si>
    <t>NH1802</t>
  </si>
  <si>
    <t>Biologia Vegetal II</t>
  </si>
  <si>
    <t>Biologia Vegetal I, Bioquímica Funcional, Genética Molecular</t>
  </si>
  <si>
    <t>NH1902</t>
  </si>
  <si>
    <t>Biologia Vegetal III</t>
  </si>
  <si>
    <t>Biologia Vegetal II, Genética Geral, Genética Molecular</t>
  </si>
  <si>
    <t>BC1001</t>
  </si>
  <si>
    <t>Biomas Brasileiros</t>
  </si>
  <si>
    <t>Transformações nos Seres Vivos e Ambiente</t>
  </si>
  <si>
    <t>EN3830</t>
  </si>
  <si>
    <t>Biomateriais</t>
  </si>
  <si>
    <t>Ciência dos Materiais; Química Orgânica de Materiais e Biomateriais</t>
  </si>
  <si>
    <t>Introdução à Inferência Estatística</t>
  </si>
  <si>
    <t>BC1328</t>
  </si>
  <si>
    <t>Bioquímica Experimental</t>
  </si>
  <si>
    <t>BC1326</t>
  </si>
  <si>
    <t>Bioquímica Funcional</t>
  </si>
  <si>
    <t>Transformações Químicas; Transformações Bioquímicas</t>
  </si>
  <si>
    <t>EN2324</t>
  </si>
  <si>
    <t>Biossegurança</t>
  </si>
  <si>
    <t>EN3814</t>
  </si>
  <si>
    <t>Blendas Poliméricas e Aditivação de Polímeros</t>
  </si>
  <si>
    <t>Síntese de Polímeros; Materiais Poliméricos</t>
  </si>
  <si>
    <t>Cálculo de Probabilidade</t>
  </si>
  <si>
    <t>Cálculo Numérico</t>
  </si>
  <si>
    <t>BC1418</t>
  </si>
  <si>
    <t>Cálculo Vetorial e Tensorial</t>
  </si>
  <si>
    <t>Funções de Várias Variáveis</t>
  </si>
  <si>
    <t>EN3324</t>
  </si>
  <si>
    <t>Caracterização de Biomateriais</t>
  </si>
  <si>
    <t>EN2820</t>
  </si>
  <si>
    <t>Caracterização de Materiais</t>
  </si>
  <si>
    <t>Propriedades Mecânicas e Térmicas; Propriedades Elétricas Magnéticas e Ópticas</t>
  </si>
  <si>
    <t>EN2137</t>
  </si>
  <si>
    <t>Caracterização de Matrizes Ambientais</t>
  </si>
  <si>
    <t>EN2113</t>
  </si>
  <si>
    <t>Cartografia e Geoprocessamento</t>
  </si>
  <si>
    <t>Fundamentos de Desenho e Projeto</t>
  </si>
  <si>
    <t>BH1408</t>
  </si>
  <si>
    <t>Cartografia e Geoprocessamento para o Planejamento Territorial</t>
  </si>
  <si>
    <t>Sistemas Térmicos</t>
  </si>
  <si>
    <t>EN3820</t>
  </si>
  <si>
    <t>Cerâmicas Especiais e Refratárias</t>
  </si>
  <si>
    <t>Materiais Cerâmicos</t>
  </si>
  <si>
    <t>BH1107</t>
  </si>
  <si>
    <t>Cidadania, Direitos e Desigualdades</t>
  </si>
  <si>
    <t>EN3121</t>
  </si>
  <si>
    <t>Cidades, Globalização e Projetos Urbanos</t>
  </si>
  <si>
    <t>[LISTA] Obrigatórias da Engenharia Ambiental e Urbana</t>
  </si>
  <si>
    <t>EN2810</t>
  </si>
  <si>
    <t>Ciência dos Materiais</t>
  </si>
  <si>
    <t>Materiais e suas Propriedades</t>
  </si>
  <si>
    <t>EN2321</t>
  </si>
  <si>
    <t>Ciência dos Materiais Biocompatíveis</t>
  </si>
  <si>
    <t>BC1621</t>
  </si>
  <si>
    <t>Ciência na Antiguidade e Período Medieval</t>
  </si>
  <si>
    <t>BC0603</t>
  </si>
  <si>
    <t>Ciência, Tecnologia e Sociedade</t>
  </si>
  <si>
    <t>BC1106</t>
  </si>
  <si>
    <t>Ciências Atmosféricas</t>
  </si>
  <si>
    <t>Dinâmica I</t>
  </si>
  <si>
    <t>BC1517</t>
  </si>
  <si>
    <t>BC1519</t>
  </si>
  <si>
    <t>Fenômenos Eletromagnéticos</t>
  </si>
  <si>
    <t>EN2703</t>
  </si>
  <si>
    <t>Circuitos Elétricos I</t>
  </si>
  <si>
    <t>EN2705</t>
  </si>
  <si>
    <t>Circuitos Elétricos II</t>
  </si>
  <si>
    <t>EN3707</t>
  </si>
  <si>
    <t>Circuitos Hidráulicos e Pneumáticos</t>
  </si>
  <si>
    <t>Mecânica dos Fluidos I</t>
  </si>
  <si>
    <t>NH1004</t>
  </si>
  <si>
    <t>Citogenética Básica</t>
  </si>
  <si>
    <t>Genética Geral</t>
  </si>
  <si>
    <t>EN3513</t>
  </si>
  <si>
    <t>Clima e Cultura Organizacional</t>
  </si>
  <si>
    <t>Organização do Trabalho</t>
  </si>
  <si>
    <t>EN2127</t>
  </si>
  <si>
    <t>Climatologia</t>
  </si>
  <si>
    <t>EN2214</t>
  </si>
  <si>
    <t>Combustão I</t>
  </si>
  <si>
    <t>Termodinâmica Aplicada; Mecânica dos Fluidos Viscosos</t>
  </si>
  <si>
    <t>MC3201</t>
  </si>
  <si>
    <t>Compiladores</t>
  </si>
  <si>
    <t>Linguagens Formais e Automata</t>
  </si>
  <si>
    <t>EN3117</t>
  </si>
  <si>
    <t>Compostagem</t>
  </si>
  <si>
    <t>Microbiologia Ambiental, Resíduos Sólidos</t>
  </si>
  <si>
    <t>BC1515</t>
  </si>
  <si>
    <t>Computação Gráfica</t>
  </si>
  <si>
    <t>Álgebra Linear; Geometria Analítica; Algoritmos e Estruturas de Dados I</t>
  </si>
  <si>
    <t>MC3307</t>
  </si>
  <si>
    <t>Computadores, Ética e Sociedade</t>
  </si>
  <si>
    <t>EN2611</t>
  </si>
  <si>
    <t>Comunicação Digital</t>
  </si>
  <si>
    <t>Princípios de Comunicação; Sinais Aleatórios</t>
  </si>
  <si>
    <t>BC0506</t>
  </si>
  <si>
    <t>Comunicação e Redes</t>
  </si>
  <si>
    <t>Natureza da Informação; Processamento da Informação</t>
  </si>
  <si>
    <t>EN2620</t>
  </si>
  <si>
    <t>Comunicações Móveis</t>
  </si>
  <si>
    <t>Comunicação Digital; Propagação e Antenas</t>
  </si>
  <si>
    <t>Comunicações Multimídia</t>
  </si>
  <si>
    <t>Processamento Digital de Sinais</t>
  </si>
  <si>
    <t>EN2614</t>
  </si>
  <si>
    <t>Comunicações Ópticas</t>
  </si>
  <si>
    <t>EN3722</t>
  </si>
  <si>
    <t>Confiabilidade de Componentes e Sistemas</t>
  </si>
  <si>
    <t>Introdução à Probabilidade e à Estatística</t>
  </si>
  <si>
    <t>BH1300</t>
  </si>
  <si>
    <t>Conflitos Sociais</t>
  </si>
  <si>
    <t>BH0204</t>
  </si>
  <si>
    <t>Conhecimento e Ética</t>
  </si>
  <si>
    <t>BC1327</t>
  </si>
  <si>
    <t>Conservação da Biodiversidade</t>
  </si>
  <si>
    <t>Transformações dos Seres Vivos; Práticas de Ecologia</t>
  </si>
  <si>
    <t>BH1129</t>
  </si>
  <si>
    <t>Contabilidade Básica</t>
  </si>
  <si>
    <t>Economia de Empresas</t>
  </si>
  <si>
    <t>EN3705</t>
  </si>
  <si>
    <t>Controle Avançado de Robôs</t>
  </si>
  <si>
    <t>Fundamentos de Robótica</t>
  </si>
  <si>
    <t>EN3711</t>
  </si>
  <si>
    <t>Controle Discreto</t>
  </si>
  <si>
    <t>EN3710</t>
  </si>
  <si>
    <t>Controle Não-Linear</t>
  </si>
  <si>
    <t>EN3709</t>
  </si>
  <si>
    <t>Controle Robusto Multivariável</t>
  </si>
  <si>
    <t>EN2532</t>
  </si>
  <si>
    <t>Engenharia Econômica</t>
  </si>
  <si>
    <t>BH1344</t>
  </si>
  <si>
    <t>Demografia</t>
  </si>
  <si>
    <t>EN2226</t>
  </si>
  <si>
    <t>Aeronáutica I-A; Dinâmica I</t>
  </si>
  <si>
    <t>NH3907</t>
  </si>
  <si>
    <t>Desenho e Projeto em Química</t>
  </si>
  <si>
    <t>EN3113</t>
  </si>
  <si>
    <t>Desenho Técnico Aplicado ao Planejamento Urbano-Ambiental</t>
  </si>
  <si>
    <t>BC1626</t>
  </si>
  <si>
    <t>Desenvolvimento e Aprendizagem</t>
  </si>
  <si>
    <t>BH0102</t>
  </si>
  <si>
    <t>Desenvolvimento e Sustentabilidade</t>
  </si>
  <si>
    <t>BH1345</t>
  </si>
  <si>
    <t>Desenvolvimento Econômico e Social do Brasil</t>
  </si>
  <si>
    <t>EN2520</t>
  </si>
  <si>
    <t>Desenvolvimento Integrado do Produto</t>
  </si>
  <si>
    <t>Gestão de Operações</t>
  </si>
  <si>
    <t>BH1140</t>
  </si>
  <si>
    <t>Desenvolvimento Socioeconômico</t>
  </si>
  <si>
    <t>EN3806</t>
  </si>
  <si>
    <t>Design de Dispositivos</t>
  </si>
  <si>
    <t>Propriedades Elétricas, Magnéticas e Ópticas</t>
  </si>
  <si>
    <t>EN3809</t>
  </si>
  <si>
    <t>Diagramas de Fase</t>
  </si>
  <si>
    <t>Termodinâmica Estatística de Materiais; Ciência dos Materiais</t>
  </si>
  <si>
    <t>BC1627</t>
  </si>
  <si>
    <t>Didática</t>
  </si>
  <si>
    <t>EN2219</t>
  </si>
  <si>
    <t>Dinâmica e Controle de Veículos Espaciais</t>
  </si>
  <si>
    <t>Dinâmica I; Dinâmica II</t>
  </si>
  <si>
    <t>EN2223</t>
  </si>
  <si>
    <t>Fenômenos Mecânicos, Geometria Analítica, Cálculo Numérico</t>
  </si>
  <si>
    <t>EN3237</t>
  </si>
  <si>
    <t>Dinâmica II</t>
  </si>
  <si>
    <t>Tópicos Computacionais em Materiais</t>
  </si>
  <si>
    <t>NH2042</t>
  </si>
  <si>
    <t>Dinâmica Não-Linear e Caos</t>
  </si>
  <si>
    <t>EN3202</t>
  </si>
  <si>
    <t>Dinâmica Orbital</t>
  </si>
  <si>
    <t>BH1151</t>
  </si>
  <si>
    <t>Direito Internacional Público</t>
  </si>
  <si>
    <t>Introdução ao Estudo do Direito</t>
  </si>
  <si>
    <t>EN2719</t>
  </si>
  <si>
    <t>Dispositivos Eletrônicos</t>
  </si>
  <si>
    <t>NH1005</t>
  </si>
  <si>
    <t>Ecologia Animal</t>
  </si>
  <si>
    <t>Origem da Vida e Diversidade dos Seres Vivos; Transformações dos Seres Vivos e Ambiente; Biologia Animal I, II e III</t>
  </si>
  <si>
    <t>Transformações dos Seres Vivos e Ambiente</t>
  </si>
  <si>
    <t>NH1006</t>
  </si>
  <si>
    <t>Ecologia Vegetal</t>
  </si>
  <si>
    <t>Econometria I</t>
  </si>
  <si>
    <t>BH1114</t>
  </si>
  <si>
    <t>Econometria II</t>
  </si>
  <si>
    <t>Econometria III</t>
  </si>
  <si>
    <t>Economia Brasileira Contemporânea I</t>
  </si>
  <si>
    <t>Formação Econômica do Brasil</t>
  </si>
  <si>
    <t>BH1113</t>
  </si>
  <si>
    <t>Economia Brasileira Contemporânea II</t>
  </si>
  <si>
    <t>Economia Brasileira Contemporânea III</t>
  </si>
  <si>
    <t>Economia da Energia</t>
  </si>
  <si>
    <t>Energia: Origens, Conversão e Uso</t>
  </si>
  <si>
    <t>EN2533</t>
  </si>
  <si>
    <t>BH1120</t>
  </si>
  <si>
    <t>Economia e Meio Ambiente</t>
  </si>
  <si>
    <t>Microeconomia II</t>
  </si>
  <si>
    <t>BH1112</t>
  </si>
  <si>
    <t>Economia Internacional I</t>
  </si>
  <si>
    <t>Macroeconomia II</t>
  </si>
  <si>
    <t>Economia Internacional II</t>
  </si>
  <si>
    <t>Economia internacional I</t>
  </si>
  <si>
    <t>BH1139</t>
  </si>
  <si>
    <t>Economia Monetária</t>
  </si>
  <si>
    <t>BH1331</t>
  </si>
  <si>
    <t>Economia Política Internacional da Energia</t>
  </si>
  <si>
    <t>BH1157</t>
  </si>
  <si>
    <t>Economia Urbana</t>
  </si>
  <si>
    <t>EN3105</t>
  </si>
  <si>
    <t>Economia, Sociedade e Meio Ambiente</t>
  </si>
  <si>
    <t>BC1630</t>
  </si>
  <si>
    <t>Educação Ambiental</t>
  </si>
  <si>
    <t>BC1602</t>
  </si>
  <si>
    <t>Educação Científica, Sociedade e Cultura</t>
  </si>
  <si>
    <t>EN2521</t>
  </si>
  <si>
    <t>Elaboração, Análise e Avaliação de Projetos</t>
  </si>
  <si>
    <t>Introdução às Equações Diferenciais Ordinárias</t>
  </si>
  <si>
    <t>EN3807</t>
  </si>
  <si>
    <t>Elementos Finitos Aplicados em Materiais</t>
  </si>
  <si>
    <t>NH3101</t>
  </si>
  <si>
    <t>Eletroanalítica e Técnicas de Separação</t>
  </si>
  <si>
    <t>EN2720</t>
  </si>
  <si>
    <t>Eletrônica Analógica Aplicada</t>
  </si>
  <si>
    <t>EN3712</t>
  </si>
  <si>
    <t>Eletrônica de Potência I</t>
  </si>
  <si>
    <t>EN2605</t>
  </si>
  <si>
    <t>Eletrônica Digital</t>
  </si>
  <si>
    <t>NH3905</t>
  </si>
  <si>
    <t>Eletroquímica e Cinética Química</t>
  </si>
  <si>
    <t>EN3535</t>
  </si>
  <si>
    <t>Empreendedorismo</t>
  </si>
  <si>
    <t>Energia, Meio Ambiente e Sociedade</t>
  </si>
  <si>
    <t>BC0207</t>
  </si>
  <si>
    <t>EN3340</t>
  </si>
  <si>
    <t>EN3817</t>
  </si>
  <si>
    <t>Engenharia de Cerâmicas</t>
  </si>
  <si>
    <t>EN3827</t>
  </si>
  <si>
    <t>Engenharia de Filmes Finos</t>
  </si>
  <si>
    <t>Ciência dos Materiais; Reologia I</t>
  </si>
  <si>
    <t>EN3822</t>
  </si>
  <si>
    <t>Engenharia de Metais</t>
  </si>
  <si>
    <t>Materiais Metálicos</t>
  </si>
  <si>
    <t>EN3813</t>
  </si>
  <si>
    <t>Engenharia de Polímeros</t>
  </si>
  <si>
    <t>Materiais Poliméricos; Propriedades Mecânicas e Térmicas; Reologia I</t>
  </si>
  <si>
    <t>EN2328</t>
  </si>
  <si>
    <t>Engenharia de Reabilitação e Biofeedback</t>
  </si>
  <si>
    <t>Princípios e Aplicações de Biomecânica</t>
  </si>
  <si>
    <t>Processamento da Informação</t>
  </si>
  <si>
    <t>BC1508</t>
  </si>
  <si>
    <t>Engenharia de Software</t>
  </si>
  <si>
    <t>BC1713</t>
  </si>
  <si>
    <t>-</t>
  </si>
  <si>
    <t>EN2535</t>
  </si>
  <si>
    <t>Engenharia Econômica aplicada a Sistemas de Gestão</t>
  </si>
  <si>
    <t>EN3524</t>
  </si>
  <si>
    <t>Engenharia Humana</t>
  </si>
  <si>
    <t>Engenharia Laboral</t>
  </si>
  <si>
    <t>EN2522</t>
  </si>
  <si>
    <t>EN2510</t>
  </si>
  <si>
    <t>Engenharia Logística</t>
  </si>
  <si>
    <t>Planejamento e Controle de Produção</t>
  </si>
  <si>
    <t>EN3724</t>
  </si>
  <si>
    <t>Engenharia Óptica e Imagens</t>
  </si>
  <si>
    <t>EN1002</t>
  </si>
  <si>
    <t>Engenharia Unificada I</t>
  </si>
  <si>
    <t>EN1004</t>
  </si>
  <si>
    <t>Engenharia Unificada II</t>
  </si>
  <si>
    <t>BC1427</t>
  </si>
  <si>
    <t>Equações Diferenciais Ordinárias</t>
  </si>
  <si>
    <t>Análise no Rn I; Álgebra Linear Avançada I</t>
  </si>
  <si>
    <t>MC1307</t>
  </si>
  <si>
    <t>Equações Diferenciais Parciais</t>
  </si>
  <si>
    <t>BC1107</t>
  </si>
  <si>
    <t>Espectroscopia</t>
  </si>
  <si>
    <t>EN2232</t>
  </si>
  <si>
    <t>Desempenho de Aeronaves; Sistemas de Controle I</t>
  </si>
  <si>
    <t>BH1123</t>
  </si>
  <si>
    <t>Estado e Desenvolvimento Econômico no Brasil Contemporâneo</t>
  </si>
  <si>
    <t>BH0101</t>
  </si>
  <si>
    <t>Estado e Relações de Poder</t>
  </si>
  <si>
    <t>BH1124</t>
  </si>
  <si>
    <t>Estado e Sociedade Civil Organizada</t>
  </si>
  <si>
    <t>EN2802</t>
  </si>
  <si>
    <t>Estado Sólido</t>
  </si>
  <si>
    <t>Física Quântica; Materiais e Suas Propriedades</t>
  </si>
  <si>
    <t>EN1301</t>
  </si>
  <si>
    <t>Estágio Curricular I em Engenharia Biomédica</t>
  </si>
  <si>
    <t>EN1601</t>
  </si>
  <si>
    <t>Estágio Curricular I em Engenharia de Informação</t>
  </si>
  <si>
    <t>EN1302</t>
  </si>
  <si>
    <t>Estágio Curricular II em Engenharia Biomédica</t>
  </si>
  <si>
    <t>EN1602</t>
  </si>
  <si>
    <t>Estágio Curricular II em Engenharia de Informação</t>
  </si>
  <si>
    <t>MC7110</t>
  </si>
  <si>
    <t>Estágio Supervisionado em Computação I</t>
  </si>
  <si>
    <t>MC7111</t>
  </si>
  <si>
    <t>Estágio Supervisionado em Computação II</t>
  </si>
  <si>
    <t>MC7112</t>
  </si>
  <si>
    <t>Estágio Supervisionado em Computação III</t>
  </si>
  <si>
    <t>NH4508</t>
  </si>
  <si>
    <t>Estágio Supervisionado em Filosofia I</t>
  </si>
  <si>
    <t>NH4509</t>
  </si>
  <si>
    <t>Estágio Supervisionado em Filosofia II</t>
  </si>
  <si>
    <t>NH4510</t>
  </si>
  <si>
    <t>Estágio Supervisionado em Filosofia III</t>
  </si>
  <si>
    <t>NH4511</t>
  </si>
  <si>
    <t>Estágio Supervisionado em Filosofia IV</t>
  </si>
  <si>
    <t>NH4512</t>
  </si>
  <si>
    <t>Estágio Supervisionado em Filosofia V</t>
  </si>
  <si>
    <t>NH4152</t>
  </si>
  <si>
    <t>Estágio Supervisionado em Física I (Nível Médio)</t>
  </si>
  <si>
    <t>NH4252</t>
  </si>
  <si>
    <t>Estágio Supervisionado em Física II (Nível Médio)</t>
  </si>
  <si>
    <t>NH4352</t>
  </si>
  <si>
    <t>Estágio Supervisionado em Física III (Nível Médio)</t>
  </si>
  <si>
    <t>MC8150</t>
  </si>
  <si>
    <t>Estágio Supervisionado em Matemática I (Nível Médio)</t>
  </si>
  <si>
    <t>MC8250</t>
  </si>
  <si>
    <t>Estágio Supervisionado em Matemática II (Nível Médio)</t>
  </si>
  <si>
    <t>MC8350</t>
  </si>
  <si>
    <t>Estágio Supervisionado em Matemática III (Nível Médio)</t>
  </si>
  <si>
    <t>NH4153</t>
  </si>
  <si>
    <t>Estágio Supervisionado em Química I (Nível Médio)</t>
  </si>
  <si>
    <t>NH4253</t>
  </si>
  <si>
    <t>Estágio Supervisionado em Química II (Nível Médio)</t>
  </si>
  <si>
    <t>NH4353</t>
  </si>
  <si>
    <t>Estágio Supervisionado em Química III (Nível Médio)</t>
  </si>
  <si>
    <t>BC1628</t>
  </si>
  <si>
    <t>Estágio Supervisionado I (Nível Fundamental)</t>
  </si>
  <si>
    <t>BC1629</t>
  </si>
  <si>
    <t>Estágio Supervisionado II (Nível Fundamental)</t>
  </si>
  <si>
    <t>EN2534</t>
  </si>
  <si>
    <t>BH1205</t>
  </si>
  <si>
    <t>Estética</t>
  </si>
  <si>
    <t>BH1214</t>
  </si>
  <si>
    <t>Estética: Perspectivas Contemporâneas</t>
  </si>
  <si>
    <t>Modelos de Comunicação nas Organizações</t>
  </si>
  <si>
    <t>NH3901</t>
  </si>
  <si>
    <t>Estrutura Atômica e Molecular</t>
  </si>
  <si>
    <t>BC0102</t>
  </si>
  <si>
    <t>Estrutura da Matéria</t>
  </si>
  <si>
    <t>NH3803</t>
  </si>
  <si>
    <t>Estrutura da Matéria Avançada</t>
  </si>
  <si>
    <t>BC0602</t>
  </si>
  <si>
    <t>Estrutura e Dinâmica Social</t>
  </si>
  <si>
    <t>BH1347</t>
  </si>
  <si>
    <t>Estudos do Meio Físico</t>
  </si>
  <si>
    <t>BH1203</t>
  </si>
  <si>
    <t>Ética</t>
  </si>
  <si>
    <t>EN3517</t>
  </si>
  <si>
    <t>Ética e Responsabilidade Social</t>
  </si>
  <si>
    <t>BH1204</t>
  </si>
  <si>
    <t>Ética: Perspectivas Contemporâneas</t>
  </si>
  <si>
    <t>NH1007</t>
  </si>
  <si>
    <t>Etnofarmacologia</t>
  </si>
  <si>
    <t>Transformações Bioquímica; Farmacologia</t>
  </si>
  <si>
    <t>BC1329</t>
  </si>
  <si>
    <t>Evolução</t>
  </si>
  <si>
    <t>Origem da Vida e Diversidade dos Seres Vivos, Sistemática e Biogeografia, Genética Geral, Genética Molecular, Introdução à Probabilidade e à Estatística</t>
  </si>
  <si>
    <t>NH2431</t>
  </si>
  <si>
    <t>Evolução da Física</t>
  </si>
  <si>
    <t>BC1438</t>
  </si>
  <si>
    <t>Evolução dos Conceitos Matemáticos</t>
  </si>
  <si>
    <t>NH1011</t>
  </si>
  <si>
    <t>Evolução Molecular</t>
  </si>
  <si>
    <t>Origem da Vida e Diversidade dos Seres Vivos; Genética Geral; Genética Molelcular; Evolução</t>
  </si>
  <si>
    <t>NH3109</t>
  </si>
  <si>
    <t>Experimentação e Ensino de Química</t>
  </si>
  <si>
    <t>MC2108</t>
  </si>
  <si>
    <t>Extensões Algébricas</t>
  </si>
  <si>
    <t>Anéis e Corpos; Grupos</t>
  </si>
  <si>
    <t>NH1008</t>
  </si>
  <si>
    <t>Farmacologia</t>
  </si>
  <si>
    <t>Transformações Bioquímicas</t>
  </si>
  <si>
    <t>BH1126</t>
  </si>
  <si>
    <t>Federalismo e Políticas Públicas</t>
  </si>
  <si>
    <t>BH1201</t>
  </si>
  <si>
    <t>Fenomenologia e Filosofia Hermenêutica</t>
  </si>
  <si>
    <t>História da Filosofia Moderna: perspectivas racionalistas e II</t>
  </si>
  <si>
    <t>BC0209</t>
  </si>
  <si>
    <t>BC0208</t>
  </si>
  <si>
    <t>Fenômenos Mecânicos</t>
  </si>
  <si>
    <t>BC1317</t>
  </si>
  <si>
    <t>Fenômenos Ondulatórios</t>
  </si>
  <si>
    <t>BC0205</t>
  </si>
  <si>
    <t>Fenômenos Térmicos</t>
  </si>
  <si>
    <t>BH1400</t>
  </si>
  <si>
    <t>Teoria do Conhecimento: Empirismo versus Racionalismo, Lógica I</t>
  </si>
  <si>
    <t>BH1401</t>
  </si>
  <si>
    <t>Filosofia da Ciência: em torno à concepção ortodoxa</t>
  </si>
  <si>
    <t>BH1209</t>
  </si>
  <si>
    <t>Filosofia da Educação</t>
  </si>
  <si>
    <t>BH1221</t>
  </si>
  <si>
    <t>Filosofia do Ensino de Filosofia</t>
  </si>
  <si>
    <t>BH1216</t>
  </si>
  <si>
    <t>Filosofia no Brasil e na América Latina</t>
  </si>
  <si>
    <t>BH1218</t>
  </si>
  <si>
    <t>Filosofia Política</t>
  </si>
  <si>
    <t>BH1208</t>
  </si>
  <si>
    <t>Filosofia Política: Perspectivas Contemporâneas</t>
  </si>
  <si>
    <t>Finanças Corporativas</t>
  </si>
  <si>
    <t>CS2117</t>
  </si>
  <si>
    <t>Finanças Públicas</t>
  </si>
  <si>
    <t>NH2043</t>
  </si>
  <si>
    <t>Física Computacional</t>
  </si>
  <si>
    <t>NH2231</t>
  </si>
  <si>
    <t>Física de Semicondutores</t>
  </si>
  <si>
    <t>BC1319</t>
  </si>
  <si>
    <t>Física do Contínuo</t>
  </si>
  <si>
    <t>Cursar após o BC&amp;T</t>
  </si>
  <si>
    <t>BC0103</t>
  </si>
  <si>
    <t>Física Quântica</t>
  </si>
  <si>
    <t>NH4198</t>
  </si>
  <si>
    <t>Física Térmica</t>
  </si>
  <si>
    <t>NH3004</t>
  </si>
  <si>
    <t>Físico-Química Experimental</t>
  </si>
  <si>
    <t>NH2031</t>
  </si>
  <si>
    <t>Fluidos Quânticos</t>
  </si>
  <si>
    <t>EN2420</t>
  </si>
  <si>
    <t>Fontes Não-Renováveis de Energia</t>
  </si>
  <si>
    <t>EN2419</t>
  </si>
  <si>
    <t>Fontes Renováveis de Energia</t>
  </si>
  <si>
    <t>BH1332</t>
  </si>
  <si>
    <t>Formação Histórica da America Latina</t>
  </si>
  <si>
    <t>BH1302</t>
  </si>
  <si>
    <t>Formação Histórica do Brasil</t>
  </si>
  <si>
    <t>EN2708</t>
  </si>
  <si>
    <t>Fotônica</t>
  </si>
  <si>
    <t>BC1417</t>
  </si>
  <si>
    <t>Funções Complexas e Transformadas Integrais</t>
  </si>
  <si>
    <t>BC0407</t>
  </si>
  <si>
    <t>Geometria Analítica; Funções de uma Variável</t>
  </si>
  <si>
    <t>MC1102</t>
  </si>
  <si>
    <t>Análise Real II; Cálculo Vetorial e Tensorial; Topologia</t>
  </si>
  <si>
    <t>NH3601</t>
  </si>
  <si>
    <t>Funções e Reações Orgânicas</t>
  </si>
  <si>
    <t>BC1420</t>
  </si>
  <si>
    <t>Funções Especiais</t>
  </si>
  <si>
    <t>NH2802</t>
  </si>
  <si>
    <t>Fundamentos da Eletrodinâmica</t>
  </si>
  <si>
    <t>NH2801</t>
  </si>
  <si>
    <t>Fundamentos da Eletrostática</t>
  </si>
  <si>
    <t>NH2133</t>
  </si>
  <si>
    <t>Fundamentos da Relatividade Geral</t>
  </si>
  <si>
    <t>MC8102</t>
  </si>
  <si>
    <t>Fundamentos de Álgebra</t>
  </si>
  <si>
    <t>MC8303</t>
  </si>
  <si>
    <t>Fundamentos de Análise</t>
  </si>
  <si>
    <t>Funções de Uma Variável; Funções de Várias Variáveis</t>
  </si>
  <si>
    <t>BC1416</t>
  </si>
  <si>
    <t>BC1332</t>
  </si>
  <si>
    <t>Fundamentos de Geologia para Engenharia</t>
  </si>
  <si>
    <t>MC8304</t>
  </si>
  <si>
    <t>Fundamentos de Geometria</t>
  </si>
  <si>
    <t>Geometria Plana e Construções Geométricas</t>
  </si>
  <si>
    <t>EN2405</t>
  </si>
  <si>
    <t>Fundamentos de Máquinas Elétricas</t>
  </si>
  <si>
    <t>EN2715</t>
  </si>
  <si>
    <t>Sistemas de Controle I</t>
  </si>
  <si>
    <t>BC1315</t>
  </si>
  <si>
    <t>BC1323</t>
  </si>
  <si>
    <t>Genética Molecular</t>
  </si>
  <si>
    <t>Biologia Celular, Genética Geral</t>
  </si>
  <si>
    <t>BH1333</t>
  </si>
  <si>
    <t>Geografia Política</t>
  </si>
  <si>
    <t>NH1603</t>
  </si>
  <si>
    <t>Geologia e Paleontologia</t>
  </si>
  <si>
    <t>Origem da Vida e Diversidade dos Seres Vivos; Sistemática e Biogeografia</t>
  </si>
  <si>
    <t>BC0404</t>
  </si>
  <si>
    <t>MC1302</t>
  </si>
  <si>
    <t>Geometria Diferencial I</t>
  </si>
  <si>
    <t>Topologia I</t>
  </si>
  <si>
    <t>MC2103</t>
  </si>
  <si>
    <t>Geometria Diferencial II</t>
  </si>
  <si>
    <t>Geometria Diferencial I; Álgebra Linear Avançada I</t>
  </si>
  <si>
    <t>Geometria Não Euclidiana</t>
  </si>
  <si>
    <t>MC8310</t>
  </si>
  <si>
    <t>EN2134</t>
  </si>
  <si>
    <t>Geotecnia</t>
  </si>
  <si>
    <t>Fundamentos de Geologia para Engenharia; Cartografia e Geoprocessamento</t>
  </si>
  <si>
    <t>EN3114</t>
  </si>
  <si>
    <t>Geotecnia Aplicada ao Planejamento Urbano-Ambiental</t>
  </si>
  <si>
    <t>Geotecnia; Fundamentos de Geologia; Cartografia e Geoprocessamento</t>
  </si>
  <si>
    <t>EN2528</t>
  </si>
  <si>
    <t>Gerência de Ativos</t>
  </si>
  <si>
    <t>Planejamento e Controle da Produção</t>
  </si>
  <si>
    <t>EN3115</t>
  </si>
  <si>
    <t>Gestão Ambiental na Indústria</t>
  </si>
  <si>
    <t>Inovação Tecnológica</t>
  </si>
  <si>
    <t>EN2511</t>
  </si>
  <si>
    <t>EN2524</t>
  </si>
  <si>
    <t>EN3545</t>
  </si>
  <si>
    <t>Gestão Estratégica e Organizacional</t>
  </si>
  <si>
    <t>EN3118</t>
  </si>
  <si>
    <t>Gestão Urbano-Ambiental</t>
  </si>
  <si>
    <t>Regulação Ambiental e Urbana; Cartografia e Geoprocessamento; Teoria do Planejamento Urbano e Ambiental</t>
  </si>
  <si>
    <t>BH1153</t>
  </si>
  <si>
    <t>BH1103</t>
  </si>
  <si>
    <t>Governo, Burocracia e Administração Pública</t>
  </si>
  <si>
    <t>MC1304</t>
  </si>
  <si>
    <t>Grupos</t>
  </si>
  <si>
    <t>MC2209</t>
  </si>
  <si>
    <t>Grupos de Lie e Simetrias</t>
  </si>
  <si>
    <t>EN2133</t>
  </si>
  <si>
    <t>Habitação e Assentamentos Humanos</t>
  </si>
  <si>
    <t>Cartografia e Geoprocessamento; Regulação Ambiental e Urbana</t>
  </si>
  <si>
    <t>EN2130</t>
  </si>
  <si>
    <t>Hidráulica</t>
  </si>
  <si>
    <t>Mecânica dos Fluidos I; Cálculo Numérico</t>
  </si>
  <si>
    <t>EN2109</t>
  </si>
  <si>
    <t>Hidrologia</t>
  </si>
  <si>
    <t>Introdução à Probabilidade e à Estatística; Cálculo Numérico; Cartografia e Geoprocessamento</t>
  </si>
  <si>
    <t>BH1348</t>
  </si>
  <si>
    <t>História da Cidade e do Urbanismo</t>
  </si>
  <si>
    <t>BH1311</t>
  </si>
  <si>
    <t>História da Filosofia Antiga: Aristóteles e o Aristotelismo</t>
  </si>
  <si>
    <t>BH1308</t>
  </si>
  <si>
    <t>BH1307</t>
  </si>
  <si>
    <t>História da Filosofia Contemporânea: o Século XIX</t>
  </si>
  <si>
    <t>BH1312</t>
  </si>
  <si>
    <t>História da Filosofia Contemporânea: o Século XX</t>
  </si>
  <si>
    <t>BH1309</t>
  </si>
  <si>
    <t>História da Filosofia Medieval: Patrística e Escolástica</t>
  </si>
  <si>
    <t>BH1310</t>
  </si>
  <si>
    <t>BH1306</t>
  </si>
  <si>
    <t>História da Filosofia Moderna: Perspectivas Racionalistas</t>
  </si>
  <si>
    <t>MC8311</t>
  </si>
  <si>
    <t>História da Matemática</t>
  </si>
  <si>
    <t>NH1009</t>
  </si>
  <si>
    <t>História das Idéias Biológicas</t>
  </si>
  <si>
    <t>Origem da Vida e Diversidade dos Seres Vivos; Evolução</t>
  </si>
  <si>
    <t>BH1335</t>
  </si>
  <si>
    <t>História das Relações Internacionais</t>
  </si>
  <si>
    <t>BH1301</t>
  </si>
  <si>
    <t>História do Pensamento Econômico</t>
  </si>
  <si>
    <t>EN3106</t>
  </si>
  <si>
    <t>História do Urbanismo</t>
  </si>
  <si>
    <t>BH1336</t>
  </si>
  <si>
    <t>História e Análise da Política Externa Brasileira</t>
  </si>
  <si>
    <t>História das RI</t>
  </si>
  <si>
    <t>BH1303</t>
  </si>
  <si>
    <t>História Econômica Geral</t>
  </si>
  <si>
    <t>BH1404</t>
  </si>
  <si>
    <t>Historiografia e História das Ciências</t>
  </si>
  <si>
    <t>BH0302</t>
  </si>
  <si>
    <t>Identidade e Cultura</t>
  </si>
  <si>
    <t>NH1010</t>
  </si>
  <si>
    <t>Imunologia</t>
  </si>
  <si>
    <t>Transformações Bioquímica; Biologia Celular</t>
  </si>
  <si>
    <t>BH1141</t>
  </si>
  <si>
    <t>Indicadores de Políticas Públicas</t>
  </si>
  <si>
    <t>EN3601</t>
  </si>
  <si>
    <t>Informação e Sociedade</t>
  </si>
  <si>
    <t>CS2120</t>
  </si>
  <si>
    <t>Inovação nos Serviços Públicos</t>
  </si>
  <si>
    <t>EN2514</t>
  </si>
  <si>
    <t>Propriedade Intelectual</t>
  </si>
  <si>
    <t>EN2403</t>
  </si>
  <si>
    <t>Instalações Elétricas I</t>
  </si>
  <si>
    <t>EN3336</t>
  </si>
  <si>
    <t>Instalações Hospitalares</t>
  </si>
  <si>
    <t>Equipamentos Médico-Hospitalares; Biossegurança</t>
  </si>
  <si>
    <t>EN2330</t>
  </si>
  <si>
    <t>Instrumentação Biomédica</t>
  </si>
  <si>
    <t>EN2331</t>
  </si>
  <si>
    <t>Instrumentação Biomédica Avançada</t>
  </si>
  <si>
    <t>BC1507</t>
  </si>
  <si>
    <t>Introdução às Equações Diferenciais Ordinárias; Circuitos Elétricos e Fotônica</t>
  </si>
  <si>
    <t>EN3714</t>
  </si>
  <si>
    <t>Instrumentação e Metrologia Óptica</t>
  </si>
  <si>
    <t>EN3206</t>
  </si>
  <si>
    <t>Instrumentação e Sensores em Veículos Aeroespaciais</t>
  </si>
  <si>
    <t>MC3311</t>
  </si>
  <si>
    <t>Lógica Básica; Algoritmos e Estruturas de Dados I; Introdução à Probabilidade e à Estatística</t>
  </si>
  <si>
    <t>BC0104</t>
  </si>
  <si>
    <t>Interações Atômicas e Moleculares</t>
  </si>
  <si>
    <t>Estrutura da Matéria; Transformações Químicas; Física Quântica</t>
  </si>
  <si>
    <t>MC2113</t>
  </si>
  <si>
    <t>Introdução à Análise Funcional</t>
  </si>
  <si>
    <t>Álgebra Linear Avançada I; Análise Real I</t>
  </si>
  <si>
    <t>EN2222</t>
  </si>
  <si>
    <t>EN3328</t>
  </si>
  <si>
    <t>Introdução à Física Médica</t>
  </si>
  <si>
    <t>BC1439</t>
  </si>
  <si>
    <t>Introdução à Bioinformática</t>
  </si>
  <si>
    <t>Introdução à Biotecnologia</t>
  </si>
  <si>
    <t>BC1712</t>
  </si>
  <si>
    <t>Introdução à Engenharia Biomédica</t>
  </si>
  <si>
    <t>MC8401</t>
  </si>
  <si>
    <t>Introdução à Filosofia da Mente</t>
  </si>
  <si>
    <t>NH2201</t>
  </si>
  <si>
    <t>Introdução à Física de Partículas Elementares</t>
  </si>
  <si>
    <t>BC1203</t>
  </si>
  <si>
    <t>Introdução à Física Nuclear</t>
  </si>
  <si>
    <t>BC1008</t>
  </si>
  <si>
    <t>BC1004</t>
  </si>
  <si>
    <t>Introdução à Neurociência Computacional</t>
  </si>
  <si>
    <t>NH3204</t>
  </si>
  <si>
    <t>Introdução a Processos Industriais Biotecnológicos</t>
  </si>
  <si>
    <t>CS2116</t>
  </si>
  <si>
    <t>Introdução ao Direito Administrativo</t>
  </si>
  <si>
    <t>BH1125</t>
  </si>
  <si>
    <t>Introdução ao Direito Constitucional</t>
  </si>
  <si>
    <t>BH1228</t>
  </si>
  <si>
    <t>EN2717</t>
  </si>
  <si>
    <t>Introdução aos Processos de Fabricação</t>
  </si>
  <si>
    <t>EN2536</t>
  </si>
  <si>
    <t>BC1710</t>
  </si>
  <si>
    <t>Introdução às Engenharias</t>
  </si>
  <si>
    <t>BC0405</t>
  </si>
  <si>
    <t>Funções de uma Variável</t>
  </si>
  <si>
    <t>BH1100</t>
  </si>
  <si>
    <t>Introdução às Políticas Públicas</t>
  </si>
  <si>
    <t>BC1312</t>
  </si>
  <si>
    <t>Laboratório de Física Básica I</t>
  </si>
  <si>
    <t>Fenômenos Mecânicos; Fenômenos Térmicos; Física do Continuo; Função de uma Variável; Funções de Várias Variáveis; Álgebra Linear</t>
  </si>
  <si>
    <t>BC1314</t>
  </si>
  <si>
    <t>Laboratório de Física Básica II</t>
  </si>
  <si>
    <t>Laboratório de Física Médica</t>
  </si>
  <si>
    <t>NH2704</t>
  </si>
  <si>
    <t>Laboratório de Física Moderna</t>
  </si>
  <si>
    <t>EN2231</t>
  </si>
  <si>
    <t>NH2230</t>
  </si>
  <si>
    <t>Laboratório de Propriedades Físicas de Materiais</t>
  </si>
  <si>
    <t>Sistemas Operacionais</t>
  </si>
  <si>
    <t>NH2039</t>
  </si>
  <si>
    <t>Lasers e Óptica Moderna</t>
  </si>
  <si>
    <t>EN2323</t>
  </si>
  <si>
    <t>BC1310</t>
  </si>
  <si>
    <t>Ligações Químicas</t>
  </si>
  <si>
    <t>MC3106</t>
  </si>
  <si>
    <t>Linguagens Formais e Autômata</t>
  </si>
  <si>
    <t>BC1426</t>
  </si>
  <si>
    <t>Lógica Básica</t>
  </si>
  <si>
    <t>Bases Epistemológicas da Ciência Moderna; Funções de uma Variável</t>
  </si>
  <si>
    <t>EN3723</t>
  </si>
  <si>
    <t>Lógica Programável</t>
  </si>
  <si>
    <t>BH1132</t>
  </si>
  <si>
    <t>Macroeconomia I</t>
  </si>
  <si>
    <t>Introduçâo à Economia</t>
  </si>
  <si>
    <t>BH1134</t>
  </si>
  <si>
    <t>EN3239</t>
  </si>
  <si>
    <t>Termodinâmica Aplicada I; Mecânica dos Fluidos Avançada</t>
  </si>
  <si>
    <t>EN2711</t>
  </si>
  <si>
    <t>BC1437</t>
  </si>
  <si>
    <t>Matemática Discreta</t>
  </si>
  <si>
    <t>Funções de Uma Variável</t>
  </si>
  <si>
    <t>EN2813</t>
  </si>
  <si>
    <t>EN2814</t>
  </si>
  <si>
    <t>Materiais Compósitos</t>
  </si>
  <si>
    <t>EN2230</t>
  </si>
  <si>
    <t>BC1105</t>
  </si>
  <si>
    <t>Materiais e Suas Propriedades</t>
  </si>
  <si>
    <t>EN2811</t>
  </si>
  <si>
    <t>EN3828</t>
  </si>
  <si>
    <t>Materiais Nanoestruturados</t>
  </si>
  <si>
    <t>Nanociência e Nanotecnologia; Química Orgânica de Materiais e Biomateriais</t>
  </si>
  <si>
    <t>EN3825</t>
  </si>
  <si>
    <t>Materiais para Energia e Ambiente</t>
  </si>
  <si>
    <t>Propriedades Elétricas, Magnéticas e Ópticas; Propriedades Mecânicas e Térmicas</t>
  </si>
  <si>
    <t>EN3826</t>
  </si>
  <si>
    <t>Materiais para Tecnologia da Informação</t>
  </si>
  <si>
    <t>EN2812</t>
  </si>
  <si>
    <t>Materiais Poliméricos</t>
  </si>
  <si>
    <t>EN3819</t>
  </si>
  <si>
    <t>Matérias Primas Cerâmicas</t>
  </si>
  <si>
    <t>NH2803</t>
  </si>
  <si>
    <t>Mecânica Analítica I</t>
  </si>
  <si>
    <t>Introdução às Equações Diferenciais Ordinárias; Funções de Várias Variáveis</t>
  </si>
  <si>
    <t>NH2903</t>
  </si>
  <si>
    <t>Mecânica Analítica II</t>
  </si>
  <si>
    <t>NH2703</t>
  </si>
  <si>
    <t>Mecânica Clássica</t>
  </si>
  <si>
    <t>BC1103</t>
  </si>
  <si>
    <t>EN2412</t>
  </si>
  <si>
    <t>Mecânica dos Fluidos II</t>
  </si>
  <si>
    <t>BC1104</t>
  </si>
  <si>
    <t>Funções de Uma Variável; Fenômenos Mecânicos</t>
  </si>
  <si>
    <t>NH2902</t>
  </si>
  <si>
    <t>Mecânica Estatística</t>
  </si>
  <si>
    <t>NH4297</t>
  </si>
  <si>
    <t>Mecânica Geral</t>
  </si>
  <si>
    <t>NH2805</t>
  </si>
  <si>
    <t>Mecânica Quântica</t>
  </si>
  <si>
    <t>NH2901</t>
  </si>
  <si>
    <t>Mecânica Quântica Avançada</t>
  </si>
  <si>
    <t>NH3701</t>
  </si>
  <si>
    <t>Mecanismos de Reações Orgânicas</t>
  </si>
  <si>
    <t>CS2115</t>
  </si>
  <si>
    <t>Meio Ambiente e Políticas Públicas</t>
  </si>
  <si>
    <t>EN3821</t>
  </si>
  <si>
    <t>Metalurgia Física</t>
  </si>
  <si>
    <t>BH1403</t>
  </si>
  <si>
    <t>Metodologia</t>
  </si>
  <si>
    <t>EN2224</t>
  </si>
  <si>
    <t>Cálculo Numérico; Técnicas de Análise Estrutural e Projeto</t>
  </si>
  <si>
    <t>NH2030</t>
  </si>
  <si>
    <t>Métodos da Mecânica Quântica</t>
  </si>
  <si>
    <t>NH3103</t>
  </si>
  <si>
    <t>Métodos de Análise em Química Orgânica</t>
  </si>
  <si>
    <t>EN2327</t>
  </si>
  <si>
    <t>MC4001</t>
  </si>
  <si>
    <t>Métodos de Otimização</t>
  </si>
  <si>
    <t>Programação Matemática</t>
  </si>
  <si>
    <t>BH1349</t>
  </si>
  <si>
    <t>Métodos de Planejamento</t>
  </si>
  <si>
    <t>EN3109</t>
  </si>
  <si>
    <t>Métodos de Tomada de Decisão Aplicados ao Planejamento Urbano-Ambiental</t>
  </si>
  <si>
    <t>Métodos Quantitativos para Planejamento Estratégico</t>
  </si>
  <si>
    <t>BH1350</t>
  </si>
  <si>
    <t>Métodos e Técnicas de Análise de Informação para o Planejamento</t>
  </si>
  <si>
    <t>BC1707</t>
  </si>
  <si>
    <t>Métodos Experimentais em Engenharia</t>
  </si>
  <si>
    <t>Circuitos Elétricos e Fotônica; Mecânica dos Fluidos I</t>
  </si>
  <si>
    <t>EN2318</t>
  </si>
  <si>
    <t>EN3110</t>
  </si>
  <si>
    <t>Métodos Experimentais em Engenharia; Cartografia e Geoprocessamento</t>
  </si>
  <si>
    <t>MC2203</t>
  </si>
  <si>
    <t>Métodos Variacionais</t>
  </si>
  <si>
    <t>Cálculo Vetorial e Tensorial; Álgebra Linear</t>
  </si>
  <si>
    <t>Qualidade em Sistemas</t>
  </si>
  <si>
    <t>EN2105</t>
  </si>
  <si>
    <t>Microbiologia Ambiental</t>
  </si>
  <si>
    <t>Transformações Químicas; Transformações Bioquímicas; Transformações nos Seres Vivos e Ambiente</t>
  </si>
  <si>
    <t>BC1606</t>
  </si>
  <si>
    <t>Microbiologia I</t>
  </si>
  <si>
    <t>Transformações dos Seres Vivos e Ambiente; Biologia Celular; Bioquímica Funcional</t>
  </si>
  <si>
    <t>BH1130</t>
  </si>
  <si>
    <t>Microeconomia I</t>
  </si>
  <si>
    <t>BH1133</t>
  </si>
  <si>
    <t>NH2332</t>
  </si>
  <si>
    <t>Microscopia Eletrônica</t>
  </si>
  <si>
    <t>BC1409</t>
  </si>
  <si>
    <t>Modelagem de Sistemas Biológicos</t>
  </si>
  <si>
    <t>EN2322</t>
  </si>
  <si>
    <t>EN3514</t>
  </si>
  <si>
    <t>MC2109</t>
  </si>
  <si>
    <t>Módulos</t>
  </si>
  <si>
    <t>Grupos; Anéis e Corpos</t>
  </si>
  <si>
    <t>NH4906</t>
  </si>
  <si>
    <t>Morfofisiologia Evolutiva</t>
  </si>
  <si>
    <t>Biologia Animal I; Biologia Animal II; Biologia Animal III; Evolução</t>
  </si>
  <si>
    <t>Termodinâmica Aplicada II</t>
  </si>
  <si>
    <t>EN3802</t>
  </si>
  <si>
    <t>Nanociência e Nanotecnologia</t>
  </si>
  <si>
    <t>Física Quântica; Ciência dos Materiais</t>
  </si>
  <si>
    <t>EN3829</t>
  </si>
  <si>
    <t>Nanocompósitos</t>
  </si>
  <si>
    <t>Nanociência e Nanotecnologia; Materiais Compósitos</t>
  </si>
  <si>
    <t>BC1613</t>
  </si>
  <si>
    <t>Nascimento e Desenvolvimento da Ciência Moderna</t>
  </si>
  <si>
    <t>BC0504</t>
  </si>
  <si>
    <t>Natureza da Informação</t>
  </si>
  <si>
    <t>MC8104</t>
  </si>
  <si>
    <t>Neuroanatomia</t>
  </si>
  <si>
    <t>Introdução à Neurociência, Sistemas Biológicos IV</t>
  </si>
  <si>
    <t>MC8200</t>
  </si>
  <si>
    <t>Neurobiologia do Comportamento</t>
  </si>
  <si>
    <t>MC8101</t>
  </si>
  <si>
    <t>Neurobiologia Molecular e Celular</t>
  </si>
  <si>
    <t>Introdução à neurociência e/ou Sistemas biológicos IV</t>
  </si>
  <si>
    <t>BC1306</t>
  </si>
  <si>
    <t>Noções de Astronomia e Cosmologia</t>
  </si>
  <si>
    <t>BH1354</t>
  </si>
  <si>
    <t>Oficina de Planejamento Macro e Meso Regional</t>
  </si>
  <si>
    <t>Planejamento e Política Ambiental; Planejamento e Política Regional</t>
  </si>
  <si>
    <t>EN2613</t>
  </si>
  <si>
    <t>Ondas Eletromagnéticas Aplicadas</t>
  </si>
  <si>
    <t>EN2409</t>
  </si>
  <si>
    <t>Operação de Sistemas Elétricos de Potência</t>
  </si>
  <si>
    <t>Transferência de Massa</t>
  </si>
  <si>
    <t>NH3001</t>
  </si>
  <si>
    <t>Operações Unitárias I</t>
  </si>
  <si>
    <t>NH3106</t>
  </si>
  <si>
    <t>Operações Unitárias II</t>
  </si>
  <si>
    <t>BC1219</t>
  </si>
  <si>
    <t>Óptica</t>
  </si>
  <si>
    <t>EN3717</t>
  </si>
  <si>
    <t>Optoeletrônica</t>
  </si>
  <si>
    <t>EN2530</t>
  </si>
  <si>
    <t>BC0304</t>
  </si>
  <si>
    <t>MC3308</t>
  </si>
  <si>
    <t>Paradigmas de Programação</t>
  </si>
  <si>
    <t>Programação Orientada a Objetos; Lógica Básica</t>
  </si>
  <si>
    <t>NH1012</t>
  </si>
  <si>
    <t>Parasitologia</t>
  </si>
  <si>
    <t>Biologia Animal I; Biologia Animal II</t>
  </si>
  <si>
    <t>MC8001</t>
  </si>
  <si>
    <t>Patologias do Sistema Nervoso Central</t>
  </si>
  <si>
    <t>BH0202</t>
  </si>
  <si>
    <t>Pensamento Crítico</t>
  </si>
  <si>
    <t>BH0103</t>
  </si>
  <si>
    <t>Pensamento Econômico</t>
  </si>
  <si>
    <t>MC8300</t>
  </si>
  <si>
    <t>Pesquisa e Comunicação Científica</t>
  </si>
  <si>
    <t>NH5132</t>
  </si>
  <si>
    <t>Pesquisa em Filosofia</t>
  </si>
  <si>
    <t>EN2531</t>
  </si>
  <si>
    <t>Tempos, Métodos e Arranjos Físicos</t>
  </si>
  <si>
    <t>BH1356</t>
  </si>
  <si>
    <t>Planejamento e Política Ambiental</t>
  </si>
  <si>
    <t>Estudos do Meio Físico; Transformações Nos Seres Vivos e Ambiente; Regulação Urbanística e Ambiental</t>
  </si>
  <si>
    <t>BH1357</t>
  </si>
  <si>
    <t>Planejamento e Política Regional</t>
  </si>
  <si>
    <t>BH1358</t>
  </si>
  <si>
    <t>Planejamento e Política Rural</t>
  </si>
  <si>
    <t>EN2124</t>
  </si>
  <si>
    <t>Planejamento Urbano e Metropolitano</t>
  </si>
  <si>
    <t>Teoria do Planejamento Urbano e Ambiental</t>
  </si>
  <si>
    <t>BH1360</t>
  </si>
  <si>
    <t>Política Urbana</t>
  </si>
  <si>
    <t>BC1624</t>
  </si>
  <si>
    <t>Políticas Educacionais</t>
  </si>
  <si>
    <t>CS2119</t>
  </si>
  <si>
    <t>Políticas Públicas Sul-Americanas</t>
  </si>
  <si>
    <t>EN2115</t>
  </si>
  <si>
    <t>Poluição Atmosférica</t>
  </si>
  <si>
    <t>BH1224</t>
  </si>
  <si>
    <t>Prática de Ensino de Filosofia III</t>
  </si>
  <si>
    <t>Prática de Ensino de Filosofia I e II</t>
  </si>
  <si>
    <t>BH1225</t>
  </si>
  <si>
    <t>Prática de Ensino de Filosofia IV</t>
  </si>
  <si>
    <t>Prática de Ensino de Filosofia I, II e III</t>
  </si>
  <si>
    <t>BH1226</t>
  </si>
  <si>
    <t>Prática de Ensino de Filosofia V</t>
  </si>
  <si>
    <t>Prática de Ensino de Filosofia I, II, III e IV</t>
  </si>
  <si>
    <t>NH4304</t>
  </si>
  <si>
    <t>Práticas de Ciências no Ensino Fundamental</t>
  </si>
  <si>
    <t>BC1305</t>
  </si>
  <si>
    <t>Práticas de Ecologia</t>
  </si>
  <si>
    <t>NH4101</t>
  </si>
  <si>
    <t>Práticas de Ensino de Biologia I</t>
  </si>
  <si>
    <t>NH4201</t>
  </si>
  <si>
    <t>Práticas de Ensino de Biologia II</t>
  </si>
  <si>
    <t>NH4301</t>
  </si>
  <si>
    <t>Práticas de Ensino de Biologia III</t>
  </si>
  <si>
    <t>BC1625</t>
  </si>
  <si>
    <t>Práticas de Ensino de Ciências e Matemática no Ensino Fundamental</t>
  </si>
  <si>
    <t>NH4102</t>
  </si>
  <si>
    <t>Práticas de Ensino de Física I</t>
  </si>
  <si>
    <t>NH4202</t>
  </si>
  <si>
    <t>Práticas de Ensino de Física II</t>
  </si>
  <si>
    <t>NH4302</t>
  </si>
  <si>
    <t>Práticas de Ensino de Física III</t>
  </si>
  <si>
    <t>MC8105</t>
  </si>
  <si>
    <t>Práticas de Ensino de Matemática I</t>
  </si>
  <si>
    <t>MC8206</t>
  </si>
  <si>
    <t>Práticas de Ensino de Matemática II</t>
  </si>
  <si>
    <t>MC8307</t>
  </si>
  <si>
    <t>Práticas de Ensino de Matemática III</t>
  </si>
  <si>
    <t>MC8308</t>
  </si>
  <si>
    <t>Práticas de Ensino de Matemática no Ensino Fundamental</t>
  </si>
  <si>
    <t>NH4103</t>
  </si>
  <si>
    <t>Práticas de Ensino de Química I</t>
  </si>
  <si>
    <t>NH4203</t>
  </si>
  <si>
    <t>Práticas de Ensino de Química II</t>
  </si>
  <si>
    <t>NH4303</t>
  </si>
  <si>
    <t>Práticas de Ensino de Química III</t>
  </si>
  <si>
    <t>NH3104</t>
  </si>
  <si>
    <t>Práticas de Química Verde</t>
  </si>
  <si>
    <t>EN2608</t>
  </si>
  <si>
    <t>Princípios de Comunicação</t>
  </si>
  <si>
    <t>Transformadas em Sinais e Sistemas Lineares</t>
  </si>
  <si>
    <t>EN2326</t>
  </si>
  <si>
    <t>Princípios de Ética em Serviços de Saúde</t>
  </si>
  <si>
    <t>EN2332</t>
  </si>
  <si>
    <t>Princípios de Imagens Médicas</t>
  </si>
  <si>
    <t>NH4399</t>
  </si>
  <si>
    <t>Princípios de Mecânica Quântica</t>
  </si>
  <si>
    <t>BC1330</t>
  </si>
  <si>
    <t>Princípios de Termodinâmica</t>
  </si>
  <si>
    <t>EN2333</t>
  </si>
  <si>
    <t>MC1202</t>
  </si>
  <si>
    <t>Probabilidade</t>
  </si>
  <si>
    <t>Teoria da Medida e Integração; Introdução à Probabilidade e à Estatística</t>
  </si>
  <si>
    <t>BH1220</t>
  </si>
  <si>
    <t>Problemas Metafísicos: Perspectivas Contemporâneas</t>
  </si>
  <si>
    <t>BH1219</t>
  </si>
  <si>
    <t>Problemas Metafísicos: Perspectivas Modernas</t>
  </si>
  <si>
    <t>BH0203</t>
  </si>
  <si>
    <t>Problemas Metodológicos das Ciências Sociais</t>
  </si>
  <si>
    <t>EN3727</t>
  </si>
  <si>
    <t>Processadores Digitais em Controle e Automação</t>
  </si>
  <si>
    <t>BC0505</t>
  </si>
  <si>
    <t>Bases Computacionais da Ciência; Natureza da Informação</t>
  </si>
  <si>
    <t>EN3818</t>
  </si>
  <si>
    <t>Processamento de Cerâmicas</t>
  </si>
  <si>
    <t>MC8103</t>
  </si>
  <si>
    <t>Processamento de Sinais Neurais</t>
  </si>
  <si>
    <t>EN3612</t>
  </si>
  <si>
    <t>Processamento de Vídeo</t>
  </si>
  <si>
    <t>Comunicações Multimídia; Processamento Digital de Sinais</t>
  </si>
  <si>
    <t>EN2610</t>
  </si>
  <si>
    <t>EN3326</t>
  </si>
  <si>
    <t>EN3325</t>
  </si>
  <si>
    <t>EN3824</t>
  </si>
  <si>
    <t>Processamento e Conformação de Metais</t>
  </si>
  <si>
    <t>EN3537</t>
  </si>
  <si>
    <t>MC2301</t>
  </si>
  <si>
    <t>Processos Estocásticos</t>
  </si>
  <si>
    <t>Introdução à Probabilidade e à Estatística; Análise Real I</t>
  </si>
  <si>
    <t>BC1440</t>
  </si>
  <si>
    <t>Processos Industriais Orgânicos e Inorgânicos</t>
  </si>
  <si>
    <t>EN2622</t>
  </si>
  <si>
    <t>Programação de Software Embarcado</t>
  </si>
  <si>
    <t>BC1432</t>
  </si>
  <si>
    <t>BC1501</t>
  </si>
  <si>
    <t>MC7007</t>
  </si>
  <si>
    <t>Progressos e Métodos em Neurociência</t>
  </si>
  <si>
    <t>EN2225</t>
  </si>
  <si>
    <t>Técnicas de Análise Estrutural e Projeto</t>
  </si>
  <si>
    <t>Projeto de Filtros Digitais</t>
  </si>
  <si>
    <t>MC3104</t>
  </si>
  <si>
    <t>Projeto de Graduação em Computação I</t>
  </si>
  <si>
    <t>MC7108</t>
  </si>
  <si>
    <t>Projeto de Graduação em Computação II</t>
  </si>
  <si>
    <t>MC7109</t>
  </si>
  <si>
    <t>Projeto de Graduação em Computação III</t>
  </si>
  <si>
    <t>EN3715</t>
  </si>
  <si>
    <t>Projeto de Microdispositivos para Instrumentação</t>
  </si>
  <si>
    <t>Fundamentos de Eletrônica</t>
  </si>
  <si>
    <t>Princípios de Comunicação; Comunicação Digital</t>
  </si>
  <si>
    <t>BC0002</t>
  </si>
  <si>
    <t>Projeto Dirigido</t>
  </si>
  <si>
    <t>EN2615</t>
  </si>
  <si>
    <t>Propagação e Antenas</t>
  </si>
  <si>
    <t>EN2513</t>
  </si>
  <si>
    <t>EN2817</t>
  </si>
  <si>
    <t>EN2816</t>
  </si>
  <si>
    <t>Propriedades Mecânicas e Térmicas</t>
  </si>
  <si>
    <t>Fenômenos Térmicos; Ciência dos Materiais</t>
  </si>
  <si>
    <t>MC7006</t>
  </si>
  <si>
    <t>Psicofarmacologia</t>
  </si>
  <si>
    <t>BC1006</t>
  </si>
  <si>
    <t>Psicologia Cognitiva</t>
  </si>
  <si>
    <t>MC8100</t>
  </si>
  <si>
    <t>Psicologia Experimental</t>
  </si>
  <si>
    <t>EN2516</t>
  </si>
  <si>
    <t>NH3812</t>
  </si>
  <si>
    <t>Química Ambiental</t>
  </si>
  <si>
    <t>Química Analítica Clássica I</t>
  </si>
  <si>
    <t>Química Analítica Clássica II</t>
  </si>
  <si>
    <t>Química Analítica Instrumental</t>
  </si>
  <si>
    <t>NH3904</t>
  </si>
  <si>
    <t>Química de Coordenação</t>
  </si>
  <si>
    <t>BC1302</t>
  </si>
  <si>
    <t>Química dos Elementos</t>
  </si>
  <si>
    <t>NH3005</t>
  </si>
  <si>
    <t>Química dos Materiais</t>
  </si>
  <si>
    <t>NH3002</t>
  </si>
  <si>
    <t>Química Forense</t>
  </si>
  <si>
    <t>NH3902</t>
  </si>
  <si>
    <t>Química Orgânica Aplicada</t>
  </si>
  <si>
    <t>NH3801</t>
  </si>
  <si>
    <t>Química Orgânica Experimental</t>
  </si>
  <si>
    <t>NH2222</t>
  </si>
  <si>
    <t>Radiações Eletromagnéticas</t>
  </si>
  <si>
    <t>EN3805</t>
  </si>
  <si>
    <t>Reciclagem e Ambiente</t>
  </si>
  <si>
    <t>EN3608</t>
  </si>
  <si>
    <t>Redes de Alta Velocidade</t>
  </si>
  <si>
    <t>BC1513</t>
  </si>
  <si>
    <t>EN2131</t>
  </si>
  <si>
    <t>Regulação Ambiental e Urbana</t>
  </si>
  <si>
    <t>BH1361</t>
  </si>
  <si>
    <t>Regulação Urbanística e Ambiental</t>
  </si>
  <si>
    <t>Relações Internacionais e Globalização</t>
  </si>
  <si>
    <t>EN2822</t>
  </si>
  <si>
    <t>Reologia I</t>
  </si>
  <si>
    <t>EN2139</t>
  </si>
  <si>
    <t>Resíduos Sólidos</t>
  </si>
  <si>
    <t>Microbiologia Ambiental; Fundamentos de Geologia para Engenharia</t>
  </si>
  <si>
    <t>EN3704</t>
  </si>
  <si>
    <t>Robôs Móveis Autônomos</t>
  </si>
  <si>
    <t>EN2126</t>
  </si>
  <si>
    <t>Saúde Ambiental</t>
  </si>
  <si>
    <t>BC1523</t>
  </si>
  <si>
    <t>Segurança de Dados</t>
  </si>
  <si>
    <t>BH1339</t>
  </si>
  <si>
    <t>Segurança Internacional em Perspectiva Histórica e Desafios Contemporâneos</t>
  </si>
  <si>
    <t>EN2819</t>
  </si>
  <si>
    <t>Seleção de Materiais</t>
  </si>
  <si>
    <t>Materiais Poliméricos; Materiais Cerâmicos; Materiais Metálicos</t>
  </si>
  <si>
    <t>EN3801</t>
  </si>
  <si>
    <t>Seminários em Materiais Avançados</t>
  </si>
  <si>
    <t>Materiais e suas Propriedades; Ciência dos Materiais</t>
  </si>
  <si>
    <t>NH3105</t>
  </si>
  <si>
    <t>Seminários em Química I</t>
  </si>
  <si>
    <t>NH3205</t>
  </si>
  <si>
    <t>Seminários em Química II</t>
  </si>
  <si>
    <t>Sensação e Percepção</t>
  </si>
  <si>
    <t>EN2712</t>
  </si>
  <si>
    <t>Sensores e Transdutores</t>
  </si>
  <si>
    <t>BC1407</t>
  </si>
  <si>
    <t>Introdução às Equações Diferenciais</t>
  </si>
  <si>
    <t>EN3706</t>
  </si>
  <si>
    <t>Servo-Sistema para Robôs e Acionamento para Sistemas Mecatrônicos</t>
  </si>
  <si>
    <t>EN3823</t>
  </si>
  <si>
    <t>Siderurgia e Engenharia dos Aços</t>
  </si>
  <si>
    <t>EN3525</t>
  </si>
  <si>
    <t>Simulação de Modelos de Gestão</t>
  </si>
  <si>
    <t>EN3615</t>
  </si>
  <si>
    <t>Simulação de Sistemas de Comunicação</t>
  </si>
  <si>
    <t>EN3816</t>
  </si>
  <si>
    <t>Simulação e Processamento de Polímeros</t>
  </si>
  <si>
    <t>Tópicos Computacionais em Materiais; Materiais Poliméricos; Reologia I</t>
  </si>
  <si>
    <t>EN2609</t>
  </si>
  <si>
    <t>Sinais Aleatórios</t>
  </si>
  <si>
    <t>EN3815</t>
  </si>
  <si>
    <t>Síntese de Polímeros</t>
  </si>
  <si>
    <t>BH1154</t>
  </si>
  <si>
    <t>Sistema Financeiro Internacional: de Bretton Woods ao Non-Sistema</t>
  </si>
  <si>
    <t>Introdução à Economia</t>
  </si>
  <si>
    <t>BH1340</t>
  </si>
  <si>
    <t>Sistema ONU e os Desafios do Multilateralismo</t>
  </si>
  <si>
    <t>BC1321</t>
  </si>
  <si>
    <t>Sistemas Biológicos I</t>
  </si>
  <si>
    <t>BC1322</t>
  </si>
  <si>
    <t>Sistemas Biológicos II</t>
  </si>
  <si>
    <t>BC1325</t>
  </si>
  <si>
    <t>Sistemas Biológicos IV</t>
  </si>
  <si>
    <t>EN2716</t>
  </si>
  <si>
    <t>EN2117</t>
  </si>
  <si>
    <t>Sistemas de Abastecimento de Águas</t>
  </si>
  <si>
    <t>EN2704</t>
  </si>
  <si>
    <t>EN2710</t>
  </si>
  <si>
    <t>EN3708</t>
  </si>
  <si>
    <t>Sistemas de Controle III</t>
  </si>
  <si>
    <t>EN2138</t>
  </si>
  <si>
    <t>Sistemas de Esgotos e Drenagem Urbana</t>
  </si>
  <si>
    <t>Hidrologia; Hidráulica</t>
  </si>
  <si>
    <t>EN2227</t>
  </si>
  <si>
    <t>Mecânica dos Fluidos Avançada; Máquinas de Fluxo</t>
  </si>
  <si>
    <t>EN2140</t>
  </si>
  <si>
    <t>Sistemas de Tratamento de Águas e Efluentes</t>
  </si>
  <si>
    <t>Microbiologia Ambiental; Hidráulica</t>
  </si>
  <si>
    <t>MC3304</t>
  </si>
  <si>
    <t>Sistemas Digitais</t>
  </si>
  <si>
    <t>MC3105</t>
  </si>
  <si>
    <t>Sistemas Distribuídos</t>
  </si>
  <si>
    <t>EN2537</t>
  </si>
  <si>
    <t>Sistemas e Processos de Produção</t>
  </si>
  <si>
    <t>EN2519</t>
  </si>
  <si>
    <t>Sistemas Integrados de Gestão da Qualidade Ambiental, Segurança e Saúde</t>
  </si>
  <si>
    <t>EN2617</t>
  </si>
  <si>
    <t>Sistemas Microprocessados</t>
  </si>
  <si>
    <t>BC1518</t>
  </si>
  <si>
    <t>NH1602</t>
  </si>
  <si>
    <t>BH1362</t>
  </si>
  <si>
    <t>Sociologia dos Territórios</t>
  </si>
  <si>
    <t>Supervisão e Monitoramento de Processos Energéticos</t>
  </si>
  <si>
    <t>NH3003</t>
  </si>
  <si>
    <t>Técnicas Aplicadas a Processos Biotecnológicos</t>
  </si>
  <si>
    <t>EN2233</t>
  </si>
  <si>
    <t>EN3548</t>
  </si>
  <si>
    <t>BH1406</t>
  </si>
  <si>
    <t>Técnicas em Pesquisa</t>
  </si>
  <si>
    <t>EN3812</t>
  </si>
  <si>
    <t>Tecnologia de Elastômeros</t>
  </si>
  <si>
    <t>Materiais Poliméricos; Química Orgânica de Materiais e Biomateriais</t>
  </si>
  <si>
    <t>NH2041</t>
  </si>
  <si>
    <t>Tecnologia do Vácuo e Criogenia</t>
  </si>
  <si>
    <t>EN2619</t>
  </si>
  <si>
    <t>Telefonia Fixa Moderna</t>
  </si>
  <si>
    <t>Redes de Computadores; Princípios de Comunicação</t>
  </si>
  <si>
    <t>CS2123</t>
  </si>
  <si>
    <t>Temas Contemporâneos</t>
  </si>
  <si>
    <t>NH5133</t>
  </si>
  <si>
    <t>Temas da Filosofia Antiga</t>
  </si>
  <si>
    <t>NH5136</t>
  </si>
  <si>
    <t>Temas da Filosofia Contemporânea</t>
  </si>
  <si>
    <t>NH5135</t>
  </si>
  <si>
    <t>Temas da Filosofia Moderna</t>
  </si>
  <si>
    <t>Bases Epistemológicas da Ciência Moderna, Pensamento Crítico, Lógica, Filosofia da Lógica.</t>
  </si>
  <si>
    <t>BH0201</t>
  </si>
  <si>
    <t>Temas e Problemas em Filosofia</t>
  </si>
  <si>
    <t>EN2508</t>
  </si>
  <si>
    <t>MC8209</t>
  </si>
  <si>
    <t>Tendências em Educação Matemática</t>
  </si>
  <si>
    <t>BC1405</t>
  </si>
  <si>
    <t>NH2022</t>
  </si>
  <si>
    <t>Teoria Clássica dos Campos</t>
  </si>
  <si>
    <t>EN3213</t>
  </si>
  <si>
    <t>Teoria da Elasticidade</t>
  </si>
  <si>
    <t>EN2612</t>
  </si>
  <si>
    <t>Teoria da Informação e Códigos</t>
  </si>
  <si>
    <t>MC1104</t>
  </si>
  <si>
    <t>Teoria da Medida e Integração</t>
  </si>
  <si>
    <t>BC1220</t>
  </si>
  <si>
    <t>Teoria da Relatividade</t>
  </si>
  <si>
    <t>MC1308</t>
  </si>
  <si>
    <t>Teoria das Distribuições</t>
  </si>
  <si>
    <t>EN3721</t>
  </si>
  <si>
    <t>Teoria de Controle Ótimo</t>
  </si>
  <si>
    <t>NH2040</t>
  </si>
  <si>
    <t>Teoria de Grupos em Física</t>
  </si>
  <si>
    <t>BH1217</t>
  </si>
  <si>
    <t>Teoria do Conhecimento: A Epistemologia Contemporânea</t>
  </si>
  <si>
    <t>BH1215</t>
  </si>
  <si>
    <t>Teoria do Conhecimento: Empirismo versus Racionalismo</t>
  </si>
  <si>
    <t>EN2102</t>
  </si>
  <si>
    <t>BC1429</t>
  </si>
  <si>
    <t>Teoria dos Grafos</t>
  </si>
  <si>
    <t>BH1156</t>
  </si>
  <si>
    <t>Teorias Contemporâneas de RI</t>
  </si>
  <si>
    <t>BH0206</t>
  </si>
  <si>
    <t>Teorias da Justiça</t>
  </si>
  <si>
    <t>BC1309</t>
  </si>
  <si>
    <t>Termodinâmica Aplicada</t>
  </si>
  <si>
    <t>Termodinâmica Aplicada I</t>
  </si>
  <si>
    <t>EN2815</t>
  </si>
  <si>
    <t>Termodinâmica Estatística de Materiais</t>
  </si>
  <si>
    <t>Fenômenos Térmicos; Termodinâmica Aplicada I</t>
  </si>
  <si>
    <t>NH3602</t>
  </si>
  <si>
    <t>Termoquímica</t>
  </si>
  <si>
    <t>BH0301</t>
  </si>
  <si>
    <t>Território e Sociedade</t>
  </si>
  <si>
    <t>EN2809</t>
  </si>
  <si>
    <t>Cálculo Numérico; Materiais e Suas Propriedades</t>
  </si>
  <si>
    <t>EN2821</t>
  </si>
  <si>
    <t>Tópicos Experimentais em Materiais I</t>
  </si>
  <si>
    <t>MC2106</t>
  </si>
  <si>
    <t>Topologia II</t>
  </si>
  <si>
    <t>Topologia I; Grupos</t>
  </si>
  <si>
    <t>NH1016</t>
  </si>
  <si>
    <t>Toxicologia</t>
  </si>
  <si>
    <t>CS1101</t>
  </si>
  <si>
    <t>Trabalho de Conclusão de Curso de Políticas Públicas I</t>
  </si>
  <si>
    <t>CS1102</t>
  </si>
  <si>
    <t>Trabalho de Conclusão de Curso de Políticas Públicas II</t>
  </si>
  <si>
    <t>NH1017</t>
  </si>
  <si>
    <t>Trabalho de Conclusão de Curso em Biologia</t>
  </si>
  <si>
    <t>Conclusão do BC&amp;T; disciplinas obrigatórias do curso</t>
  </si>
  <si>
    <t>NH2000</t>
  </si>
  <si>
    <t>Trabalho de Conclusão de Curso em Física</t>
  </si>
  <si>
    <t>MC2110</t>
  </si>
  <si>
    <t>Trabalho de Conclusão de Curso em Matemática I</t>
  </si>
  <si>
    <t>MC2111</t>
  </si>
  <si>
    <t>Trabalho de Conclusão de Curso em Matemática II</t>
  </si>
  <si>
    <t>NH3201</t>
  </si>
  <si>
    <t>Trabalho de Conclusão de Curso em Química</t>
  </si>
  <si>
    <t>EN1103</t>
  </si>
  <si>
    <t>Trabalho de Graduação I em Engenharia Ambiental e Urbana</t>
  </si>
  <si>
    <t>EN1303</t>
  </si>
  <si>
    <t>Trabalho de Graduação I em Engenharia Biomédica</t>
  </si>
  <si>
    <t>EN1104</t>
  </si>
  <si>
    <t>Trabalho de Graduação II em Engenharia Ambiental e Urbana</t>
  </si>
  <si>
    <t>EN1304</t>
  </si>
  <si>
    <t>Trabalho de Graduação II em Engenharia Biomédica</t>
  </si>
  <si>
    <t>EN1105</t>
  </si>
  <si>
    <t>Trabalho de Graduação III em Engenharia Ambiental e Urbana</t>
  </si>
  <si>
    <t>EN1305</t>
  </si>
  <si>
    <t>Trabalho de Graduação III em Engenharia Biomédica</t>
  </si>
  <si>
    <t>Transferência de Calor I</t>
  </si>
  <si>
    <t>EN2410</t>
  </si>
  <si>
    <t>Fenômenos Térmicos; Funções de Várias Variáveis</t>
  </si>
  <si>
    <t>EN2411</t>
  </si>
  <si>
    <t>Transferência de Calor II</t>
  </si>
  <si>
    <t>Transferência de Calor I; Mecânica dos Fluidos II</t>
  </si>
  <si>
    <t>EN2103</t>
  </si>
  <si>
    <t>BC0308</t>
  </si>
  <si>
    <t>BC0306</t>
  </si>
  <si>
    <t>BC0307</t>
  </si>
  <si>
    <t>Transformações Químicas</t>
  </si>
  <si>
    <t>BC1509</t>
  </si>
  <si>
    <t>EN2136</t>
  </si>
  <si>
    <t>Transportes e Mobilidade Urbana</t>
  </si>
  <si>
    <t>Unidades de Conservação da Natureza</t>
  </si>
  <si>
    <t>Biomas Brasileiros; Conservação da Biodiversidade</t>
  </si>
  <si>
    <t>EN2221</t>
  </si>
  <si>
    <t>Vibrações</t>
  </si>
  <si>
    <t>Álgebra Linear, Dinâmica I</t>
  </si>
  <si>
    <t>NH1018</t>
  </si>
  <si>
    <t>Virologia</t>
  </si>
  <si>
    <t>Biologia Celular; Microbiologia</t>
  </si>
  <si>
    <t>BC1415</t>
  </si>
  <si>
    <t>BH1227</t>
  </si>
  <si>
    <t>Métodos Quantitativos para Ciências Sociais</t>
  </si>
  <si>
    <t>BC1607</t>
  </si>
  <si>
    <t>LIBRAS</t>
  </si>
  <si>
    <t>BC0402</t>
  </si>
  <si>
    <t>BH1101</t>
  </si>
  <si>
    <t>BH1131</t>
  </si>
  <si>
    <t>CS2104</t>
  </si>
  <si>
    <t>Políticas Sociais</t>
  </si>
  <si>
    <t>BC0406</t>
  </si>
  <si>
    <t>Funções de uma variável</t>
  </si>
  <si>
    <t>BH1346</t>
  </si>
  <si>
    <t>Economia do Território</t>
  </si>
  <si>
    <t>BH1206</t>
  </si>
  <si>
    <t>Filosofia da Linguagem</t>
  </si>
  <si>
    <t>BH1207</t>
  </si>
  <si>
    <t>Filosofia da Lógica</t>
  </si>
  <si>
    <t>Bases Matemáticas, Bases Epistemológicas da Ciência Moderna, Pensamento Crítico, Lógica</t>
  </si>
  <si>
    <t>BC1324</t>
  </si>
  <si>
    <t>Sistemas Biológicos III</t>
  </si>
  <si>
    <t>MC8002</t>
  </si>
  <si>
    <t>Desenvolvimento e Degeneração do Sistema Nervoso</t>
  </si>
  <si>
    <t>BH1122</t>
  </si>
  <si>
    <t>Avaliação e Monitoramento de Políticas Públicas</t>
  </si>
  <si>
    <t>BH1402</t>
  </si>
  <si>
    <t>Trajetórias das Políticas de C.T.I. no Brasil</t>
  </si>
  <si>
    <t>NH4105</t>
  </si>
  <si>
    <t>Educação à Distância e Novas Tecnologias</t>
  </si>
  <si>
    <t>NH4106</t>
  </si>
  <si>
    <t>História da Ciência e Ensino</t>
  </si>
  <si>
    <t>NH4107</t>
  </si>
  <si>
    <t>Questões Atuais no Ensino de Ciências</t>
  </si>
  <si>
    <t>BC1218</t>
  </si>
  <si>
    <t>NH5105</t>
  </si>
  <si>
    <t>CS3401</t>
  </si>
  <si>
    <t>Desenvolvimento humano e pobreza urbana</t>
  </si>
  <si>
    <t>CS3406</t>
  </si>
  <si>
    <t>Informática aplicada ao planejamento territorial</t>
  </si>
  <si>
    <t>CS3411</t>
  </si>
  <si>
    <t>CS3106</t>
  </si>
  <si>
    <t>CS3107</t>
  </si>
  <si>
    <t>CS3111</t>
  </si>
  <si>
    <t>CS4123</t>
  </si>
  <si>
    <t>CS4125</t>
  </si>
  <si>
    <t>CS3101</t>
  </si>
  <si>
    <t>Filosofia da Ciência: o debate Popper-Kuhn e seus desdobramentos</t>
  </si>
  <si>
    <t>NH5112</t>
  </si>
  <si>
    <t>NH5113</t>
  </si>
  <si>
    <t>NH5134</t>
  </si>
  <si>
    <t>NH5138</t>
  </si>
  <si>
    <t>BACHARELADO EM CIÊNCIA E TECNOLOGIA</t>
  </si>
  <si>
    <t>BACHARELADO EM CIÊNCIAS E HUMANIDADES</t>
  </si>
  <si>
    <t>ENGENHARIA AEROESPACIAL</t>
  </si>
  <si>
    <t>ENGENHARIA AMBIENTAL E URBANA</t>
  </si>
  <si>
    <t>BACHARELADO EM CIÊNCIAS BIOLÓGICAS</t>
  </si>
  <si>
    <t>BACHARELADO EM CIÊNCIA DA COMPUTAÇÃO</t>
  </si>
  <si>
    <t>BACHARELADO EM CIÊNCIAS ECONÔMICAS</t>
  </si>
  <si>
    <t>BACHARELADO EM FÍSICA</t>
  </si>
  <si>
    <t>ENGENHARIA BIOMÉDICA</t>
  </si>
  <si>
    <t>BACHARELADO EM MATEMÁTICA</t>
  </si>
  <si>
    <t>BACHARELADO EM NEUROCIÊNCIA</t>
  </si>
  <si>
    <t>BACHARELADO EM POLÍTICAS PÚBLICAS</t>
  </si>
  <si>
    <t>BACHARELADO EM PLANEJAMENTO TERRITORIAL</t>
  </si>
  <si>
    <t>BACHARELADO EM QUÍMICA</t>
  </si>
  <si>
    <t>BACHARELADO EM RELAÇÕES INTERNACIONAIS</t>
  </si>
  <si>
    <t>ENGENHARIA DE MATERIAIS</t>
  </si>
  <si>
    <t>ENGENHARIA DE ENERGIA</t>
  </si>
  <si>
    <t>ENGENHARIA DE GESTÃO</t>
  </si>
  <si>
    <t>ENGENHARIA DE INSTRUMENTAÇÃO, AUTOMAÇÃO E ROBÓTICA</t>
  </si>
  <si>
    <t>ENGENHARIA DE INFORMAÇÃO</t>
  </si>
  <si>
    <t>LICENCIATURA EM CIÊNCIAS BIOLÓGICAS</t>
  </si>
  <si>
    <t>LICENCIATURA EM FILOSOFIA</t>
  </si>
  <si>
    <t>LICENCIATURA EM FÍSICA</t>
  </si>
  <si>
    <t>LICENCIATURA EM MATEMÁTICA</t>
  </si>
  <si>
    <t>LICENCIATURA EM QUÍMICA</t>
  </si>
  <si>
    <t>BACHARELADO EM FILOSOFIA</t>
  </si>
  <si>
    <t>CURSO</t>
  </si>
  <si>
    <t>Ergonomia Cognitiva</t>
  </si>
  <si>
    <t>Neuroarte</t>
  </si>
  <si>
    <t>Tomada de Decisões e Neuroeconomia</t>
  </si>
  <si>
    <t>Análise de séries temporais - tópicos especiais</t>
  </si>
  <si>
    <t>Economia do setor público</t>
  </si>
  <si>
    <t>Economia do trabalho</t>
  </si>
  <si>
    <t>Economia e instituições no Brasil contemporâneo</t>
  </si>
  <si>
    <t>Economia institucional II</t>
  </si>
  <si>
    <t>Finanças II (apreçamento de ativos)</t>
  </si>
  <si>
    <t>Instituições e governança global</t>
  </si>
  <si>
    <t>Monografia I</t>
  </si>
  <si>
    <t>Monografia II</t>
  </si>
  <si>
    <t>Políticas de CT&amp;I no Brasil: arranjos institucionais, mecanismos de incentivo e desafios para o desenvolvimento</t>
  </si>
  <si>
    <t>Regulação e instituições</t>
  </si>
  <si>
    <t>Tópicos avançados em macroeconomia</t>
  </si>
  <si>
    <t>Conflitos no ciberespaço: ativismo e guerra nas redes cibernéticas</t>
  </si>
  <si>
    <t>De Mercosul, Unasul à Celac</t>
  </si>
  <si>
    <t>Desafios do pré-sal e a inserção internacional do Brasil</t>
  </si>
  <si>
    <t>Dinâmica e desafios dos processos migratórios</t>
  </si>
  <si>
    <t>Energia nuclear e relações internacionais</t>
  </si>
  <si>
    <t>Negociações internacionais, propriedade intelectual e transferência tecnológica</t>
  </si>
  <si>
    <t>Regimes de negociação comercial internacional e a estratégia brasileira</t>
  </si>
  <si>
    <t>Regimes de negociação financeira internacional e a estratégia brasileira</t>
  </si>
  <si>
    <t>Trajetória da OPEP e da Agência Internacional de Energia (IEA)</t>
  </si>
  <si>
    <t>Trajetória dos investimentos produtivos no Brasil e do Brasil</t>
  </si>
  <si>
    <t>Disciplinas deixadas de fora deste Catálogo.</t>
  </si>
  <si>
    <t>MOTIVO</t>
  </si>
  <si>
    <t>Possui dois códigos. MC1103 (de acordo com a ProGrad) e MC2103 (de acordo com o CMCC). Não há convalidação.</t>
  </si>
  <si>
    <t>Possui dois códigos. MC2207 (de acordo com a ProGrad) e MC4001 (de acordo com o CMCC). Não há convalidação.</t>
  </si>
  <si>
    <t>Possui dois códigos. MC2115 (de acordo com a ProGrad) e MC2109 (de acordo com o CMCC). Não há convalidação.</t>
  </si>
  <si>
    <t>Não possui código atribuído.</t>
  </si>
  <si>
    <t>ENGENHARIAS</t>
  </si>
  <si>
    <t>ENG</t>
  </si>
  <si>
    <t>Engenharias</t>
  </si>
  <si>
    <t>¬</t>
  </si>
  <si>
    <t>Recomendada para o final do curso</t>
  </si>
  <si>
    <t>D</t>
  </si>
  <si>
    <t>INFORMÁTICA</t>
  </si>
  <si>
    <t>SEMANAL</t>
  </si>
  <si>
    <t>N</t>
  </si>
  <si>
    <t xml:space="preserve">SA </t>
  </si>
  <si>
    <t>ÚMIDO</t>
  </si>
  <si>
    <t>Trabalho de Graduação I</t>
  </si>
  <si>
    <t>Trabalho de Graduação II</t>
  </si>
  <si>
    <t>508-1</t>
  </si>
  <si>
    <t>EN3103</t>
  </si>
  <si>
    <t>SECO</t>
  </si>
  <si>
    <t>Clima Urbano</t>
  </si>
  <si>
    <t>Ciências Atmosféricas ou Climatologia</t>
  </si>
  <si>
    <t>Concomitante com Cartografia e Geoprocessamento</t>
  </si>
  <si>
    <t xml:space="preserve">Técnicas de análise estrutural e projeto </t>
  </si>
  <si>
    <t xml:space="preserve">obrigatória </t>
  </si>
  <si>
    <t>seco</t>
  </si>
  <si>
    <t>quinzenal</t>
  </si>
  <si>
    <t xml:space="preserve">Materiais compósitos e aplicações estruturais </t>
  </si>
  <si>
    <t>Aplicação de Elementos Finitos para Engenharia</t>
  </si>
  <si>
    <t>opção limitada</t>
  </si>
  <si>
    <t>informática</t>
  </si>
  <si>
    <t>Aeronáutica 1-A</t>
  </si>
  <si>
    <t>obrigatória</t>
  </si>
  <si>
    <t>não há</t>
  </si>
  <si>
    <t>Máquinas de fluxo</t>
  </si>
  <si>
    <t>EN2217</t>
  </si>
  <si>
    <t>úmido</t>
  </si>
  <si>
    <t>Métodos computacionais para análise estrutural</t>
  </si>
  <si>
    <t>Projeto de elementos estruturais de aeronaves I</t>
  </si>
  <si>
    <t>semanal</t>
  </si>
  <si>
    <t>Laboratório de guiagem, navegação e controle</t>
  </si>
  <si>
    <t>Introdução à astronáutica</t>
  </si>
  <si>
    <t>Desempenho de aeronaves</t>
  </si>
  <si>
    <t>Sistemas de propulsão I</t>
  </si>
  <si>
    <t>EN2218</t>
  </si>
  <si>
    <t>Técnicas de análise estrutural e projeto</t>
  </si>
  <si>
    <t>Materiais compósitos e aplicações estruturais</t>
  </si>
  <si>
    <t>Estabilidade e controle de aeronaves</t>
  </si>
  <si>
    <t/>
  </si>
  <si>
    <t>SB</t>
  </si>
  <si>
    <t>Legislação relacionada à saúde</t>
  </si>
  <si>
    <t>Análise e controle de sistemas mecânicos</t>
  </si>
  <si>
    <t>Modelagem, Simulação e Controle Aplicados a Sistemas Biológicos</t>
  </si>
  <si>
    <t>Engenharia Aplicada a Sistemas Biológicos I</t>
  </si>
  <si>
    <t>Processamento de Sinais Biomédicos</t>
  </si>
  <si>
    <t>Processamento e Análise de Falhas</t>
  </si>
  <si>
    <t>Engenharia Clínica</t>
  </si>
  <si>
    <t>Equipamentos médico-hospitalares</t>
  </si>
  <si>
    <t>Bases Biológicas para Engnharia II</t>
  </si>
  <si>
    <t>Introdução a Biofotônica e Óptica Biomédica</t>
  </si>
  <si>
    <t>Introdução aos Materiais Biocompatíveis</t>
  </si>
  <si>
    <t>Métodos Matemáticos para Engenharia Biomédica</t>
  </si>
  <si>
    <t>Cálculo Numérico; Engenharia Aplicada a Sistemas Biológicos II</t>
  </si>
  <si>
    <t>EN2209</t>
  </si>
  <si>
    <t>EN3301</t>
  </si>
  <si>
    <t>Gestão de Recursos Em. e Ambientais</t>
  </si>
  <si>
    <t>ÚLTIMA OFERTA DA DISCIPLINA - CATÁLOGO 2010</t>
  </si>
  <si>
    <t>laboratório 401-1</t>
  </si>
  <si>
    <t>Organização do trabalho</t>
  </si>
  <si>
    <t>Introdução aos Processos de fabricação Metal-mecanico</t>
  </si>
  <si>
    <t>Técnicas de Tomada de Decisão aplicáveis em modelos de Dependência</t>
  </si>
  <si>
    <t>Estatítica aplicada a Sistemas de Gestão</t>
  </si>
  <si>
    <t>Est. Aplicada Sistemas Gestão</t>
  </si>
  <si>
    <t>Laboratório 401-1</t>
  </si>
  <si>
    <t>Modelos e Ferramentas de Gestão Ambiental</t>
  </si>
  <si>
    <t>Introdução Processos Fabricação Metal-mecânico</t>
  </si>
  <si>
    <t>Estatística Aplicada a Sistemas de Gestão</t>
  </si>
  <si>
    <t>(A1 e A2) 60 alunos na aula de teoria (Prof. EIAR) e dois laboratórios com um prof. EIAR e outro EngInfo</t>
  </si>
  <si>
    <t>Turma A e Turma B com turma de teoria em comum (mesma sala e horário)/Parte prática em separado/Fundamentos de Robótica é Obrigatória para EIAR</t>
  </si>
  <si>
    <t>sem prática</t>
  </si>
  <si>
    <t>A recomendação é "Circuitos Elétricos e Fotônica (BC1519)" e não "Fotônica (EN2708)": favor modificar</t>
  </si>
  <si>
    <t>EN3716</t>
  </si>
  <si>
    <t>(A1 e A2) uma turma de teoria com 60 alunos e duas turmas de lab. no mesmo horário com dois professores</t>
  </si>
  <si>
    <t>SA</t>
  </si>
  <si>
    <t>Informática</t>
  </si>
  <si>
    <t>Semanal</t>
  </si>
  <si>
    <t>EN1007</t>
  </si>
  <si>
    <t>EN1008</t>
  </si>
  <si>
    <t>EN1009</t>
  </si>
  <si>
    <t>Trabalho de Graduação III</t>
  </si>
  <si>
    <t>Geometria Analítica; Álgebra Linear e Processamento da Informação</t>
  </si>
  <si>
    <t>EN3602</t>
  </si>
  <si>
    <t>Sistemas de Microondas</t>
  </si>
  <si>
    <t>Ondas Eletromagnéticas Aplicadas; Eletrônica Aplicada</t>
  </si>
  <si>
    <t>EN2607</t>
  </si>
  <si>
    <t>EN2616</t>
  </si>
  <si>
    <t>EN2618</t>
  </si>
  <si>
    <t>En1007</t>
  </si>
  <si>
    <t>Materiais e Suas Propriedades; Métodos Experimentais em Engenharia</t>
  </si>
  <si>
    <t>seco/úmido</t>
  </si>
  <si>
    <t>Mecânica dos Sólidos I; Mecânica dos Fluidos I</t>
  </si>
  <si>
    <t>QUINZENAL</t>
  </si>
  <si>
    <t>INFORMATICA</t>
  </si>
  <si>
    <t>EN2413</t>
  </si>
  <si>
    <t>Seco</t>
  </si>
  <si>
    <t>EN2421</t>
  </si>
  <si>
    <t xml:space="preserve">SEM </t>
  </si>
  <si>
    <t>Disciplinas novas de Opção limitada</t>
  </si>
  <si>
    <t>EN2416</t>
  </si>
  <si>
    <t>EN2406</t>
  </si>
  <si>
    <t>EN2418</t>
  </si>
  <si>
    <t>EN2404</t>
  </si>
  <si>
    <t>BH1106</t>
  </si>
  <si>
    <t>bh1115</t>
  </si>
  <si>
    <t>BH1421</t>
  </si>
  <si>
    <t>BH1420</t>
  </si>
  <si>
    <t xml:space="preserve">Monografia I </t>
  </si>
  <si>
    <t>BC1711</t>
  </si>
  <si>
    <t>bh1136</t>
  </si>
  <si>
    <t>bh1137</t>
  </si>
  <si>
    <t>bh1138</t>
  </si>
  <si>
    <t>Técnicas em pesqisa</t>
  </si>
  <si>
    <t>Mudança Tecnológica e Dinâmica Capitalista</t>
  </si>
  <si>
    <t>OPÇÃO LIMITADA (a definir)</t>
  </si>
  <si>
    <t>Universo das Instituições Políticas no Brasil</t>
  </si>
  <si>
    <t>Instituições Judiciais e Políticas Públicas</t>
  </si>
  <si>
    <t>PENSAMENTO LATINO-AMERICANO E POLÍTICAS DE CTI</t>
  </si>
  <si>
    <t>Pensamento Latino-Americano e Políticas de CT&amp;I</t>
  </si>
  <si>
    <t>ORÇAMENTO E POLÍTICA ORÇAMENTÁRIA</t>
  </si>
  <si>
    <t>Políticas Urbanas</t>
  </si>
  <si>
    <t>BH 1102</t>
  </si>
  <si>
    <t>Relações Internacionais e Globalização4</t>
  </si>
  <si>
    <t>CS3309</t>
  </si>
  <si>
    <t>BH 1123</t>
  </si>
  <si>
    <t>Estado e Desenvolvimento Econômico Contemporâneo Brasileiro</t>
  </si>
  <si>
    <t>CS 2119</t>
  </si>
  <si>
    <t>CS3306</t>
  </si>
  <si>
    <t>Conflitos no Ciberespaço: ativismo e guerra nas redes cibernéticas</t>
  </si>
  <si>
    <t>Globalização e os processos de 
integração regional</t>
  </si>
  <si>
    <t>RI &amp; Globalização</t>
  </si>
  <si>
    <t>BH1553</t>
  </si>
  <si>
    <t>CS3314</t>
  </si>
  <si>
    <t>Trajetória da Opep e da Agência Internacional de Energia</t>
  </si>
  <si>
    <t>Laboratório de Cartografia e Geoprocessamento</t>
  </si>
  <si>
    <t>Laboratório específico do BPT no Alfa 2 - térreo</t>
  </si>
  <si>
    <t>Informática aplicada ao Planejamento Territorial</t>
  </si>
  <si>
    <t>Oficina do BPT</t>
  </si>
  <si>
    <t>Laboratório específico do BPT Alfa 2 (térreo e 3 andar)</t>
  </si>
  <si>
    <t>Política Habitacional</t>
  </si>
  <si>
    <t>Polítca Habitacional</t>
  </si>
  <si>
    <t>INFORMÁTICA APLICADA AO PLANEJAMENTO TERRITORIAL</t>
  </si>
  <si>
    <t>Laboratório de Cartografia e Geoprocessamento do BPT</t>
  </si>
  <si>
    <t>ABREV.</t>
  </si>
  <si>
    <t>Redes de Computadores; Processamento Digital de Sinais</t>
  </si>
  <si>
    <t>BFil/ LFil</t>
  </si>
  <si>
    <t>Bacharelado e Licenciatura em Filosofia</t>
  </si>
  <si>
    <t>BFis</t>
  </si>
  <si>
    <t>BMat</t>
  </si>
  <si>
    <t>BQ</t>
  </si>
  <si>
    <t>EAero</t>
  </si>
  <si>
    <t>EAU</t>
  </si>
  <si>
    <t>EBio</t>
  </si>
  <si>
    <t>EEner</t>
  </si>
  <si>
    <t>EGest</t>
  </si>
  <si>
    <t>EInf</t>
  </si>
  <si>
    <t>EIAR</t>
  </si>
  <si>
    <t>EMat</t>
  </si>
  <si>
    <t>TE</t>
  </si>
  <si>
    <t>LFis</t>
  </si>
  <si>
    <t>LMat</t>
  </si>
  <si>
    <t>LQuim</t>
  </si>
  <si>
    <t>Licientatura em Química</t>
  </si>
  <si>
    <t>DISCIPLINAS</t>
  </si>
  <si>
    <t>TOTAL DE CREDITOS - GERAL</t>
  </si>
  <si>
    <t>TOTAL DE CREDITOS - OBRIGATÓRIAS</t>
  </si>
  <si>
    <t>TOTAL DE CREDITOS - OPÇÃO LIMITADA</t>
  </si>
  <si>
    <t>TOTAL DE CREDITOS - LIVRE</t>
  </si>
  <si>
    <t>Docentes por centro</t>
  </si>
  <si>
    <t>nº</t>
  </si>
  <si>
    <t>redução</t>
  </si>
  <si>
    <t>total</t>
  </si>
  <si>
    <t>CCNH</t>
  </si>
  <si>
    <t>CECS</t>
  </si>
  <si>
    <t>CMCC</t>
  </si>
  <si>
    <t>média de creditos por docente</t>
  </si>
  <si>
    <t>meta créditos por centro</t>
  </si>
  <si>
    <t>obs.: foram considerados 3 créditos para as disicplinas de estágio que é o valor atribuido aos docentes</t>
  </si>
  <si>
    <t xml:space="preserve"> creditos redução  aulas teóricas/ práticas</t>
  </si>
  <si>
    <t>c/ redução</t>
  </si>
  <si>
    <r>
      <t xml:space="preserve">CATEGORIA
</t>
    </r>
    <r>
      <rPr>
        <b/>
        <sz val="8"/>
        <rFont val="Calibri"/>
        <family val="2"/>
      </rPr>
      <t>(Geral)</t>
    </r>
  </si>
  <si>
    <t>erro de categoria</t>
  </si>
  <si>
    <t>sem redução</t>
  </si>
  <si>
    <t>com redução</t>
  </si>
  <si>
    <t>erro</t>
  </si>
  <si>
    <t>CATEGORIA
(Geral)</t>
  </si>
  <si>
    <t>História da Filosofia Antiga: Platão e o platonismo</t>
  </si>
  <si>
    <t xml:space="preserve">Não </t>
  </si>
  <si>
    <t>Não</t>
  </si>
  <si>
    <t>História da Filosofia Contemporânea: o século XX</t>
  </si>
  <si>
    <t>Temas da Filosofia Medieval</t>
  </si>
  <si>
    <t>Bfil</t>
  </si>
  <si>
    <t>Bacharelado em Filosofia</t>
  </si>
  <si>
    <t>História da Filosofia Moderna: o iluminismo e seus desdobramentos</t>
  </si>
  <si>
    <t>NÃO</t>
  </si>
  <si>
    <t>HISTÓRIA DAS CIÊNCIAS NO BRASIL</t>
  </si>
  <si>
    <t>TEORIA CRÍTICA E ESCOLA DE FRANKFURT</t>
  </si>
  <si>
    <t>TEORIA DO CONHECIMENTO: EMPIRISMO VERSUS RACIONALISMO; LÓGICA BÁSICA</t>
  </si>
  <si>
    <t>Lógica e os Fundamentos da Matemática</t>
  </si>
  <si>
    <t>FILOSOFIA BRASILEIRA: HISTÓRIA E PROBLEMAS</t>
  </si>
  <si>
    <t>última oferta</t>
  </si>
  <si>
    <t xml:space="preserve">Disciplina de Opção Limitada I (a ser definida) </t>
  </si>
  <si>
    <t>Disciplina de Opção Limitada I (a ser definida)</t>
  </si>
  <si>
    <t>Disciplina de Opção Limitada II (a ser definida)</t>
  </si>
  <si>
    <t xml:space="preserve">Disciplina de Opção Limitada II (a ser definida) </t>
  </si>
  <si>
    <t>Disciplina de Opção Limitada III (a ser definida)</t>
  </si>
  <si>
    <t>Limitada</t>
  </si>
  <si>
    <t>Úmido</t>
  </si>
  <si>
    <t>Não será alocada em lab.</t>
  </si>
  <si>
    <t>INFOMÁTICA</t>
  </si>
  <si>
    <t>BC1311</t>
  </si>
  <si>
    <t>seco (401-3)</t>
  </si>
  <si>
    <t xml:space="preserve">informatica </t>
  </si>
  <si>
    <t>BC1313</t>
  </si>
  <si>
    <t>Bc1437</t>
  </si>
  <si>
    <t>MC2104</t>
  </si>
  <si>
    <t>MC1204</t>
  </si>
  <si>
    <t>Mc1202</t>
  </si>
  <si>
    <t>BC1499</t>
  </si>
  <si>
    <t>Funções de Uma Variável; Processamento da Informação</t>
  </si>
  <si>
    <t>Bc1402</t>
  </si>
  <si>
    <t>Teoria Axiomática dos Conjuntos</t>
  </si>
  <si>
    <t>úmido (laboratório de Biologia Animal)</t>
  </si>
  <si>
    <t>Turma vespertino</t>
  </si>
  <si>
    <t>Turma vespertina</t>
  </si>
  <si>
    <t>misto seco/informática</t>
  </si>
  <si>
    <t>úmido de Biologia Animal</t>
  </si>
  <si>
    <t>MC8099</t>
  </si>
  <si>
    <t>S.C.</t>
  </si>
  <si>
    <t>NH3501</t>
  </si>
  <si>
    <t>EN3419</t>
  </si>
  <si>
    <t>Tecnologia de Produção de Etanol</t>
  </si>
  <si>
    <t>Quinzenal</t>
  </si>
  <si>
    <t>NH3903</t>
  </si>
  <si>
    <t>BC1401</t>
  </si>
  <si>
    <t>EN3420</t>
  </si>
  <si>
    <t>Tecnologia de Produção de Biodiesel</t>
  </si>
  <si>
    <t>EN3305</t>
  </si>
  <si>
    <t>EN4117</t>
  </si>
  <si>
    <t>LFIL</t>
  </si>
  <si>
    <t>Licenciatura em Filosofia</t>
  </si>
  <si>
    <t>BH1210</t>
  </si>
  <si>
    <t>Prática de Ensino de Filosofia II</t>
  </si>
  <si>
    <t>Prática de Ensino de Filosofia I</t>
  </si>
  <si>
    <t>Teoria Eletromagnetica</t>
  </si>
  <si>
    <t>L401-2 - Laboratório de Práticas de Ensino de Matemática e Cognição</t>
  </si>
  <si>
    <t>Santo André</t>
  </si>
  <si>
    <t>LICENCIATURAS</t>
  </si>
  <si>
    <t>RESP: LIC QUÍMICA</t>
  </si>
  <si>
    <t>RESP: LIC QUÍMICA E MATEMÁTICA</t>
  </si>
  <si>
    <t>mc</t>
  </si>
  <si>
    <t>RESP: LIC FILOSOFIA</t>
  </si>
  <si>
    <t>RESP: LIC BIOLOGIA</t>
  </si>
  <si>
    <t>RESP: LIC FISICA</t>
  </si>
  <si>
    <t>Opção Limitada / Livre</t>
  </si>
  <si>
    <t>RESP: LIC MATEMÁTICA OU LIC FILOSOFIA</t>
  </si>
  <si>
    <t>RESP: LIC MATEMÁTICA</t>
  </si>
  <si>
    <t>RESP: LIC FÍSICA</t>
  </si>
  <si>
    <t>RESP: LIC QUÍMICA E LIC FÍSICA</t>
  </si>
  <si>
    <t>LIC</t>
  </si>
  <si>
    <t>nc</t>
  </si>
  <si>
    <t>redução p/ cargo</t>
  </si>
  <si>
    <t>EN2509</t>
  </si>
  <si>
    <t>opção Limitada</t>
  </si>
  <si>
    <t>livre</t>
  </si>
  <si>
    <t>PLANEJAMENTO 2013</t>
  </si>
  <si>
    <t>1º QUADRIMESTRE</t>
  </si>
  <si>
    <t>2º QUADRIMESTRE</t>
  </si>
  <si>
    <t>3º QUADRIMESTRE</t>
  </si>
  <si>
    <t>TOTAL ANO</t>
  </si>
  <si>
    <t>TOTAL DE DISCIPLINAS</t>
  </si>
  <si>
    <t>TOTAL DE TURMAS</t>
  </si>
  <si>
    <t>MÉDIA CRÉDITOS POR DOCENTE</t>
  </si>
  <si>
    <t>META DE CRÉDITOS -CCNH</t>
  </si>
  <si>
    <t>META DE CRÉDITOS -CECS</t>
  </si>
  <si>
    <t>META DE CRÉDITOS -CMCC</t>
  </si>
  <si>
    <t>TOTAL</t>
  </si>
  <si>
    <t>TOTAL DE DOCENTES POR CENTRO</t>
  </si>
  <si>
    <t>Quantidade</t>
  </si>
  <si>
    <t>disciplinas</t>
  </si>
  <si>
    <t>turmas</t>
  </si>
  <si>
    <t>São Bernardo</t>
  </si>
  <si>
    <t>turno não informado</t>
  </si>
  <si>
    <t>Por Campus</t>
  </si>
  <si>
    <t>BFIL</t>
  </si>
  <si>
    <t>EAERO</t>
  </si>
  <si>
    <t>EBIO</t>
  </si>
  <si>
    <t>EENER</t>
  </si>
  <si>
    <t>EGEST</t>
  </si>
  <si>
    <t>EINF</t>
  </si>
  <si>
    <t>Disciplinas previstas no planejamento de 2014.3 por mais de um Curso</t>
  </si>
  <si>
    <t>Disciplinas previstas no planejamento de 2014.2 por mais de um Curso</t>
  </si>
  <si>
    <t>Disciplinas previstas no planejamento de 2014.1 por mais de um Curso</t>
  </si>
  <si>
    <r>
      <rPr>
        <sz val="12"/>
        <rFont val="Arial"/>
        <family val="2"/>
      </rPr>
      <t xml:space="preserve">Créditos Previstos - 2014 </t>
    </r>
    <r>
      <rPr>
        <sz val="10"/>
        <rFont val="Arial"/>
        <family val="2"/>
      </rPr>
      <t xml:space="preserve">
</t>
    </r>
    <r>
      <rPr>
        <b/>
        <sz val="8"/>
        <rFont val="Arial"/>
        <family val="2"/>
      </rPr>
      <t>Considerando-se a redução pela junção de 2 ou 3 turmas de prática em 1 teoria</t>
    </r>
  </si>
  <si>
    <r>
      <rPr>
        <sz val="12"/>
        <rFont val="Arial"/>
        <family val="2"/>
      </rPr>
      <t xml:space="preserve">Créditos Previstos - 2014 </t>
    </r>
    <r>
      <rPr>
        <sz val="10"/>
        <rFont val="Arial"/>
        <family val="2"/>
      </rPr>
      <t xml:space="preserve">
</t>
    </r>
    <r>
      <rPr>
        <b/>
        <sz val="8"/>
        <rFont val="Arial"/>
        <family val="2"/>
      </rPr>
      <t xml:space="preserve"> Sem considerar a redução pela junção de 2 ou 3 turmas de prática em 1 teoria</t>
    </r>
  </si>
</sst>
</file>

<file path=xl/styles.xml><?xml version="1.0" encoding="utf-8"?>
<styleSheet xmlns="http://schemas.openxmlformats.org/spreadsheetml/2006/main"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name val="Calibri"/>
      <family val="2"/>
    </font>
    <font>
      <b/>
      <sz val="8"/>
      <name val="Calibri"/>
      <family val="2"/>
    </font>
    <font>
      <sz val="8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indexed="12"/>
      <name val="Calibri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8"/>
      <name val="Arial"/>
      <family val="2"/>
    </font>
    <font>
      <sz val="1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9"/>
        <bgColor indexed="53"/>
      </patternFill>
    </fill>
    <fill>
      <patternFill patternType="solid">
        <fgColor indexed="54"/>
        <bgColor indexed="24"/>
      </patternFill>
    </fill>
    <fill>
      <patternFill patternType="solid">
        <fgColor indexed="41"/>
        <bgColor indexed="27"/>
      </patternFill>
    </fill>
    <fill>
      <patternFill patternType="solid">
        <fgColor indexed="24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47"/>
        <bgColor indexed="41"/>
      </patternFill>
    </fill>
    <fill>
      <patternFill patternType="solid">
        <fgColor indexed="53"/>
        <bgColor indexed="19"/>
      </patternFill>
    </fill>
    <fill>
      <patternFill patternType="solid">
        <fgColor indexed="43"/>
        <bgColor indexed="26"/>
      </patternFill>
    </fill>
    <fill>
      <patternFill patternType="solid">
        <fgColor rgb="FF9966FF"/>
        <bgColor indexed="26"/>
      </patternFill>
    </fill>
    <fill>
      <patternFill patternType="solid">
        <fgColor theme="4" tint="0.39997558519241921"/>
        <bgColor indexed="26"/>
      </patternFill>
    </fill>
    <fill>
      <patternFill patternType="solid">
        <fgColor indexed="22"/>
        <bgColor indexed="24"/>
      </patternFill>
    </fill>
    <fill>
      <patternFill patternType="solid">
        <fgColor rgb="FF66FFFF"/>
        <bgColor indexed="52"/>
      </patternFill>
    </fill>
    <fill>
      <patternFill patternType="solid">
        <fgColor indexed="14"/>
        <bgColor indexed="46"/>
      </patternFill>
    </fill>
    <fill>
      <patternFill patternType="solid">
        <fgColor indexed="13"/>
        <bgColor indexed="43"/>
      </patternFill>
    </fill>
    <fill>
      <patternFill patternType="solid">
        <fgColor indexed="21"/>
        <bgColor indexed="38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54"/>
      </patternFill>
    </fill>
    <fill>
      <patternFill patternType="solid">
        <fgColor indexed="46"/>
        <bgColor indexed="45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23"/>
      </patternFill>
    </fill>
    <fill>
      <patternFill patternType="solid">
        <fgColor indexed="25"/>
        <bgColor indexed="14"/>
      </patternFill>
    </fill>
    <fill>
      <patternFill patternType="solid">
        <fgColor rgb="FF92D050"/>
        <bgColor indexed="44"/>
      </patternFill>
    </fill>
    <fill>
      <patternFill patternType="solid">
        <fgColor theme="5" tint="0.39997558519241921"/>
        <bgColor indexed="41"/>
      </patternFill>
    </fill>
    <fill>
      <patternFill patternType="solid">
        <fgColor rgb="FFCC6600"/>
        <bgColor indexed="61"/>
      </patternFill>
    </fill>
    <fill>
      <patternFill patternType="solid">
        <fgColor rgb="FFCC9900"/>
        <bgColor indexed="9"/>
      </patternFill>
    </fill>
    <fill>
      <patternFill patternType="solid">
        <fgColor rgb="FF99FFCC"/>
        <bgColor indexed="19"/>
      </patternFill>
    </fill>
    <fill>
      <patternFill patternType="solid">
        <fgColor rgb="FFFFC269"/>
        <bgColor indexed="23"/>
      </patternFill>
    </fill>
    <fill>
      <patternFill patternType="solid">
        <fgColor theme="0" tint="-0.14999847407452621"/>
        <bgColor indexed="23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5">
    <xf numFmtId="0" fontId="0" fillId="0" borderId="0"/>
    <xf numFmtId="0" fontId="1" fillId="0" borderId="0"/>
    <xf numFmtId="0" fontId="11" fillId="0" borderId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4" fillId="0" borderId="0"/>
    <xf numFmtId="0" fontId="14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1" fillId="31" borderId="8" applyNumberFormat="0" applyFont="0" applyAlignment="0" applyProtection="0"/>
    <xf numFmtId="0" fontId="11" fillId="31" borderId="8" applyNumberFormat="0" applyFont="0" applyAlignment="0" applyProtection="0"/>
  </cellStyleXfs>
  <cellXfs count="352">
    <xf numFmtId="0" fontId="0" fillId="0" borderId="0" xfId="0"/>
    <xf numFmtId="0" fontId="2" fillId="0" borderId="0" xfId="1" applyFont="1"/>
    <xf numFmtId="0" fontId="4" fillId="2" borderId="1" xfId="1" applyFont="1" applyFill="1" applyBorder="1" applyAlignment="1">
      <alignment horizontal="center" vertical="center"/>
    </xf>
    <xf numFmtId="0" fontId="2" fillId="0" borderId="1" xfId="1" applyFont="1" applyBorder="1" applyAlignment="1" applyProtection="1">
      <alignment horizontal="center"/>
      <protection locked="0"/>
    </xf>
    <xf numFmtId="0" fontId="2" fillId="0" borderId="0" xfId="0" applyFont="1"/>
    <xf numFmtId="0" fontId="7" fillId="0" borderId="0" xfId="0" applyFont="1"/>
    <xf numFmtId="0" fontId="8" fillId="2" borderId="1" xfId="0" applyFont="1" applyFill="1" applyBorder="1"/>
    <xf numFmtId="0" fontId="7" fillId="0" borderId="1" xfId="0" applyFont="1" applyBorder="1"/>
    <xf numFmtId="0" fontId="2" fillId="0" borderId="0" xfId="0" applyFont="1" applyProtection="1"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4" fillId="2" borderId="1" xfId="1" applyFont="1" applyFill="1" applyBorder="1" applyAlignment="1">
      <alignment horizontal="left" vertical="center"/>
    </xf>
    <xf numFmtId="0" fontId="2" fillId="0" borderId="0" xfId="1" applyFont="1" applyAlignment="1">
      <alignment horizontal="left"/>
    </xf>
    <xf numFmtId="0" fontId="12" fillId="3" borderId="4" xfId="2" applyFont="1" applyFill="1" applyBorder="1" applyAlignment="1">
      <alignment horizontal="left"/>
    </xf>
    <xf numFmtId="0" fontId="12" fillId="4" borderId="4" xfId="2" applyFont="1" applyFill="1" applyBorder="1" applyAlignment="1">
      <alignment horizontal="left"/>
    </xf>
    <xf numFmtId="0" fontId="12" fillId="5" borderId="4" xfId="2" applyFont="1" applyFill="1" applyBorder="1" applyAlignment="1">
      <alignment horizontal="left"/>
    </xf>
    <xf numFmtId="0" fontId="12" fillId="6" borderId="4" xfId="2" applyFont="1" applyFill="1" applyBorder="1" applyAlignment="1">
      <alignment horizontal="left"/>
    </xf>
    <xf numFmtId="0" fontId="12" fillId="7" borderId="4" xfId="2" applyFont="1" applyFill="1" applyBorder="1" applyAlignment="1">
      <alignment horizontal="left"/>
    </xf>
    <xf numFmtId="0" fontId="12" fillId="8" borderId="4" xfId="2" applyFont="1" applyFill="1" applyBorder="1" applyAlignment="1">
      <alignment horizontal="left"/>
    </xf>
    <xf numFmtId="0" fontId="12" fillId="9" borderId="4" xfId="2" applyFont="1" applyFill="1" applyBorder="1" applyAlignment="1">
      <alignment horizontal="left"/>
    </xf>
    <xf numFmtId="0" fontId="12" fillId="10" borderId="4" xfId="2" applyFont="1" applyFill="1" applyBorder="1" applyAlignment="1">
      <alignment horizontal="left"/>
    </xf>
    <xf numFmtId="0" fontId="12" fillId="11" borderId="4" xfId="2" applyFont="1" applyFill="1" applyBorder="1" applyAlignment="1">
      <alignment horizontal="left"/>
    </xf>
    <xf numFmtId="0" fontId="12" fillId="12" borderId="4" xfId="2" applyFont="1" applyFill="1" applyBorder="1" applyAlignment="1">
      <alignment horizontal="left"/>
    </xf>
    <xf numFmtId="0" fontId="12" fillId="13" borderId="4" xfId="2" applyFont="1" applyFill="1" applyBorder="1" applyAlignment="1">
      <alignment horizontal="left"/>
    </xf>
    <xf numFmtId="0" fontId="12" fillId="14" borderId="4" xfId="2" applyFont="1" applyFill="1" applyBorder="1" applyAlignment="1">
      <alignment horizontal="left"/>
    </xf>
    <xf numFmtId="0" fontId="12" fillId="15" borderId="4" xfId="2" applyFont="1" applyFill="1" applyBorder="1" applyAlignment="1">
      <alignment horizontal="left"/>
    </xf>
    <xf numFmtId="0" fontId="12" fillId="16" borderId="4" xfId="2" applyFont="1" applyFill="1" applyBorder="1" applyAlignment="1">
      <alignment horizontal="left"/>
    </xf>
    <xf numFmtId="0" fontId="12" fillId="17" borderId="4" xfId="2" applyFont="1" applyFill="1" applyBorder="1" applyAlignment="1">
      <alignment horizontal="left"/>
    </xf>
    <xf numFmtId="0" fontId="12" fillId="18" borderId="4" xfId="2" applyFont="1" applyFill="1" applyBorder="1" applyAlignment="1">
      <alignment horizontal="left"/>
    </xf>
    <xf numFmtId="0" fontId="12" fillId="19" borderId="4" xfId="2" applyFont="1" applyFill="1" applyBorder="1" applyAlignment="1">
      <alignment horizontal="left"/>
    </xf>
    <xf numFmtId="0" fontId="12" fillId="20" borderId="4" xfId="2" applyFont="1" applyFill="1" applyBorder="1" applyAlignment="1">
      <alignment horizontal="left"/>
    </xf>
    <xf numFmtId="0" fontId="12" fillId="21" borderId="4" xfId="2" applyFont="1" applyFill="1" applyBorder="1" applyAlignment="1">
      <alignment horizontal="left"/>
    </xf>
    <xf numFmtId="0" fontId="12" fillId="22" borderId="4" xfId="2" applyFont="1" applyFill="1" applyBorder="1" applyAlignment="1">
      <alignment horizontal="left"/>
    </xf>
    <xf numFmtId="0" fontId="12" fillId="23" borderId="4" xfId="2" applyFont="1" applyFill="1" applyBorder="1" applyAlignment="1">
      <alignment horizontal="left"/>
    </xf>
    <xf numFmtId="0" fontId="12" fillId="23" borderId="1" xfId="2" applyFont="1" applyFill="1" applyBorder="1" applyAlignment="1">
      <alignment horizontal="left"/>
    </xf>
    <xf numFmtId="0" fontId="12" fillId="24" borderId="4" xfId="2" applyFont="1" applyFill="1" applyBorder="1" applyAlignment="1">
      <alignment horizontal="left"/>
    </xf>
    <xf numFmtId="0" fontId="12" fillId="25" borderId="4" xfId="2" applyFont="1" applyFill="1" applyBorder="1" applyAlignment="1">
      <alignment horizontal="left"/>
    </xf>
    <xf numFmtId="0" fontId="12" fillId="7" borderId="1" xfId="2" applyFont="1" applyFill="1" applyBorder="1" applyAlignment="1">
      <alignment horizontal="left"/>
    </xf>
    <xf numFmtId="0" fontId="2" fillId="0" borderId="4" xfId="1" applyFont="1" applyBorder="1" applyAlignment="1" applyProtection="1">
      <alignment horizontal="center"/>
      <protection locked="0"/>
    </xf>
    <xf numFmtId="0" fontId="12" fillId="11" borderId="1" xfId="2" applyFont="1" applyFill="1" applyBorder="1" applyAlignment="1">
      <alignment horizontal="left"/>
    </xf>
    <xf numFmtId="0" fontId="12" fillId="10" borderId="1" xfId="2" applyFont="1" applyFill="1" applyBorder="1" applyAlignment="1">
      <alignment horizontal="left"/>
    </xf>
    <xf numFmtId="0" fontId="12" fillId="8" borderId="1" xfId="2" applyFont="1" applyFill="1" applyBorder="1" applyAlignment="1">
      <alignment horizontal="left"/>
    </xf>
    <xf numFmtId="0" fontId="12" fillId="12" borderId="1" xfId="2" applyFont="1" applyFill="1" applyBorder="1" applyAlignment="1">
      <alignment horizontal="left"/>
    </xf>
    <xf numFmtId="0" fontId="12" fillId="15" borderId="1" xfId="2" applyFont="1" applyFill="1" applyBorder="1" applyAlignment="1">
      <alignment horizontal="left"/>
    </xf>
    <xf numFmtId="0" fontId="12" fillId="20" borderId="1" xfId="2" applyFont="1" applyFill="1" applyBorder="1" applyAlignment="1">
      <alignment horizontal="left"/>
    </xf>
    <xf numFmtId="0" fontId="12" fillId="19" borderId="1" xfId="2" applyFont="1" applyFill="1" applyBorder="1" applyAlignment="1">
      <alignment horizontal="left"/>
    </xf>
    <xf numFmtId="0" fontId="12" fillId="9" borderId="1" xfId="2" applyFont="1" applyFill="1" applyBorder="1" applyAlignment="1">
      <alignment horizontal="left"/>
    </xf>
    <xf numFmtId="0" fontId="12" fillId="13" borderId="1" xfId="2" applyFont="1" applyFill="1" applyBorder="1" applyAlignment="1">
      <alignment horizontal="left"/>
    </xf>
    <xf numFmtId="0" fontId="12" fillId="14" borderId="1" xfId="2" applyFont="1" applyFill="1" applyBorder="1" applyAlignment="1">
      <alignment horizontal="left"/>
    </xf>
    <xf numFmtId="0" fontId="12" fillId="17" borderId="1" xfId="2" applyFont="1" applyFill="1" applyBorder="1" applyAlignment="1">
      <alignment horizontal="left"/>
    </xf>
    <xf numFmtId="0" fontId="12" fillId="16" borderId="1" xfId="2" applyFont="1" applyFill="1" applyBorder="1" applyAlignment="1">
      <alignment horizontal="left"/>
    </xf>
    <xf numFmtId="0" fontId="12" fillId="21" borderId="1" xfId="2" applyFont="1" applyFill="1" applyBorder="1" applyAlignment="1">
      <alignment horizontal="left"/>
    </xf>
    <xf numFmtId="0" fontId="12" fillId="22" borderId="1" xfId="2" applyFont="1" applyFill="1" applyBorder="1" applyAlignment="1">
      <alignment horizontal="left"/>
    </xf>
    <xf numFmtId="0" fontId="12" fillId="18" borderId="1" xfId="2" applyFont="1" applyFill="1" applyBorder="1" applyAlignment="1">
      <alignment horizontal="left"/>
    </xf>
    <xf numFmtId="0" fontId="2" fillId="0" borderId="4" xfId="1" applyFont="1" applyBorder="1" applyAlignment="1" applyProtection="1">
      <alignment horizontal="left"/>
      <protection locked="0"/>
    </xf>
    <xf numFmtId="0" fontId="12" fillId="26" borderId="1" xfId="2" applyFont="1" applyFill="1" applyBorder="1" applyAlignment="1">
      <alignment horizontal="left"/>
    </xf>
    <xf numFmtId="0" fontId="12" fillId="27" borderId="1" xfId="2" applyFont="1" applyFill="1" applyBorder="1" applyAlignment="1">
      <alignment horizontal="left"/>
    </xf>
    <xf numFmtId="0" fontId="12" fillId="26" borderId="4" xfId="2" applyFont="1" applyFill="1" applyBorder="1" applyAlignment="1">
      <alignment horizontal="left"/>
    </xf>
    <xf numFmtId="0" fontId="12" fillId="27" borderId="4" xfId="2" applyFont="1" applyFill="1" applyBorder="1" applyAlignment="1">
      <alignment horizontal="left"/>
    </xf>
    <xf numFmtId="0" fontId="12" fillId="0" borderId="0" xfId="0" applyFont="1" applyBorder="1"/>
    <xf numFmtId="0" fontId="12" fillId="0" borderId="0" xfId="0" applyFont="1" applyFill="1" applyBorder="1" applyAlignment="1">
      <alignment horizontal="left"/>
    </xf>
    <xf numFmtId="0" fontId="12" fillId="0" borderId="0" xfId="0" applyFont="1" applyFill="1" applyAlignment="1">
      <alignment horizontal="left"/>
    </xf>
    <xf numFmtId="0" fontId="12" fillId="0" borderId="0" xfId="0" applyFont="1" applyFill="1" applyBorder="1" applyAlignment="1">
      <alignment horizontal="left" wrapText="1"/>
    </xf>
    <xf numFmtId="0" fontId="12" fillId="0" borderId="1" xfId="0" applyFon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Fill="1" applyAlignment="1">
      <alignment horizontal="right"/>
    </xf>
    <xf numFmtId="2" fontId="12" fillId="0" borderId="0" xfId="0" applyNumberFormat="1" applyFont="1" applyFill="1" applyAlignment="1">
      <alignment horizontal="left"/>
    </xf>
    <xf numFmtId="0" fontId="10" fillId="0" borderId="0" xfId="0" applyFont="1" applyBorder="1"/>
    <xf numFmtId="0" fontId="10" fillId="0" borderId="0" xfId="0" applyFont="1" applyFill="1" applyBorder="1" applyAlignment="1">
      <alignment horizontal="left"/>
    </xf>
    <xf numFmtId="2" fontId="12" fillId="0" borderId="0" xfId="0" applyNumberFormat="1" applyFont="1" applyFill="1" applyAlignment="1">
      <alignment horizontal="right"/>
    </xf>
    <xf numFmtId="0" fontId="12" fillId="28" borderId="1" xfId="2" applyFont="1" applyFill="1" applyBorder="1" applyAlignment="1">
      <alignment horizontal="left"/>
    </xf>
    <xf numFmtId="0" fontId="12" fillId="28" borderId="4" xfId="2" applyFont="1" applyFill="1" applyBorder="1" applyAlignment="1">
      <alignment horizontal="left"/>
    </xf>
    <xf numFmtId="0" fontId="9" fillId="6" borderId="4" xfId="2" applyFont="1" applyFill="1" applyBorder="1" applyAlignment="1">
      <alignment horizontal="left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1" applyFont="1" applyBorder="1" applyAlignment="1" applyProtection="1">
      <alignment horizontal="center"/>
      <protection locked="0"/>
    </xf>
    <xf numFmtId="0" fontId="3" fillId="0" borderId="0" xfId="1" applyFont="1"/>
    <xf numFmtId="0" fontId="4" fillId="0" borderId="0" xfId="1" applyFont="1"/>
    <xf numFmtId="0" fontId="2" fillId="2" borderId="1" xfId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 wrapText="1"/>
    </xf>
    <xf numFmtId="0" fontId="2" fillId="0" borderId="0" xfId="1" applyFont="1" applyFill="1"/>
    <xf numFmtId="0" fontId="2" fillId="0" borderId="1" xfId="1" applyFont="1" applyFill="1" applyBorder="1" applyAlignment="1" applyProtection="1">
      <alignment horizontal="left" indent="1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3" fillId="0" borderId="1" xfId="1" applyFont="1" applyFill="1" applyBorder="1" applyAlignment="1" applyProtection="1">
      <alignment horizontal="center"/>
      <protection locked="0"/>
    </xf>
    <xf numFmtId="0" fontId="3" fillId="0" borderId="1" xfId="1" applyFont="1" applyFill="1" applyBorder="1" applyAlignment="1" applyProtection="1">
      <alignment horizontal="left" indent="1"/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left" indent="1"/>
      <protection locked="0"/>
    </xf>
    <xf numFmtId="0" fontId="2" fillId="0" borderId="1" xfId="0" applyFont="1" applyFill="1" applyBorder="1" applyAlignment="1">
      <alignment horizontal="center"/>
    </xf>
    <xf numFmtId="0" fontId="2" fillId="0" borderId="0" xfId="0" applyFont="1" applyFill="1"/>
    <xf numFmtId="0" fontId="12" fillId="0" borderId="0" xfId="0" applyFont="1" applyFill="1" applyBorder="1"/>
    <xf numFmtId="0" fontId="10" fillId="0" borderId="0" xfId="0" applyFont="1" applyFill="1" applyBorder="1"/>
    <xf numFmtId="0" fontId="2" fillId="0" borderId="1" xfId="1" applyFont="1" applyFill="1" applyBorder="1" applyAlignment="1">
      <alignment horizontal="center" vertical="center"/>
    </xf>
    <xf numFmtId="0" fontId="13" fillId="0" borderId="0" xfId="1" applyFont="1"/>
    <xf numFmtId="0" fontId="9" fillId="17" borderId="1" xfId="2" applyFont="1" applyFill="1" applyBorder="1" applyAlignment="1">
      <alignment horizontal="left"/>
    </xf>
    <xf numFmtId="0" fontId="3" fillId="0" borderId="1" xfId="0" applyFont="1" applyFill="1" applyBorder="1" applyAlignment="1" applyProtection="1">
      <alignment horizontal="left" indent="1"/>
      <protection locked="0"/>
    </xf>
    <xf numFmtId="0" fontId="3" fillId="0" borderId="1" xfId="0" applyFont="1" applyFill="1" applyBorder="1" applyAlignment="1" applyProtection="1">
      <alignment horizontal="center"/>
      <protection locked="0"/>
    </xf>
    <xf numFmtId="0" fontId="4" fillId="0" borderId="1" xfId="1" applyFont="1" applyFill="1" applyBorder="1" applyAlignment="1">
      <alignment horizontal="left" vertical="center" wrapText="1"/>
    </xf>
    <xf numFmtId="0" fontId="4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>
      <alignment horizontal="left"/>
    </xf>
    <xf numFmtId="0" fontId="3" fillId="0" borderId="1" xfId="0" applyFont="1" applyFill="1" applyBorder="1" applyAlignment="1" applyProtection="1">
      <alignment horizontal="left"/>
      <protection locked="0"/>
    </xf>
    <xf numFmtId="0" fontId="3" fillId="0" borderId="1" xfId="0" applyFont="1" applyFill="1" applyBorder="1" applyAlignment="1">
      <alignment horizontal="left"/>
    </xf>
    <xf numFmtId="0" fontId="2" fillId="0" borderId="1" xfId="1" applyFont="1" applyFill="1" applyBorder="1" applyAlignment="1" applyProtection="1">
      <alignment horizontal="left"/>
      <protection locked="0"/>
    </xf>
    <xf numFmtId="0" fontId="2" fillId="0" borderId="1" xfId="1" applyFont="1" applyFill="1" applyBorder="1" applyAlignment="1">
      <alignment horizontal="left"/>
    </xf>
    <xf numFmtId="0" fontId="2" fillId="0" borderId="0" xfId="1" applyFont="1" applyFill="1" applyAlignment="1">
      <alignment horizontal="left"/>
    </xf>
    <xf numFmtId="0" fontId="12" fillId="0" borderId="1" xfId="0" applyFont="1" applyFill="1" applyBorder="1" applyAlignment="1">
      <alignment horizontal="left" wrapText="1"/>
    </xf>
    <xf numFmtId="0" fontId="12" fillId="0" borderId="5" xfId="0" applyFont="1" applyFill="1" applyBorder="1" applyAlignment="1">
      <alignment horizontal="left"/>
    </xf>
    <xf numFmtId="2" fontId="12" fillId="0" borderId="1" xfId="0" applyNumberFormat="1" applyFont="1" applyFill="1" applyBorder="1" applyAlignment="1">
      <alignment horizontal="left"/>
    </xf>
    <xf numFmtId="0" fontId="3" fillId="0" borderId="1" xfId="1" applyFont="1" applyFill="1" applyBorder="1" applyAlignment="1" applyProtection="1">
      <alignment horizontal="left"/>
      <protection locked="0"/>
    </xf>
    <xf numFmtId="0" fontId="3" fillId="0" borderId="1" xfId="1" applyFont="1" applyFill="1" applyBorder="1" applyAlignment="1">
      <alignment horizontal="left"/>
    </xf>
    <xf numFmtId="0" fontId="2" fillId="0" borderId="1" xfId="1" applyFont="1" applyFill="1" applyBorder="1" applyAlignment="1">
      <alignment horizontal="left" vertical="center" wrapText="1"/>
    </xf>
    <xf numFmtId="0" fontId="4" fillId="2" borderId="1" xfId="1" applyFont="1" applyFill="1" applyBorder="1" applyAlignment="1">
      <alignment horizontal="left" vertical="center" wrapText="1"/>
    </xf>
    <xf numFmtId="0" fontId="4" fillId="0" borderId="0" xfId="1" applyFont="1" applyAlignment="1">
      <alignment horizontal="left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 indent="1"/>
      <protection locked="0"/>
    </xf>
    <xf numFmtId="0" fontId="12" fillId="0" borderId="5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2" fontId="12" fillId="0" borderId="1" xfId="0" applyNumberFormat="1" applyFont="1" applyFill="1" applyBorder="1" applyAlignment="1">
      <alignment horizontal="center"/>
    </xf>
    <xf numFmtId="0" fontId="12" fillId="29" borderId="1" xfId="2" applyFont="1" applyFill="1" applyBorder="1" applyAlignment="1">
      <alignment horizontal="left"/>
    </xf>
    <xf numFmtId="0" fontId="12" fillId="30" borderId="1" xfId="2" applyFont="1" applyFill="1" applyBorder="1" applyAlignment="1">
      <alignment horizontal="left"/>
    </xf>
    <xf numFmtId="0" fontId="12" fillId="0" borderId="0" xfId="0" applyFont="1" applyFill="1" applyBorder="1" applyAlignment="1">
      <alignment horizontal="center" wrapText="1"/>
    </xf>
    <xf numFmtId="0" fontId="12" fillId="0" borderId="1" xfId="0" applyFont="1" applyFill="1" applyBorder="1" applyAlignment="1">
      <alignment horizontal="center" wrapText="1"/>
    </xf>
    <xf numFmtId="0" fontId="12" fillId="0" borderId="0" xfId="0" applyFont="1" applyFill="1" applyAlignment="1">
      <alignment horizontal="center"/>
    </xf>
    <xf numFmtId="2" fontId="12" fillId="0" borderId="0" xfId="0" applyNumberFormat="1" applyFont="1" applyFill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/>
    </xf>
    <xf numFmtId="0" fontId="12" fillId="0" borderId="6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 wrapText="1"/>
    </xf>
    <xf numFmtId="2" fontId="12" fillId="0" borderId="1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left" wrapText="1"/>
    </xf>
    <xf numFmtId="0" fontId="12" fillId="0" borderId="1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" fillId="0" borderId="0" xfId="5" applyBorder="1"/>
    <xf numFmtId="0" fontId="1" fillId="0" borderId="0" xfId="5"/>
    <xf numFmtId="0" fontId="12" fillId="0" borderId="0" xfId="5" applyFont="1" applyFill="1" applyBorder="1" applyAlignment="1">
      <alignment horizontal="left"/>
    </xf>
    <xf numFmtId="0" fontId="15" fillId="32" borderId="9" xfId="5" applyFont="1" applyFill="1" applyBorder="1" applyAlignment="1">
      <alignment horizontal="center"/>
    </xf>
    <xf numFmtId="0" fontId="15" fillId="32" borderId="10" xfId="5" applyFont="1" applyFill="1" applyBorder="1" applyAlignment="1">
      <alignment horizontal="center"/>
    </xf>
    <xf numFmtId="0" fontId="15" fillId="32" borderId="11" xfId="5" applyFont="1" applyFill="1" applyBorder="1" applyAlignment="1">
      <alignment horizontal="center"/>
    </xf>
    <xf numFmtId="0" fontId="12" fillId="0" borderId="0" xfId="5" applyFont="1" applyAlignment="1">
      <alignment horizontal="left"/>
    </xf>
    <xf numFmtId="0" fontId="15" fillId="32" borderId="9" xfId="5" applyFont="1" applyFill="1" applyBorder="1" applyAlignment="1">
      <alignment horizontal="center"/>
    </xf>
    <xf numFmtId="0" fontId="15" fillId="32" borderId="12" xfId="5" applyFont="1" applyFill="1" applyBorder="1" applyAlignment="1">
      <alignment horizontal="center"/>
    </xf>
    <xf numFmtId="0" fontId="16" fillId="0" borderId="13" xfId="5" applyFont="1" applyFill="1" applyBorder="1" applyAlignment="1">
      <alignment horizontal="center"/>
    </xf>
    <xf numFmtId="0" fontId="16" fillId="0" borderId="16" xfId="5" applyFont="1" applyFill="1" applyBorder="1" applyAlignment="1">
      <alignment horizontal="center"/>
    </xf>
    <xf numFmtId="0" fontId="16" fillId="0" borderId="19" xfId="5" applyFont="1" applyFill="1" applyBorder="1" applyAlignment="1">
      <alignment horizontal="center"/>
    </xf>
    <xf numFmtId="0" fontId="16" fillId="33" borderId="15" xfId="5" applyFont="1" applyFill="1" applyBorder="1" applyAlignment="1">
      <alignment horizontal="center"/>
    </xf>
    <xf numFmtId="2" fontId="16" fillId="33" borderId="14" xfId="5" applyNumberFormat="1" applyFont="1" applyFill="1" applyBorder="1" applyAlignment="1">
      <alignment horizontal="center"/>
    </xf>
    <xf numFmtId="2" fontId="16" fillId="33" borderId="23" xfId="5" applyNumberFormat="1" applyFont="1" applyFill="1" applyBorder="1" applyAlignment="1">
      <alignment horizontal="center"/>
    </xf>
    <xf numFmtId="0" fontId="16" fillId="0" borderId="18" xfId="5" applyFont="1" applyFill="1" applyBorder="1" applyAlignment="1">
      <alignment horizontal="center"/>
    </xf>
    <xf numFmtId="0" fontId="16" fillId="0" borderId="21" xfId="5" applyFont="1" applyFill="1" applyBorder="1" applyAlignment="1">
      <alignment horizontal="center"/>
    </xf>
    <xf numFmtId="0" fontId="12" fillId="0" borderId="0" xfId="5" applyFont="1" applyFill="1" applyAlignment="1">
      <alignment horizontal="left"/>
    </xf>
    <xf numFmtId="0" fontId="12" fillId="0" borderId="0" xfId="5" applyFont="1" applyFill="1" applyBorder="1" applyAlignment="1">
      <alignment horizontal="center"/>
    </xf>
    <xf numFmtId="0" fontId="17" fillId="32" borderId="22" xfId="5" applyFont="1" applyFill="1" applyBorder="1" applyAlignment="1">
      <alignment horizontal="left"/>
    </xf>
    <xf numFmtId="0" fontId="17" fillId="32" borderId="24" xfId="5" applyFont="1" applyFill="1" applyBorder="1" applyAlignment="1">
      <alignment horizontal="center"/>
    </xf>
    <xf numFmtId="0" fontId="16" fillId="0" borderId="17" xfId="5" applyFont="1" applyFill="1" applyBorder="1" applyAlignment="1">
      <alignment horizontal="center"/>
    </xf>
    <xf numFmtId="0" fontId="16" fillId="0" borderId="1" xfId="5" applyFont="1" applyFill="1" applyBorder="1" applyAlignment="1">
      <alignment horizontal="center"/>
    </xf>
    <xf numFmtId="0" fontId="16" fillId="0" borderId="20" xfId="5" applyFont="1" applyFill="1" applyBorder="1" applyAlignment="1">
      <alignment horizontal="center"/>
    </xf>
    <xf numFmtId="0" fontId="16" fillId="0" borderId="25" xfId="5" applyFont="1" applyFill="1" applyBorder="1" applyAlignment="1">
      <alignment horizontal="center"/>
    </xf>
    <xf numFmtId="0" fontId="16" fillId="34" borderId="14" xfId="5" applyFont="1" applyFill="1" applyBorder="1" applyAlignment="1">
      <alignment horizontal="center"/>
    </xf>
    <xf numFmtId="0" fontId="16" fillId="34" borderId="15" xfId="5" applyFont="1" applyFill="1" applyBorder="1" applyAlignment="1">
      <alignment horizontal="center"/>
    </xf>
    <xf numFmtId="0" fontId="16" fillId="34" borderId="17" xfId="5" applyFont="1" applyFill="1" applyBorder="1" applyAlignment="1">
      <alignment horizontal="center"/>
    </xf>
    <xf numFmtId="0" fontId="16" fillId="34" borderId="18" xfId="5" applyFont="1" applyFill="1" applyBorder="1" applyAlignment="1">
      <alignment horizontal="center"/>
    </xf>
    <xf numFmtId="0" fontId="16" fillId="34" borderId="20" xfId="5" applyFont="1" applyFill="1" applyBorder="1" applyAlignment="1">
      <alignment horizontal="center"/>
    </xf>
    <xf numFmtId="0" fontId="16" fillId="34" borderId="21" xfId="5" applyFont="1" applyFill="1" applyBorder="1" applyAlignment="1">
      <alignment horizontal="center"/>
    </xf>
    <xf numFmtId="0" fontId="16" fillId="34" borderId="22" xfId="5" applyFont="1" applyFill="1" applyBorder="1" applyAlignment="1">
      <alignment horizontal="center"/>
    </xf>
    <xf numFmtId="2" fontId="16" fillId="34" borderId="17" xfId="5" applyNumberFormat="1" applyFont="1" applyFill="1" applyBorder="1" applyAlignment="1">
      <alignment horizontal="center"/>
    </xf>
    <xf numFmtId="2" fontId="16" fillId="34" borderId="18" xfId="5" applyNumberFormat="1" applyFont="1" applyFill="1" applyBorder="1" applyAlignment="1">
      <alignment horizontal="center"/>
    </xf>
    <xf numFmtId="2" fontId="16" fillId="34" borderId="20" xfId="5" applyNumberFormat="1" applyFont="1" applyFill="1" applyBorder="1" applyAlignment="1">
      <alignment horizontal="center"/>
    </xf>
    <xf numFmtId="2" fontId="16" fillId="34" borderId="21" xfId="5" applyNumberFormat="1" applyFont="1" applyFill="1" applyBorder="1" applyAlignment="1">
      <alignment horizontal="center"/>
    </xf>
    <xf numFmtId="0" fontId="16" fillId="35" borderId="15" xfId="5" applyFont="1" applyFill="1" applyBorder="1" applyAlignment="1">
      <alignment horizontal="center"/>
    </xf>
    <xf numFmtId="2" fontId="16" fillId="35" borderId="14" xfId="5" applyNumberFormat="1" applyFont="1" applyFill="1" applyBorder="1" applyAlignment="1">
      <alignment horizontal="center"/>
    </xf>
    <xf numFmtId="2" fontId="16" fillId="35" borderId="23" xfId="5" applyNumberFormat="1" applyFont="1" applyFill="1" applyBorder="1" applyAlignment="1">
      <alignment horizontal="center"/>
    </xf>
    <xf numFmtId="0" fontId="16" fillId="36" borderId="14" xfId="5" applyFont="1" applyFill="1" applyBorder="1" applyAlignment="1">
      <alignment horizontal="center"/>
    </xf>
    <xf numFmtId="0" fontId="16" fillId="36" borderId="15" xfId="5" applyFont="1" applyFill="1" applyBorder="1" applyAlignment="1">
      <alignment horizontal="center"/>
    </xf>
    <xf numFmtId="0" fontId="16" fillId="36" borderId="17" xfId="5" applyFont="1" applyFill="1" applyBorder="1" applyAlignment="1">
      <alignment horizontal="center"/>
    </xf>
    <xf numFmtId="0" fontId="16" fillId="36" borderId="18" xfId="5" applyFont="1" applyFill="1" applyBorder="1" applyAlignment="1">
      <alignment horizontal="center"/>
    </xf>
    <xf numFmtId="0" fontId="16" fillId="36" borderId="20" xfId="5" applyFont="1" applyFill="1" applyBorder="1" applyAlignment="1">
      <alignment horizontal="center"/>
    </xf>
    <xf numFmtId="0" fontId="16" fillId="36" borderId="21" xfId="5" applyFont="1" applyFill="1" applyBorder="1" applyAlignment="1">
      <alignment horizontal="center"/>
    </xf>
    <xf numFmtId="0" fontId="16" fillId="36" borderId="22" xfId="5" applyFont="1" applyFill="1" applyBorder="1" applyAlignment="1">
      <alignment horizontal="center"/>
    </xf>
    <xf numFmtId="2" fontId="16" fillId="36" borderId="17" xfId="5" applyNumberFormat="1" applyFont="1" applyFill="1" applyBorder="1" applyAlignment="1">
      <alignment horizontal="center"/>
    </xf>
    <xf numFmtId="2" fontId="16" fillId="36" borderId="18" xfId="5" applyNumberFormat="1" applyFont="1" applyFill="1" applyBorder="1" applyAlignment="1">
      <alignment horizontal="center"/>
    </xf>
    <xf numFmtId="2" fontId="16" fillId="36" borderId="20" xfId="5" applyNumberFormat="1" applyFont="1" applyFill="1" applyBorder="1" applyAlignment="1">
      <alignment horizontal="center"/>
    </xf>
    <xf numFmtId="2" fontId="16" fillId="36" borderId="21" xfId="5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ont="1"/>
    <xf numFmtId="0" fontId="21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2" borderId="1" xfId="1" applyFont="1" applyFill="1" applyBorder="1" applyAlignment="1">
      <alignment horizontal="center" vertical="center"/>
    </xf>
    <xf numFmtId="0" fontId="23" fillId="0" borderId="1" xfId="1" applyFont="1" applyFill="1" applyBorder="1" applyAlignment="1">
      <alignment horizontal="center" vertical="center"/>
    </xf>
    <xf numFmtId="0" fontId="14" fillId="0" borderId="0" xfId="0" applyFont="1"/>
    <xf numFmtId="0" fontId="24" fillId="0" borderId="27" xfId="1" applyFont="1" applyFill="1" applyBorder="1" applyAlignment="1">
      <alignment horizontal="center" vertical="center"/>
    </xf>
    <xf numFmtId="0" fontId="24" fillId="0" borderId="28" xfId="1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4" fillId="0" borderId="29" xfId="1" applyFont="1" applyFill="1" applyBorder="1" applyAlignment="1">
      <alignment horizontal="center" vertical="center"/>
    </xf>
    <xf numFmtId="0" fontId="24" fillId="0" borderId="30" xfId="1" applyFont="1" applyFill="1" applyBorder="1" applyAlignment="1">
      <alignment horizontal="center" vertical="center"/>
    </xf>
    <xf numFmtId="0" fontId="24" fillId="0" borderId="2" xfId="1" applyFont="1" applyFill="1" applyBorder="1" applyAlignment="1">
      <alignment horizontal="center" vertical="center"/>
    </xf>
    <xf numFmtId="0" fontId="24" fillId="0" borderId="3" xfId="1" applyFont="1" applyFill="1" applyBorder="1" applyAlignment="1">
      <alignment horizontal="center" vertical="center"/>
    </xf>
    <xf numFmtId="0" fontId="24" fillId="0" borderId="2" xfId="1" applyFont="1" applyFill="1" applyBorder="1" applyAlignment="1" applyProtection="1">
      <alignment horizontal="center" vertical="center"/>
      <protection locked="0"/>
    </xf>
    <xf numFmtId="0" fontId="24" fillId="0" borderId="3" xfId="1" applyFont="1" applyFill="1" applyBorder="1" applyAlignment="1" applyProtection="1">
      <alignment horizontal="center" vertical="center"/>
      <protection locked="0"/>
    </xf>
    <xf numFmtId="0" fontId="24" fillId="0" borderId="2" xfId="0" applyFont="1" applyFill="1" applyBorder="1" applyAlignment="1" applyProtection="1">
      <alignment horizontal="center" vertical="center"/>
      <protection locked="0"/>
    </xf>
    <xf numFmtId="0" fontId="24" fillId="0" borderId="3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24" fillId="0" borderId="27" xfId="0" applyFont="1" applyFill="1" applyBorder="1" applyAlignment="1" applyProtection="1">
      <alignment horizontal="center" vertical="center"/>
      <protection locked="0"/>
    </xf>
    <xf numFmtId="0" fontId="24" fillId="0" borderId="28" xfId="0" applyFont="1" applyFill="1" applyBorder="1" applyAlignment="1" applyProtection="1">
      <alignment horizontal="center" vertical="center"/>
      <protection locked="0"/>
    </xf>
    <xf numFmtId="0" fontId="24" fillId="0" borderId="27" xfId="1" applyFont="1" applyBorder="1" applyAlignment="1" applyProtection="1">
      <alignment horizontal="center" vertical="center"/>
      <protection locked="0"/>
    </xf>
    <xf numFmtId="0" fontId="24" fillId="0" borderId="28" xfId="1" applyFont="1" applyBorder="1" applyAlignment="1" applyProtection="1">
      <alignment horizontal="center" vertical="center"/>
      <protection locked="0"/>
    </xf>
    <xf numFmtId="0" fontId="24" fillId="0" borderId="27" xfId="1" applyFont="1" applyFill="1" applyBorder="1" applyAlignment="1" applyProtection="1">
      <alignment horizontal="center" vertical="center"/>
      <protection locked="0"/>
    </xf>
    <xf numFmtId="0" fontId="24" fillId="0" borderId="28" xfId="1" applyFont="1" applyFill="1" applyBorder="1" applyAlignment="1" applyProtection="1">
      <alignment horizontal="center" vertical="center"/>
      <protection locked="0"/>
    </xf>
    <xf numFmtId="0" fontId="26" fillId="0" borderId="27" xfId="1" applyFont="1" applyFill="1" applyBorder="1" applyAlignment="1" applyProtection="1">
      <alignment horizontal="center" vertical="center"/>
      <protection locked="0"/>
    </xf>
    <xf numFmtId="0" fontId="26" fillId="0" borderId="28" xfId="1" applyFont="1" applyFill="1" applyBorder="1" applyAlignment="1" applyProtection="1">
      <alignment horizontal="center" vertical="center"/>
      <protection locked="0"/>
    </xf>
    <xf numFmtId="0" fontId="24" fillId="0" borderId="2" xfId="1" applyFont="1" applyBorder="1" applyAlignment="1" applyProtection="1">
      <alignment horizontal="center" vertical="center"/>
      <protection locked="0"/>
    </xf>
    <xf numFmtId="0" fontId="24" fillId="0" borderId="3" xfId="1" applyFont="1" applyBorder="1" applyAlignment="1" applyProtection="1">
      <alignment horizontal="center" vertical="center"/>
      <protection locked="0"/>
    </xf>
    <xf numFmtId="0" fontId="23" fillId="0" borderId="1" xfId="1" applyFont="1" applyFill="1" applyBorder="1" applyAlignment="1">
      <alignment horizontal="center" vertical="center" wrapText="1"/>
    </xf>
    <xf numFmtId="0" fontId="24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3" xfId="1" applyFont="1" applyFill="1" applyBorder="1" applyAlignment="1" applyProtection="1">
      <alignment horizontal="center" vertical="center" wrapText="1"/>
      <protection locked="0"/>
    </xf>
    <xf numFmtId="0" fontId="24" fillId="0" borderId="2" xfId="0" applyFont="1" applyFill="1" applyBorder="1" applyAlignment="1" applyProtection="1">
      <alignment horizontal="center" vertical="center" wrapText="1"/>
      <protection locked="0"/>
    </xf>
    <xf numFmtId="0" fontId="24" fillId="0" borderId="3" xfId="0" applyFont="1" applyFill="1" applyBorder="1" applyAlignment="1" applyProtection="1">
      <alignment horizontal="center" vertical="center" wrapText="1"/>
      <protection locked="0"/>
    </xf>
    <xf numFmtId="0" fontId="26" fillId="0" borderId="2" xfId="1" applyFont="1" applyFill="1" applyBorder="1" applyAlignment="1" applyProtection="1">
      <alignment horizontal="center" vertical="center" wrapText="1"/>
      <protection locked="0"/>
    </xf>
    <xf numFmtId="0" fontId="26" fillId="0" borderId="3" xfId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2" fillId="3" borderId="1" xfId="2" applyFont="1" applyFill="1" applyBorder="1" applyAlignment="1">
      <alignment horizontal="center"/>
    </xf>
    <xf numFmtId="0" fontId="12" fillId="29" borderId="1" xfId="2" applyFont="1" applyFill="1" applyBorder="1" applyAlignment="1">
      <alignment horizontal="center"/>
    </xf>
    <xf numFmtId="0" fontId="12" fillId="6" borderId="1" xfId="2" applyFont="1" applyFill="1" applyBorder="1" applyAlignment="1">
      <alignment horizontal="center"/>
    </xf>
    <xf numFmtId="0" fontId="12" fillId="10" borderId="1" xfId="2" applyFont="1" applyFill="1" applyBorder="1" applyAlignment="1">
      <alignment horizontal="center"/>
    </xf>
    <xf numFmtId="0" fontId="12" fillId="16" borderId="1" xfId="2" applyFont="1" applyFill="1" applyBorder="1" applyAlignment="1">
      <alignment horizontal="center"/>
    </xf>
    <xf numFmtId="0" fontId="12" fillId="26" borderId="1" xfId="2" applyFont="1" applyFill="1" applyBorder="1" applyAlignment="1">
      <alignment horizontal="center"/>
    </xf>
    <xf numFmtId="0" fontId="12" fillId="24" borderId="1" xfId="2" applyFont="1" applyFill="1" applyBorder="1" applyAlignment="1">
      <alignment horizontal="center"/>
    </xf>
    <xf numFmtId="0" fontId="12" fillId="25" borderId="1" xfId="2" applyFont="1" applyFill="1" applyBorder="1" applyAlignment="1">
      <alignment horizontal="center"/>
    </xf>
    <xf numFmtId="0" fontId="12" fillId="28" borderId="1" xfId="2" applyFont="1" applyFill="1" applyBorder="1" applyAlignment="1">
      <alignment horizontal="center"/>
    </xf>
    <xf numFmtId="0" fontId="12" fillId="22" borderId="1" xfId="2" applyFont="1" applyFill="1" applyBorder="1" applyAlignment="1">
      <alignment horizontal="center"/>
    </xf>
    <xf numFmtId="0" fontId="12" fillId="30" borderId="1" xfId="2" applyFont="1" applyFill="1" applyBorder="1" applyAlignment="1">
      <alignment horizontal="center"/>
    </xf>
    <xf numFmtId="0" fontId="12" fillId="20" borderId="1" xfId="2" applyFont="1" applyFill="1" applyBorder="1" applyAlignment="1">
      <alignment horizontal="center"/>
    </xf>
    <xf numFmtId="0" fontId="12" fillId="4" borderId="1" xfId="2" applyFont="1" applyFill="1" applyBorder="1" applyAlignment="1">
      <alignment horizontal="center"/>
    </xf>
    <xf numFmtId="0" fontId="12" fillId="8" borderId="1" xfId="2" applyFont="1" applyFill="1" applyBorder="1" applyAlignment="1">
      <alignment horizontal="center"/>
    </xf>
    <xf numFmtId="0" fontId="12" fillId="11" borderId="1" xfId="2" applyFont="1" applyFill="1" applyBorder="1" applyAlignment="1">
      <alignment horizontal="center"/>
    </xf>
    <xf numFmtId="0" fontId="12" fillId="23" borderId="1" xfId="2" applyFont="1" applyFill="1" applyBorder="1" applyAlignment="1">
      <alignment horizontal="center"/>
    </xf>
    <xf numFmtId="0" fontId="12" fillId="5" borderId="1" xfId="2" applyFont="1" applyFill="1" applyBorder="1" applyAlignment="1">
      <alignment horizontal="center"/>
    </xf>
    <xf numFmtId="0" fontId="12" fillId="9" borderId="1" xfId="2" applyFont="1" applyFill="1" applyBorder="1" applyAlignment="1">
      <alignment horizontal="center"/>
    </xf>
    <xf numFmtId="0" fontId="12" fillId="13" borderId="1" xfId="2" applyFont="1" applyFill="1" applyBorder="1" applyAlignment="1">
      <alignment horizontal="center"/>
    </xf>
    <xf numFmtId="0" fontId="12" fillId="18" borderId="1" xfId="2" applyFont="1" applyFill="1" applyBorder="1" applyAlignment="1">
      <alignment horizontal="center"/>
    </xf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3" xfId="1" applyFont="1" applyFill="1" applyBorder="1" applyAlignment="1" applyProtection="1">
      <alignment horizontal="center" vertical="center" wrapText="1"/>
      <protection locked="0"/>
    </xf>
    <xf numFmtId="0" fontId="12" fillId="16" borderId="1" xfId="2" applyFont="1" applyFill="1" applyBorder="1" applyAlignment="1">
      <alignment horizontal="center" vertical="center"/>
    </xf>
    <xf numFmtId="0" fontId="12" fillId="13" borderId="1" xfId="2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12" fillId="18" borderId="1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2" fillId="0" borderId="0" xfId="2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12" fillId="0" borderId="33" xfId="2" applyFont="1" applyFill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2" fillId="0" borderId="30" xfId="2" applyFont="1" applyFill="1" applyBorder="1" applyAlignment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24" borderId="4" xfId="2" applyFont="1" applyFill="1" applyBorder="1" applyAlignment="1">
      <alignment horizontal="center" vertical="center"/>
    </xf>
    <xf numFmtId="0" fontId="16" fillId="3" borderId="4" xfId="2" applyFont="1" applyFill="1" applyBorder="1" applyAlignment="1">
      <alignment horizontal="center" vertical="center"/>
    </xf>
    <xf numFmtId="0" fontId="16" fillId="20" borderId="1" xfId="2" applyFont="1" applyFill="1" applyBorder="1" applyAlignment="1">
      <alignment horizontal="center" vertical="center"/>
    </xf>
    <xf numFmtId="0" fontId="16" fillId="25" borderId="4" xfId="2" applyFont="1" applyFill="1" applyBorder="1" applyAlignment="1">
      <alignment horizontal="center" vertical="center"/>
    </xf>
    <xf numFmtId="0" fontId="16" fillId="29" borderId="4" xfId="2" applyFont="1" applyFill="1" applyBorder="1" applyAlignment="1">
      <alignment horizontal="center" vertical="center"/>
    </xf>
    <xf numFmtId="0" fontId="16" fillId="22" borderId="1" xfId="2" applyFont="1" applyFill="1" applyBorder="1" applyAlignment="1">
      <alignment horizontal="center" vertical="center"/>
    </xf>
    <xf numFmtId="0" fontId="24" fillId="0" borderId="32" xfId="1" applyFont="1" applyBorder="1" applyAlignment="1" applyProtection="1">
      <alignment horizontal="center" vertical="center"/>
      <protection locked="0"/>
    </xf>
    <xf numFmtId="0" fontId="24" fillId="0" borderId="32" xfId="1" applyFont="1" applyFill="1" applyBorder="1" applyAlignment="1" applyProtection="1">
      <alignment horizontal="center" vertical="center" wrapText="1"/>
      <protection locked="0"/>
    </xf>
    <xf numFmtId="0" fontId="16" fillId="8" borderId="4" xfId="2" applyFont="1" applyFill="1" applyBorder="1" applyAlignment="1">
      <alignment horizontal="center" vertical="center"/>
    </xf>
    <xf numFmtId="0" fontId="16" fillId="30" borderId="4" xfId="2" applyFont="1" applyFill="1" applyBorder="1" applyAlignment="1">
      <alignment horizontal="center" vertical="center"/>
    </xf>
    <xf numFmtId="0" fontId="16" fillId="30" borderId="1" xfId="2" applyFont="1" applyFill="1" applyBorder="1" applyAlignment="1">
      <alignment horizontal="center" vertical="center"/>
    </xf>
    <xf numFmtId="0" fontId="16" fillId="22" borderId="4" xfId="2" applyFont="1" applyFill="1" applyBorder="1" applyAlignment="1">
      <alignment horizontal="center" vertical="center"/>
    </xf>
    <xf numFmtId="0" fontId="16" fillId="3" borderId="1" xfId="2" applyFont="1" applyFill="1" applyBorder="1" applyAlignment="1">
      <alignment horizontal="center" vertical="center"/>
    </xf>
    <xf numFmtId="0" fontId="16" fillId="29" borderId="1" xfId="2" applyFont="1" applyFill="1" applyBorder="1" applyAlignment="1">
      <alignment horizontal="center" vertical="center"/>
    </xf>
    <xf numFmtId="0" fontId="24" fillId="0" borderId="31" xfId="1" applyFont="1" applyFill="1" applyBorder="1" applyAlignment="1">
      <alignment horizontal="center" vertical="center"/>
    </xf>
    <xf numFmtId="0" fontId="16" fillId="4" borderId="1" xfId="2" applyFont="1" applyFill="1" applyBorder="1" applyAlignment="1">
      <alignment horizontal="center" vertical="center"/>
    </xf>
    <xf numFmtId="0" fontId="25" fillId="6" borderId="4" xfId="2" applyFont="1" applyFill="1" applyBorder="1" applyAlignment="1">
      <alignment horizontal="center" vertical="center"/>
    </xf>
    <xf numFmtId="0" fontId="16" fillId="8" borderId="1" xfId="2" applyFont="1" applyFill="1" applyBorder="1" applyAlignment="1">
      <alignment horizontal="center" vertical="center"/>
    </xf>
    <xf numFmtId="0" fontId="16" fillId="15" borderId="4" xfId="2" applyFont="1" applyFill="1" applyBorder="1" applyAlignment="1">
      <alignment horizontal="center" vertical="center"/>
    </xf>
    <xf numFmtId="0" fontId="16" fillId="11" borderId="1" xfId="2" applyFont="1" applyFill="1" applyBorder="1" applyAlignment="1">
      <alignment horizontal="center" vertical="center"/>
    </xf>
    <xf numFmtId="0" fontId="16" fillId="16" borderId="4" xfId="2" applyFont="1" applyFill="1" applyBorder="1" applyAlignment="1">
      <alignment horizontal="center" vertical="center"/>
    </xf>
    <xf numFmtId="0" fontId="24" fillId="0" borderId="31" xfId="1" applyFont="1" applyFill="1" applyBorder="1" applyAlignment="1" applyProtection="1">
      <alignment horizontal="center" vertical="center"/>
      <protection locked="0"/>
    </xf>
    <xf numFmtId="0" fontId="16" fillId="23" borderId="1" xfId="2" applyFont="1" applyFill="1" applyBorder="1" applyAlignment="1">
      <alignment horizontal="center" vertical="center"/>
    </xf>
    <xf numFmtId="0" fontId="16" fillId="18" borderId="4" xfId="2" applyFont="1" applyFill="1" applyBorder="1" applyAlignment="1">
      <alignment horizontal="center" vertical="center"/>
    </xf>
    <xf numFmtId="0" fontId="16" fillId="5" borderId="1" xfId="2" applyFont="1" applyFill="1" applyBorder="1" applyAlignment="1">
      <alignment horizontal="center" vertical="center"/>
    </xf>
    <xf numFmtId="0" fontId="16" fillId="26" borderId="4" xfId="2" applyFont="1" applyFill="1" applyBorder="1" applyAlignment="1">
      <alignment horizontal="center" vertical="center"/>
    </xf>
    <xf numFmtId="0" fontId="16" fillId="6" borderId="1" xfId="2" applyFont="1" applyFill="1" applyBorder="1" applyAlignment="1">
      <alignment horizontal="center" vertical="center"/>
    </xf>
    <xf numFmtId="0" fontId="16" fillId="9" borderId="1" xfId="2" applyFont="1" applyFill="1" applyBorder="1" applyAlignment="1">
      <alignment horizontal="center" vertical="center"/>
    </xf>
    <xf numFmtId="0" fontId="16" fillId="10" borderId="1" xfId="2" applyFont="1" applyFill="1" applyBorder="1" applyAlignment="1">
      <alignment horizontal="center" vertical="center"/>
    </xf>
    <xf numFmtId="0" fontId="16" fillId="13" borderId="1" xfId="2" applyFont="1" applyFill="1" applyBorder="1" applyAlignment="1">
      <alignment horizontal="center" vertical="center"/>
    </xf>
    <xf numFmtId="0" fontId="16" fillId="19" borderId="4" xfId="2" applyFont="1" applyFill="1" applyBorder="1" applyAlignment="1">
      <alignment horizontal="center" vertical="center"/>
    </xf>
    <xf numFmtId="0" fontId="16" fillId="26" borderId="1" xfId="2" applyFont="1" applyFill="1" applyBorder="1" applyAlignment="1">
      <alignment horizontal="center" vertical="center"/>
    </xf>
    <xf numFmtId="0" fontId="16" fillId="18" borderId="1" xfId="2" applyFont="1" applyFill="1" applyBorder="1" applyAlignment="1">
      <alignment horizontal="center" vertical="center"/>
    </xf>
    <xf numFmtId="0" fontId="16" fillId="16" borderId="1" xfId="2" applyFont="1" applyFill="1" applyBorder="1" applyAlignment="1">
      <alignment horizontal="center" vertical="center"/>
    </xf>
    <xf numFmtId="0" fontId="16" fillId="24" borderId="1" xfId="2" applyFont="1" applyFill="1" applyBorder="1" applyAlignment="1">
      <alignment horizontal="center" vertical="center"/>
    </xf>
    <xf numFmtId="0" fontId="16" fillId="25" borderId="1" xfId="2" applyFont="1" applyFill="1" applyBorder="1" applyAlignment="1">
      <alignment horizontal="center" vertical="center"/>
    </xf>
    <xf numFmtId="0" fontId="16" fillId="28" borderId="1" xfId="2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16" fillId="24" borderId="4" xfId="2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6" fillId="18" borderId="4" xfId="2" applyFont="1" applyFill="1" applyBorder="1" applyAlignment="1">
      <alignment horizontal="center"/>
    </xf>
    <xf numFmtId="0" fontId="16" fillId="22" borderId="1" xfId="2" applyFont="1" applyFill="1" applyBorder="1" applyAlignment="1">
      <alignment horizontal="center"/>
    </xf>
    <xf numFmtId="0" fontId="16" fillId="25" borderId="4" xfId="2" applyFont="1" applyFill="1" applyBorder="1" applyAlignment="1">
      <alignment horizontal="center"/>
    </xf>
    <xf numFmtId="0" fontId="16" fillId="26" borderId="4" xfId="2" applyFont="1" applyFill="1" applyBorder="1" applyAlignment="1">
      <alignment horizontal="center"/>
    </xf>
    <xf numFmtId="0" fontId="16" fillId="30" borderId="4" xfId="2" applyFont="1" applyFill="1" applyBorder="1" applyAlignment="1">
      <alignment horizontal="center"/>
    </xf>
    <xf numFmtId="0" fontId="16" fillId="30" borderId="1" xfId="2" applyFont="1" applyFill="1" applyBorder="1" applyAlignment="1">
      <alignment horizontal="center"/>
    </xf>
    <xf numFmtId="0" fontId="16" fillId="11" borderId="1" xfId="2" applyFont="1" applyFill="1" applyBorder="1" applyAlignment="1">
      <alignment horizontal="center"/>
    </xf>
    <xf numFmtId="0" fontId="16" fillId="27" borderId="1" xfId="2" applyFont="1" applyFill="1" applyBorder="1" applyAlignment="1">
      <alignment horizontal="center"/>
    </xf>
    <xf numFmtId="0" fontId="16" fillId="5" borderId="4" xfId="2" applyFont="1" applyFill="1" applyBorder="1" applyAlignment="1">
      <alignment horizontal="center"/>
    </xf>
    <xf numFmtId="0" fontId="25" fillId="6" borderId="4" xfId="2" applyFont="1" applyFill="1" applyBorder="1" applyAlignment="1">
      <alignment horizontal="center"/>
    </xf>
    <xf numFmtId="0" fontId="16" fillId="25" borderId="1" xfId="2" applyFont="1" applyFill="1" applyBorder="1" applyAlignment="1">
      <alignment horizontal="center"/>
    </xf>
    <xf numFmtId="0" fontId="16" fillId="11" borderId="4" xfId="2" applyFont="1" applyFill="1" applyBorder="1" applyAlignment="1">
      <alignment horizontal="center"/>
    </xf>
    <xf numFmtId="0" fontId="16" fillId="19" borderId="4" xfId="2" applyFont="1" applyFill="1" applyBorder="1" applyAlignment="1">
      <alignment horizontal="center"/>
    </xf>
    <xf numFmtId="0" fontId="16" fillId="6" borderId="1" xfId="2" applyFont="1" applyFill="1" applyBorder="1" applyAlignment="1">
      <alignment horizontal="center"/>
    </xf>
    <xf numFmtId="0" fontId="16" fillId="22" borderId="4" xfId="2" applyFont="1" applyFill="1" applyBorder="1" applyAlignment="1">
      <alignment horizontal="center"/>
    </xf>
    <xf numFmtId="0" fontId="16" fillId="10" borderId="1" xfId="2" applyFont="1" applyFill="1" applyBorder="1" applyAlignment="1">
      <alignment horizontal="center"/>
    </xf>
    <xf numFmtId="0" fontId="16" fillId="27" borderId="4" xfId="2" applyFont="1" applyFill="1" applyBorder="1" applyAlignment="1">
      <alignment horizontal="center"/>
    </xf>
    <xf numFmtId="0" fontId="16" fillId="12" borderId="1" xfId="2" applyFont="1" applyFill="1" applyBorder="1" applyAlignment="1">
      <alignment horizontal="center"/>
    </xf>
    <xf numFmtId="0" fontId="16" fillId="18" borderId="1" xfId="2" applyFont="1" applyFill="1" applyBorder="1" applyAlignment="1">
      <alignment horizontal="center"/>
    </xf>
    <xf numFmtId="0" fontId="16" fillId="26" borderId="1" xfId="2" applyFont="1" applyFill="1" applyBorder="1" applyAlignment="1">
      <alignment horizontal="center"/>
    </xf>
    <xf numFmtId="0" fontId="16" fillId="13" borderId="1" xfId="2" applyFont="1" applyFill="1" applyBorder="1" applyAlignment="1">
      <alignment horizontal="center"/>
    </xf>
    <xf numFmtId="0" fontId="16" fillId="6" borderId="4" xfId="2" applyFont="1" applyFill="1" applyBorder="1" applyAlignment="1">
      <alignment horizontal="center"/>
    </xf>
    <xf numFmtId="0" fontId="16" fillId="3" borderId="1" xfId="2" applyFont="1" applyFill="1" applyBorder="1" applyAlignment="1">
      <alignment horizontal="center"/>
    </xf>
    <xf numFmtId="0" fontId="16" fillId="29" borderId="1" xfId="2" applyFont="1" applyFill="1" applyBorder="1" applyAlignment="1">
      <alignment horizontal="center"/>
    </xf>
    <xf numFmtId="0" fontId="16" fillId="8" borderId="1" xfId="2" applyFont="1" applyFill="1" applyBorder="1" applyAlignment="1">
      <alignment horizontal="center"/>
    </xf>
    <xf numFmtId="0" fontId="16" fillId="16" borderId="1" xfId="2" applyFont="1" applyFill="1" applyBorder="1" applyAlignment="1">
      <alignment horizontal="center"/>
    </xf>
    <xf numFmtId="0" fontId="16" fillId="4" borderId="1" xfId="2" applyFont="1" applyFill="1" applyBorder="1" applyAlignment="1">
      <alignment horizontal="center"/>
    </xf>
    <xf numFmtId="0" fontId="16" fillId="24" borderId="1" xfId="2" applyFont="1" applyFill="1" applyBorder="1" applyAlignment="1">
      <alignment horizontal="center"/>
    </xf>
    <xf numFmtId="0" fontId="16" fillId="23" borderId="1" xfId="2" applyFont="1" applyFill="1" applyBorder="1" applyAlignment="1">
      <alignment horizontal="center"/>
    </xf>
    <xf numFmtId="0" fontId="16" fillId="5" borderId="1" xfId="2" applyFont="1" applyFill="1" applyBorder="1" applyAlignment="1">
      <alignment horizontal="center"/>
    </xf>
    <xf numFmtId="0" fontId="12" fillId="12" borderId="1" xfId="2" applyFont="1" applyFill="1" applyBorder="1" applyAlignment="1">
      <alignment horizontal="center"/>
    </xf>
    <xf numFmtId="0" fontId="16" fillId="9" borderId="1" xfId="2" applyFont="1" applyFill="1" applyBorder="1" applyAlignment="1">
      <alignment horizontal="center"/>
    </xf>
    <xf numFmtId="0" fontId="16" fillId="15" borderId="1" xfId="2" applyFont="1" applyFill="1" applyBorder="1" applyAlignment="1">
      <alignment horizontal="center"/>
    </xf>
    <xf numFmtId="0" fontId="12" fillId="15" borderId="1" xfId="2" applyFont="1" applyFill="1" applyBorder="1" applyAlignment="1">
      <alignment horizontal="center"/>
    </xf>
    <xf numFmtId="0" fontId="16" fillId="7" borderId="1" xfId="2" applyFont="1" applyFill="1" applyBorder="1" applyAlignment="1">
      <alignment horizontal="center"/>
    </xf>
    <xf numFmtId="0" fontId="12" fillId="7" borderId="1" xfId="2" applyFont="1" applyFill="1" applyBorder="1" applyAlignment="1">
      <alignment horizontal="center"/>
    </xf>
    <xf numFmtId="0" fontId="16" fillId="20" borderId="1" xfId="2" applyFont="1" applyFill="1" applyBorder="1" applyAlignment="1">
      <alignment horizontal="center"/>
    </xf>
    <xf numFmtId="0" fontId="16" fillId="28" borderId="1" xfId="2" applyFont="1" applyFill="1" applyBorder="1" applyAlignment="1">
      <alignment horizontal="center"/>
    </xf>
    <xf numFmtId="0" fontId="16" fillId="19" borderId="1" xfId="2" applyFont="1" applyFill="1" applyBorder="1" applyAlignment="1">
      <alignment horizontal="center"/>
    </xf>
    <xf numFmtId="0" fontId="12" fillId="19" borderId="1" xfId="2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</cellXfs>
  <cellStyles count="25">
    <cellStyle name="Excel Built-in Hyperlink" xfId="3"/>
    <cellStyle name="Excel Built-in Normal" xfId="2"/>
    <cellStyle name="Hyperlink 2" xfId="4"/>
    <cellStyle name="Normal" xfId="0" builtinId="0"/>
    <cellStyle name="Normal 11" xfId="5"/>
    <cellStyle name="Normal 12" xfId="6"/>
    <cellStyle name="Normal 17" xfId="7"/>
    <cellStyle name="Normal 2" xfId="1"/>
    <cellStyle name="Normal 2 2" xfId="8"/>
    <cellStyle name="Normal 2 3" xfId="9"/>
    <cellStyle name="Normal 2 4" xfId="10"/>
    <cellStyle name="Normal 20" xfId="11"/>
    <cellStyle name="Normal 20 2" xfId="12"/>
    <cellStyle name="Normal 25" xfId="13"/>
    <cellStyle name="Normal 27" xfId="14"/>
    <cellStyle name="Normal 29" xfId="15"/>
    <cellStyle name="Normal 3" xfId="16"/>
    <cellStyle name="Normal 3 2" xfId="17"/>
    <cellStyle name="Normal 3 3" xfId="18"/>
    <cellStyle name="Normal 30" xfId="19"/>
    <cellStyle name="Normal 4" xfId="20"/>
    <cellStyle name="Normal 6" xfId="21"/>
    <cellStyle name="Normal 7" xfId="22"/>
    <cellStyle name="Nota 2" xfId="23"/>
    <cellStyle name="Nota 3" xfId="24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FFC269"/>
      <color rgb="FF99FFCC"/>
      <color rgb="FFCC990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26"/>
  <sheetViews>
    <sheetView zoomScale="110" zoomScaleNormal="110" workbookViewId="0">
      <selection sqref="A1:E1"/>
    </sheetView>
  </sheetViews>
  <sheetFormatPr defaultRowHeight="12.75"/>
  <cols>
    <col min="1" max="1" width="36" style="140" customWidth="1"/>
    <col min="2" max="3" width="21.5703125" style="140" customWidth="1"/>
    <col min="4" max="4" width="21.140625" style="140" customWidth="1"/>
    <col min="5" max="5" width="18.28515625" style="141" customWidth="1"/>
    <col min="6" max="16384" width="9.140625" style="141"/>
  </cols>
  <sheetData>
    <row r="1" spans="1:5" ht="60.75" customHeight="1" thickBot="1">
      <c r="A1" s="266" t="s">
        <v>1781</v>
      </c>
      <c r="B1" s="267"/>
      <c r="C1" s="267"/>
      <c r="D1" s="267"/>
      <c r="E1" s="267"/>
    </row>
    <row r="2" spans="1:5" s="146" customFormat="1" ht="24" customHeight="1" thickBot="1">
      <c r="A2" s="142"/>
      <c r="B2" s="143" t="s">
        <v>1753</v>
      </c>
      <c r="C2" s="144"/>
      <c r="D2" s="144"/>
      <c r="E2" s="145"/>
    </row>
    <row r="3" spans="1:5" s="146" customFormat="1" ht="15.75" thickBot="1">
      <c r="A3" s="142"/>
      <c r="B3" s="147" t="s">
        <v>1754</v>
      </c>
      <c r="C3" s="147" t="s">
        <v>1755</v>
      </c>
      <c r="D3" s="147" t="s">
        <v>1756</v>
      </c>
      <c r="E3" s="148" t="s">
        <v>1757</v>
      </c>
    </row>
    <row r="4" spans="1:5" s="146" customFormat="1" ht="15">
      <c r="A4" s="149" t="s">
        <v>1758</v>
      </c>
      <c r="B4" s="179">
        <v>294</v>
      </c>
      <c r="C4" s="179">
        <v>285</v>
      </c>
      <c r="D4" s="179">
        <v>295</v>
      </c>
      <c r="E4" s="180">
        <f>SUM(B4:D4)</f>
        <v>874</v>
      </c>
    </row>
    <row r="5" spans="1:5" s="146" customFormat="1" ht="15">
      <c r="A5" s="150" t="s">
        <v>1759</v>
      </c>
      <c r="B5" s="181">
        <v>724</v>
      </c>
      <c r="C5" s="181">
        <v>867</v>
      </c>
      <c r="D5" s="181">
        <v>767</v>
      </c>
      <c r="E5" s="182">
        <f t="shared" ref="E5:E14" si="0">SUM(B5:D5)</f>
        <v>2358</v>
      </c>
    </row>
    <row r="6" spans="1:5" s="146" customFormat="1" ht="15.75" thickBot="1">
      <c r="A6" s="151" t="s">
        <v>1652</v>
      </c>
      <c r="B6" s="183">
        <v>2888</v>
      </c>
      <c r="C6" s="183">
        <v>3227</v>
      </c>
      <c r="D6" s="183">
        <v>2947</v>
      </c>
      <c r="E6" s="184">
        <f t="shared" si="0"/>
        <v>9062</v>
      </c>
    </row>
    <row r="7" spans="1:5" s="146" customFormat="1" ht="15">
      <c r="A7" s="149" t="s">
        <v>1653</v>
      </c>
      <c r="B7" s="185">
        <v>2470</v>
      </c>
      <c r="C7" s="185">
        <v>2724</v>
      </c>
      <c r="D7" s="185">
        <v>2525</v>
      </c>
      <c r="E7" s="180">
        <f t="shared" si="0"/>
        <v>7719</v>
      </c>
    </row>
    <row r="8" spans="1:5" s="146" customFormat="1" ht="15">
      <c r="A8" s="150" t="s">
        <v>1654</v>
      </c>
      <c r="B8" s="181">
        <v>418</v>
      </c>
      <c r="C8" s="181">
        <v>491</v>
      </c>
      <c r="D8" s="181">
        <v>411</v>
      </c>
      <c r="E8" s="182">
        <f t="shared" si="0"/>
        <v>1320</v>
      </c>
    </row>
    <row r="9" spans="1:5" s="146" customFormat="1" ht="15.75" thickBot="1">
      <c r="A9" s="151" t="s">
        <v>1655</v>
      </c>
      <c r="B9" s="183">
        <v>0</v>
      </c>
      <c r="C9" s="183">
        <v>12</v>
      </c>
      <c r="D9" s="183">
        <v>11</v>
      </c>
      <c r="E9" s="184">
        <f t="shared" si="0"/>
        <v>23</v>
      </c>
    </row>
    <row r="10" spans="1:5" s="146" customFormat="1" ht="15">
      <c r="A10" s="152" t="s">
        <v>1760</v>
      </c>
      <c r="B10" s="153">
        <f>B6/D22</f>
        <v>5.9485066941297635</v>
      </c>
      <c r="C10" s="153">
        <f>C6/$D$22</f>
        <v>6.6467559217301755</v>
      </c>
      <c r="D10" s="153">
        <f>D6/$D$22</f>
        <v>6.0700308959835221</v>
      </c>
      <c r="E10" s="154">
        <f t="shared" si="0"/>
        <v>18.665293511843462</v>
      </c>
    </row>
    <row r="11" spans="1:5" s="146" customFormat="1" ht="15">
      <c r="A11" s="155" t="s">
        <v>1761</v>
      </c>
      <c r="B11" s="186">
        <f>$B$10*$D19</f>
        <v>1023.7380020597323</v>
      </c>
      <c r="C11" s="186">
        <f>$C$10*$D19</f>
        <v>1143.9066941297631</v>
      </c>
      <c r="D11" s="186">
        <f>$D$10*$D19</f>
        <v>1044.6523171987642</v>
      </c>
      <c r="E11" s="187">
        <f t="shared" si="0"/>
        <v>3212.2970133882595</v>
      </c>
    </row>
    <row r="12" spans="1:5" s="146" customFormat="1" ht="15">
      <c r="A12" s="155" t="s">
        <v>1762</v>
      </c>
      <c r="B12" s="186">
        <f>$B$10*D20</f>
        <v>1222.4181256436664</v>
      </c>
      <c r="C12" s="186">
        <f>$C$10*$D20</f>
        <v>1365.9083419155511</v>
      </c>
      <c r="D12" s="186">
        <f>$D$10*$D20</f>
        <v>1247.3913491246137</v>
      </c>
      <c r="E12" s="187">
        <f t="shared" si="0"/>
        <v>3835.7178166838312</v>
      </c>
    </row>
    <row r="13" spans="1:5" s="146" customFormat="1" ht="15">
      <c r="A13" s="155" t="s">
        <v>1763</v>
      </c>
      <c r="B13" s="186">
        <f>$B$10*D21</f>
        <v>641.84387229660149</v>
      </c>
      <c r="C13" s="186">
        <f>$C$10*$D21</f>
        <v>717.18496395468594</v>
      </c>
      <c r="D13" s="186">
        <f>$D$10*$D21</f>
        <v>654.95633367662208</v>
      </c>
      <c r="E13" s="187">
        <f t="shared" si="0"/>
        <v>2013.9851699279095</v>
      </c>
    </row>
    <row r="14" spans="1:5" s="146" customFormat="1" ht="15.75" thickBot="1">
      <c r="A14" s="156" t="s">
        <v>1764</v>
      </c>
      <c r="B14" s="188">
        <f>SUM(B11:B13)</f>
        <v>2888.0000000000005</v>
      </c>
      <c r="C14" s="188">
        <f>SUM(C11:C13)</f>
        <v>3227</v>
      </c>
      <c r="D14" s="188">
        <f>SUM(D11:D13)</f>
        <v>2947</v>
      </c>
      <c r="E14" s="189">
        <f t="shared" si="0"/>
        <v>9062</v>
      </c>
    </row>
    <row r="15" spans="1:5" s="146" customFormat="1">
      <c r="A15" s="142"/>
      <c r="B15" s="142"/>
      <c r="C15" s="142"/>
      <c r="D15" s="142"/>
      <c r="E15" s="157"/>
    </row>
    <row r="17" spans="1:8" s="146" customFormat="1" ht="13.5" thickBot="1">
      <c r="A17" s="142"/>
      <c r="B17" s="158"/>
      <c r="C17" s="142"/>
      <c r="D17" s="142"/>
      <c r="E17" s="157"/>
    </row>
    <row r="18" spans="1:8" s="146" customFormat="1" ht="15.75">
      <c r="A18" s="159" t="s">
        <v>1765</v>
      </c>
      <c r="B18" s="160" t="s">
        <v>1766</v>
      </c>
      <c r="C18" s="160" t="s">
        <v>1658</v>
      </c>
      <c r="D18" s="160" t="s">
        <v>1659</v>
      </c>
      <c r="E18" s="157"/>
    </row>
    <row r="19" spans="1:8" s="146" customFormat="1" ht="15">
      <c r="A19" s="161" t="s">
        <v>1660</v>
      </c>
      <c r="B19" s="162">
        <v>178</v>
      </c>
      <c r="C19" s="162">
        <v>5.9</v>
      </c>
      <c r="D19" s="162">
        <v>172.1</v>
      </c>
      <c r="E19" s="157"/>
    </row>
    <row r="20" spans="1:8" s="146" customFormat="1" ht="15">
      <c r="A20" s="161" t="s">
        <v>1661</v>
      </c>
      <c r="B20" s="162">
        <v>217</v>
      </c>
      <c r="C20" s="162">
        <v>11.5</v>
      </c>
      <c r="D20" s="162">
        <v>205.5</v>
      </c>
      <c r="E20" s="157"/>
    </row>
    <row r="21" spans="1:8" s="146" customFormat="1" ht="15">
      <c r="A21" s="161" t="s">
        <v>1662</v>
      </c>
      <c r="B21" s="162">
        <v>115</v>
      </c>
      <c r="C21" s="162">
        <v>7.1</v>
      </c>
      <c r="D21" s="162">
        <v>107.9</v>
      </c>
      <c r="E21" s="157"/>
    </row>
    <row r="22" spans="1:8" s="146" customFormat="1" ht="15.75" thickBot="1">
      <c r="A22" s="163" t="s">
        <v>1764</v>
      </c>
      <c r="B22" s="164">
        <v>510</v>
      </c>
      <c r="C22" s="164">
        <v>24.5</v>
      </c>
      <c r="D22" s="164">
        <v>485.5</v>
      </c>
      <c r="E22" s="157"/>
    </row>
    <row r="25" spans="1:8">
      <c r="A25" s="79"/>
      <c r="B25" s="79"/>
      <c r="C25" s="79"/>
      <c r="D25" s="79"/>
      <c r="E25" s="103"/>
      <c r="F25" s="103"/>
      <c r="G25" s="103"/>
      <c r="H25" s="103"/>
    </row>
    <row r="26" spans="1:8">
      <c r="A26" s="88"/>
      <c r="B26" s="134"/>
      <c r="C26" s="134"/>
      <c r="D26" s="123"/>
      <c r="E26" s="59"/>
      <c r="F26" s="59"/>
      <c r="G26" s="59"/>
      <c r="H26" s="59"/>
    </row>
  </sheetData>
  <mergeCells count="3">
    <mergeCell ref="A1:E1"/>
    <mergeCell ref="B26:C26"/>
    <mergeCell ref="B2:E2"/>
  </mergeCells>
  <pageMargins left="0.51181102362204722" right="0.51181102362204722" top="0.78740157480314965" bottom="0.78740157480314965" header="0.31496062992125984" footer="0.31496062992125984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J26"/>
  <sheetViews>
    <sheetView zoomScale="110" zoomScaleNormal="110" workbookViewId="0">
      <selection activeCell="B25" sqref="B25"/>
    </sheetView>
  </sheetViews>
  <sheetFormatPr defaultRowHeight="12.75"/>
  <cols>
    <col min="1" max="1" width="36" style="140" customWidth="1"/>
    <col min="2" max="3" width="21.5703125" style="140" customWidth="1"/>
    <col min="4" max="4" width="21.140625" style="140" customWidth="1"/>
    <col min="5" max="5" width="18.28515625" style="141" customWidth="1"/>
    <col min="6" max="16384" width="9.140625" style="141"/>
  </cols>
  <sheetData>
    <row r="1" spans="1:5" ht="60.75" customHeight="1" thickBot="1">
      <c r="A1" s="266" t="s">
        <v>1782</v>
      </c>
      <c r="B1" s="267"/>
      <c r="C1" s="267"/>
      <c r="D1" s="267"/>
      <c r="E1" s="267"/>
    </row>
    <row r="2" spans="1:5" s="146" customFormat="1" ht="24" customHeight="1" thickBot="1">
      <c r="A2" s="142"/>
      <c r="B2" s="143" t="s">
        <v>1753</v>
      </c>
      <c r="C2" s="144"/>
      <c r="D2" s="144"/>
      <c r="E2" s="145"/>
    </row>
    <row r="3" spans="1:5" s="146" customFormat="1" ht="15.75" thickBot="1">
      <c r="A3" s="142"/>
      <c r="B3" s="147" t="s">
        <v>1754</v>
      </c>
      <c r="C3" s="147" t="s">
        <v>1755</v>
      </c>
      <c r="D3" s="147" t="s">
        <v>1756</v>
      </c>
      <c r="E3" s="148" t="s">
        <v>1757</v>
      </c>
    </row>
    <row r="4" spans="1:5" s="146" customFormat="1" ht="15">
      <c r="A4" s="149" t="s">
        <v>1758</v>
      </c>
      <c r="B4" s="165">
        <v>294</v>
      </c>
      <c r="C4" s="165">
        <v>285</v>
      </c>
      <c r="D4" s="165">
        <v>295</v>
      </c>
      <c r="E4" s="166">
        <f>SUM(B4:D4)</f>
        <v>874</v>
      </c>
    </row>
    <row r="5" spans="1:5" s="146" customFormat="1" ht="15">
      <c r="A5" s="150" t="s">
        <v>1759</v>
      </c>
      <c r="B5" s="167">
        <v>724</v>
      </c>
      <c r="C5" s="167">
        <v>867</v>
      </c>
      <c r="D5" s="167">
        <v>767</v>
      </c>
      <c r="E5" s="168">
        <f t="shared" ref="E5:E14" si="0">SUM(B5:D5)</f>
        <v>2358</v>
      </c>
    </row>
    <row r="6" spans="1:5" s="146" customFormat="1" ht="15.75" thickBot="1">
      <c r="A6" s="151" t="s">
        <v>1652</v>
      </c>
      <c r="B6" s="169">
        <v>3132</v>
      </c>
      <c r="C6" s="169">
        <v>3470</v>
      </c>
      <c r="D6" s="169">
        <v>3166</v>
      </c>
      <c r="E6" s="170">
        <f t="shared" si="0"/>
        <v>9768</v>
      </c>
    </row>
    <row r="7" spans="1:5" s="146" customFormat="1" ht="15">
      <c r="A7" s="149" t="s">
        <v>1653</v>
      </c>
      <c r="B7" s="171">
        <v>2694</v>
      </c>
      <c r="C7" s="171">
        <v>2967</v>
      </c>
      <c r="D7" s="171">
        <v>2744</v>
      </c>
      <c r="E7" s="166">
        <f t="shared" si="0"/>
        <v>8405</v>
      </c>
    </row>
    <row r="8" spans="1:5" s="146" customFormat="1" ht="15">
      <c r="A8" s="150" t="s">
        <v>1654</v>
      </c>
      <c r="B8" s="167">
        <v>438</v>
      </c>
      <c r="C8" s="167">
        <v>491</v>
      </c>
      <c r="D8" s="167">
        <v>411</v>
      </c>
      <c r="E8" s="168">
        <f t="shared" si="0"/>
        <v>1340</v>
      </c>
    </row>
    <row r="9" spans="1:5" s="146" customFormat="1" ht="15.75" thickBot="1">
      <c r="A9" s="151" t="s">
        <v>1655</v>
      </c>
      <c r="B9" s="169">
        <v>0</v>
      </c>
      <c r="C9" s="169">
        <v>12</v>
      </c>
      <c r="D9" s="169">
        <v>11</v>
      </c>
      <c r="E9" s="170">
        <f t="shared" si="0"/>
        <v>23</v>
      </c>
    </row>
    <row r="10" spans="1:5" s="146" customFormat="1" ht="15">
      <c r="A10" s="176" t="s">
        <v>1760</v>
      </c>
      <c r="B10" s="177">
        <f>B6/D22</f>
        <v>6.4510813594232745</v>
      </c>
      <c r="C10" s="177">
        <f>C6/$D$22</f>
        <v>7.1472708547888777</v>
      </c>
      <c r="D10" s="177">
        <f>D6/$D$22</f>
        <v>6.5211122554067975</v>
      </c>
      <c r="E10" s="178">
        <f t="shared" si="0"/>
        <v>20.119464469618951</v>
      </c>
    </row>
    <row r="11" spans="1:5" s="146" customFormat="1" ht="15">
      <c r="A11" s="155" t="s">
        <v>1761</v>
      </c>
      <c r="B11" s="172">
        <f>$B$10*$D19</f>
        <v>1110.2311019567455</v>
      </c>
      <c r="C11" s="172">
        <f>$C$10*$D19</f>
        <v>1230.0453141091657</v>
      </c>
      <c r="D11" s="172">
        <f>$D$10*$D19</f>
        <v>1122.2834191555098</v>
      </c>
      <c r="E11" s="173">
        <f t="shared" si="0"/>
        <v>3462.5598352214211</v>
      </c>
    </row>
    <row r="12" spans="1:5" s="146" customFormat="1" ht="15">
      <c r="A12" s="155" t="s">
        <v>1762</v>
      </c>
      <c r="B12" s="172">
        <f>$B$10*D20</f>
        <v>1325.6972193614829</v>
      </c>
      <c r="C12" s="172">
        <f>$C$10*$D20</f>
        <v>1468.7641606591144</v>
      </c>
      <c r="D12" s="172">
        <f>$D$10*$D20</f>
        <v>1340.0885684860968</v>
      </c>
      <c r="E12" s="173">
        <f t="shared" si="0"/>
        <v>4134.5499485066939</v>
      </c>
    </row>
    <row r="13" spans="1:5" s="146" customFormat="1" ht="15">
      <c r="A13" s="155" t="s">
        <v>1763</v>
      </c>
      <c r="B13" s="172">
        <f>$B$10*D21</f>
        <v>696.07167868177135</v>
      </c>
      <c r="C13" s="172">
        <f>$C$10*$D21</f>
        <v>771.1905252317199</v>
      </c>
      <c r="D13" s="172">
        <f>$D$10*$D21</f>
        <v>703.62801235839345</v>
      </c>
      <c r="E13" s="173">
        <f t="shared" si="0"/>
        <v>2170.8902162718846</v>
      </c>
    </row>
    <row r="14" spans="1:5" s="146" customFormat="1" ht="15.75" thickBot="1">
      <c r="A14" s="156" t="s">
        <v>1764</v>
      </c>
      <c r="B14" s="174">
        <f>SUM(B11:B13)</f>
        <v>3132</v>
      </c>
      <c r="C14" s="174">
        <f>SUM(C11:C13)</f>
        <v>3470</v>
      </c>
      <c r="D14" s="174">
        <f>SUM(D11:D13)</f>
        <v>3166</v>
      </c>
      <c r="E14" s="175">
        <f t="shared" si="0"/>
        <v>9768</v>
      </c>
    </row>
    <row r="15" spans="1:5" s="146" customFormat="1">
      <c r="A15" s="142"/>
      <c r="B15" s="142"/>
      <c r="C15" s="142"/>
      <c r="D15" s="142"/>
      <c r="E15" s="157"/>
    </row>
    <row r="17" spans="1:8" s="146" customFormat="1" ht="13.5" thickBot="1">
      <c r="A17" s="142"/>
      <c r="B17" s="158"/>
      <c r="C17" s="142"/>
      <c r="D17" s="142"/>
      <c r="E17" s="157"/>
    </row>
    <row r="18" spans="1:8" s="146" customFormat="1" ht="15.75">
      <c r="A18" s="159" t="s">
        <v>1765</v>
      </c>
      <c r="B18" s="160" t="s">
        <v>1766</v>
      </c>
      <c r="C18" s="160" t="s">
        <v>1658</v>
      </c>
      <c r="D18" s="160" t="s">
        <v>1659</v>
      </c>
      <c r="E18" s="157"/>
    </row>
    <row r="19" spans="1:8" s="146" customFormat="1" ht="15">
      <c r="A19" s="161" t="s">
        <v>1660</v>
      </c>
      <c r="B19" s="162">
        <v>178</v>
      </c>
      <c r="C19" s="162">
        <v>5.9</v>
      </c>
      <c r="D19" s="162">
        <v>172.1</v>
      </c>
      <c r="E19" s="157"/>
    </row>
    <row r="20" spans="1:8" s="146" customFormat="1" ht="15">
      <c r="A20" s="161" t="s">
        <v>1661</v>
      </c>
      <c r="B20" s="162">
        <v>217</v>
      </c>
      <c r="C20" s="162">
        <v>11.5</v>
      </c>
      <c r="D20" s="162">
        <v>205.5</v>
      </c>
      <c r="E20" s="157"/>
    </row>
    <row r="21" spans="1:8" s="146" customFormat="1" ht="15">
      <c r="A21" s="161" t="s">
        <v>1662</v>
      </c>
      <c r="B21" s="162">
        <v>115</v>
      </c>
      <c r="C21" s="162">
        <v>7.1</v>
      </c>
      <c r="D21" s="162">
        <v>107.9</v>
      </c>
      <c r="E21" s="157"/>
    </row>
    <row r="22" spans="1:8" s="146" customFormat="1" ht="15.75" thickBot="1">
      <c r="A22" s="163" t="s">
        <v>1764</v>
      </c>
      <c r="B22" s="164">
        <v>510</v>
      </c>
      <c r="C22" s="164">
        <v>24.5</v>
      </c>
      <c r="D22" s="164">
        <v>485.5</v>
      </c>
      <c r="E22" s="157"/>
    </row>
    <row r="25" spans="1:8">
      <c r="A25" s="79"/>
      <c r="B25" s="79"/>
      <c r="C25" s="79"/>
      <c r="D25" s="79"/>
      <c r="E25" s="103"/>
      <c r="F25" s="103"/>
      <c r="G25" s="103"/>
      <c r="H25" s="103"/>
    </row>
    <row r="26" spans="1:8">
      <c r="A26" s="88"/>
      <c r="B26" s="134"/>
      <c r="C26" s="134"/>
      <c r="D26" s="123"/>
      <c r="E26" s="59"/>
      <c r="F26" s="59"/>
      <c r="G26" s="59"/>
      <c r="H26" s="59"/>
    </row>
  </sheetData>
  <mergeCells count="3">
    <mergeCell ref="B2:E2"/>
    <mergeCell ref="B26:C26"/>
    <mergeCell ref="A1:E1"/>
  </mergeCells>
  <pageMargins left="0.51181102362204722" right="0.51181102362204722" top="0.78740157480314965" bottom="0.78740157480314965" header="0.31496062992125984" footer="0.31496062992125984"/>
  <pageSetup paperSize="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X983"/>
  <sheetViews>
    <sheetView topLeftCell="B1" zoomScale="110" zoomScaleNormal="110" workbookViewId="0">
      <pane ySplit="1" topLeftCell="A2" activePane="bottomLeft" state="frozen"/>
      <selection pane="bottomLeft" activeCell="P49" sqref="P49"/>
    </sheetView>
  </sheetViews>
  <sheetFormatPr defaultColWidth="0" defaultRowHeight="12.75" customHeight="1" zeroHeight="1"/>
  <cols>
    <col min="1" max="1" width="6.5703125" style="1" hidden="1" customWidth="1"/>
    <col min="2" max="2" width="6.5703125" style="1" bestFit="1" customWidth="1"/>
    <col min="3" max="3" width="44.5703125" style="11" bestFit="1" customWidth="1"/>
    <col min="4" max="4" width="8.7109375" style="1" customWidth="1"/>
    <col min="5" max="5" width="31.85546875" style="79" customWidth="1"/>
    <col min="6" max="8" width="4" style="79" customWidth="1"/>
    <col min="9" max="10" width="13.5703125" style="103" bestFit="1" customWidth="1"/>
    <col min="11" max="11" width="16.42578125" style="103" customWidth="1"/>
    <col min="12" max="12" width="8.42578125" style="103" customWidth="1"/>
    <col min="13" max="13" width="9.140625" style="103" customWidth="1"/>
    <col min="14" max="16" width="8.42578125" style="103" customWidth="1"/>
    <col min="17" max="17" width="9.42578125" style="103" customWidth="1"/>
    <col min="18" max="18" width="8.42578125" style="103" customWidth="1"/>
    <col min="19" max="19" width="33.7109375" style="103" customWidth="1"/>
    <col min="20" max="20" width="16.7109375" style="79" customWidth="1"/>
    <col min="21" max="21" width="15.5703125" style="79" customWidth="1"/>
    <col min="22" max="22" width="0" style="1" hidden="1" customWidth="1"/>
    <col min="23" max="16384" width="9.140625" style="1" hidden="1"/>
  </cols>
  <sheetData>
    <row r="1" spans="2:21" s="79" customFormat="1" ht="63.75">
      <c r="B1" s="77" t="s">
        <v>1631</v>
      </c>
      <c r="C1" s="96" t="s">
        <v>1451</v>
      </c>
      <c r="D1" s="77" t="s">
        <v>0</v>
      </c>
      <c r="E1" s="77" t="s">
        <v>1</v>
      </c>
      <c r="F1" s="77" t="s">
        <v>2</v>
      </c>
      <c r="G1" s="77" t="s">
        <v>3</v>
      </c>
      <c r="H1" s="77" t="s">
        <v>4</v>
      </c>
      <c r="I1" s="95" t="s">
        <v>5</v>
      </c>
      <c r="J1" s="95" t="s">
        <v>1668</v>
      </c>
      <c r="K1" s="95" t="s">
        <v>6</v>
      </c>
      <c r="L1" s="95" t="s">
        <v>7</v>
      </c>
      <c r="M1" s="95" t="s">
        <v>8</v>
      </c>
      <c r="N1" s="96" t="s">
        <v>9</v>
      </c>
      <c r="O1" s="95" t="s">
        <v>10</v>
      </c>
      <c r="P1" s="95" t="s">
        <v>11</v>
      </c>
      <c r="Q1" s="95" t="s">
        <v>12</v>
      </c>
      <c r="R1" s="95" t="s">
        <v>1666</v>
      </c>
      <c r="S1" s="95" t="s">
        <v>13</v>
      </c>
      <c r="T1" s="78" t="s">
        <v>14</v>
      </c>
      <c r="U1" s="78" t="s">
        <v>15</v>
      </c>
    </row>
    <row r="2" spans="2:21">
      <c r="B2" s="13" t="s">
        <v>45</v>
      </c>
      <c r="C2" s="13" t="s">
        <v>16</v>
      </c>
      <c r="D2" s="76" t="s">
        <v>1235</v>
      </c>
      <c r="E2" s="85" t="s">
        <v>1236</v>
      </c>
      <c r="F2" s="84">
        <v>2</v>
      </c>
      <c r="G2" s="84">
        <v>2</v>
      </c>
      <c r="H2" s="84">
        <v>4</v>
      </c>
      <c r="I2" s="97" t="s">
        <v>71</v>
      </c>
      <c r="J2" s="97" t="s">
        <v>71</v>
      </c>
      <c r="K2" s="97" t="s">
        <v>76</v>
      </c>
      <c r="L2" s="85" t="s">
        <v>1488</v>
      </c>
      <c r="M2" s="97" t="s">
        <v>1562</v>
      </c>
      <c r="N2" s="97">
        <v>1</v>
      </c>
      <c r="O2" s="97">
        <v>70</v>
      </c>
      <c r="P2" s="97">
        <v>70</v>
      </c>
      <c r="Q2" s="98">
        <f>N2*(F2+G2)</f>
        <v>4</v>
      </c>
      <c r="R2" s="98">
        <v>4</v>
      </c>
      <c r="S2" s="98" t="s">
        <v>1563</v>
      </c>
      <c r="T2" s="86" t="s">
        <v>1564</v>
      </c>
      <c r="U2" s="85"/>
    </row>
    <row r="3" spans="2:21">
      <c r="B3" s="13" t="s">
        <v>45</v>
      </c>
      <c r="C3" s="13" t="s">
        <v>16</v>
      </c>
      <c r="D3" s="76" t="s">
        <v>1235</v>
      </c>
      <c r="E3" s="85" t="s">
        <v>1236</v>
      </c>
      <c r="F3" s="84">
        <v>2</v>
      </c>
      <c r="G3" s="84">
        <v>2</v>
      </c>
      <c r="H3" s="84">
        <v>4</v>
      </c>
      <c r="I3" s="97" t="s">
        <v>71</v>
      </c>
      <c r="J3" s="97" t="s">
        <v>71</v>
      </c>
      <c r="K3" s="97" t="s">
        <v>76</v>
      </c>
      <c r="L3" s="85" t="s">
        <v>1491</v>
      </c>
      <c r="M3" s="97" t="s">
        <v>1562</v>
      </c>
      <c r="N3" s="97">
        <v>1</v>
      </c>
      <c r="O3" s="97">
        <v>70</v>
      </c>
      <c r="P3" s="97">
        <v>70</v>
      </c>
      <c r="Q3" s="98">
        <f>N3*(F3+G3)</f>
        <v>4</v>
      </c>
      <c r="R3" s="98">
        <v>4</v>
      </c>
      <c r="S3" s="98" t="s">
        <v>1563</v>
      </c>
      <c r="T3" s="86" t="s">
        <v>1564</v>
      </c>
      <c r="U3" s="85"/>
    </row>
    <row r="4" spans="2:21">
      <c r="B4" s="13" t="s">
        <v>45</v>
      </c>
      <c r="C4" s="13" t="s">
        <v>16</v>
      </c>
      <c r="D4" s="76" t="s">
        <v>97</v>
      </c>
      <c r="E4" s="85" t="s">
        <v>98</v>
      </c>
      <c r="F4" s="84">
        <v>2</v>
      </c>
      <c r="G4" s="84">
        <v>2</v>
      </c>
      <c r="H4" s="84">
        <v>4</v>
      </c>
      <c r="I4" s="97" t="s">
        <v>71</v>
      </c>
      <c r="J4" s="97" t="s">
        <v>71</v>
      </c>
      <c r="K4" s="97" t="s">
        <v>99</v>
      </c>
      <c r="L4" s="85" t="s">
        <v>1488</v>
      </c>
      <c r="M4" s="97" t="s">
        <v>1562</v>
      </c>
      <c r="N4" s="97">
        <v>1</v>
      </c>
      <c r="O4" s="97">
        <v>70</v>
      </c>
      <c r="P4" s="97">
        <v>70</v>
      </c>
      <c r="Q4" s="98">
        <f>N4*(F4+G4)</f>
        <v>4</v>
      </c>
      <c r="R4" s="98">
        <v>4</v>
      </c>
      <c r="S4" s="98" t="s">
        <v>1563</v>
      </c>
      <c r="T4" s="86" t="s">
        <v>1564</v>
      </c>
      <c r="U4" s="85"/>
    </row>
    <row r="5" spans="2:21">
      <c r="B5" s="13" t="s">
        <v>45</v>
      </c>
      <c r="C5" s="13" t="s">
        <v>16</v>
      </c>
      <c r="D5" s="76" t="s">
        <v>97</v>
      </c>
      <c r="E5" s="85" t="s">
        <v>98</v>
      </c>
      <c r="F5" s="84">
        <v>2</v>
      </c>
      <c r="G5" s="84">
        <v>2</v>
      </c>
      <c r="H5" s="84">
        <v>4</v>
      </c>
      <c r="I5" s="97" t="s">
        <v>71</v>
      </c>
      <c r="J5" s="97" t="s">
        <v>71</v>
      </c>
      <c r="K5" s="97" t="s">
        <v>99</v>
      </c>
      <c r="L5" s="85" t="s">
        <v>1491</v>
      </c>
      <c r="M5" s="97" t="s">
        <v>1562</v>
      </c>
      <c r="N5" s="97">
        <v>1</v>
      </c>
      <c r="O5" s="97">
        <v>70</v>
      </c>
      <c r="P5" s="97">
        <v>70</v>
      </c>
      <c r="Q5" s="98">
        <f>N5*(F5+G5)</f>
        <v>4</v>
      </c>
      <c r="R5" s="98">
        <v>4</v>
      </c>
      <c r="S5" s="98" t="s">
        <v>1563</v>
      </c>
      <c r="T5" s="86" t="s">
        <v>1564</v>
      </c>
      <c r="U5" s="85"/>
    </row>
    <row r="6" spans="2:21">
      <c r="B6" s="13" t="s">
        <v>45</v>
      </c>
      <c r="C6" s="13" t="s">
        <v>16</v>
      </c>
      <c r="D6" s="76" t="s">
        <v>89</v>
      </c>
      <c r="E6" s="85" t="s">
        <v>90</v>
      </c>
      <c r="F6" s="84">
        <v>6</v>
      </c>
      <c r="G6" s="84">
        <v>0</v>
      </c>
      <c r="H6" s="84">
        <v>5</v>
      </c>
      <c r="I6" s="97" t="s">
        <v>71</v>
      </c>
      <c r="J6" s="97" t="s">
        <v>71</v>
      </c>
      <c r="K6" s="97" t="s">
        <v>91</v>
      </c>
      <c r="L6" s="85" t="s">
        <v>1488</v>
      </c>
      <c r="M6" s="97" t="s">
        <v>1562</v>
      </c>
      <c r="N6" s="97">
        <v>1</v>
      </c>
      <c r="O6" s="97">
        <v>70</v>
      </c>
      <c r="P6" s="97">
        <v>70</v>
      </c>
      <c r="Q6" s="98">
        <f>N6*(F6+G6)</f>
        <v>6</v>
      </c>
      <c r="R6" s="98">
        <v>6</v>
      </c>
      <c r="S6" s="98"/>
      <c r="T6" s="86"/>
      <c r="U6" s="85"/>
    </row>
    <row r="7" spans="2:21">
      <c r="B7" s="13" t="s">
        <v>45</v>
      </c>
      <c r="C7" s="13" t="s">
        <v>16</v>
      </c>
      <c r="D7" s="76" t="s">
        <v>89</v>
      </c>
      <c r="E7" s="85" t="s">
        <v>90</v>
      </c>
      <c r="F7" s="84">
        <v>6</v>
      </c>
      <c r="G7" s="84">
        <v>0</v>
      </c>
      <c r="H7" s="84">
        <v>5</v>
      </c>
      <c r="I7" s="97" t="s">
        <v>71</v>
      </c>
      <c r="J7" s="97" t="s">
        <v>71</v>
      </c>
      <c r="K7" s="97" t="s">
        <v>91</v>
      </c>
      <c r="L7" s="85" t="s">
        <v>1491</v>
      </c>
      <c r="M7" s="97" t="s">
        <v>1562</v>
      </c>
      <c r="N7" s="97">
        <v>1</v>
      </c>
      <c r="O7" s="97">
        <v>70</v>
      </c>
      <c r="P7" s="97">
        <v>70</v>
      </c>
      <c r="Q7" s="98">
        <f>N7*(F7+G7)</f>
        <v>6</v>
      </c>
      <c r="R7" s="98">
        <v>6</v>
      </c>
      <c r="S7" s="98"/>
      <c r="T7" s="86"/>
      <c r="U7" s="85"/>
    </row>
    <row r="8" spans="2:21">
      <c r="B8" s="13" t="s">
        <v>45</v>
      </c>
      <c r="C8" s="13" t="s">
        <v>16</v>
      </c>
      <c r="D8" s="76" t="s">
        <v>831</v>
      </c>
      <c r="E8" s="85" t="s">
        <v>832</v>
      </c>
      <c r="F8" s="84">
        <v>4</v>
      </c>
      <c r="G8" s="84">
        <v>0</v>
      </c>
      <c r="H8" s="84">
        <v>4</v>
      </c>
      <c r="I8" s="97" t="s">
        <v>71</v>
      </c>
      <c r="J8" s="97" t="s">
        <v>71</v>
      </c>
      <c r="K8" s="97" t="s">
        <v>833</v>
      </c>
      <c r="L8" s="85" t="s">
        <v>1488</v>
      </c>
      <c r="M8" s="97" t="s">
        <v>1562</v>
      </c>
      <c r="N8" s="97">
        <v>1</v>
      </c>
      <c r="O8" s="97">
        <v>70</v>
      </c>
      <c r="P8" s="97">
        <v>70</v>
      </c>
      <c r="Q8" s="98">
        <f>N8*(F8+G8)</f>
        <v>4</v>
      </c>
      <c r="R8" s="98">
        <v>4</v>
      </c>
      <c r="S8" s="98"/>
      <c r="T8" s="86"/>
      <c r="U8" s="85"/>
    </row>
    <row r="9" spans="2:21">
      <c r="B9" s="13" t="s">
        <v>45</v>
      </c>
      <c r="C9" s="13" t="s">
        <v>16</v>
      </c>
      <c r="D9" s="76" t="s">
        <v>831</v>
      </c>
      <c r="E9" s="85" t="s">
        <v>832</v>
      </c>
      <c r="F9" s="84">
        <v>4</v>
      </c>
      <c r="G9" s="84">
        <v>0</v>
      </c>
      <c r="H9" s="84">
        <v>4</v>
      </c>
      <c r="I9" s="97" t="s">
        <v>71</v>
      </c>
      <c r="J9" s="97" t="s">
        <v>71</v>
      </c>
      <c r="K9" s="97" t="s">
        <v>833</v>
      </c>
      <c r="L9" s="85" t="s">
        <v>1491</v>
      </c>
      <c r="M9" s="97" t="s">
        <v>1562</v>
      </c>
      <c r="N9" s="97">
        <v>1</v>
      </c>
      <c r="O9" s="97">
        <v>70</v>
      </c>
      <c r="P9" s="97">
        <v>70</v>
      </c>
      <c r="Q9" s="98">
        <f>N9*(F9+G9)</f>
        <v>4</v>
      </c>
      <c r="R9" s="98">
        <v>4</v>
      </c>
      <c r="S9" s="98"/>
      <c r="T9" s="86"/>
      <c r="U9" s="85"/>
    </row>
    <row r="10" spans="2:21">
      <c r="B10" s="13" t="s">
        <v>45</v>
      </c>
      <c r="C10" s="13" t="s">
        <v>16</v>
      </c>
      <c r="D10" s="76" t="s">
        <v>1160</v>
      </c>
      <c r="E10" s="85" t="s">
        <v>150</v>
      </c>
      <c r="F10" s="84">
        <v>3</v>
      </c>
      <c r="G10" s="84">
        <v>1</v>
      </c>
      <c r="H10" s="84">
        <v>4</v>
      </c>
      <c r="I10" s="97" t="s">
        <v>71</v>
      </c>
      <c r="J10" s="97" t="s">
        <v>71</v>
      </c>
      <c r="K10" s="97" t="s">
        <v>446</v>
      </c>
      <c r="L10" s="85" t="s">
        <v>1488</v>
      </c>
      <c r="M10" s="97" t="s">
        <v>1562</v>
      </c>
      <c r="N10" s="97">
        <v>1</v>
      </c>
      <c r="O10" s="97">
        <v>70</v>
      </c>
      <c r="P10" s="97">
        <v>70</v>
      </c>
      <c r="Q10" s="98">
        <f>N10*(F10+G10)</f>
        <v>4</v>
      </c>
      <c r="R10" s="98">
        <v>4</v>
      </c>
      <c r="S10" s="98" t="s">
        <v>1563</v>
      </c>
      <c r="T10" s="86" t="s">
        <v>1564</v>
      </c>
      <c r="U10" s="85"/>
    </row>
    <row r="11" spans="2:21">
      <c r="B11" s="13" t="s">
        <v>45</v>
      </c>
      <c r="C11" s="13" t="s">
        <v>16</v>
      </c>
      <c r="D11" s="76" t="s">
        <v>1160</v>
      </c>
      <c r="E11" s="85" t="s">
        <v>150</v>
      </c>
      <c r="F11" s="84">
        <v>3</v>
      </c>
      <c r="G11" s="84">
        <v>1</v>
      </c>
      <c r="H11" s="84">
        <v>4</v>
      </c>
      <c r="I11" s="97" t="s">
        <v>71</v>
      </c>
      <c r="J11" s="97" t="s">
        <v>71</v>
      </c>
      <c r="K11" s="97" t="s">
        <v>446</v>
      </c>
      <c r="L11" s="85" t="s">
        <v>1491</v>
      </c>
      <c r="M11" s="97" t="s">
        <v>1562</v>
      </c>
      <c r="N11" s="97">
        <v>1</v>
      </c>
      <c r="O11" s="97">
        <v>70</v>
      </c>
      <c r="P11" s="97">
        <v>70</v>
      </c>
      <c r="Q11" s="98">
        <f>N11*(F11+G11)</f>
        <v>4</v>
      </c>
      <c r="R11" s="98">
        <v>4</v>
      </c>
      <c r="S11" s="98" t="s">
        <v>1563</v>
      </c>
      <c r="T11" s="86" t="s">
        <v>1564</v>
      </c>
      <c r="U11" s="85"/>
    </row>
    <row r="12" spans="2:21">
      <c r="B12" s="13" t="s">
        <v>45</v>
      </c>
      <c r="C12" s="13" t="s">
        <v>16</v>
      </c>
      <c r="D12" s="76" t="s">
        <v>103</v>
      </c>
      <c r="E12" s="85" t="s">
        <v>104</v>
      </c>
      <c r="F12" s="84">
        <v>4</v>
      </c>
      <c r="G12" s="84">
        <v>0</v>
      </c>
      <c r="H12" s="84">
        <v>4</v>
      </c>
      <c r="I12" s="97" t="s">
        <v>71</v>
      </c>
      <c r="J12" s="97" t="s">
        <v>71</v>
      </c>
      <c r="K12" s="97" t="s">
        <v>98</v>
      </c>
      <c r="L12" s="85" t="s">
        <v>1488</v>
      </c>
      <c r="M12" s="97" t="s">
        <v>1562</v>
      </c>
      <c r="N12" s="97">
        <v>1</v>
      </c>
      <c r="O12" s="97">
        <v>70</v>
      </c>
      <c r="P12" s="97">
        <v>70</v>
      </c>
      <c r="Q12" s="98">
        <f>N12*(F12+G12)</f>
        <v>4</v>
      </c>
      <c r="R12" s="98">
        <v>4</v>
      </c>
      <c r="S12" s="98"/>
      <c r="T12" s="86"/>
      <c r="U12" s="85"/>
    </row>
    <row r="13" spans="2:21">
      <c r="B13" s="13" t="s">
        <v>45</v>
      </c>
      <c r="C13" s="13" t="s">
        <v>16</v>
      </c>
      <c r="D13" s="76" t="s">
        <v>103</v>
      </c>
      <c r="E13" s="85" t="s">
        <v>104</v>
      </c>
      <c r="F13" s="84">
        <v>4</v>
      </c>
      <c r="G13" s="84">
        <v>0</v>
      </c>
      <c r="H13" s="84">
        <v>4</v>
      </c>
      <c r="I13" s="97" t="s">
        <v>71</v>
      </c>
      <c r="J13" s="97" t="s">
        <v>71</v>
      </c>
      <c r="K13" s="97" t="s">
        <v>98</v>
      </c>
      <c r="L13" s="85" t="s">
        <v>1491</v>
      </c>
      <c r="M13" s="97" t="s">
        <v>1562</v>
      </c>
      <c r="N13" s="97">
        <v>1</v>
      </c>
      <c r="O13" s="97">
        <v>70</v>
      </c>
      <c r="P13" s="97">
        <v>70</v>
      </c>
      <c r="Q13" s="98">
        <f>N13*(F13+G13)</f>
        <v>4</v>
      </c>
      <c r="R13" s="98">
        <v>4</v>
      </c>
      <c r="S13" s="98" t="s">
        <v>1563</v>
      </c>
      <c r="T13" s="86" t="s">
        <v>1564</v>
      </c>
      <c r="U13" s="85"/>
    </row>
    <row r="14" spans="2:21">
      <c r="B14" s="13" t="s">
        <v>45</v>
      </c>
      <c r="C14" s="13" t="s">
        <v>16</v>
      </c>
      <c r="D14" s="76" t="s">
        <v>282</v>
      </c>
      <c r="E14" s="85" t="s">
        <v>283</v>
      </c>
      <c r="F14" s="84">
        <v>3</v>
      </c>
      <c r="G14" s="84">
        <v>1</v>
      </c>
      <c r="H14" s="84">
        <v>4</v>
      </c>
      <c r="I14" s="97" t="s">
        <v>71</v>
      </c>
      <c r="J14" s="97" t="s">
        <v>71</v>
      </c>
      <c r="K14" s="97" t="s">
        <v>284</v>
      </c>
      <c r="L14" s="85" t="s">
        <v>1488</v>
      </c>
      <c r="M14" s="97" t="s">
        <v>1562</v>
      </c>
      <c r="N14" s="97">
        <v>1</v>
      </c>
      <c r="O14" s="97">
        <v>70</v>
      </c>
      <c r="P14" s="97">
        <v>70</v>
      </c>
      <c r="Q14" s="98">
        <f>N14*(F14+G14)</f>
        <v>4</v>
      </c>
      <c r="R14" s="98">
        <v>4</v>
      </c>
      <c r="S14" s="98" t="s">
        <v>1563</v>
      </c>
      <c r="T14" s="86" t="s">
        <v>1564</v>
      </c>
      <c r="U14" s="85"/>
    </row>
    <row r="15" spans="2:21">
      <c r="B15" s="13" t="s">
        <v>45</v>
      </c>
      <c r="C15" s="13" t="s">
        <v>16</v>
      </c>
      <c r="D15" s="76" t="s">
        <v>282</v>
      </c>
      <c r="E15" s="85" t="s">
        <v>283</v>
      </c>
      <c r="F15" s="84">
        <v>3</v>
      </c>
      <c r="G15" s="84">
        <v>1</v>
      </c>
      <c r="H15" s="84">
        <v>4</v>
      </c>
      <c r="I15" s="97" t="s">
        <v>71</v>
      </c>
      <c r="J15" s="97" t="s">
        <v>71</v>
      </c>
      <c r="K15" s="97" t="s">
        <v>284</v>
      </c>
      <c r="L15" s="85" t="s">
        <v>1491</v>
      </c>
      <c r="M15" s="97" t="s">
        <v>1562</v>
      </c>
      <c r="N15" s="97">
        <v>1</v>
      </c>
      <c r="O15" s="97">
        <v>70</v>
      </c>
      <c r="P15" s="97">
        <v>70</v>
      </c>
      <c r="Q15" s="98">
        <f>N15*(F15+G15)</f>
        <v>4</v>
      </c>
      <c r="R15" s="98">
        <v>4</v>
      </c>
      <c r="S15" s="98" t="s">
        <v>1563</v>
      </c>
      <c r="T15" s="86" t="s">
        <v>1564</v>
      </c>
      <c r="U15" s="85"/>
    </row>
    <row r="16" spans="2:21">
      <c r="B16" s="13" t="s">
        <v>45</v>
      </c>
      <c r="C16" s="13" t="s">
        <v>16</v>
      </c>
      <c r="D16" s="76" t="s">
        <v>447</v>
      </c>
      <c r="E16" s="85" t="s">
        <v>448</v>
      </c>
      <c r="F16" s="84">
        <v>4</v>
      </c>
      <c r="G16" s="84">
        <v>2</v>
      </c>
      <c r="H16" s="84">
        <v>4</v>
      </c>
      <c r="I16" s="97" t="s">
        <v>71</v>
      </c>
      <c r="J16" s="97" t="s">
        <v>71</v>
      </c>
      <c r="K16" s="97" t="s">
        <v>98</v>
      </c>
      <c r="L16" s="85" t="s">
        <v>1488</v>
      </c>
      <c r="M16" s="97" t="s">
        <v>1562</v>
      </c>
      <c r="N16" s="97">
        <v>1</v>
      </c>
      <c r="O16" s="97">
        <v>70</v>
      </c>
      <c r="P16" s="97">
        <v>70</v>
      </c>
      <c r="Q16" s="98">
        <f>N16*(F16+G16)</f>
        <v>6</v>
      </c>
      <c r="R16" s="98">
        <v>6</v>
      </c>
      <c r="S16" s="98" t="s">
        <v>1563</v>
      </c>
      <c r="T16" s="86" t="s">
        <v>1564</v>
      </c>
      <c r="U16" s="85"/>
    </row>
    <row r="17" spans="2:23">
      <c r="B17" s="13" t="s">
        <v>45</v>
      </c>
      <c r="C17" s="13" t="s">
        <v>16</v>
      </c>
      <c r="D17" s="76" t="s">
        <v>447</v>
      </c>
      <c r="E17" s="85" t="s">
        <v>448</v>
      </c>
      <c r="F17" s="84">
        <v>4</v>
      </c>
      <c r="G17" s="84">
        <v>2</v>
      </c>
      <c r="H17" s="84">
        <v>4</v>
      </c>
      <c r="I17" s="97" t="s">
        <v>71</v>
      </c>
      <c r="J17" s="97" t="s">
        <v>71</v>
      </c>
      <c r="K17" s="97" t="s">
        <v>98</v>
      </c>
      <c r="L17" s="85" t="s">
        <v>1491</v>
      </c>
      <c r="M17" s="97" t="s">
        <v>1562</v>
      </c>
      <c r="N17" s="97">
        <v>1</v>
      </c>
      <c r="O17" s="97">
        <v>70</v>
      </c>
      <c r="P17" s="97">
        <v>70</v>
      </c>
      <c r="Q17" s="98">
        <f>N17*(F17+G17)</f>
        <v>6</v>
      </c>
      <c r="R17" s="98">
        <v>6</v>
      </c>
      <c r="S17" s="98" t="s">
        <v>1563</v>
      </c>
      <c r="T17" s="86" t="s">
        <v>1564</v>
      </c>
      <c r="U17" s="85"/>
    </row>
    <row r="18" spans="2:23">
      <c r="B18" s="13" t="s">
        <v>45</v>
      </c>
      <c r="C18" s="13" t="s">
        <v>16</v>
      </c>
      <c r="D18" s="76" t="s">
        <v>291</v>
      </c>
      <c r="E18" s="85" t="s">
        <v>292</v>
      </c>
      <c r="F18" s="84">
        <v>2</v>
      </c>
      <c r="G18" s="84">
        <v>0</v>
      </c>
      <c r="H18" s="84">
        <v>4</v>
      </c>
      <c r="I18" s="97" t="s">
        <v>71</v>
      </c>
      <c r="J18" s="97" t="s">
        <v>71</v>
      </c>
      <c r="K18" s="97" t="s">
        <v>76</v>
      </c>
      <c r="L18" s="85" t="s">
        <v>1488</v>
      </c>
      <c r="M18" s="97" t="s">
        <v>1562</v>
      </c>
      <c r="N18" s="97">
        <v>1</v>
      </c>
      <c r="O18" s="97">
        <v>70</v>
      </c>
      <c r="P18" s="97">
        <v>70</v>
      </c>
      <c r="Q18" s="98">
        <f>N18*(F18+G18)</f>
        <v>2</v>
      </c>
      <c r="R18" s="98">
        <v>2</v>
      </c>
      <c r="S18" s="98" t="s">
        <v>1563</v>
      </c>
      <c r="T18" s="86" t="s">
        <v>1564</v>
      </c>
      <c r="U18" s="85"/>
    </row>
    <row r="19" spans="2:23">
      <c r="B19" s="13" t="s">
        <v>45</v>
      </c>
      <c r="C19" s="13" t="s">
        <v>16</v>
      </c>
      <c r="D19" s="76" t="s">
        <v>291</v>
      </c>
      <c r="E19" s="85" t="s">
        <v>292</v>
      </c>
      <c r="F19" s="84">
        <v>2</v>
      </c>
      <c r="G19" s="84">
        <v>0</v>
      </c>
      <c r="H19" s="84">
        <v>4</v>
      </c>
      <c r="I19" s="97" t="s">
        <v>71</v>
      </c>
      <c r="J19" s="97" t="s">
        <v>71</v>
      </c>
      <c r="K19" s="97" t="s">
        <v>76</v>
      </c>
      <c r="L19" s="85" t="s">
        <v>1491</v>
      </c>
      <c r="M19" s="97" t="s">
        <v>1562</v>
      </c>
      <c r="N19" s="97">
        <v>1</v>
      </c>
      <c r="O19" s="97">
        <v>70</v>
      </c>
      <c r="P19" s="97">
        <v>70</v>
      </c>
      <c r="Q19" s="98">
        <f>N19*(F19+G19)</f>
        <v>2</v>
      </c>
      <c r="R19" s="98">
        <v>2</v>
      </c>
      <c r="S19" s="98"/>
      <c r="T19" s="86"/>
      <c r="U19" s="85"/>
    </row>
    <row r="20" spans="2:23">
      <c r="B20" s="13" t="s">
        <v>45</v>
      </c>
      <c r="C20" s="13" t="s">
        <v>16</v>
      </c>
      <c r="D20" s="76" t="s">
        <v>492</v>
      </c>
      <c r="E20" s="85" t="s">
        <v>493</v>
      </c>
      <c r="F20" s="84">
        <v>8</v>
      </c>
      <c r="G20" s="84">
        <v>0</v>
      </c>
      <c r="H20" s="84">
        <v>8</v>
      </c>
      <c r="I20" s="97" t="s">
        <v>71</v>
      </c>
      <c r="J20" s="97" t="s">
        <v>71</v>
      </c>
      <c r="K20" s="97" t="s">
        <v>76</v>
      </c>
      <c r="L20" s="85" t="s">
        <v>1491</v>
      </c>
      <c r="M20" s="97" t="s">
        <v>1562</v>
      </c>
      <c r="N20" s="97">
        <v>1</v>
      </c>
      <c r="O20" s="97">
        <v>70</v>
      </c>
      <c r="P20" s="97">
        <v>70</v>
      </c>
      <c r="Q20" s="98">
        <v>3</v>
      </c>
      <c r="R20" s="98">
        <v>3</v>
      </c>
      <c r="S20" s="98"/>
      <c r="T20" s="86"/>
      <c r="U20" s="85"/>
    </row>
    <row r="21" spans="2:23">
      <c r="B21" s="13" t="s">
        <v>45</v>
      </c>
      <c r="C21" s="13" t="s">
        <v>16</v>
      </c>
      <c r="D21" s="76" t="s">
        <v>492</v>
      </c>
      <c r="E21" s="85" t="s">
        <v>493</v>
      </c>
      <c r="F21" s="84">
        <v>8</v>
      </c>
      <c r="G21" s="84">
        <v>0</v>
      </c>
      <c r="H21" s="84">
        <v>8</v>
      </c>
      <c r="I21" s="97" t="s">
        <v>71</v>
      </c>
      <c r="J21" s="97" t="s">
        <v>71</v>
      </c>
      <c r="K21" s="97" t="s">
        <v>76</v>
      </c>
      <c r="L21" s="85" t="s">
        <v>1488</v>
      </c>
      <c r="M21" s="97" t="s">
        <v>1562</v>
      </c>
      <c r="N21" s="97">
        <v>1</v>
      </c>
      <c r="O21" s="97">
        <v>70</v>
      </c>
      <c r="P21" s="97">
        <v>70</v>
      </c>
      <c r="Q21" s="98">
        <v>3</v>
      </c>
      <c r="R21" s="98">
        <v>3</v>
      </c>
      <c r="S21" s="98"/>
      <c r="T21" s="86"/>
      <c r="U21" s="85"/>
    </row>
    <row r="22" spans="2:23">
      <c r="B22" s="13" t="s">
        <v>45</v>
      </c>
      <c r="C22" s="13" t="s">
        <v>16</v>
      </c>
      <c r="D22" s="76" t="s">
        <v>1111</v>
      </c>
      <c r="E22" s="85" t="s">
        <v>1112</v>
      </c>
      <c r="F22" s="84">
        <v>8</v>
      </c>
      <c r="G22" s="84">
        <v>0</v>
      </c>
      <c r="H22" s="84">
        <v>8</v>
      </c>
      <c r="I22" s="97" t="s">
        <v>71</v>
      </c>
      <c r="J22" s="97" t="s">
        <v>71</v>
      </c>
      <c r="K22" s="97" t="s">
        <v>76</v>
      </c>
      <c r="L22" s="85" t="s">
        <v>1488</v>
      </c>
      <c r="M22" s="97" t="s">
        <v>1562</v>
      </c>
      <c r="N22" s="97">
        <v>1</v>
      </c>
      <c r="O22" s="97">
        <v>70</v>
      </c>
      <c r="P22" s="97">
        <v>70</v>
      </c>
      <c r="Q22" s="98">
        <f>N22*(F22+G22)</f>
        <v>8</v>
      </c>
      <c r="R22" s="98">
        <v>8</v>
      </c>
      <c r="S22" s="98"/>
      <c r="T22" s="86"/>
      <c r="U22" s="85"/>
    </row>
    <row r="23" spans="2:23">
      <c r="B23" s="13" t="s">
        <v>45</v>
      </c>
      <c r="C23" s="13" t="s">
        <v>16</v>
      </c>
      <c r="D23" s="76" t="s">
        <v>1111</v>
      </c>
      <c r="E23" s="85" t="s">
        <v>1112</v>
      </c>
      <c r="F23" s="84">
        <v>8</v>
      </c>
      <c r="G23" s="84">
        <v>0</v>
      </c>
      <c r="H23" s="84">
        <v>8</v>
      </c>
      <c r="I23" s="97" t="s">
        <v>71</v>
      </c>
      <c r="J23" s="97" t="s">
        <v>71</v>
      </c>
      <c r="K23" s="97" t="s">
        <v>76</v>
      </c>
      <c r="L23" s="85" t="s">
        <v>1491</v>
      </c>
      <c r="M23" s="97" t="s">
        <v>1562</v>
      </c>
      <c r="N23" s="97">
        <v>1</v>
      </c>
      <c r="O23" s="97">
        <v>70</v>
      </c>
      <c r="P23" s="97">
        <v>70</v>
      </c>
      <c r="Q23" s="98">
        <f>N23*(F23+G23)</f>
        <v>8</v>
      </c>
      <c r="R23" s="98">
        <v>8</v>
      </c>
      <c r="S23" s="98"/>
      <c r="T23" s="86"/>
      <c r="U23" s="85"/>
    </row>
    <row r="24" spans="2:23">
      <c r="B24" s="13" t="s">
        <v>45</v>
      </c>
      <c r="C24" s="13" t="s">
        <v>16</v>
      </c>
      <c r="D24" s="76"/>
      <c r="E24" s="85" t="s">
        <v>1689</v>
      </c>
      <c r="F24" s="84">
        <v>2</v>
      </c>
      <c r="G24" s="84">
        <v>2</v>
      </c>
      <c r="H24" s="84">
        <v>4</v>
      </c>
      <c r="I24" s="97" t="s">
        <v>73</v>
      </c>
      <c r="J24" s="97" t="s">
        <v>73</v>
      </c>
      <c r="K24" s="97" t="s">
        <v>1527</v>
      </c>
      <c r="L24" s="85" t="s">
        <v>1491</v>
      </c>
      <c r="M24" s="97" t="s">
        <v>1562</v>
      </c>
      <c r="N24" s="97">
        <v>1</v>
      </c>
      <c r="O24" s="97">
        <v>70</v>
      </c>
      <c r="P24" s="97">
        <v>70</v>
      </c>
      <c r="Q24" s="98">
        <f>N24*(F24+G24)</f>
        <v>4</v>
      </c>
      <c r="R24" s="98">
        <v>4</v>
      </c>
      <c r="S24" s="98" t="s">
        <v>1563</v>
      </c>
      <c r="T24" s="86" t="s">
        <v>1564</v>
      </c>
      <c r="U24" s="85"/>
    </row>
    <row r="25" spans="2:23">
      <c r="B25" s="13" t="s">
        <v>45</v>
      </c>
      <c r="C25" s="13" t="s">
        <v>16</v>
      </c>
      <c r="D25" s="76"/>
      <c r="E25" s="85" t="s">
        <v>1690</v>
      </c>
      <c r="F25" s="84">
        <v>2</v>
      </c>
      <c r="G25" s="84">
        <v>2</v>
      </c>
      <c r="H25" s="84">
        <v>4</v>
      </c>
      <c r="I25" s="97" t="s">
        <v>73</v>
      </c>
      <c r="J25" s="97" t="s">
        <v>73</v>
      </c>
      <c r="K25" s="97" t="s">
        <v>1527</v>
      </c>
      <c r="L25" s="85"/>
      <c r="M25" s="97" t="s">
        <v>1562</v>
      </c>
      <c r="N25" s="97">
        <v>1</v>
      </c>
      <c r="O25" s="97">
        <v>70</v>
      </c>
      <c r="P25" s="97">
        <v>70</v>
      </c>
      <c r="Q25" s="98">
        <f>N25*(F25+G25)</f>
        <v>4</v>
      </c>
      <c r="R25" s="98">
        <v>0</v>
      </c>
      <c r="S25" s="98" t="s">
        <v>1563</v>
      </c>
      <c r="T25" s="86" t="s">
        <v>1564</v>
      </c>
      <c r="U25" s="85"/>
    </row>
    <row r="26" spans="2:23">
      <c r="B26" s="13" t="s">
        <v>45</v>
      </c>
      <c r="C26" s="13" t="s">
        <v>16</v>
      </c>
      <c r="D26" s="76"/>
      <c r="E26" s="85" t="s">
        <v>1691</v>
      </c>
      <c r="F26" s="84">
        <v>2</v>
      </c>
      <c r="G26" s="84">
        <v>2</v>
      </c>
      <c r="H26" s="84">
        <v>4</v>
      </c>
      <c r="I26" s="97" t="s">
        <v>73</v>
      </c>
      <c r="J26" s="97" t="s">
        <v>73</v>
      </c>
      <c r="K26" s="97" t="s">
        <v>1527</v>
      </c>
      <c r="L26" s="85"/>
      <c r="M26" s="97" t="s">
        <v>1562</v>
      </c>
      <c r="N26" s="97">
        <v>1</v>
      </c>
      <c r="O26" s="97">
        <v>70</v>
      </c>
      <c r="P26" s="97">
        <v>70</v>
      </c>
      <c r="Q26" s="98">
        <f>N26*(F26+G26)</f>
        <v>4</v>
      </c>
      <c r="R26" s="98">
        <v>0</v>
      </c>
      <c r="S26" s="98" t="s">
        <v>1563</v>
      </c>
      <c r="T26" s="86" t="s">
        <v>1564</v>
      </c>
      <c r="U26" s="85"/>
      <c r="V26" s="84"/>
      <c r="W26" s="85"/>
    </row>
    <row r="27" spans="2:23">
      <c r="B27" s="13" t="s">
        <v>45</v>
      </c>
      <c r="C27" s="13" t="s">
        <v>16</v>
      </c>
      <c r="D27" s="76"/>
      <c r="E27" s="85" t="s">
        <v>1692</v>
      </c>
      <c r="F27" s="84">
        <v>2</v>
      </c>
      <c r="G27" s="84">
        <v>2</v>
      </c>
      <c r="H27" s="84">
        <v>4</v>
      </c>
      <c r="I27" s="97" t="s">
        <v>73</v>
      </c>
      <c r="J27" s="97" t="s">
        <v>73</v>
      </c>
      <c r="K27" s="97" t="s">
        <v>1527</v>
      </c>
      <c r="L27" s="85"/>
      <c r="M27" s="97" t="s">
        <v>1562</v>
      </c>
      <c r="N27" s="97">
        <v>1</v>
      </c>
      <c r="O27" s="97">
        <v>70</v>
      </c>
      <c r="P27" s="97">
        <v>70</v>
      </c>
      <c r="Q27" s="98">
        <f>N27*(F27+G27)</f>
        <v>4</v>
      </c>
      <c r="R27" s="98">
        <v>0</v>
      </c>
      <c r="S27" s="98" t="s">
        <v>1563</v>
      </c>
      <c r="T27" s="86" t="s">
        <v>1564</v>
      </c>
      <c r="U27" s="85"/>
      <c r="V27" s="84"/>
      <c r="W27" s="85"/>
    </row>
    <row r="28" spans="2:23">
      <c r="B28" s="13" t="s">
        <v>45</v>
      </c>
      <c r="C28" s="13" t="s">
        <v>16</v>
      </c>
      <c r="D28" s="76"/>
      <c r="E28" s="85" t="s">
        <v>1693</v>
      </c>
      <c r="F28" s="84">
        <v>2</v>
      </c>
      <c r="G28" s="84">
        <v>2</v>
      </c>
      <c r="H28" s="84">
        <v>4</v>
      </c>
      <c r="I28" s="97" t="s">
        <v>73</v>
      </c>
      <c r="J28" s="97" t="s">
        <v>73</v>
      </c>
      <c r="K28" s="97" t="s">
        <v>1527</v>
      </c>
      <c r="L28" s="85"/>
      <c r="M28" s="97" t="s">
        <v>1562</v>
      </c>
      <c r="N28" s="97">
        <v>1</v>
      </c>
      <c r="O28" s="97">
        <v>70</v>
      </c>
      <c r="P28" s="97">
        <v>70</v>
      </c>
      <c r="Q28" s="98">
        <f>N28*(F28+G28)</f>
        <v>4</v>
      </c>
      <c r="R28" s="98">
        <v>0</v>
      </c>
      <c r="S28" s="98" t="s">
        <v>1563</v>
      </c>
      <c r="T28" s="86" t="s">
        <v>1564</v>
      </c>
      <c r="U28" s="85"/>
      <c r="V28" s="84"/>
      <c r="W28" s="85"/>
    </row>
    <row r="29" spans="2:23">
      <c r="B29" s="13" t="s">
        <v>45</v>
      </c>
      <c r="C29" s="13" t="s">
        <v>16</v>
      </c>
      <c r="D29" s="76"/>
      <c r="E29" s="85" t="s">
        <v>1693</v>
      </c>
      <c r="F29" s="84">
        <v>2</v>
      </c>
      <c r="G29" s="84">
        <v>2</v>
      </c>
      <c r="H29" s="84">
        <v>4</v>
      </c>
      <c r="I29" s="97" t="s">
        <v>73</v>
      </c>
      <c r="J29" s="97" t="s">
        <v>73</v>
      </c>
      <c r="K29" s="97" t="s">
        <v>1527</v>
      </c>
      <c r="L29" s="85"/>
      <c r="M29" s="97" t="s">
        <v>1562</v>
      </c>
      <c r="N29" s="97">
        <v>1</v>
      </c>
      <c r="O29" s="97">
        <v>70</v>
      </c>
      <c r="P29" s="97">
        <v>70</v>
      </c>
      <c r="Q29" s="98">
        <f>N29*(F29+G29)</f>
        <v>4</v>
      </c>
      <c r="R29" s="98">
        <v>0</v>
      </c>
      <c r="S29" s="98" t="s">
        <v>1563</v>
      </c>
      <c r="T29" s="86" t="s">
        <v>1564</v>
      </c>
      <c r="U29" s="85"/>
      <c r="V29" s="84"/>
      <c r="W29" s="85"/>
    </row>
    <row r="30" spans="2:23">
      <c r="B30" s="34" t="s">
        <v>40</v>
      </c>
      <c r="C30" s="34" t="s">
        <v>17</v>
      </c>
      <c r="D30" s="76" t="s">
        <v>1121</v>
      </c>
      <c r="E30" s="85" t="s">
        <v>1122</v>
      </c>
      <c r="F30" s="84">
        <v>0</v>
      </c>
      <c r="G30" s="84">
        <v>2</v>
      </c>
      <c r="H30" s="84">
        <v>10</v>
      </c>
      <c r="I30" s="97" t="s">
        <v>71</v>
      </c>
      <c r="J30" s="97" t="s">
        <v>71</v>
      </c>
      <c r="K30" s="97" t="s">
        <v>76</v>
      </c>
      <c r="L30" s="85" t="s">
        <v>1488</v>
      </c>
      <c r="M30" s="97" t="s">
        <v>1562</v>
      </c>
      <c r="N30" s="97">
        <v>5</v>
      </c>
      <c r="O30" s="97">
        <v>45</v>
      </c>
      <c r="P30" s="97">
        <v>225</v>
      </c>
      <c r="Q30" s="98">
        <f>N30*(F30+G30)</f>
        <v>10</v>
      </c>
      <c r="R30" s="98">
        <v>10</v>
      </c>
      <c r="S30" s="98"/>
      <c r="T30" s="98"/>
      <c r="U30" s="85"/>
      <c r="V30" s="84"/>
      <c r="W30" s="85"/>
    </row>
    <row r="31" spans="2:23">
      <c r="B31" s="34" t="s">
        <v>40</v>
      </c>
      <c r="C31" s="34" t="s">
        <v>17</v>
      </c>
      <c r="D31" s="76" t="s">
        <v>1121</v>
      </c>
      <c r="E31" s="85" t="s">
        <v>1122</v>
      </c>
      <c r="F31" s="84">
        <v>0</v>
      </c>
      <c r="G31" s="84">
        <v>2</v>
      </c>
      <c r="H31" s="84">
        <v>10</v>
      </c>
      <c r="I31" s="97" t="s">
        <v>71</v>
      </c>
      <c r="J31" s="97" t="s">
        <v>71</v>
      </c>
      <c r="K31" s="97" t="s">
        <v>76</v>
      </c>
      <c r="L31" s="85" t="s">
        <v>1491</v>
      </c>
      <c r="M31" s="97" t="s">
        <v>1562</v>
      </c>
      <c r="N31" s="97">
        <v>5</v>
      </c>
      <c r="O31" s="97">
        <v>45</v>
      </c>
      <c r="P31" s="97">
        <v>225</v>
      </c>
      <c r="Q31" s="98">
        <f>N31*(F31+G31)</f>
        <v>10</v>
      </c>
      <c r="R31" s="98">
        <v>10</v>
      </c>
      <c r="S31" s="98"/>
      <c r="T31" s="98"/>
      <c r="U31" s="85"/>
      <c r="V31" s="84"/>
      <c r="W31" s="85"/>
    </row>
    <row r="32" spans="2:23">
      <c r="B32" s="34" t="s">
        <v>40</v>
      </c>
      <c r="C32" s="34" t="s">
        <v>17</v>
      </c>
      <c r="D32" s="76" t="s">
        <v>1121</v>
      </c>
      <c r="E32" s="85" t="s">
        <v>1122</v>
      </c>
      <c r="F32" s="84">
        <v>0</v>
      </c>
      <c r="G32" s="84">
        <v>2</v>
      </c>
      <c r="H32" s="84">
        <v>10</v>
      </c>
      <c r="I32" s="97" t="s">
        <v>71</v>
      </c>
      <c r="J32" s="97" t="s">
        <v>71</v>
      </c>
      <c r="K32" s="97" t="s">
        <v>76</v>
      </c>
      <c r="L32" s="85" t="s">
        <v>1488</v>
      </c>
      <c r="M32" s="97" t="s">
        <v>1528</v>
      </c>
      <c r="N32" s="97">
        <v>1</v>
      </c>
      <c r="O32" s="97">
        <v>45</v>
      </c>
      <c r="P32" s="97">
        <v>45</v>
      </c>
      <c r="Q32" s="98">
        <f>N32*(F32+G32)</f>
        <v>2</v>
      </c>
      <c r="R32" s="98">
        <v>2</v>
      </c>
      <c r="S32" s="98"/>
      <c r="T32" s="98"/>
      <c r="U32" s="85"/>
      <c r="V32" s="84"/>
      <c r="W32" s="85"/>
    </row>
    <row r="33" spans="2:23">
      <c r="B33" s="34" t="s">
        <v>40</v>
      </c>
      <c r="C33" s="34" t="s">
        <v>17</v>
      </c>
      <c r="D33" s="76" t="s">
        <v>1121</v>
      </c>
      <c r="E33" s="85" t="s">
        <v>1122</v>
      </c>
      <c r="F33" s="84">
        <v>0</v>
      </c>
      <c r="G33" s="84">
        <v>2</v>
      </c>
      <c r="H33" s="84">
        <v>10</v>
      </c>
      <c r="I33" s="97" t="s">
        <v>71</v>
      </c>
      <c r="J33" s="97" t="s">
        <v>71</v>
      </c>
      <c r="K33" s="97" t="s">
        <v>76</v>
      </c>
      <c r="L33" s="85" t="s">
        <v>1491</v>
      </c>
      <c r="M33" s="97" t="s">
        <v>1528</v>
      </c>
      <c r="N33" s="97">
        <v>1</v>
      </c>
      <c r="O33" s="97">
        <v>45</v>
      </c>
      <c r="P33" s="97">
        <v>45</v>
      </c>
      <c r="Q33" s="98">
        <f>N33*(F33+G33)</f>
        <v>2</v>
      </c>
      <c r="R33" s="98">
        <v>2</v>
      </c>
      <c r="S33" s="98"/>
      <c r="T33" s="98"/>
      <c r="U33" s="85"/>
      <c r="V33" s="84"/>
      <c r="W33" s="85"/>
    </row>
    <row r="34" spans="2:23">
      <c r="B34" s="34" t="s">
        <v>40</v>
      </c>
      <c r="C34" s="34" t="s">
        <v>17</v>
      </c>
      <c r="D34" s="76" t="s">
        <v>170</v>
      </c>
      <c r="E34" s="85" t="s">
        <v>171</v>
      </c>
      <c r="F34" s="84">
        <v>4</v>
      </c>
      <c r="G34" s="84">
        <v>0</v>
      </c>
      <c r="H34" s="84">
        <v>5</v>
      </c>
      <c r="I34" s="97" t="s">
        <v>71</v>
      </c>
      <c r="J34" s="97" t="s">
        <v>71</v>
      </c>
      <c r="K34" s="97" t="s">
        <v>76</v>
      </c>
      <c r="L34" s="85" t="s">
        <v>1491</v>
      </c>
      <c r="M34" s="97" t="s">
        <v>1562</v>
      </c>
      <c r="N34" s="97">
        <v>1</v>
      </c>
      <c r="O34" s="97">
        <v>90</v>
      </c>
      <c r="P34" s="97">
        <v>90</v>
      </c>
      <c r="Q34" s="98">
        <f>N34*(F34+G34)</f>
        <v>4</v>
      </c>
      <c r="R34" s="98">
        <v>4</v>
      </c>
      <c r="S34" s="98"/>
      <c r="T34" s="98"/>
      <c r="U34" s="85"/>
      <c r="V34" s="84"/>
      <c r="W34" s="85"/>
    </row>
    <row r="35" spans="2:23">
      <c r="B35" s="34" t="s">
        <v>40</v>
      </c>
      <c r="C35" s="34" t="s">
        <v>17</v>
      </c>
      <c r="D35" s="76" t="s">
        <v>170</v>
      </c>
      <c r="E35" s="85" t="s">
        <v>171</v>
      </c>
      <c r="F35" s="84">
        <v>4</v>
      </c>
      <c r="G35" s="84">
        <v>0</v>
      </c>
      <c r="H35" s="84">
        <v>5</v>
      </c>
      <c r="I35" s="97" t="s">
        <v>71</v>
      </c>
      <c r="J35" s="97" t="s">
        <v>71</v>
      </c>
      <c r="K35" s="97" t="s">
        <v>76</v>
      </c>
      <c r="L35" s="85" t="s">
        <v>1491</v>
      </c>
      <c r="M35" s="97" t="s">
        <v>1528</v>
      </c>
      <c r="N35" s="97">
        <v>1</v>
      </c>
      <c r="O35" s="97">
        <v>90</v>
      </c>
      <c r="P35" s="97">
        <v>90</v>
      </c>
      <c r="Q35" s="98">
        <f>N35*(F35+G35)</f>
        <v>4</v>
      </c>
      <c r="R35" s="98">
        <v>4</v>
      </c>
      <c r="S35" s="98"/>
      <c r="T35" s="98"/>
      <c r="U35" s="85"/>
      <c r="V35" s="84"/>
      <c r="W35" s="85"/>
    </row>
    <row r="36" spans="2:23">
      <c r="B36" s="34" t="s">
        <v>40</v>
      </c>
      <c r="C36" s="34" t="s">
        <v>17</v>
      </c>
      <c r="D36" s="76" t="s">
        <v>168</v>
      </c>
      <c r="E36" s="85" t="s">
        <v>169</v>
      </c>
      <c r="F36" s="84">
        <v>3</v>
      </c>
      <c r="G36" s="84">
        <v>0</v>
      </c>
      <c r="H36" s="84">
        <v>4</v>
      </c>
      <c r="I36" s="97" t="s">
        <v>71</v>
      </c>
      <c r="J36" s="97" t="s">
        <v>71</v>
      </c>
      <c r="K36" s="97" t="s">
        <v>76</v>
      </c>
      <c r="L36" s="85" t="s">
        <v>1488</v>
      </c>
      <c r="M36" s="97" t="s">
        <v>1562</v>
      </c>
      <c r="N36" s="97">
        <v>4</v>
      </c>
      <c r="O36" s="97">
        <v>90</v>
      </c>
      <c r="P36" s="97">
        <v>360</v>
      </c>
      <c r="Q36" s="98">
        <f>N36*(F36+G36)</f>
        <v>12</v>
      </c>
      <c r="R36" s="98">
        <v>12</v>
      </c>
      <c r="S36" s="98"/>
      <c r="T36" s="98"/>
      <c r="U36" s="85"/>
      <c r="V36" s="84"/>
      <c r="W36" s="85"/>
    </row>
    <row r="37" spans="2:23">
      <c r="B37" s="34" t="s">
        <v>40</v>
      </c>
      <c r="C37" s="34" t="s">
        <v>17</v>
      </c>
      <c r="D37" s="76" t="s">
        <v>168</v>
      </c>
      <c r="E37" s="85" t="s">
        <v>169</v>
      </c>
      <c r="F37" s="84">
        <v>3</v>
      </c>
      <c r="G37" s="84">
        <v>0</v>
      </c>
      <c r="H37" s="84">
        <v>4</v>
      </c>
      <c r="I37" s="97" t="s">
        <v>71</v>
      </c>
      <c r="J37" s="97" t="s">
        <v>71</v>
      </c>
      <c r="K37" s="97" t="s">
        <v>76</v>
      </c>
      <c r="L37" s="85" t="s">
        <v>1491</v>
      </c>
      <c r="M37" s="97" t="s">
        <v>1562</v>
      </c>
      <c r="N37" s="97">
        <v>4</v>
      </c>
      <c r="O37" s="97">
        <v>90</v>
      </c>
      <c r="P37" s="97">
        <v>360</v>
      </c>
      <c r="Q37" s="98">
        <f>N37*(F37+G37)</f>
        <v>12</v>
      </c>
      <c r="R37" s="98">
        <v>12</v>
      </c>
      <c r="S37" s="98"/>
      <c r="T37" s="98"/>
      <c r="U37" s="85"/>
      <c r="V37" s="84"/>
      <c r="W37" s="85"/>
    </row>
    <row r="38" spans="2:23">
      <c r="B38" s="34" t="s">
        <v>40</v>
      </c>
      <c r="C38" s="34" t="s">
        <v>17</v>
      </c>
      <c r="D38" s="76" t="s">
        <v>168</v>
      </c>
      <c r="E38" s="85" t="s">
        <v>169</v>
      </c>
      <c r="F38" s="84">
        <v>3</v>
      </c>
      <c r="G38" s="84">
        <v>0</v>
      </c>
      <c r="H38" s="84">
        <v>4</v>
      </c>
      <c r="I38" s="97" t="s">
        <v>71</v>
      </c>
      <c r="J38" s="97" t="s">
        <v>71</v>
      </c>
      <c r="K38" s="97" t="s">
        <v>76</v>
      </c>
      <c r="L38" s="85" t="s">
        <v>1488</v>
      </c>
      <c r="M38" s="97" t="s">
        <v>1528</v>
      </c>
      <c r="N38" s="97">
        <v>2</v>
      </c>
      <c r="O38" s="97">
        <v>90</v>
      </c>
      <c r="P38" s="97">
        <v>180</v>
      </c>
      <c r="Q38" s="98">
        <f>N38*(F38+G38)</f>
        <v>6</v>
      </c>
      <c r="R38" s="98">
        <v>6</v>
      </c>
      <c r="S38" s="98"/>
      <c r="T38" s="98"/>
      <c r="U38" s="85"/>
      <c r="V38" s="84"/>
      <c r="W38" s="85"/>
    </row>
    <row r="39" spans="2:23">
      <c r="B39" s="34" t="s">
        <v>40</v>
      </c>
      <c r="C39" s="34" t="s">
        <v>17</v>
      </c>
      <c r="D39" s="76" t="s">
        <v>168</v>
      </c>
      <c r="E39" s="85" t="s">
        <v>169</v>
      </c>
      <c r="F39" s="84">
        <v>3</v>
      </c>
      <c r="G39" s="84">
        <v>0</v>
      </c>
      <c r="H39" s="84">
        <v>4</v>
      </c>
      <c r="I39" s="97" t="s">
        <v>71</v>
      </c>
      <c r="J39" s="97" t="s">
        <v>71</v>
      </c>
      <c r="K39" s="97" t="s">
        <v>76</v>
      </c>
      <c r="L39" s="85" t="s">
        <v>1491</v>
      </c>
      <c r="M39" s="97" t="s">
        <v>1528</v>
      </c>
      <c r="N39" s="97">
        <v>2</v>
      </c>
      <c r="O39" s="97">
        <v>90</v>
      </c>
      <c r="P39" s="97">
        <v>180</v>
      </c>
      <c r="Q39" s="98">
        <f>N39*(F39+G39)</f>
        <v>6</v>
      </c>
      <c r="R39" s="98">
        <v>6</v>
      </c>
      <c r="S39" s="98"/>
      <c r="T39" s="98"/>
      <c r="U39" s="85"/>
      <c r="V39" s="84"/>
      <c r="W39" s="85"/>
    </row>
    <row r="40" spans="2:23">
      <c r="B40" s="34" t="s">
        <v>40</v>
      </c>
      <c r="C40" s="34" t="s">
        <v>17</v>
      </c>
      <c r="D40" s="76" t="s">
        <v>166</v>
      </c>
      <c r="E40" s="85" t="s">
        <v>167</v>
      </c>
      <c r="F40" s="84">
        <v>0</v>
      </c>
      <c r="G40" s="84">
        <v>2</v>
      </c>
      <c r="H40" s="84">
        <v>2</v>
      </c>
      <c r="I40" s="97" t="s">
        <v>71</v>
      </c>
      <c r="J40" s="97" t="s">
        <v>71</v>
      </c>
      <c r="K40" s="97" t="s">
        <v>76</v>
      </c>
      <c r="L40" s="85" t="s">
        <v>1488</v>
      </c>
      <c r="M40" s="97" t="s">
        <v>1562</v>
      </c>
      <c r="N40" s="97">
        <v>1</v>
      </c>
      <c r="O40" s="97">
        <v>30</v>
      </c>
      <c r="P40" s="97">
        <v>30</v>
      </c>
      <c r="Q40" s="98">
        <f>N40*(F40+G40)</f>
        <v>2</v>
      </c>
      <c r="R40" s="98">
        <v>2</v>
      </c>
      <c r="S40" s="98" t="s">
        <v>1563</v>
      </c>
      <c r="T40" s="98"/>
      <c r="U40" s="85"/>
      <c r="V40" s="84"/>
      <c r="W40" s="85"/>
    </row>
    <row r="41" spans="2:23">
      <c r="B41" s="34" t="s">
        <v>40</v>
      </c>
      <c r="C41" s="34" t="s">
        <v>17</v>
      </c>
      <c r="D41" s="76" t="s">
        <v>166</v>
      </c>
      <c r="E41" s="85" t="s">
        <v>167</v>
      </c>
      <c r="F41" s="84">
        <v>0</v>
      </c>
      <c r="G41" s="84">
        <v>2</v>
      </c>
      <c r="H41" s="84">
        <v>2</v>
      </c>
      <c r="I41" s="97" t="s">
        <v>71</v>
      </c>
      <c r="J41" s="97" t="s">
        <v>71</v>
      </c>
      <c r="K41" s="97" t="s">
        <v>76</v>
      </c>
      <c r="L41" s="85" t="s">
        <v>1491</v>
      </c>
      <c r="M41" s="97" t="s">
        <v>1562</v>
      </c>
      <c r="N41" s="97">
        <v>1</v>
      </c>
      <c r="O41" s="97">
        <v>30</v>
      </c>
      <c r="P41" s="97">
        <v>30</v>
      </c>
      <c r="Q41" s="98">
        <f>N41*(F41+G41)</f>
        <v>2</v>
      </c>
      <c r="R41" s="98">
        <v>2</v>
      </c>
      <c r="S41" s="98" t="s">
        <v>1563</v>
      </c>
      <c r="T41" s="98"/>
      <c r="U41" s="85"/>
      <c r="V41" s="84"/>
      <c r="W41" s="85"/>
    </row>
    <row r="42" spans="2:23">
      <c r="B42" s="34" t="s">
        <v>40</v>
      </c>
      <c r="C42" s="34" t="s">
        <v>17</v>
      </c>
      <c r="D42" s="76" t="s">
        <v>538</v>
      </c>
      <c r="E42" s="85" t="s">
        <v>539</v>
      </c>
      <c r="F42" s="84">
        <v>3</v>
      </c>
      <c r="G42" s="84">
        <v>0</v>
      </c>
      <c r="H42" s="84">
        <v>4</v>
      </c>
      <c r="I42" s="97" t="s">
        <v>71</v>
      </c>
      <c r="J42" s="97" t="s">
        <v>71</v>
      </c>
      <c r="K42" s="97" t="s">
        <v>76</v>
      </c>
      <c r="L42" s="85" t="s">
        <v>1488</v>
      </c>
      <c r="M42" s="97" t="s">
        <v>1562</v>
      </c>
      <c r="N42" s="97">
        <v>1</v>
      </c>
      <c r="O42" s="97">
        <v>90</v>
      </c>
      <c r="P42" s="97">
        <v>90</v>
      </c>
      <c r="Q42" s="98">
        <f>N42*(F42+G42)</f>
        <v>3</v>
      </c>
      <c r="R42" s="98">
        <v>3</v>
      </c>
      <c r="S42" s="98"/>
      <c r="T42" s="98"/>
      <c r="U42" s="85"/>
      <c r="V42" s="84"/>
      <c r="W42" s="85"/>
    </row>
    <row r="43" spans="2:23">
      <c r="B43" s="34" t="s">
        <v>40</v>
      </c>
      <c r="C43" s="34" t="s">
        <v>17</v>
      </c>
      <c r="D43" s="76" t="s">
        <v>538</v>
      </c>
      <c r="E43" s="85" t="s">
        <v>539</v>
      </c>
      <c r="F43" s="84">
        <v>3</v>
      </c>
      <c r="G43" s="84">
        <v>0</v>
      </c>
      <c r="H43" s="84">
        <v>4</v>
      </c>
      <c r="I43" s="97" t="s">
        <v>71</v>
      </c>
      <c r="J43" s="97" t="s">
        <v>71</v>
      </c>
      <c r="K43" s="97" t="s">
        <v>76</v>
      </c>
      <c r="L43" s="85" t="s">
        <v>1491</v>
      </c>
      <c r="M43" s="97" t="s">
        <v>1562</v>
      </c>
      <c r="N43" s="97">
        <v>1</v>
      </c>
      <c r="O43" s="97">
        <v>90</v>
      </c>
      <c r="P43" s="97">
        <v>90</v>
      </c>
      <c r="Q43" s="98">
        <f>N43*(F43+G43)</f>
        <v>3</v>
      </c>
      <c r="R43" s="98">
        <v>3</v>
      </c>
      <c r="S43" s="98"/>
      <c r="T43" s="98"/>
      <c r="U43" s="85"/>
      <c r="V43" s="84"/>
      <c r="W43" s="85"/>
    </row>
    <row r="44" spans="2:23">
      <c r="B44" s="34" t="s">
        <v>40</v>
      </c>
      <c r="C44" s="34" t="s">
        <v>17</v>
      </c>
      <c r="D44" s="76" t="s">
        <v>609</v>
      </c>
      <c r="E44" s="85" t="s">
        <v>610</v>
      </c>
      <c r="F44" s="84">
        <v>3</v>
      </c>
      <c r="G44" s="84">
        <v>0</v>
      </c>
      <c r="H44" s="84">
        <v>4</v>
      </c>
      <c r="I44" s="97" t="s">
        <v>71</v>
      </c>
      <c r="J44" s="97" t="s">
        <v>71</v>
      </c>
      <c r="K44" s="97" t="s">
        <v>76</v>
      </c>
      <c r="L44" s="85" t="s">
        <v>1488</v>
      </c>
      <c r="M44" s="97" t="s">
        <v>1562</v>
      </c>
      <c r="N44" s="97">
        <v>1</v>
      </c>
      <c r="O44" s="97">
        <v>90</v>
      </c>
      <c r="P44" s="97">
        <v>90</v>
      </c>
      <c r="Q44" s="98">
        <f>N44*(F44+G44)</f>
        <v>3</v>
      </c>
      <c r="R44" s="98">
        <v>3</v>
      </c>
      <c r="S44" s="98"/>
      <c r="T44" s="98"/>
      <c r="U44" s="85"/>
      <c r="V44" s="84"/>
      <c r="W44" s="85"/>
    </row>
    <row r="45" spans="2:23">
      <c r="B45" s="34" t="s">
        <v>40</v>
      </c>
      <c r="C45" s="34" t="s">
        <v>17</v>
      </c>
      <c r="D45" s="76" t="s">
        <v>609</v>
      </c>
      <c r="E45" s="85" t="s">
        <v>610</v>
      </c>
      <c r="F45" s="84">
        <v>3</v>
      </c>
      <c r="G45" s="84">
        <v>0</v>
      </c>
      <c r="H45" s="84">
        <v>4</v>
      </c>
      <c r="I45" s="97" t="s">
        <v>71</v>
      </c>
      <c r="J45" s="97" t="s">
        <v>71</v>
      </c>
      <c r="K45" s="97" t="s">
        <v>76</v>
      </c>
      <c r="L45" s="85" t="s">
        <v>1491</v>
      </c>
      <c r="M45" s="97" t="s">
        <v>1562</v>
      </c>
      <c r="N45" s="97">
        <v>1</v>
      </c>
      <c r="O45" s="97">
        <v>90</v>
      </c>
      <c r="P45" s="97">
        <v>90</v>
      </c>
      <c r="Q45" s="98">
        <f>N45*(F45+G45)</f>
        <v>3</v>
      </c>
      <c r="R45" s="98">
        <v>3</v>
      </c>
      <c r="S45" s="98"/>
      <c r="T45" s="98"/>
      <c r="U45" s="85"/>
      <c r="V45" s="84"/>
      <c r="W45" s="85"/>
    </row>
    <row r="46" spans="2:23">
      <c r="B46" s="34" t="s">
        <v>40</v>
      </c>
      <c r="C46" s="34" t="s">
        <v>17</v>
      </c>
      <c r="D46" s="76" t="s">
        <v>609</v>
      </c>
      <c r="E46" s="85" t="s">
        <v>610</v>
      </c>
      <c r="F46" s="84">
        <v>3</v>
      </c>
      <c r="G46" s="84">
        <v>0</v>
      </c>
      <c r="H46" s="84">
        <v>4</v>
      </c>
      <c r="I46" s="97" t="s">
        <v>71</v>
      </c>
      <c r="J46" s="97" t="s">
        <v>71</v>
      </c>
      <c r="K46" s="97" t="s">
        <v>76</v>
      </c>
      <c r="L46" s="85" t="s">
        <v>1488</v>
      </c>
      <c r="M46" s="97" t="s">
        <v>1528</v>
      </c>
      <c r="N46" s="97">
        <v>1</v>
      </c>
      <c r="O46" s="97">
        <v>90</v>
      </c>
      <c r="P46" s="97">
        <v>90</v>
      </c>
      <c r="Q46" s="98">
        <f>N46*(F46+G46)</f>
        <v>3</v>
      </c>
      <c r="R46" s="98">
        <v>3</v>
      </c>
      <c r="S46" s="98"/>
      <c r="T46" s="98"/>
      <c r="U46" s="85"/>
      <c r="V46" s="84"/>
      <c r="W46" s="85"/>
    </row>
    <row r="47" spans="2:23">
      <c r="B47" s="34" t="s">
        <v>40</v>
      </c>
      <c r="C47" s="34" t="s">
        <v>17</v>
      </c>
      <c r="D47" s="76" t="s">
        <v>609</v>
      </c>
      <c r="E47" s="85" t="s">
        <v>610</v>
      </c>
      <c r="F47" s="84">
        <v>3</v>
      </c>
      <c r="G47" s="84">
        <v>0</v>
      </c>
      <c r="H47" s="84">
        <v>4</v>
      </c>
      <c r="I47" s="97" t="s">
        <v>71</v>
      </c>
      <c r="J47" s="97" t="s">
        <v>71</v>
      </c>
      <c r="K47" s="97" t="s">
        <v>76</v>
      </c>
      <c r="L47" s="85" t="s">
        <v>1491</v>
      </c>
      <c r="M47" s="97" t="s">
        <v>1528</v>
      </c>
      <c r="N47" s="97">
        <v>1</v>
      </c>
      <c r="O47" s="97">
        <v>90</v>
      </c>
      <c r="P47" s="97">
        <v>90</v>
      </c>
      <c r="Q47" s="98">
        <f>N47*(F47+G47)</f>
        <v>3</v>
      </c>
      <c r="R47" s="98">
        <v>3</v>
      </c>
      <c r="S47" s="98"/>
      <c r="T47" s="98"/>
      <c r="U47" s="85"/>
      <c r="V47" s="84"/>
      <c r="W47" s="85"/>
    </row>
    <row r="48" spans="2:23">
      <c r="B48" s="34" t="s">
        <v>40</v>
      </c>
      <c r="C48" s="34" t="s">
        <v>17</v>
      </c>
      <c r="D48" s="76" t="s">
        <v>773</v>
      </c>
      <c r="E48" s="85" t="s">
        <v>774</v>
      </c>
      <c r="F48" s="84">
        <v>3</v>
      </c>
      <c r="G48" s="84">
        <v>0</v>
      </c>
      <c r="H48" s="84">
        <v>4</v>
      </c>
      <c r="I48" s="97" t="s">
        <v>71</v>
      </c>
      <c r="J48" s="97" t="s">
        <v>71</v>
      </c>
      <c r="K48" s="97" t="s">
        <v>775</v>
      </c>
      <c r="L48" s="85" t="s">
        <v>1488</v>
      </c>
      <c r="M48" s="97" t="s">
        <v>1562</v>
      </c>
      <c r="N48" s="97">
        <v>4</v>
      </c>
      <c r="O48" s="97">
        <v>100</v>
      </c>
      <c r="P48" s="97">
        <v>400</v>
      </c>
      <c r="Q48" s="98">
        <f>N48*(F48+G48)</f>
        <v>12</v>
      </c>
      <c r="R48" s="98">
        <v>12</v>
      </c>
      <c r="S48" s="98"/>
      <c r="T48" s="98"/>
      <c r="U48" s="85"/>
      <c r="V48" s="84"/>
      <c r="W48" s="85"/>
    </row>
    <row r="49" spans="2:23">
      <c r="B49" s="34" t="s">
        <v>40</v>
      </c>
      <c r="C49" s="34" t="s">
        <v>17</v>
      </c>
      <c r="D49" s="76" t="s">
        <v>773</v>
      </c>
      <c r="E49" s="85" t="s">
        <v>774</v>
      </c>
      <c r="F49" s="84">
        <v>3</v>
      </c>
      <c r="G49" s="84">
        <v>0</v>
      </c>
      <c r="H49" s="84">
        <v>4</v>
      </c>
      <c r="I49" s="97" t="s">
        <v>71</v>
      </c>
      <c r="J49" s="97" t="s">
        <v>71</v>
      </c>
      <c r="K49" s="97" t="s">
        <v>775</v>
      </c>
      <c r="L49" s="85" t="s">
        <v>1491</v>
      </c>
      <c r="M49" s="97" t="s">
        <v>1562</v>
      </c>
      <c r="N49" s="97">
        <v>4</v>
      </c>
      <c r="O49" s="97">
        <v>100</v>
      </c>
      <c r="P49" s="97">
        <v>400</v>
      </c>
      <c r="Q49" s="98">
        <f>N49*(F49+G49)</f>
        <v>12</v>
      </c>
      <c r="R49" s="98">
        <v>12</v>
      </c>
      <c r="S49" s="98"/>
      <c r="T49" s="98"/>
      <c r="U49" s="85"/>
      <c r="V49" s="84"/>
      <c r="W49" s="85"/>
    </row>
    <row r="50" spans="2:23">
      <c r="B50" s="34" t="s">
        <v>40</v>
      </c>
      <c r="C50" s="34" t="s">
        <v>17</v>
      </c>
      <c r="D50" s="76" t="s">
        <v>773</v>
      </c>
      <c r="E50" s="85" t="s">
        <v>774</v>
      </c>
      <c r="F50" s="84">
        <v>3</v>
      </c>
      <c r="G50" s="84">
        <v>0</v>
      </c>
      <c r="H50" s="84">
        <v>4</v>
      </c>
      <c r="I50" s="97" t="s">
        <v>71</v>
      </c>
      <c r="J50" s="97" t="s">
        <v>71</v>
      </c>
      <c r="K50" s="97" t="s">
        <v>775</v>
      </c>
      <c r="L50" s="85" t="s">
        <v>1488</v>
      </c>
      <c r="M50" s="97" t="s">
        <v>1528</v>
      </c>
      <c r="N50" s="97">
        <v>2</v>
      </c>
      <c r="O50" s="97">
        <v>90</v>
      </c>
      <c r="P50" s="97">
        <v>180</v>
      </c>
      <c r="Q50" s="98">
        <f>N50*(F50+G50)</f>
        <v>6</v>
      </c>
      <c r="R50" s="98">
        <v>6</v>
      </c>
      <c r="S50" s="98"/>
      <c r="T50" s="98"/>
      <c r="U50" s="85"/>
      <c r="V50" s="84"/>
      <c r="W50" s="85"/>
    </row>
    <row r="51" spans="2:23">
      <c r="B51" s="34" t="s">
        <v>40</v>
      </c>
      <c r="C51" s="34" t="s">
        <v>17</v>
      </c>
      <c r="D51" s="76" t="s">
        <v>773</v>
      </c>
      <c r="E51" s="85" t="s">
        <v>774</v>
      </c>
      <c r="F51" s="84">
        <v>3</v>
      </c>
      <c r="G51" s="84">
        <v>0</v>
      </c>
      <c r="H51" s="84">
        <v>4</v>
      </c>
      <c r="I51" s="97" t="s">
        <v>71</v>
      </c>
      <c r="J51" s="97" t="s">
        <v>71</v>
      </c>
      <c r="K51" s="97" t="s">
        <v>775</v>
      </c>
      <c r="L51" s="85" t="s">
        <v>1491</v>
      </c>
      <c r="M51" s="97" t="s">
        <v>1528</v>
      </c>
      <c r="N51" s="97">
        <v>2</v>
      </c>
      <c r="O51" s="97">
        <v>90</v>
      </c>
      <c r="P51" s="97">
        <v>180</v>
      </c>
      <c r="Q51" s="98">
        <f>N51*(F51+G51)</f>
        <v>6</v>
      </c>
      <c r="R51" s="98">
        <v>6</v>
      </c>
      <c r="S51" s="98"/>
      <c r="T51" s="98"/>
      <c r="U51" s="85"/>
      <c r="V51" s="84"/>
      <c r="W51" s="85"/>
    </row>
    <row r="52" spans="2:23">
      <c r="B52" s="34" t="s">
        <v>40</v>
      </c>
      <c r="C52" s="34" t="s">
        <v>17</v>
      </c>
      <c r="D52" s="76" t="s">
        <v>583</v>
      </c>
      <c r="E52" s="85" t="s">
        <v>584</v>
      </c>
      <c r="F52" s="84">
        <v>3</v>
      </c>
      <c r="G52" s="84">
        <v>1</v>
      </c>
      <c r="H52" s="84">
        <v>4</v>
      </c>
      <c r="I52" s="97" t="s">
        <v>71</v>
      </c>
      <c r="J52" s="97" t="s">
        <v>71</v>
      </c>
      <c r="K52" s="97" t="s">
        <v>76</v>
      </c>
      <c r="L52" s="85" t="s">
        <v>1488</v>
      </c>
      <c r="M52" s="97" t="s">
        <v>1562</v>
      </c>
      <c r="N52" s="97">
        <v>5</v>
      </c>
      <c r="O52" s="97">
        <v>90</v>
      </c>
      <c r="P52" s="97">
        <v>450</v>
      </c>
      <c r="Q52" s="98">
        <v>60</v>
      </c>
      <c r="R52" s="98">
        <v>30</v>
      </c>
      <c r="S52" s="98" t="s">
        <v>1583</v>
      </c>
      <c r="T52" s="98"/>
      <c r="U52" s="85"/>
      <c r="V52" s="84"/>
      <c r="W52" s="85"/>
    </row>
    <row r="53" spans="2:23">
      <c r="B53" s="34" t="s">
        <v>40</v>
      </c>
      <c r="C53" s="34" t="s">
        <v>17</v>
      </c>
      <c r="D53" s="76" t="s">
        <v>583</v>
      </c>
      <c r="E53" s="85" t="s">
        <v>584</v>
      </c>
      <c r="F53" s="84">
        <v>3</v>
      </c>
      <c r="G53" s="84">
        <v>1</v>
      </c>
      <c r="H53" s="84">
        <v>4</v>
      </c>
      <c r="I53" s="97" t="s">
        <v>71</v>
      </c>
      <c r="J53" s="97" t="s">
        <v>71</v>
      </c>
      <c r="K53" s="97" t="s">
        <v>76</v>
      </c>
      <c r="L53" s="85" t="s">
        <v>1491</v>
      </c>
      <c r="M53" s="97" t="s">
        <v>1562</v>
      </c>
      <c r="N53" s="97">
        <v>5</v>
      </c>
      <c r="O53" s="97">
        <v>90</v>
      </c>
      <c r="P53" s="97">
        <v>450</v>
      </c>
      <c r="Q53" s="98">
        <v>60</v>
      </c>
      <c r="R53" s="98">
        <v>30</v>
      </c>
      <c r="S53" s="98" t="s">
        <v>1583</v>
      </c>
      <c r="T53" s="98"/>
      <c r="U53" s="85"/>
      <c r="V53" s="84"/>
      <c r="W53" s="85"/>
    </row>
    <row r="54" spans="2:23">
      <c r="B54" s="34" t="s">
        <v>40</v>
      </c>
      <c r="C54" s="34" t="s">
        <v>17</v>
      </c>
      <c r="D54" s="76" t="s">
        <v>583</v>
      </c>
      <c r="E54" s="85" t="s">
        <v>584</v>
      </c>
      <c r="F54" s="84">
        <v>3</v>
      </c>
      <c r="G54" s="84">
        <v>1</v>
      </c>
      <c r="H54" s="84">
        <v>4</v>
      </c>
      <c r="I54" s="97" t="s">
        <v>71</v>
      </c>
      <c r="J54" s="97" t="s">
        <v>71</v>
      </c>
      <c r="K54" s="97" t="s">
        <v>76</v>
      </c>
      <c r="L54" s="85" t="s">
        <v>1488</v>
      </c>
      <c r="M54" s="97" t="s">
        <v>1528</v>
      </c>
      <c r="N54" s="97">
        <v>2</v>
      </c>
      <c r="O54" s="97">
        <v>90</v>
      </c>
      <c r="P54" s="97">
        <v>180</v>
      </c>
      <c r="Q54" s="98">
        <v>24</v>
      </c>
      <c r="R54" s="98">
        <v>12</v>
      </c>
      <c r="S54" s="98" t="s">
        <v>1583</v>
      </c>
      <c r="T54" s="98"/>
      <c r="U54" s="85"/>
      <c r="V54" s="84"/>
      <c r="W54" s="85"/>
    </row>
    <row r="55" spans="2:23">
      <c r="B55" s="34" t="s">
        <v>40</v>
      </c>
      <c r="C55" s="34" t="s">
        <v>17</v>
      </c>
      <c r="D55" s="76" t="s">
        <v>583</v>
      </c>
      <c r="E55" s="85" t="s">
        <v>584</v>
      </c>
      <c r="F55" s="84">
        <v>3</v>
      </c>
      <c r="G55" s="84">
        <v>1</v>
      </c>
      <c r="H55" s="84">
        <v>4</v>
      </c>
      <c r="I55" s="97" t="s">
        <v>71</v>
      </c>
      <c r="J55" s="97" t="s">
        <v>71</v>
      </c>
      <c r="K55" s="97" t="s">
        <v>76</v>
      </c>
      <c r="L55" s="85" t="s">
        <v>1491</v>
      </c>
      <c r="M55" s="97" t="s">
        <v>1528</v>
      </c>
      <c r="N55" s="97">
        <v>2</v>
      </c>
      <c r="O55" s="97">
        <v>90</v>
      </c>
      <c r="P55" s="97">
        <v>180</v>
      </c>
      <c r="Q55" s="98">
        <v>24</v>
      </c>
      <c r="R55" s="98">
        <v>12</v>
      </c>
      <c r="S55" s="98" t="s">
        <v>1583</v>
      </c>
      <c r="T55" s="98"/>
      <c r="U55" s="85"/>
      <c r="V55" s="84"/>
      <c r="W55" s="85"/>
    </row>
    <row r="56" spans="2:23">
      <c r="B56" s="34" t="s">
        <v>40</v>
      </c>
      <c r="C56" s="34" t="s">
        <v>17</v>
      </c>
      <c r="D56" s="76" t="s">
        <v>579</v>
      </c>
      <c r="E56" s="85" t="s">
        <v>580</v>
      </c>
      <c r="F56" s="84">
        <v>3</v>
      </c>
      <c r="G56" s="84">
        <v>2</v>
      </c>
      <c r="H56" s="84">
        <v>6</v>
      </c>
      <c r="I56" s="97" t="s">
        <v>71</v>
      </c>
      <c r="J56" s="97" t="s">
        <v>71</v>
      </c>
      <c r="K56" s="97" t="s">
        <v>76</v>
      </c>
      <c r="L56" s="85" t="s">
        <v>1488</v>
      </c>
      <c r="M56" s="97" t="s">
        <v>1562</v>
      </c>
      <c r="N56" s="97">
        <v>2</v>
      </c>
      <c r="O56" s="97">
        <v>90</v>
      </c>
      <c r="P56" s="97">
        <v>180</v>
      </c>
      <c r="Q56" s="98">
        <v>30</v>
      </c>
      <c r="R56" s="98">
        <v>18</v>
      </c>
      <c r="S56" s="98" t="s">
        <v>1583</v>
      </c>
      <c r="T56" s="98"/>
      <c r="U56" s="85"/>
      <c r="V56" s="84"/>
      <c r="W56" s="85"/>
    </row>
    <row r="57" spans="2:23">
      <c r="B57" s="34" t="s">
        <v>40</v>
      </c>
      <c r="C57" s="34" t="s">
        <v>17</v>
      </c>
      <c r="D57" s="76" t="s">
        <v>579</v>
      </c>
      <c r="E57" s="85" t="s">
        <v>580</v>
      </c>
      <c r="F57" s="84">
        <v>3</v>
      </c>
      <c r="G57" s="84">
        <v>2</v>
      </c>
      <c r="H57" s="84">
        <v>6</v>
      </c>
      <c r="I57" s="97" t="s">
        <v>71</v>
      </c>
      <c r="J57" s="97" t="s">
        <v>71</v>
      </c>
      <c r="K57" s="97" t="s">
        <v>76</v>
      </c>
      <c r="L57" s="85" t="s">
        <v>1491</v>
      </c>
      <c r="M57" s="97" t="s">
        <v>1562</v>
      </c>
      <c r="N57" s="97">
        <v>2</v>
      </c>
      <c r="O57" s="97">
        <v>90</v>
      </c>
      <c r="P57" s="97">
        <v>180</v>
      </c>
      <c r="Q57" s="98">
        <v>30</v>
      </c>
      <c r="R57" s="98">
        <v>18</v>
      </c>
      <c r="S57" s="98" t="s">
        <v>1583</v>
      </c>
      <c r="T57" s="98"/>
      <c r="U57" s="85"/>
      <c r="V57" s="84"/>
      <c r="W57" s="85"/>
    </row>
    <row r="58" spans="2:23">
      <c r="B58" s="34" t="s">
        <v>40</v>
      </c>
      <c r="C58" s="34" t="s">
        <v>17</v>
      </c>
      <c r="D58" s="76" t="s">
        <v>579</v>
      </c>
      <c r="E58" s="85" t="s">
        <v>580</v>
      </c>
      <c r="F58" s="84">
        <v>3</v>
      </c>
      <c r="G58" s="84">
        <v>2</v>
      </c>
      <c r="H58" s="84">
        <v>6</v>
      </c>
      <c r="I58" s="97" t="s">
        <v>71</v>
      </c>
      <c r="J58" s="97" t="s">
        <v>71</v>
      </c>
      <c r="K58" s="97" t="s">
        <v>76</v>
      </c>
      <c r="L58" s="85" t="s">
        <v>1488</v>
      </c>
      <c r="M58" s="97" t="s">
        <v>1528</v>
      </c>
      <c r="N58" s="97">
        <v>1</v>
      </c>
      <c r="O58" s="97">
        <v>90</v>
      </c>
      <c r="P58" s="97">
        <v>90</v>
      </c>
      <c r="Q58" s="98">
        <v>15</v>
      </c>
      <c r="R58" s="98">
        <v>9</v>
      </c>
      <c r="S58" s="98" t="s">
        <v>1583</v>
      </c>
      <c r="T58" s="98"/>
      <c r="U58" s="85"/>
      <c r="V58" s="84"/>
      <c r="W58" s="85"/>
    </row>
    <row r="59" spans="2:23">
      <c r="B59" s="34" t="s">
        <v>40</v>
      </c>
      <c r="C59" s="34" t="s">
        <v>17</v>
      </c>
      <c r="D59" s="76" t="s">
        <v>579</v>
      </c>
      <c r="E59" s="85" t="s">
        <v>580</v>
      </c>
      <c r="F59" s="84">
        <v>3</v>
      </c>
      <c r="G59" s="84">
        <v>2</v>
      </c>
      <c r="H59" s="84">
        <v>6</v>
      </c>
      <c r="I59" s="97" t="s">
        <v>71</v>
      </c>
      <c r="J59" s="97" t="s">
        <v>71</v>
      </c>
      <c r="K59" s="97" t="s">
        <v>76</v>
      </c>
      <c r="L59" s="85" t="s">
        <v>1491</v>
      </c>
      <c r="M59" s="97" t="s">
        <v>1528</v>
      </c>
      <c r="N59" s="97">
        <v>1</v>
      </c>
      <c r="O59" s="97">
        <v>90</v>
      </c>
      <c r="P59" s="97">
        <v>90</v>
      </c>
      <c r="Q59" s="98">
        <v>15</v>
      </c>
      <c r="R59" s="98">
        <v>15</v>
      </c>
      <c r="S59" s="98" t="s">
        <v>1583</v>
      </c>
      <c r="T59" s="98"/>
      <c r="U59" s="85"/>
      <c r="V59" s="84"/>
      <c r="W59" s="85"/>
    </row>
    <row r="60" spans="2:23">
      <c r="B60" s="34" t="s">
        <v>40</v>
      </c>
      <c r="C60" s="34" t="s">
        <v>17</v>
      </c>
      <c r="D60" s="76" t="s">
        <v>979</v>
      </c>
      <c r="E60" s="85" t="s">
        <v>192</v>
      </c>
      <c r="F60" s="84">
        <v>3</v>
      </c>
      <c r="G60" s="84">
        <v>0</v>
      </c>
      <c r="H60" s="84">
        <v>4</v>
      </c>
      <c r="I60" s="97" t="s">
        <v>71</v>
      </c>
      <c r="J60" s="97" t="s">
        <v>71</v>
      </c>
      <c r="K60" s="97" t="s">
        <v>76</v>
      </c>
      <c r="L60" s="85" t="s">
        <v>1491</v>
      </c>
      <c r="M60" s="97" t="s">
        <v>1562</v>
      </c>
      <c r="N60" s="97">
        <v>1</v>
      </c>
      <c r="O60" s="97">
        <v>90</v>
      </c>
      <c r="P60" s="97">
        <v>90</v>
      </c>
      <c r="Q60" s="98">
        <f>N60*(F60+G60)</f>
        <v>3</v>
      </c>
      <c r="R60" s="98">
        <v>3</v>
      </c>
      <c r="S60" s="98"/>
      <c r="T60" s="98"/>
      <c r="U60" s="85"/>
      <c r="V60" s="84"/>
      <c r="W60" s="85"/>
    </row>
    <row r="61" spans="2:23">
      <c r="B61" s="34" t="s">
        <v>40</v>
      </c>
      <c r="C61" s="34" t="s">
        <v>17</v>
      </c>
      <c r="D61" s="76" t="s">
        <v>979</v>
      </c>
      <c r="E61" s="85" t="s">
        <v>192</v>
      </c>
      <c r="F61" s="84">
        <v>3</v>
      </c>
      <c r="G61" s="84">
        <v>0</v>
      </c>
      <c r="H61" s="84">
        <v>4</v>
      </c>
      <c r="I61" s="97" t="s">
        <v>71</v>
      </c>
      <c r="J61" s="97" t="s">
        <v>71</v>
      </c>
      <c r="K61" s="97" t="s">
        <v>76</v>
      </c>
      <c r="L61" s="85" t="s">
        <v>1491</v>
      </c>
      <c r="M61" s="97" t="s">
        <v>1528</v>
      </c>
      <c r="N61" s="97">
        <v>1</v>
      </c>
      <c r="O61" s="97">
        <v>90</v>
      </c>
      <c r="P61" s="97">
        <v>90</v>
      </c>
      <c r="Q61" s="98">
        <f>N61*(F61+G61)</f>
        <v>3</v>
      </c>
      <c r="R61" s="98">
        <v>3</v>
      </c>
      <c r="S61" s="98"/>
      <c r="T61" s="98"/>
      <c r="U61" s="85"/>
      <c r="V61" s="84"/>
      <c r="W61" s="85"/>
    </row>
    <row r="62" spans="2:23">
      <c r="B62" s="34" t="s">
        <v>40</v>
      </c>
      <c r="C62" s="34" t="s">
        <v>17</v>
      </c>
      <c r="D62" s="76" t="s">
        <v>1360</v>
      </c>
      <c r="E62" s="85" t="s">
        <v>208</v>
      </c>
      <c r="F62" s="84">
        <v>3</v>
      </c>
      <c r="G62" s="84">
        <v>0</v>
      </c>
      <c r="H62" s="84">
        <v>4</v>
      </c>
      <c r="I62" s="97" t="s">
        <v>71</v>
      </c>
      <c r="J62" s="97" t="s">
        <v>71</v>
      </c>
      <c r="K62" s="97" t="s">
        <v>76</v>
      </c>
      <c r="L62" s="85" t="s">
        <v>1488</v>
      </c>
      <c r="M62" s="97" t="s">
        <v>1562</v>
      </c>
      <c r="N62" s="97">
        <v>1</v>
      </c>
      <c r="O62" s="97">
        <v>90</v>
      </c>
      <c r="P62" s="97">
        <v>90</v>
      </c>
      <c r="Q62" s="98">
        <f>N62*(F62+G62)</f>
        <v>3</v>
      </c>
      <c r="R62" s="98">
        <v>3</v>
      </c>
      <c r="S62" s="98"/>
      <c r="T62" s="98"/>
      <c r="U62" s="85"/>
      <c r="V62" s="84"/>
      <c r="W62" s="85"/>
    </row>
    <row r="63" spans="2:23">
      <c r="B63" s="34" t="s">
        <v>40</v>
      </c>
      <c r="C63" s="34" t="s">
        <v>17</v>
      </c>
      <c r="D63" s="76" t="s">
        <v>1360</v>
      </c>
      <c r="E63" s="85" t="s">
        <v>208</v>
      </c>
      <c r="F63" s="84">
        <v>3</v>
      </c>
      <c r="G63" s="84">
        <v>0</v>
      </c>
      <c r="H63" s="84">
        <v>4</v>
      </c>
      <c r="I63" s="97" t="s">
        <v>71</v>
      </c>
      <c r="J63" s="97" t="s">
        <v>71</v>
      </c>
      <c r="K63" s="97" t="s">
        <v>76</v>
      </c>
      <c r="L63" s="85" t="s">
        <v>1491</v>
      </c>
      <c r="M63" s="97" t="s">
        <v>1562</v>
      </c>
      <c r="N63" s="97">
        <v>1</v>
      </c>
      <c r="O63" s="97">
        <v>90</v>
      </c>
      <c r="P63" s="97">
        <v>90</v>
      </c>
      <c r="Q63" s="98">
        <f>N63*(F63+G63)</f>
        <v>3</v>
      </c>
      <c r="R63" s="98">
        <v>3</v>
      </c>
      <c r="S63" s="98"/>
      <c r="T63" s="98"/>
      <c r="U63" s="85"/>
      <c r="V63" s="84"/>
      <c r="W63" s="85"/>
    </row>
    <row r="64" spans="2:23">
      <c r="B64" s="34" t="s">
        <v>40</v>
      </c>
      <c r="C64" s="34" t="s">
        <v>17</v>
      </c>
      <c r="D64" s="76" t="s">
        <v>1360</v>
      </c>
      <c r="E64" s="85" t="s">
        <v>208</v>
      </c>
      <c r="F64" s="84">
        <v>3</v>
      </c>
      <c r="G64" s="84">
        <v>0</v>
      </c>
      <c r="H64" s="84">
        <v>4</v>
      </c>
      <c r="I64" s="97" t="s">
        <v>71</v>
      </c>
      <c r="J64" s="97" t="s">
        <v>71</v>
      </c>
      <c r="K64" s="97" t="s">
        <v>76</v>
      </c>
      <c r="L64" s="85" t="s">
        <v>1488</v>
      </c>
      <c r="M64" s="97" t="s">
        <v>1528</v>
      </c>
      <c r="N64" s="97">
        <v>1</v>
      </c>
      <c r="O64" s="97">
        <v>90</v>
      </c>
      <c r="P64" s="97">
        <v>90</v>
      </c>
      <c r="Q64" s="98">
        <f>N64*(F64+G64)</f>
        <v>3</v>
      </c>
      <c r="R64" s="98">
        <v>3</v>
      </c>
      <c r="S64" s="98"/>
      <c r="T64" s="98"/>
      <c r="U64" s="85"/>
      <c r="V64" s="84"/>
      <c r="W64" s="85"/>
    </row>
    <row r="65" spans="2:23">
      <c r="B65" s="34" t="s">
        <v>40</v>
      </c>
      <c r="C65" s="34" t="s">
        <v>17</v>
      </c>
      <c r="D65" s="76" t="s">
        <v>1360</v>
      </c>
      <c r="E65" s="85" t="s">
        <v>208</v>
      </c>
      <c r="F65" s="84">
        <v>3</v>
      </c>
      <c r="G65" s="84">
        <v>0</v>
      </c>
      <c r="H65" s="84">
        <v>4</v>
      </c>
      <c r="I65" s="97" t="s">
        <v>71</v>
      </c>
      <c r="J65" s="97" t="s">
        <v>71</v>
      </c>
      <c r="K65" s="97" t="s">
        <v>76</v>
      </c>
      <c r="L65" s="85" t="s">
        <v>1491</v>
      </c>
      <c r="M65" s="97" t="s">
        <v>1528</v>
      </c>
      <c r="N65" s="97">
        <v>1</v>
      </c>
      <c r="O65" s="97">
        <v>90</v>
      </c>
      <c r="P65" s="97">
        <v>90</v>
      </c>
      <c r="Q65" s="98">
        <f>N65*(F65+G65)</f>
        <v>3</v>
      </c>
      <c r="R65" s="98">
        <v>3</v>
      </c>
      <c r="S65" s="98"/>
      <c r="T65" s="98"/>
      <c r="U65" s="85"/>
      <c r="V65" s="84"/>
      <c r="W65" s="85"/>
    </row>
    <row r="66" spans="2:23">
      <c r="B66" s="34" t="s">
        <v>40</v>
      </c>
      <c r="C66" s="34" t="s">
        <v>17</v>
      </c>
      <c r="D66" s="76" t="s">
        <v>1361</v>
      </c>
      <c r="E66" s="85" t="s">
        <v>1362</v>
      </c>
      <c r="F66" s="84">
        <v>3</v>
      </c>
      <c r="G66" s="84">
        <v>2</v>
      </c>
      <c r="H66" s="84">
        <v>6</v>
      </c>
      <c r="I66" s="97" t="s">
        <v>71</v>
      </c>
      <c r="J66" s="97" t="s">
        <v>71</v>
      </c>
      <c r="K66" s="97" t="s">
        <v>76</v>
      </c>
      <c r="L66" s="85" t="s">
        <v>1488</v>
      </c>
      <c r="M66" s="97" t="s">
        <v>1562</v>
      </c>
      <c r="N66" s="97">
        <v>5</v>
      </c>
      <c r="O66" s="97">
        <v>90</v>
      </c>
      <c r="P66" s="97">
        <v>450</v>
      </c>
      <c r="Q66" s="98">
        <v>75</v>
      </c>
      <c r="R66" s="98">
        <v>45</v>
      </c>
      <c r="S66" s="98" t="s">
        <v>1695</v>
      </c>
      <c r="T66" s="98"/>
      <c r="U66" s="85"/>
      <c r="V66" s="84"/>
      <c r="W66" s="85"/>
    </row>
    <row r="67" spans="2:23">
      <c r="B67" s="34" t="s">
        <v>40</v>
      </c>
      <c r="C67" s="34" t="s">
        <v>17</v>
      </c>
      <c r="D67" s="76" t="s">
        <v>1361</v>
      </c>
      <c r="E67" s="85" t="s">
        <v>1362</v>
      </c>
      <c r="F67" s="84">
        <v>3</v>
      </c>
      <c r="G67" s="84">
        <v>2</v>
      </c>
      <c r="H67" s="84">
        <v>6</v>
      </c>
      <c r="I67" s="97" t="s">
        <v>71</v>
      </c>
      <c r="J67" s="97" t="s">
        <v>71</v>
      </c>
      <c r="K67" s="97" t="s">
        <v>76</v>
      </c>
      <c r="L67" s="85" t="s">
        <v>1491</v>
      </c>
      <c r="M67" s="97" t="s">
        <v>1562</v>
      </c>
      <c r="N67" s="97">
        <v>5</v>
      </c>
      <c r="O67" s="97">
        <v>90</v>
      </c>
      <c r="P67" s="97">
        <v>450</v>
      </c>
      <c r="Q67" s="98">
        <v>75</v>
      </c>
      <c r="R67" s="98">
        <v>45</v>
      </c>
      <c r="S67" s="98" t="s">
        <v>1695</v>
      </c>
      <c r="T67" s="98"/>
      <c r="U67" s="85"/>
      <c r="V67" s="84"/>
      <c r="W67" s="85"/>
    </row>
    <row r="68" spans="2:23">
      <c r="B68" s="34" t="s">
        <v>40</v>
      </c>
      <c r="C68" s="34" t="s">
        <v>17</v>
      </c>
      <c r="D68" s="76" t="s">
        <v>1361</v>
      </c>
      <c r="E68" s="85" t="s">
        <v>1362</v>
      </c>
      <c r="F68" s="84">
        <v>3</v>
      </c>
      <c r="G68" s="84">
        <v>2</v>
      </c>
      <c r="H68" s="84">
        <v>6</v>
      </c>
      <c r="I68" s="97" t="s">
        <v>71</v>
      </c>
      <c r="J68" s="97" t="s">
        <v>71</v>
      </c>
      <c r="K68" s="97" t="s">
        <v>76</v>
      </c>
      <c r="L68" s="85" t="s">
        <v>1488</v>
      </c>
      <c r="M68" s="97" t="s">
        <v>1528</v>
      </c>
      <c r="N68" s="97">
        <v>2</v>
      </c>
      <c r="O68" s="97">
        <v>90</v>
      </c>
      <c r="P68" s="97">
        <v>180</v>
      </c>
      <c r="Q68" s="98">
        <v>30</v>
      </c>
      <c r="R68" s="98">
        <v>18</v>
      </c>
      <c r="S68" s="98" t="s">
        <v>1695</v>
      </c>
      <c r="T68" s="98"/>
      <c r="U68" s="85"/>
      <c r="V68" s="84"/>
      <c r="W68" s="85"/>
    </row>
    <row r="69" spans="2:23">
      <c r="B69" s="34" t="s">
        <v>40</v>
      </c>
      <c r="C69" s="34" t="s">
        <v>17</v>
      </c>
      <c r="D69" s="76" t="s">
        <v>1361</v>
      </c>
      <c r="E69" s="85" t="s">
        <v>1362</v>
      </c>
      <c r="F69" s="84">
        <v>3</v>
      </c>
      <c r="G69" s="84">
        <v>2</v>
      </c>
      <c r="H69" s="84">
        <v>6</v>
      </c>
      <c r="I69" s="97" t="s">
        <v>71</v>
      </c>
      <c r="J69" s="97" t="s">
        <v>71</v>
      </c>
      <c r="K69" s="97" t="s">
        <v>76</v>
      </c>
      <c r="L69" s="85" t="s">
        <v>1491</v>
      </c>
      <c r="M69" s="97" t="s">
        <v>1528</v>
      </c>
      <c r="N69" s="97">
        <v>2</v>
      </c>
      <c r="O69" s="97">
        <v>90</v>
      </c>
      <c r="P69" s="97">
        <v>180</v>
      </c>
      <c r="Q69" s="98">
        <v>30</v>
      </c>
      <c r="R69" s="98">
        <v>18</v>
      </c>
      <c r="S69" s="98" t="s">
        <v>1695</v>
      </c>
      <c r="T69" s="98"/>
      <c r="U69" s="85"/>
      <c r="V69" s="84"/>
      <c r="W69" s="85"/>
    </row>
    <row r="70" spans="2:23">
      <c r="B70" s="34" t="s">
        <v>40</v>
      </c>
      <c r="C70" s="34" t="s">
        <v>17</v>
      </c>
      <c r="D70" s="76" t="s">
        <v>1359</v>
      </c>
      <c r="E70" s="85" t="s">
        <v>572</v>
      </c>
      <c r="F70" s="84">
        <v>3</v>
      </c>
      <c r="G70" s="84">
        <v>2</v>
      </c>
      <c r="H70" s="84">
        <v>6</v>
      </c>
      <c r="I70" s="97" t="s">
        <v>71</v>
      </c>
      <c r="J70" s="97" t="s">
        <v>71</v>
      </c>
      <c r="K70" s="97" t="s">
        <v>76</v>
      </c>
      <c r="L70" s="85" t="s">
        <v>1488</v>
      </c>
      <c r="M70" s="97" t="s">
        <v>1562</v>
      </c>
      <c r="N70" s="97">
        <v>1</v>
      </c>
      <c r="O70" s="97">
        <v>90</v>
      </c>
      <c r="P70" s="97">
        <v>90</v>
      </c>
      <c r="Q70" s="98">
        <v>15</v>
      </c>
      <c r="R70" s="98">
        <v>9</v>
      </c>
      <c r="S70" s="98" t="s">
        <v>1695</v>
      </c>
      <c r="T70" s="98"/>
      <c r="U70" s="85"/>
      <c r="V70" s="84"/>
      <c r="W70" s="85"/>
    </row>
    <row r="71" spans="2:23">
      <c r="B71" s="34" t="s">
        <v>40</v>
      </c>
      <c r="C71" s="34" t="s">
        <v>17</v>
      </c>
      <c r="D71" s="76" t="s">
        <v>1359</v>
      </c>
      <c r="E71" s="85" t="s">
        <v>572</v>
      </c>
      <c r="F71" s="84">
        <v>3</v>
      </c>
      <c r="G71" s="84">
        <v>2</v>
      </c>
      <c r="H71" s="84">
        <v>6</v>
      </c>
      <c r="I71" s="97" t="s">
        <v>71</v>
      </c>
      <c r="J71" s="97" t="s">
        <v>71</v>
      </c>
      <c r="K71" s="97" t="s">
        <v>76</v>
      </c>
      <c r="L71" s="85" t="s">
        <v>1491</v>
      </c>
      <c r="M71" s="97" t="s">
        <v>1562</v>
      </c>
      <c r="N71" s="97">
        <v>1</v>
      </c>
      <c r="O71" s="97">
        <v>90</v>
      </c>
      <c r="P71" s="97">
        <v>90</v>
      </c>
      <c r="Q71" s="98">
        <v>15</v>
      </c>
      <c r="R71" s="98">
        <v>9</v>
      </c>
      <c r="S71" s="98" t="s">
        <v>1695</v>
      </c>
      <c r="T71" s="98"/>
      <c r="U71" s="85"/>
      <c r="V71" s="84"/>
      <c r="W71" s="85"/>
    </row>
    <row r="72" spans="2:23">
      <c r="B72" s="34" t="s">
        <v>40</v>
      </c>
      <c r="C72" s="34" t="s">
        <v>17</v>
      </c>
      <c r="D72" s="76" t="s">
        <v>1359</v>
      </c>
      <c r="E72" s="85" t="s">
        <v>572</v>
      </c>
      <c r="F72" s="84">
        <v>3</v>
      </c>
      <c r="G72" s="84">
        <v>2</v>
      </c>
      <c r="H72" s="84">
        <v>6</v>
      </c>
      <c r="I72" s="97" t="s">
        <v>71</v>
      </c>
      <c r="J72" s="97" t="s">
        <v>71</v>
      </c>
      <c r="K72" s="97" t="s">
        <v>76</v>
      </c>
      <c r="L72" s="85" t="s">
        <v>1488</v>
      </c>
      <c r="M72" s="97" t="s">
        <v>1528</v>
      </c>
      <c r="N72" s="97">
        <v>1</v>
      </c>
      <c r="O72" s="97">
        <v>90</v>
      </c>
      <c r="P72" s="97">
        <v>90</v>
      </c>
      <c r="Q72" s="98">
        <v>15</v>
      </c>
      <c r="R72" s="98">
        <v>9</v>
      </c>
      <c r="S72" s="98" t="s">
        <v>1695</v>
      </c>
      <c r="T72" s="98"/>
      <c r="U72" s="85"/>
      <c r="V72" s="84"/>
      <c r="W72" s="85"/>
    </row>
    <row r="73" spans="2:23">
      <c r="B73" s="34" t="s">
        <v>40</v>
      </c>
      <c r="C73" s="34" t="s">
        <v>17</v>
      </c>
      <c r="D73" s="76" t="s">
        <v>1359</v>
      </c>
      <c r="E73" s="85" t="s">
        <v>572</v>
      </c>
      <c r="F73" s="84">
        <v>3</v>
      </c>
      <c r="G73" s="84">
        <v>2</v>
      </c>
      <c r="H73" s="84">
        <v>6</v>
      </c>
      <c r="I73" s="97" t="s">
        <v>71</v>
      </c>
      <c r="J73" s="97" t="s">
        <v>71</v>
      </c>
      <c r="K73" s="97" t="s">
        <v>76</v>
      </c>
      <c r="L73" s="85" t="s">
        <v>1491</v>
      </c>
      <c r="M73" s="97" t="s">
        <v>1528</v>
      </c>
      <c r="N73" s="97">
        <v>1</v>
      </c>
      <c r="O73" s="97">
        <v>90</v>
      </c>
      <c r="P73" s="97">
        <v>90</v>
      </c>
      <c r="Q73" s="98">
        <v>15</v>
      </c>
      <c r="R73" s="98">
        <v>9</v>
      </c>
      <c r="S73" s="98" t="s">
        <v>1695</v>
      </c>
      <c r="T73" s="98"/>
      <c r="U73" s="85"/>
      <c r="V73" s="84"/>
      <c r="W73" s="85"/>
    </row>
    <row r="74" spans="2:23">
      <c r="B74" s="34" t="s">
        <v>40</v>
      </c>
      <c r="C74" s="34" t="s">
        <v>17</v>
      </c>
      <c r="D74" s="76" t="s">
        <v>1379</v>
      </c>
      <c r="E74" s="85" t="s">
        <v>845</v>
      </c>
      <c r="F74" s="84">
        <v>4</v>
      </c>
      <c r="G74" s="84">
        <v>0</v>
      </c>
      <c r="H74" s="84">
        <v>6</v>
      </c>
      <c r="I74" s="97" t="s">
        <v>71</v>
      </c>
      <c r="J74" s="97" t="s">
        <v>71</v>
      </c>
      <c r="K74" s="97" t="s">
        <v>171</v>
      </c>
      <c r="L74" s="85" t="s">
        <v>1488</v>
      </c>
      <c r="M74" s="97" t="s">
        <v>1562</v>
      </c>
      <c r="N74" s="97">
        <v>1</v>
      </c>
      <c r="O74" s="97">
        <v>90</v>
      </c>
      <c r="P74" s="97">
        <v>90</v>
      </c>
      <c r="Q74" s="98">
        <f>N74*(F74+G74)</f>
        <v>4</v>
      </c>
      <c r="R74" s="98">
        <v>4</v>
      </c>
      <c r="S74" s="98"/>
      <c r="T74" s="98"/>
      <c r="U74" s="85"/>
      <c r="V74" s="84"/>
      <c r="W74" s="85"/>
    </row>
    <row r="75" spans="2:23">
      <c r="B75" s="34" t="s">
        <v>40</v>
      </c>
      <c r="C75" s="34" t="s">
        <v>17</v>
      </c>
      <c r="D75" s="76" t="s">
        <v>1379</v>
      </c>
      <c r="E75" s="85" t="s">
        <v>845</v>
      </c>
      <c r="F75" s="84">
        <v>4</v>
      </c>
      <c r="G75" s="84">
        <v>0</v>
      </c>
      <c r="H75" s="84">
        <v>6</v>
      </c>
      <c r="I75" s="97" t="s">
        <v>71</v>
      </c>
      <c r="J75" s="97" t="s">
        <v>71</v>
      </c>
      <c r="K75" s="97" t="s">
        <v>171</v>
      </c>
      <c r="L75" s="85" t="s">
        <v>1491</v>
      </c>
      <c r="M75" s="97" t="s">
        <v>1562</v>
      </c>
      <c r="N75" s="97">
        <v>2</v>
      </c>
      <c r="O75" s="97">
        <v>90</v>
      </c>
      <c r="P75" s="97">
        <v>180</v>
      </c>
      <c r="Q75" s="98">
        <f>N75*(F75+G75)</f>
        <v>8</v>
      </c>
      <c r="R75" s="98">
        <v>8</v>
      </c>
      <c r="S75" s="98"/>
      <c r="T75" s="98"/>
      <c r="U75" s="85"/>
      <c r="V75" s="84"/>
      <c r="W75" s="85"/>
    </row>
    <row r="76" spans="2:23">
      <c r="B76" s="34" t="s">
        <v>40</v>
      </c>
      <c r="C76" s="34" t="s">
        <v>17</v>
      </c>
      <c r="D76" s="76" t="s">
        <v>1379</v>
      </c>
      <c r="E76" s="85" t="s">
        <v>845</v>
      </c>
      <c r="F76" s="84">
        <v>4</v>
      </c>
      <c r="G76" s="84">
        <v>0</v>
      </c>
      <c r="H76" s="84">
        <v>6</v>
      </c>
      <c r="I76" s="97" t="s">
        <v>71</v>
      </c>
      <c r="J76" s="97" t="s">
        <v>71</v>
      </c>
      <c r="K76" s="97" t="s">
        <v>171</v>
      </c>
      <c r="L76" s="85" t="s">
        <v>1488</v>
      </c>
      <c r="M76" s="97" t="s">
        <v>1528</v>
      </c>
      <c r="N76" s="97">
        <v>1</v>
      </c>
      <c r="O76" s="97">
        <v>90</v>
      </c>
      <c r="P76" s="97">
        <v>90</v>
      </c>
      <c r="Q76" s="98">
        <f>N76*(F76+G76)</f>
        <v>4</v>
      </c>
      <c r="R76" s="98">
        <v>4</v>
      </c>
      <c r="S76" s="98"/>
      <c r="T76" s="98"/>
      <c r="U76" s="85"/>
      <c r="V76" s="84"/>
      <c r="W76" s="85"/>
    </row>
    <row r="77" spans="2:23">
      <c r="B77" s="34" t="s">
        <v>40</v>
      </c>
      <c r="C77" s="34" t="s">
        <v>17</v>
      </c>
      <c r="D77" s="76" t="s">
        <v>1379</v>
      </c>
      <c r="E77" s="85" t="s">
        <v>845</v>
      </c>
      <c r="F77" s="84">
        <v>4</v>
      </c>
      <c r="G77" s="84">
        <v>0</v>
      </c>
      <c r="H77" s="84">
        <v>6</v>
      </c>
      <c r="I77" s="97" t="s">
        <v>71</v>
      </c>
      <c r="J77" s="97" t="s">
        <v>71</v>
      </c>
      <c r="K77" s="97" t="s">
        <v>171</v>
      </c>
      <c r="L77" s="85" t="s">
        <v>1491</v>
      </c>
      <c r="M77" s="97" t="s">
        <v>1528</v>
      </c>
      <c r="N77" s="97">
        <v>2</v>
      </c>
      <c r="O77" s="97">
        <v>90</v>
      </c>
      <c r="P77" s="97">
        <v>180</v>
      </c>
      <c r="Q77" s="98">
        <f>N77*(F77+G77)</f>
        <v>8</v>
      </c>
      <c r="R77" s="98">
        <v>8</v>
      </c>
      <c r="S77" s="98"/>
      <c r="T77" s="98"/>
      <c r="U77" s="85"/>
      <c r="V77" s="84"/>
      <c r="W77" s="85"/>
    </row>
    <row r="78" spans="2:23">
      <c r="B78" s="34" t="s">
        <v>40</v>
      </c>
      <c r="C78" s="34" t="s">
        <v>17</v>
      </c>
      <c r="D78" s="76" t="s">
        <v>667</v>
      </c>
      <c r="E78" s="85" t="s">
        <v>91</v>
      </c>
      <c r="F78" s="84">
        <v>3</v>
      </c>
      <c r="G78" s="84">
        <v>0</v>
      </c>
      <c r="H78" s="84">
        <v>6</v>
      </c>
      <c r="I78" s="97" t="s">
        <v>71</v>
      </c>
      <c r="J78" s="97" t="s">
        <v>71</v>
      </c>
      <c r="K78" s="97" t="s">
        <v>76</v>
      </c>
      <c r="L78" s="85" t="s">
        <v>1488</v>
      </c>
      <c r="M78" s="97" t="s">
        <v>1562</v>
      </c>
      <c r="N78" s="97">
        <v>1</v>
      </c>
      <c r="O78" s="97">
        <v>90</v>
      </c>
      <c r="P78" s="97">
        <v>90</v>
      </c>
      <c r="Q78" s="98">
        <f>N78*(F78+G78)</f>
        <v>3</v>
      </c>
      <c r="R78" s="98">
        <v>3</v>
      </c>
      <c r="S78" s="98"/>
      <c r="T78" s="98"/>
      <c r="U78" s="85"/>
      <c r="V78" s="84"/>
      <c r="W78" s="85"/>
    </row>
    <row r="79" spans="2:23">
      <c r="B79" s="34" t="s">
        <v>40</v>
      </c>
      <c r="C79" s="34" t="s">
        <v>17</v>
      </c>
      <c r="D79" s="76" t="s">
        <v>667</v>
      </c>
      <c r="E79" s="85" t="s">
        <v>91</v>
      </c>
      <c r="F79" s="84">
        <v>3</v>
      </c>
      <c r="G79" s="84">
        <v>0</v>
      </c>
      <c r="H79" s="84">
        <v>6</v>
      </c>
      <c r="I79" s="97" t="s">
        <v>71</v>
      </c>
      <c r="J79" s="97" t="s">
        <v>71</v>
      </c>
      <c r="K79" s="97" t="s">
        <v>76</v>
      </c>
      <c r="L79" s="85" t="s">
        <v>1491</v>
      </c>
      <c r="M79" s="97" t="s">
        <v>1562</v>
      </c>
      <c r="N79" s="97">
        <v>1</v>
      </c>
      <c r="O79" s="97">
        <v>90</v>
      </c>
      <c r="P79" s="97">
        <v>90</v>
      </c>
      <c r="Q79" s="98">
        <f>N79*(F79+G79)</f>
        <v>3</v>
      </c>
      <c r="R79" s="98">
        <v>3</v>
      </c>
      <c r="S79" s="98"/>
      <c r="T79" s="98"/>
      <c r="U79" s="85"/>
      <c r="V79" s="84"/>
      <c r="W79" s="85"/>
    </row>
    <row r="80" spans="2:23">
      <c r="B80" s="34" t="s">
        <v>40</v>
      </c>
      <c r="C80" s="34" t="s">
        <v>17</v>
      </c>
      <c r="D80" s="76" t="s">
        <v>667</v>
      </c>
      <c r="E80" s="85" t="s">
        <v>91</v>
      </c>
      <c r="F80" s="84">
        <v>3</v>
      </c>
      <c r="G80" s="84">
        <v>0</v>
      </c>
      <c r="H80" s="84">
        <v>6</v>
      </c>
      <c r="I80" s="97" t="s">
        <v>71</v>
      </c>
      <c r="J80" s="97" t="s">
        <v>71</v>
      </c>
      <c r="K80" s="97" t="s">
        <v>76</v>
      </c>
      <c r="L80" s="85" t="s">
        <v>1488</v>
      </c>
      <c r="M80" s="97" t="s">
        <v>1528</v>
      </c>
      <c r="N80" s="97">
        <v>1</v>
      </c>
      <c r="O80" s="97">
        <v>90</v>
      </c>
      <c r="P80" s="97">
        <v>90</v>
      </c>
      <c r="Q80" s="98">
        <f>N80*(F80+G80)</f>
        <v>3</v>
      </c>
      <c r="R80" s="98">
        <v>3</v>
      </c>
      <c r="S80" s="98"/>
      <c r="T80" s="98"/>
      <c r="U80" s="85"/>
      <c r="V80" s="84"/>
      <c r="W80" s="85"/>
    </row>
    <row r="81" spans="2:23">
      <c r="B81" s="34" t="s">
        <v>40</v>
      </c>
      <c r="C81" s="34" t="s">
        <v>17</v>
      </c>
      <c r="D81" s="76" t="s">
        <v>667</v>
      </c>
      <c r="E81" s="85" t="s">
        <v>91</v>
      </c>
      <c r="F81" s="84">
        <v>3</v>
      </c>
      <c r="G81" s="84">
        <v>0</v>
      </c>
      <c r="H81" s="84">
        <v>6</v>
      </c>
      <c r="I81" s="97" t="s">
        <v>71</v>
      </c>
      <c r="J81" s="97" t="s">
        <v>71</v>
      </c>
      <c r="K81" s="97" t="s">
        <v>76</v>
      </c>
      <c r="L81" s="85" t="s">
        <v>1491</v>
      </c>
      <c r="M81" s="97" t="s">
        <v>1528</v>
      </c>
      <c r="N81" s="97">
        <v>1</v>
      </c>
      <c r="O81" s="97">
        <v>90</v>
      </c>
      <c r="P81" s="97">
        <v>90</v>
      </c>
      <c r="Q81" s="98">
        <f>N81*(F81+G81)</f>
        <v>3</v>
      </c>
      <c r="R81" s="98">
        <v>3</v>
      </c>
      <c r="S81" s="98"/>
      <c r="T81" s="98"/>
      <c r="U81" s="85"/>
      <c r="V81" s="84"/>
      <c r="W81" s="85"/>
    </row>
    <row r="82" spans="2:23">
      <c r="B82" s="34" t="s">
        <v>40</v>
      </c>
      <c r="C82" s="34" t="s">
        <v>17</v>
      </c>
      <c r="D82" s="76" t="s">
        <v>808</v>
      </c>
      <c r="E82" s="85" t="s">
        <v>414</v>
      </c>
      <c r="F82" s="84">
        <v>4</v>
      </c>
      <c r="G82" s="84">
        <v>0</v>
      </c>
      <c r="H82" s="84">
        <v>4</v>
      </c>
      <c r="I82" s="97" t="s">
        <v>71</v>
      </c>
      <c r="J82" s="97" t="s">
        <v>71</v>
      </c>
      <c r="K82" s="97" t="s">
        <v>809</v>
      </c>
      <c r="L82" s="85" t="s">
        <v>1488</v>
      </c>
      <c r="M82" s="97" t="s">
        <v>1562</v>
      </c>
      <c r="N82" s="97">
        <v>1</v>
      </c>
      <c r="O82" s="97">
        <v>90</v>
      </c>
      <c r="P82" s="97">
        <v>90</v>
      </c>
      <c r="Q82" s="98">
        <f>N82*(F82+G82)</f>
        <v>4</v>
      </c>
      <c r="R82" s="98">
        <v>4</v>
      </c>
      <c r="S82" s="98"/>
      <c r="T82" s="98"/>
      <c r="U82" s="85"/>
      <c r="V82" s="84"/>
      <c r="W82" s="85"/>
    </row>
    <row r="83" spans="2:23">
      <c r="B83" s="34" t="s">
        <v>40</v>
      </c>
      <c r="C83" s="34" t="s">
        <v>17</v>
      </c>
      <c r="D83" s="76" t="s">
        <v>808</v>
      </c>
      <c r="E83" s="85" t="s">
        <v>414</v>
      </c>
      <c r="F83" s="84">
        <v>4</v>
      </c>
      <c r="G83" s="84">
        <v>0</v>
      </c>
      <c r="H83" s="84">
        <v>4</v>
      </c>
      <c r="I83" s="97" t="s">
        <v>71</v>
      </c>
      <c r="J83" s="97" t="s">
        <v>71</v>
      </c>
      <c r="K83" s="97" t="s">
        <v>809</v>
      </c>
      <c r="L83" s="85" t="s">
        <v>1491</v>
      </c>
      <c r="M83" s="97" t="s">
        <v>1562</v>
      </c>
      <c r="N83" s="97">
        <v>1</v>
      </c>
      <c r="O83" s="97">
        <v>90</v>
      </c>
      <c r="P83" s="97">
        <v>90</v>
      </c>
      <c r="Q83" s="98">
        <f>N83*(F83+G83)</f>
        <v>4</v>
      </c>
      <c r="R83" s="98">
        <v>4</v>
      </c>
      <c r="S83" s="98"/>
      <c r="T83" s="98"/>
      <c r="U83" s="85"/>
      <c r="V83" s="84"/>
      <c r="W83" s="85"/>
    </row>
    <row r="84" spans="2:23">
      <c r="B84" s="34" t="s">
        <v>40</v>
      </c>
      <c r="C84" s="34" t="s">
        <v>17</v>
      </c>
      <c r="D84" s="76" t="s">
        <v>808</v>
      </c>
      <c r="E84" s="85" t="s">
        <v>414</v>
      </c>
      <c r="F84" s="84">
        <v>4</v>
      </c>
      <c r="G84" s="84">
        <v>0</v>
      </c>
      <c r="H84" s="84">
        <v>4</v>
      </c>
      <c r="I84" s="97" t="s">
        <v>71</v>
      </c>
      <c r="J84" s="97" t="s">
        <v>71</v>
      </c>
      <c r="K84" s="97" t="s">
        <v>809</v>
      </c>
      <c r="L84" s="85" t="s">
        <v>1488</v>
      </c>
      <c r="M84" s="97" t="s">
        <v>1528</v>
      </c>
      <c r="N84" s="97">
        <v>1</v>
      </c>
      <c r="O84" s="97">
        <v>90</v>
      </c>
      <c r="P84" s="97">
        <v>90</v>
      </c>
      <c r="Q84" s="98">
        <f>N84*(F84+G84)</f>
        <v>4</v>
      </c>
      <c r="R84" s="98">
        <v>4</v>
      </c>
      <c r="S84" s="98"/>
      <c r="T84" s="98"/>
      <c r="U84" s="85"/>
      <c r="V84" s="84"/>
      <c r="W84" s="85"/>
    </row>
    <row r="85" spans="2:23">
      <c r="B85" s="34" t="s">
        <v>40</v>
      </c>
      <c r="C85" s="34" t="s">
        <v>17</v>
      </c>
      <c r="D85" s="76" t="s">
        <v>808</v>
      </c>
      <c r="E85" s="85" t="s">
        <v>414</v>
      </c>
      <c r="F85" s="84">
        <v>4</v>
      </c>
      <c r="G85" s="84">
        <v>0</v>
      </c>
      <c r="H85" s="84">
        <v>4</v>
      </c>
      <c r="I85" s="97" t="s">
        <v>71</v>
      </c>
      <c r="J85" s="97" t="s">
        <v>71</v>
      </c>
      <c r="K85" s="97" t="s">
        <v>809</v>
      </c>
      <c r="L85" s="85" t="s">
        <v>1491</v>
      </c>
      <c r="M85" s="97" t="s">
        <v>1528</v>
      </c>
      <c r="N85" s="97">
        <v>1</v>
      </c>
      <c r="O85" s="97">
        <v>90</v>
      </c>
      <c r="P85" s="97">
        <v>90</v>
      </c>
      <c r="Q85" s="98">
        <f>N85*(F85+G85)</f>
        <v>4</v>
      </c>
      <c r="R85" s="98">
        <v>4</v>
      </c>
      <c r="S85" s="98"/>
      <c r="T85" s="98"/>
      <c r="U85" s="85"/>
      <c r="V85" s="84"/>
      <c r="W85" s="85"/>
    </row>
    <row r="86" spans="2:23">
      <c r="B86" s="34" t="s">
        <v>40</v>
      </c>
      <c r="C86" s="34" t="s">
        <v>17</v>
      </c>
      <c r="D86" s="76" t="s">
        <v>1384</v>
      </c>
      <c r="E86" s="85" t="s">
        <v>308</v>
      </c>
      <c r="F86" s="84">
        <v>3</v>
      </c>
      <c r="G86" s="84">
        <v>0</v>
      </c>
      <c r="H86" s="84">
        <v>4</v>
      </c>
      <c r="I86" s="97" t="s">
        <v>71</v>
      </c>
      <c r="J86" s="97" t="s">
        <v>71</v>
      </c>
      <c r="K86" s="97" t="s">
        <v>1385</v>
      </c>
      <c r="L86" s="85" t="s">
        <v>1488</v>
      </c>
      <c r="M86" s="97" t="s">
        <v>1562</v>
      </c>
      <c r="N86" s="97">
        <v>1</v>
      </c>
      <c r="O86" s="97">
        <v>90</v>
      </c>
      <c r="P86" s="97">
        <v>90</v>
      </c>
      <c r="Q86" s="98">
        <f>N86*(F86+G86)</f>
        <v>3</v>
      </c>
      <c r="R86" s="98">
        <v>3</v>
      </c>
      <c r="S86" s="98"/>
      <c r="T86" s="98"/>
      <c r="U86" s="85"/>
      <c r="V86" s="84"/>
      <c r="W86" s="85"/>
    </row>
    <row r="87" spans="2:23">
      <c r="B87" s="34" t="s">
        <v>40</v>
      </c>
      <c r="C87" s="34" t="s">
        <v>17</v>
      </c>
      <c r="D87" s="76" t="s">
        <v>1384</v>
      </c>
      <c r="E87" s="85" t="s">
        <v>308</v>
      </c>
      <c r="F87" s="84">
        <v>3</v>
      </c>
      <c r="G87" s="84">
        <v>0</v>
      </c>
      <c r="H87" s="84">
        <v>4</v>
      </c>
      <c r="I87" s="97" t="s">
        <v>71</v>
      </c>
      <c r="J87" s="97" t="s">
        <v>71</v>
      </c>
      <c r="K87" s="97" t="s">
        <v>1385</v>
      </c>
      <c r="L87" s="85" t="s">
        <v>1491</v>
      </c>
      <c r="M87" s="97" t="s">
        <v>1562</v>
      </c>
      <c r="N87" s="97">
        <v>1</v>
      </c>
      <c r="O87" s="97">
        <v>90</v>
      </c>
      <c r="P87" s="97">
        <v>90</v>
      </c>
      <c r="Q87" s="98">
        <f>N87*(F87+G87)</f>
        <v>3</v>
      </c>
      <c r="R87" s="98">
        <v>3</v>
      </c>
      <c r="S87" s="98"/>
      <c r="T87" s="98"/>
      <c r="U87" s="85"/>
      <c r="V87" s="84"/>
      <c r="W87" s="85"/>
    </row>
    <row r="88" spans="2:23">
      <c r="B88" s="34" t="s">
        <v>40</v>
      </c>
      <c r="C88" s="34" t="s">
        <v>17</v>
      </c>
      <c r="D88" s="76" t="s">
        <v>1384</v>
      </c>
      <c r="E88" s="85" t="s">
        <v>308</v>
      </c>
      <c r="F88" s="84">
        <v>3</v>
      </c>
      <c r="G88" s="84">
        <v>0</v>
      </c>
      <c r="H88" s="84">
        <v>4</v>
      </c>
      <c r="I88" s="97" t="s">
        <v>71</v>
      </c>
      <c r="J88" s="97" t="s">
        <v>71</v>
      </c>
      <c r="K88" s="97" t="s">
        <v>1385</v>
      </c>
      <c r="L88" s="85" t="s">
        <v>1488</v>
      </c>
      <c r="M88" s="97" t="s">
        <v>1528</v>
      </c>
      <c r="N88" s="97">
        <v>1</v>
      </c>
      <c r="O88" s="97">
        <v>90</v>
      </c>
      <c r="P88" s="97">
        <v>90</v>
      </c>
      <c r="Q88" s="98">
        <f>N88*(F88+G88)</f>
        <v>3</v>
      </c>
      <c r="R88" s="98">
        <v>3</v>
      </c>
      <c r="S88" s="98"/>
      <c r="T88" s="98"/>
      <c r="U88" s="85"/>
      <c r="V88" s="84"/>
      <c r="W88" s="85"/>
    </row>
    <row r="89" spans="2:23">
      <c r="B89" s="34" t="s">
        <v>40</v>
      </c>
      <c r="C89" s="34" t="s">
        <v>17</v>
      </c>
      <c r="D89" s="76" t="s">
        <v>1384</v>
      </c>
      <c r="E89" s="85" t="s">
        <v>308</v>
      </c>
      <c r="F89" s="84">
        <v>3</v>
      </c>
      <c r="G89" s="84">
        <v>0</v>
      </c>
      <c r="H89" s="84">
        <v>4</v>
      </c>
      <c r="I89" s="97" t="s">
        <v>71</v>
      </c>
      <c r="J89" s="97" t="s">
        <v>71</v>
      </c>
      <c r="K89" s="97" t="s">
        <v>1385</v>
      </c>
      <c r="L89" s="85" t="s">
        <v>1491</v>
      </c>
      <c r="M89" s="97" t="s">
        <v>1528</v>
      </c>
      <c r="N89" s="97">
        <v>1</v>
      </c>
      <c r="O89" s="97">
        <v>90</v>
      </c>
      <c r="P89" s="97">
        <v>90</v>
      </c>
      <c r="Q89" s="98">
        <f>N89*(F89+G89)</f>
        <v>3</v>
      </c>
      <c r="R89" s="98">
        <v>3</v>
      </c>
      <c r="S89" s="98"/>
      <c r="T89" s="98"/>
      <c r="U89" s="85"/>
      <c r="V89" s="84"/>
      <c r="W89" s="85"/>
    </row>
    <row r="90" spans="2:23">
      <c r="B90" s="34" t="s">
        <v>40</v>
      </c>
      <c r="C90" s="34" t="s">
        <v>17</v>
      </c>
      <c r="D90" s="76" t="s">
        <v>629</v>
      </c>
      <c r="E90" s="85" t="s">
        <v>227</v>
      </c>
      <c r="F90" s="84">
        <v>4</v>
      </c>
      <c r="G90" s="84">
        <v>0</v>
      </c>
      <c r="H90" s="84">
        <v>4</v>
      </c>
      <c r="I90" s="97" t="s">
        <v>71</v>
      </c>
      <c r="J90" s="97" t="s">
        <v>71</v>
      </c>
      <c r="K90" s="97" t="s">
        <v>630</v>
      </c>
      <c r="L90" s="85" t="s">
        <v>1488</v>
      </c>
      <c r="M90" s="97" t="s">
        <v>1562</v>
      </c>
      <c r="N90" s="97">
        <v>5</v>
      </c>
      <c r="O90" s="97">
        <v>90</v>
      </c>
      <c r="P90" s="97">
        <v>450</v>
      </c>
      <c r="Q90" s="98">
        <f>N90*(F90+G90)</f>
        <v>20</v>
      </c>
      <c r="R90" s="98">
        <v>20</v>
      </c>
      <c r="S90" s="98"/>
      <c r="T90" s="98"/>
      <c r="U90" s="85"/>
      <c r="V90" s="84"/>
      <c r="W90" s="85"/>
    </row>
    <row r="91" spans="2:23">
      <c r="B91" s="34" t="s">
        <v>40</v>
      </c>
      <c r="C91" s="34" t="s">
        <v>17</v>
      </c>
      <c r="D91" s="76" t="s">
        <v>629</v>
      </c>
      <c r="E91" s="85" t="s">
        <v>227</v>
      </c>
      <c r="F91" s="84">
        <v>4</v>
      </c>
      <c r="G91" s="84">
        <v>0</v>
      </c>
      <c r="H91" s="84">
        <v>4</v>
      </c>
      <c r="I91" s="97" t="s">
        <v>71</v>
      </c>
      <c r="J91" s="97" t="s">
        <v>71</v>
      </c>
      <c r="K91" s="97" t="s">
        <v>630</v>
      </c>
      <c r="L91" s="85" t="s">
        <v>1491</v>
      </c>
      <c r="M91" s="97" t="s">
        <v>1562</v>
      </c>
      <c r="N91" s="97">
        <v>5</v>
      </c>
      <c r="O91" s="97">
        <v>90</v>
      </c>
      <c r="P91" s="97">
        <v>450</v>
      </c>
      <c r="Q91" s="98">
        <f>N91*(F91+G91)</f>
        <v>20</v>
      </c>
      <c r="R91" s="98">
        <v>20</v>
      </c>
      <c r="S91" s="98"/>
      <c r="T91" s="98"/>
      <c r="U91" s="85"/>
      <c r="V91" s="84"/>
      <c r="W91" s="85"/>
    </row>
    <row r="92" spans="2:23">
      <c r="B92" s="34" t="s">
        <v>40</v>
      </c>
      <c r="C92" s="34" t="s">
        <v>17</v>
      </c>
      <c r="D92" s="76" t="s">
        <v>629</v>
      </c>
      <c r="E92" s="85" t="s">
        <v>227</v>
      </c>
      <c r="F92" s="84">
        <v>4</v>
      </c>
      <c r="G92" s="84">
        <v>0</v>
      </c>
      <c r="H92" s="84">
        <v>4</v>
      </c>
      <c r="I92" s="97" t="s">
        <v>71</v>
      </c>
      <c r="J92" s="97" t="s">
        <v>71</v>
      </c>
      <c r="K92" s="97" t="s">
        <v>630</v>
      </c>
      <c r="L92" s="85" t="s">
        <v>1488</v>
      </c>
      <c r="M92" s="97" t="s">
        <v>1528</v>
      </c>
      <c r="N92" s="97">
        <v>2</v>
      </c>
      <c r="O92" s="97">
        <v>90</v>
      </c>
      <c r="P92" s="97">
        <v>180</v>
      </c>
      <c r="Q92" s="98">
        <f>N92*(F92+G92)</f>
        <v>8</v>
      </c>
      <c r="R92" s="98">
        <v>8</v>
      </c>
      <c r="S92" s="98"/>
      <c r="T92" s="98"/>
      <c r="U92" s="85"/>
      <c r="V92" s="84"/>
      <c r="W92" s="85"/>
    </row>
    <row r="93" spans="2:23">
      <c r="B93" s="34" t="s">
        <v>40</v>
      </c>
      <c r="C93" s="34" t="s">
        <v>17</v>
      </c>
      <c r="D93" s="76" t="s">
        <v>629</v>
      </c>
      <c r="E93" s="85" t="s">
        <v>227</v>
      </c>
      <c r="F93" s="84">
        <v>4</v>
      </c>
      <c r="G93" s="84">
        <v>0</v>
      </c>
      <c r="H93" s="84">
        <v>4</v>
      </c>
      <c r="I93" s="97" t="s">
        <v>71</v>
      </c>
      <c r="J93" s="97" t="s">
        <v>71</v>
      </c>
      <c r="K93" s="97" t="s">
        <v>630</v>
      </c>
      <c r="L93" s="85" t="s">
        <v>1491</v>
      </c>
      <c r="M93" s="97" t="s">
        <v>1528</v>
      </c>
      <c r="N93" s="97">
        <v>2</v>
      </c>
      <c r="O93" s="97">
        <v>90</v>
      </c>
      <c r="P93" s="97">
        <v>180</v>
      </c>
      <c r="Q93" s="98">
        <f>N93*(F93+G93)</f>
        <v>8</v>
      </c>
      <c r="R93" s="98">
        <v>8</v>
      </c>
      <c r="S93" s="98"/>
      <c r="T93" s="98"/>
      <c r="U93" s="85"/>
      <c r="V93" s="84"/>
      <c r="W93" s="85"/>
    </row>
    <row r="94" spans="2:23">
      <c r="B94" s="34" t="s">
        <v>40</v>
      </c>
      <c r="C94" s="34" t="s">
        <v>17</v>
      </c>
      <c r="D94" s="76" t="s">
        <v>950</v>
      </c>
      <c r="E94" s="85" t="s">
        <v>951</v>
      </c>
      <c r="F94" s="84">
        <v>3</v>
      </c>
      <c r="G94" s="84">
        <v>0</v>
      </c>
      <c r="H94" s="84">
        <v>4</v>
      </c>
      <c r="I94" s="97" t="s">
        <v>71</v>
      </c>
      <c r="J94" s="97" t="s">
        <v>71</v>
      </c>
      <c r="K94" s="97" t="s">
        <v>167</v>
      </c>
      <c r="L94" s="85" t="s">
        <v>1488</v>
      </c>
      <c r="M94" s="97" t="s">
        <v>1562</v>
      </c>
      <c r="N94" s="97">
        <v>1</v>
      </c>
      <c r="O94" s="97">
        <v>90</v>
      </c>
      <c r="P94" s="97">
        <v>90</v>
      </c>
      <c r="Q94" s="98">
        <f>N94*(F94+G94)</f>
        <v>3</v>
      </c>
      <c r="R94" s="98">
        <v>3</v>
      </c>
      <c r="S94" s="98"/>
      <c r="T94" s="98"/>
      <c r="U94" s="85"/>
      <c r="V94" s="84"/>
      <c r="W94" s="85"/>
    </row>
    <row r="95" spans="2:23">
      <c r="B95" s="34" t="s">
        <v>40</v>
      </c>
      <c r="C95" s="34" t="s">
        <v>17</v>
      </c>
      <c r="D95" s="76" t="s">
        <v>950</v>
      </c>
      <c r="E95" s="85" t="s">
        <v>951</v>
      </c>
      <c r="F95" s="84">
        <v>3</v>
      </c>
      <c r="G95" s="84">
        <v>0</v>
      </c>
      <c r="H95" s="84">
        <v>4</v>
      </c>
      <c r="I95" s="97" t="s">
        <v>71</v>
      </c>
      <c r="J95" s="97" t="s">
        <v>71</v>
      </c>
      <c r="K95" s="97" t="s">
        <v>167</v>
      </c>
      <c r="L95" s="85" t="s">
        <v>1491</v>
      </c>
      <c r="M95" s="97" t="s">
        <v>1562</v>
      </c>
      <c r="N95" s="97">
        <v>1</v>
      </c>
      <c r="O95" s="97">
        <v>90</v>
      </c>
      <c r="P95" s="97">
        <v>90</v>
      </c>
      <c r="Q95" s="98">
        <f>N95*(F95+G95)</f>
        <v>3</v>
      </c>
      <c r="R95" s="98">
        <v>3</v>
      </c>
      <c r="S95" s="98"/>
      <c r="T95" s="98"/>
      <c r="U95" s="85"/>
      <c r="V95" s="84"/>
      <c r="W95" s="85"/>
    </row>
    <row r="96" spans="2:23">
      <c r="B96" s="34" t="s">
        <v>40</v>
      </c>
      <c r="C96" s="34" t="s">
        <v>17</v>
      </c>
      <c r="D96" s="76" t="s">
        <v>950</v>
      </c>
      <c r="E96" s="85" t="s">
        <v>951</v>
      </c>
      <c r="F96" s="84">
        <v>3</v>
      </c>
      <c r="G96" s="84">
        <v>0</v>
      </c>
      <c r="H96" s="84">
        <v>4</v>
      </c>
      <c r="I96" s="97" t="s">
        <v>71</v>
      </c>
      <c r="J96" s="97" t="s">
        <v>71</v>
      </c>
      <c r="K96" s="97" t="s">
        <v>167</v>
      </c>
      <c r="L96" s="85" t="s">
        <v>1488</v>
      </c>
      <c r="M96" s="97" t="s">
        <v>1528</v>
      </c>
      <c r="N96" s="97">
        <v>1</v>
      </c>
      <c r="O96" s="97">
        <v>90</v>
      </c>
      <c r="P96" s="97">
        <v>90</v>
      </c>
      <c r="Q96" s="98">
        <f>N96*(F96+G96)</f>
        <v>3</v>
      </c>
      <c r="R96" s="98">
        <v>3</v>
      </c>
      <c r="S96" s="98"/>
      <c r="T96" s="98"/>
      <c r="U96" s="85"/>
      <c r="V96" s="84"/>
      <c r="W96" s="85"/>
    </row>
    <row r="97" spans="2:23">
      <c r="B97" s="34" t="s">
        <v>40</v>
      </c>
      <c r="C97" s="34" t="s">
        <v>17</v>
      </c>
      <c r="D97" s="76" t="s">
        <v>950</v>
      </c>
      <c r="E97" s="85" t="s">
        <v>951</v>
      </c>
      <c r="F97" s="84">
        <v>3</v>
      </c>
      <c r="G97" s="84">
        <v>0</v>
      </c>
      <c r="H97" s="84">
        <v>4</v>
      </c>
      <c r="I97" s="97" t="s">
        <v>71</v>
      </c>
      <c r="J97" s="97" t="s">
        <v>71</v>
      </c>
      <c r="K97" s="97" t="s">
        <v>167</v>
      </c>
      <c r="L97" s="85" t="s">
        <v>1491</v>
      </c>
      <c r="M97" s="97" t="s">
        <v>1528</v>
      </c>
      <c r="N97" s="97">
        <v>1</v>
      </c>
      <c r="O97" s="97">
        <v>90</v>
      </c>
      <c r="P97" s="97">
        <v>90</v>
      </c>
      <c r="Q97" s="98">
        <f>N97*(F97+G97)</f>
        <v>3</v>
      </c>
      <c r="R97" s="98">
        <v>3</v>
      </c>
      <c r="S97" s="98"/>
      <c r="T97" s="98"/>
      <c r="U97" s="85"/>
      <c r="V97" s="84"/>
      <c r="W97" s="85"/>
    </row>
    <row r="98" spans="2:23">
      <c r="B98" s="34" t="s">
        <v>40</v>
      </c>
      <c r="C98" s="34" t="s">
        <v>17</v>
      </c>
      <c r="D98" s="76" t="s">
        <v>296</v>
      </c>
      <c r="E98" s="85" t="s">
        <v>297</v>
      </c>
      <c r="F98" s="84">
        <v>3</v>
      </c>
      <c r="G98" s="84">
        <v>0</v>
      </c>
      <c r="H98" s="84">
        <v>4</v>
      </c>
      <c r="I98" s="97" t="s">
        <v>71</v>
      </c>
      <c r="J98" s="97" t="s">
        <v>71</v>
      </c>
      <c r="K98" s="97" t="s">
        <v>298</v>
      </c>
      <c r="L98" s="85" t="s">
        <v>1488</v>
      </c>
      <c r="M98" s="97" t="s">
        <v>1562</v>
      </c>
      <c r="N98" s="97">
        <v>5</v>
      </c>
      <c r="O98" s="97">
        <v>90</v>
      </c>
      <c r="P98" s="97">
        <v>450</v>
      </c>
      <c r="Q98" s="98">
        <f>N98*(F98+G98)</f>
        <v>15</v>
      </c>
      <c r="R98" s="98">
        <v>15</v>
      </c>
      <c r="S98" s="98" t="s">
        <v>1563</v>
      </c>
      <c r="T98" s="98"/>
      <c r="U98" s="85"/>
      <c r="V98" s="84"/>
      <c r="W98" s="85"/>
    </row>
    <row r="99" spans="2:23">
      <c r="B99" s="34" t="s">
        <v>40</v>
      </c>
      <c r="C99" s="34" t="s">
        <v>17</v>
      </c>
      <c r="D99" s="76" t="s">
        <v>296</v>
      </c>
      <c r="E99" s="85" t="s">
        <v>297</v>
      </c>
      <c r="F99" s="84">
        <v>3</v>
      </c>
      <c r="G99" s="84">
        <v>0</v>
      </c>
      <c r="H99" s="84">
        <v>4</v>
      </c>
      <c r="I99" s="97" t="s">
        <v>71</v>
      </c>
      <c r="J99" s="97" t="s">
        <v>71</v>
      </c>
      <c r="K99" s="97" t="s">
        <v>298</v>
      </c>
      <c r="L99" s="85" t="s">
        <v>1491</v>
      </c>
      <c r="M99" s="97" t="s">
        <v>1562</v>
      </c>
      <c r="N99" s="97">
        <v>5</v>
      </c>
      <c r="O99" s="97">
        <v>90</v>
      </c>
      <c r="P99" s="97">
        <v>450</v>
      </c>
      <c r="Q99" s="98">
        <f>N99*(F99+G99)</f>
        <v>15</v>
      </c>
      <c r="R99" s="98">
        <v>15</v>
      </c>
      <c r="S99" s="98" t="s">
        <v>1563</v>
      </c>
      <c r="T99" s="98"/>
      <c r="U99" s="85"/>
      <c r="V99" s="84"/>
      <c r="W99" s="85"/>
    </row>
    <row r="100" spans="2:23">
      <c r="B100" s="34" t="s">
        <v>40</v>
      </c>
      <c r="C100" s="34" t="s">
        <v>17</v>
      </c>
      <c r="D100" s="76" t="s">
        <v>296</v>
      </c>
      <c r="E100" s="85" t="s">
        <v>297</v>
      </c>
      <c r="F100" s="84">
        <v>3</v>
      </c>
      <c r="G100" s="84">
        <v>0</v>
      </c>
      <c r="H100" s="84">
        <v>4</v>
      </c>
      <c r="I100" s="97" t="s">
        <v>71</v>
      </c>
      <c r="J100" s="97" t="s">
        <v>71</v>
      </c>
      <c r="K100" s="97" t="s">
        <v>298</v>
      </c>
      <c r="L100" s="85" t="s">
        <v>1488</v>
      </c>
      <c r="M100" s="97" t="s">
        <v>1528</v>
      </c>
      <c r="N100" s="97">
        <v>1</v>
      </c>
      <c r="O100" s="97">
        <v>90</v>
      </c>
      <c r="P100" s="97">
        <v>90</v>
      </c>
      <c r="Q100" s="98">
        <f>N100*(F100+G100)</f>
        <v>3</v>
      </c>
      <c r="R100" s="98">
        <v>3</v>
      </c>
      <c r="S100" s="98" t="s">
        <v>1563</v>
      </c>
      <c r="T100" s="98"/>
      <c r="U100" s="85"/>
      <c r="V100" s="84"/>
      <c r="W100" s="85"/>
    </row>
    <row r="101" spans="2:23">
      <c r="B101" s="34" t="s">
        <v>40</v>
      </c>
      <c r="C101" s="34" t="s">
        <v>17</v>
      </c>
      <c r="D101" s="76" t="s">
        <v>296</v>
      </c>
      <c r="E101" s="85" t="s">
        <v>297</v>
      </c>
      <c r="F101" s="84">
        <v>3</v>
      </c>
      <c r="G101" s="84">
        <v>0</v>
      </c>
      <c r="H101" s="84">
        <v>4</v>
      </c>
      <c r="I101" s="97" t="s">
        <v>71</v>
      </c>
      <c r="J101" s="97" t="s">
        <v>71</v>
      </c>
      <c r="K101" s="97" t="s">
        <v>298</v>
      </c>
      <c r="L101" s="85" t="s">
        <v>1491</v>
      </c>
      <c r="M101" s="97" t="s">
        <v>1528</v>
      </c>
      <c r="N101" s="97">
        <v>1</v>
      </c>
      <c r="O101" s="97">
        <v>90</v>
      </c>
      <c r="P101" s="97">
        <v>90</v>
      </c>
      <c r="Q101" s="98">
        <f>N101*(F101+G101)</f>
        <v>3</v>
      </c>
      <c r="R101" s="98">
        <v>3</v>
      </c>
      <c r="S101" s="98" t="s">
        <v>1563</v>
      </c>
      <c r="T101" s="98"/>
      <c r="U101" s="85"/>
      <c r="V101" s="84"/>
      <c r="W101" s="85"/>
    </row>
    <row r="102" spans="2:23">
      <c r="B102" s="34" t="s">
        <v>40</v>
      </c>
      <c r="C102" s="34" t="s">
        <v>17</v>
      </c>
      <c r="D102" s="76" t="s">
        <v>542</v>
      </c>
      <c r="E102" s="85" t="s">
        <v>543</v>
      </c>
      <c r="F102" s="84">
        <v>3</v>
      </c>
      <c r="G102" s="84">
        <v>0</v>
      </c>
      <c r="H102" s="84">
        <v>4</v>
      </c>
      <c r="I102" s="97" t="s">
        <v>71</v>
      </c>
      <c r="J102" s="97" t="s">
        <v>71</v>
      </c>
      <c r="K102" s="97" t="s">
        <v>76</v>
      </c>
      <c r="L102" s="85" t="s">
        <v>1488</v>
      </c>
      <c r="M102" s="97" t="s">
        <v>1562</v>
      </c>
      <c r="N102" s="97">
        <v>1</v>
      </c>
      <c r="O102" s="97">
        <v>90</v>
      </c>
      <c r="P102" s="97">
        <v>90</v>
      </c>
      <c r="Q102" s="98">
        <f>N102*(F102+G102)</f>
        <v>3</v>
      </c>
      <c r="R102" s="98">
        <v>3</v>
      </c>
      <c r="S102" s="98"/>
      <c r="T102" s="98"/>
      <c r="U102" s="85"/>
      <c r="V102" s="84"/>
      <c r="W102" s="85"/>
    </row>
    <row r="103" spans="2:23">
      <c r="B103" s="34" t="s">
        <v>40</v>
      </c>
      <c r="C103" s="34" t="s">
        <v>17</v>
      </c>
      <c r="D103" s="76" t="s">
        <v>542</v>
      </c>
      <c r="E103" s="85" t="s">
        <v>543</v>
      </c>
      <c r="F103" s="84">
        <v>3</v>
      </c>
      <c r="G103" s="84">
        <v>0</v>
      </c>
      <c r="H103" s="84">
        <v>4</v>
      </c>
      <c r="I103" s="97" t="s">
        <v>71</v>
      </c>
      <c r="J103" s="97" t="s">
        <v>71</v>
      </c>
      <c r="K103" s="97" t="s">
        <v>76</v>
      </c>
      <c r="L103" s="85" t="s">
        <v>1491</v>
      </c>
      <c r="M103" s="97" t="s">
        <v>1562</v>
      </c>
      <c r="N103" s="97">
        <v>1</v>
      </c>
      <c r="O103" s="97">
        <v>90</v>
      </c>
      <c r="P103" s="97">
        <v>90</v>
      </c>
      <c r="Q103" s="98">
        <f>N103*(F103+G103)</f>
        <v>3</v>
      </c>
      <c r="R103" s="98">
        <v>3</v>
      </c>
      <c r="S103" s="98"/>
      <c r="T103" s="98"/>
      <c r="U103" s="85"/>
      <c r="V103" s="84"/>
      <c r="W103" s="85"/>
    </row>
    <row r="104" spans="2:23">
      <c r="B104" s="34" t="s">
        <v>40</v>
      </c>
      <c r="C104" s="34" t="s">
        <v>17</v>
      </c>
      <c r="D104" s="76" t="s">
        <v>542</v>
      </c>
      <c r="E104" s="85" t="s">
        <v>543</v>
      </c>
      <c r="F104" s="84">
        <v>3</v>
      </c>
      <c r="G104" s="84">
        <v>0</v>
      </c>
      <c r="H104" s="84">
        <v>4</v>
      </c>
      <c r="I104" s="97" t="s">
        <v>71</v>
      </c>
      <c r="J104" s="97" t="s">
        <v>71</v>
      </c>
      <c r="K104" s="97" t="s">
        <v>76</v>
      </c>
      <c r="L104" s="85" t="s">
        <v>1488</v>
      </c>
      <c r="M104" s="97" t="s">
        <v>1528</v>
      </c>
      <c r="N104" s="97">
        <v>2</v>
      </c>
      <c r="O104" s="97">
        <v>110</v>
      </c>
      <c r="P104" s="97">
        <v>220</v>
      </c>
      <c r="Q104" s="98">
        <f>N104*(F104+G104)</f>
        <v>6</v>
      </c>
      <c r="R104" s="98">
        <v>6</v>
      </c>
      <c r="S104" s="98"/>
      <c r="T104" s="98"/>
      <c r="U104" s="85"/>
      <c r="V104" s="84"/>
      <c r="W104" s="85"/>
    </row>
    <row r="105" spans="2:23">
      <c r="B105" s="34" t="s">
        <v>40</v>
      </c>
      <c r="C105" s="34" t="s">
        <v>17</v>
      </c>
      <c r="D105" s="76" t="s">
        <v>542</v>
      </c>
      <c r="E105" s="85" t="s">
        <v>543</v>
      </c>
      <c r="F105" s="84">
        <v>3</v>
      </c>
      <c r="G105" s="84">
        <v>0</v>
      </c>
      <c r="H105" s="84">
        <v>4</v>
      </c>
      <c r="I105" s="97" t="s">
        <v>71</v>
      </c>
      <c r="J105" s="97" t="s">
        <v>71</v>
      </c>
      <c r="K105" s="97" t="s">
        <v>76</v>
      </c>
      <c r="L105" s="85" t="s">
        <v>1491</v>
      </c>
      <c r="M105" s="97" t="s">
        <v>1528</v>
      </c>
      <c r="N105" s="97">
        <v>2</v>
      </c>
      <c r="O105" s="97">
        <v>110</v>
      </c>
      <c r="P105" s="97">
        <v>220</v>
      </c>
      <c r="Q105" s="98">
        <f>N105*(F105+G105)</f>
        <v>6</v>
      </c>
      <c r="R105" s="98">
        <v>6</v>
      </c>
      <c r="S105" s="98"/>
      <c r="T105" s="98"/>
      <c r="U105" s="85"/>
      <c r="V105" s="84"/>
      <c r="W105" s="85"/>
    </row>
    <row r="106" spans="2:23">
      <c r="B106" s="34" t="s">
        <v>40</v>
      </c>
      <c r="C106" s="34" t="s">
        <v>17</v>
      </c>
      <c r="D106" s="76" t="s">
        <v>256</v>
      </c>
      <c r="E106" s="85" t="s">
        <v>257</v>
      </c>
      <c r="F106" s="84">
        <v>3</v>
      </c>
      <c r="G106" s="84">
        <v>0</v>
      </c>
      <c r="H106" s="84">
        <v>4</v>
      </c>
      <c r="I106" s="97" t="s">
        <v>71</v>
      </c>
      <c r="J106" s="97" t="s">
        <v>71</v>
      </c>
      <c r="K106" s="97" t="s">
        <v>76</v>
      </c>
      <c r="L106" s="85" t="s">
        <v>1488</v>
      </c>
      <c r="M106" s="97" t="s">
        <v>1562</v>
      </c>
      <c r="N106" s="97">
        <v>2</v>
      </c>
      <c r="O106" s="97">
        <v>90</v>
      </c>
      <c r="P106" s="97">
        <v>180</v>
      </c>
      <c r="Q106" s="98">
        <f>N106*(F106+G106)</f>
        <v>6</v>
      </c>
      <c r="R106" s="98">
        <v>6</v>
      </c>
      <c r="S106" s="98"/>
      <c r="T106" s="98"/>
      <c r="U106" s="85"/>
      <c r="V106" s="84"/>
      <c r="W106" s="85"/>
    </row>
    <row r="107" spans="2:23">
      <c r="B107" s="34" t="s">
        <v>40</v>
      </c>
      <c r="C107" s="34" t="s">
        <v>17</v>
      </c>
      <c r="D107" s="76" t="s">
        <v>256</v>
      </c>
      <c r="E107" s="85" t="s">
        <v>257</v>
      </c>
      <c r="F107" s="84">
        <v>3</v>
      </c>
      <c r="G107" s="84">
        <v>0</v>
      </c>
      <c r="H107" s="84">
        <v>4</v>
      </c>
      <c r="I107" s="97" t="s">
        <v>71</v>
      </c>
      <c r="J107" s="97" t="s">
        <v>71</v>
      </c>
      <c r="K107" s="97" t="s">
        <v>76</v>
      </c>
      <c r="L107" s="85" t="s">
        <v>1491</v>
      </c>
      <c r="M107" s="97" t="s">
        <v>1562</v>
      </c>
      <c r="N107" s="97">
        <v>2</v>
      </c>
      <c r="O107" s="97">
        <v>90</v>
      </c>
      <c r="P107" s="97">
        <v>180</v>
      </c>
      <c r="Q107" s="98">
        <f>N107*(F107+G107)</f>
        <v>6</v>
      </c>
      <c r="R107" s="98">
        <v>6</v>
      </c>
      <c r="S107" s="98"/>
      <c r="T107" s="98"/>
      <c r="U107" s="85"/>
      <c r="V107" s="84"/>
      <c r="W107" s="85"/>
    </row>
    <row r="108" spans="2:23">
      <c r="B108" s="34" t="s">
        <v>40</v>
      </c>
      <c r="C108" s="34" t="s">
        <v>17</v>
      </c>
      <c r="D108" s="76" t="s">
        <v>256</v>
      </c>
      <c r="E108" s="85" t="s">
        <v>257</v>
      </c>
      <c r="F108" s="84">
        <v>3</v>
      </c>
      <c r="G108" s="84">
        <v>0</v>
      </c>
      <c r="H108" s="84">
        <v>4</v>
      </c>
      <c r="I108" s="97" t="s">
        <v>71</v>
      </c>
      <c r="J108" s="97" t="s">
        <v>71</v>
      </c>
      <c r="K108" s="97" t="s">
        <v>76</v>
      </c>
      <c r="L108" s="85" t="s">
        <v>1488</v>
      </c>
      <c r="M108" s="97" t="s">
        <v>1528</v>
      </c>
      <c r="N108" s="97">
        <v>2</v>
      </c>
      <c r="O108" s="97">
        <v>90</v>
      </c>
      <c r="P108" s="97">
        <v>180</v>
      </c>
      <c r="Q108" s="98">
        <f>N108*(F108+G108)</f>
        <v>6</v>
      </c>
      <c r="R108" s="98">
        <v>6</v>
      </c>
      <c r="S108" s="98"/>
      <c r="T108" s="98"/>
      <c r="U108" s="85"/>
      <c r="V108" s="84"/>
      <c r="W108" s="85"/>
    </row>
    <row r="109" spans="2:23">
      <c r="B109" s="34" t="s">
        <v>40</v>
      </c>
      <c r="C109" s="34" t="s">
        <v>17</v>
      </c>
      <c r="D109" s="76" t="s">
        <v>256</v>
      </c>
      <c r="E109" s="85" t="s">
        <v>257</v>
      </c>
      <c r="F109" s="84">
        <v>3</v>
      </c>
      <c r="G109" s="84">
        <v>0</v>
      </c>
      <c r="H109" s="84">
        <v>4</v>
      </c>
      <c r="I109" s="97" t="s">
        <v>71</v>
      </c>
      <c r="J109" s="97" t="s">
        <v>71</v>
      </c>
      <c r="K109" s="97" t="s">
        <v>76</v>
      </c>
      <c r="L109" s="85" t="s">
        <v>1491</v>
      </c>
      <c r="M109" s="97" t="s">
        <v>1528</v>
      </c>
      <c r="N109" s="97">
        <v>2</v>
      </c>
      <c r="O109" s="97">
        <v>90</v>
      </c>
      <c r="P109" s="97">
        <v>180</v>
      </c>
      <c r="Q109" s="98">
        <f>N109*(F109+G109)</f>
        <v>6</v>
      </c>
      <c r="R109" s="98">
        <v>6</v>
      </c>
      <c r="S109" s="98"/>
      <c r="T109" s="98"/>
      <c r="U109" s="85"/>
      <c r="V109" s="84"/>
      <c r="W109" s="85"/>
    </row>
    <row r="110" spans="2:23">
      <c r="B110" s="34" t="s">
        <v>40</v>
      </c>
      <c r="C110" s="34" t="s">
        <v>17</v>
      </c>
      <c r="D110" s="76" t="s">
        <v>430</v>
      </c>
      <c r="E110" s="85" t="s">
        <v>390</v>
      </c>
      <c r="F110" s="84">
        <v>2</v>
      </c>
      <c r="G110" s="84">
        <v>0</v>
      </c>
      <c r="H110" s="84">
        <v>4</v>
      </c>
      <c r="I110" s="97" t="s">
        <v>71</v>
      </c>
      <c r="J110" s="97" t="s">
        <v>71</v>
      </c>
      <c r="K110" s="97" t="s">
        <v>76</v>
      </c>
      <c r="L110" s="85" t="s">
        <v>1488</v>
      </c>
      <c r="M110" s="97" t="s">
        <v>1562</v>
      </c>
      <c r="N110" s="97">
        <v>1</v>
      </c>
      <c r="O110" s="97">
        <v>90</v>
      </c>
      <c r="P110" s="97">
        <v>90</v>
      </c>
      <c r="Q110" s="98">
        <f>N110*(F110+G110)</f>
        <v>2</v>
      </c>
      <c r="R110" s="98">
        <v>2</v>
      </c>
      <c r="S110" s="98"/>
      <c r="T110" s="98"/>
      <c r="U110" s="85"/>
      <c r="V110" s="84"/>
      <c r="W110" s="85"/>
    </row>
    <row r="111" spans="2:23">
      <c r="B111" s="34" t="s">
        <v>40</v>
      </c>
      <c r="C111" s="34" t="s">
        <v>17</v>
      </c>
      <c r="D111" s="76" t="s">
        <v>430</v>
      </c>
      <c r="E111" s="85" t="s">
        <v>390</v>
      </c>
      <c r="F111" s="84">
        <v>2</v>
      </c>
      <c r="G111" s="84">
        <v>0</v>
      </c>
      <c r="H111" s="84">
        <v>4</v>
      </c>
      <c r="I111" s="97" t="s">
        <v>71</v>
      </c>
      <c r="J111" s="97" t="s">
        <v>71</v>
      </c>
      <c r="K111" s="97" t="s">
        <v>76</v>
      </c>
      <c r="L111" s="85" t="s">
        <v>1491</v>
      </c>
      <c r="M111" s="97" t="s">
        <v>1562</v>
      </c>
      <c r="N111" s="97">
        <v>1</v>
      </c>
      <c r="O111" s="97">
        <v>90</v>
      </c>
      <c r="P111" s="97">
        <v>90</v>
      </c>
      <c r="Q111" s="98">
        <f>N111*(F111+G111)</f>
        <v>2</v>
      </c>
      <c r="R111" s="98">
        <v>2</v>
      </c>
      <c r="S111" s="98"/>
      <c r="T111" s="98"/>
      <c r="U111" s="85"/>
      <c r="V111" s="84"/>
      <c r="W111" s="85"/>
    </row>
    <row r="112" spans="2:23">
      <c r="B112" s="34" t="s">
        <v>40</v>
      </c>
      <c r="C112" s="34" t="s">
        <v>17</v>
      </c>
      <c r="D112" s="76" t="s">
        <v>430</v>
      </c>
      <c r="E112" s="85" t="s">
        <v>390</v>
      </c>
      <c r="F112" s="84">
        <v>2</v>
      </c>
      <c r="G112" s="84">
        <v>0</v>
      </c>
      <c r="H112" s="84">
        <v>4</v>
      </c>
      <c r="I112" s="97" t="s">
        <v>71</v>
      </c>
      <c r="J112" s="97" t="s">
        <v>71</v>
      </c>
      <c r="K112" s="97" t="s">
        <v>76</v>
      </c>
      <c r="L112" s="85" t="s">
        <v>1488</v>
      </c>
      <c r="M112" s="97" t="s">
        <v>1528</v>
      </c>
      <c r="N112" s="97">
        <v>1</v>
      </c>
      <c r="O112" s="97">
        <v>90</v>
      </c>
      <c r="P112" s="97">
        <v>90</v>
      </c>
      <c r="Q112" s="98">
        <f>N112*(F112+G112)</f>
        <v>2</v>
      </c>
      <c r="R112" s="98">
        <v>2</v>
      </c>
      <c r="S112" s="98"/>
      <c r="T112" s="98"/>
      <c r="U112" s="85"/>
      <c r="V112" s="84"/>
      <c r="W112" s="85"/>
    </row>
    <row r="113" spans="2:23">
      <c r="B113" s="34" t="s">
        <v>40</v>
      </c>
      <c r="C113" s="34" t="s">
        <v>17</v>
      </c>
      <c r="D113" s="76" t="s">
        <v>430</v>
      </c>
      <c r="E113" s="85" t="s">
        <v>390</v>
      </c>
      <c r="F113" s="84">
        <v>2</v>
      </c>
      <c r="G113" s="84">
        <v>0</v>
      </c>
      <c r="H113" s="84">
        <v>4</v>
      </c>
      <c r="I113" s="97" t="s">
        <v>71</v>
      </c>
      <c r="J113" s="97" t="s">
        <v>71</v>
      </c>
      <c r="K113" s="97" t="s">
        <v>76</v>
      </c>
      <c r="L113" s="85" t="s">
        <v>1491</v>
      </c>
      <c r="M113" s="97" t="s">
        <v>1528</v>
      </c>
      <c r="N113" s="97">
        <v>1</v>
      </c>
      <c r="O113" s="97">
        <v>90</v>
      </c>
      <c r="P113" s="97">
        <v>90</v>
      </c>
      <c r="Q113" s="98">
        <f>N113*(F113+G113)</f>
        <v>2</v>
      </c>
      <c r="R113" s="98">
        <v>2</v>
      </c>
      <c r="S113" s="98"/>
      <c r="T113" s="98"/>
      <c r="U113" s="85"/>
      <c r="V113" s="84"/>
      <c r="W113" s="85"/>
    </row>
    <row r="114" spans="2:23">
      <c r="B114" s="14" t="s">
        <v>44</v>
      </c>
      <c r="C114" s="14" t="s">
        <v>18</v>
      </c>
      <c r="D114" s="76" t="s">
        <v>177</v>
      </c>
      <c r="E114" s="85" t="s">
        <v>178</v>
      </c>
      <c r="F114" s="84">
        <v>2</v>
      </c>
      <c r="G114" s="84">
        <v>0</v>
      </c>
      <c r="H114" s="84">
        <v>2</v>
      </c>
      <c r="I114" s="97" t="s">
        <v>71</v>
      </c>
      <c r="J114" s="97" t="s">
        <v>71</v>
      </c>
      <c r="K114" s="97" t="s">
        <v>76</v>
      </c>
      <c r="L114" s="85" t="s">
        <v>1488</v>
      </c>
      <c r="M114" s="97" t="s">
        <v>1562</v>
      </c>
      <c r="N114" s="97">
        <v>1</v>
      </c>
      <c r="O114" s="97">
        <v>30</v>
      </c>
      <c r="P114" s="97">
        <v>30</v>
      </c>
      <c r="Q114" s="98">
        <f>N114*(F114+G114)</f>
        <v>2</v>
      </c>
      <c r="R114" s="98">
        <v>2</v>
      </c>
      <c r="S114" s="98"/>
      <c r="T114" s="98"/>
      <c r="U114" s="85"/>
      <c r="V114" s="84"/>
      <c r="W114" s="85"/>
    </row>
    <row r="115" spans="2:23">
      <c r="B115" s="14" t="s">
        <v>44</v>
      </c>
      <c r="C115" s="14" t="s">
        <v>18</v>
      </c>
      <c r="D115" s="76" t="s">
        <v>177</v>
      </c>
      <c r="E115" s="85" t="s">
        <v>178</v>
      </c>
      <c r="F115" s="84">
        <v>2</v>
      </c>
      <c r="G115" s="84">
        <v>0</v>
      </c>
      <c r="H115" s="84">
        <v>2</v>
      </c>
      <c r="I115" s="97" t="s">
        <v>71</v>
      </c>
      <c r="J115" s="97" t="s">
        <v>71</v>
      </c>
      <c r="K115" s="97" t="s">
        <v>76</v>
      </c>
      <c r="L115" s="85" t="s">
        <v>1491</v>
      </c>
      <c r="M115" s="97" t="s">
        <v>1562</v>
      </c>
      <c r="N115" s="97">
        <v>1</v>
      </c>
      <c r="O115" s="97">
        <v>30</v>
      </c>
      <c r="P115" s="97">
        <v>30</v>
      </c>
      <c r="Q115" s="98">
        <f>N115*(F115+G115)</f>
        <v>2</v>
      </c>
      <c r="R115" s="98">
        <v>2</v>
      </c>
      <c r="S115" s="98"/>
      <c r="T115" s="98"/>
      <c r="U115" s="85"/>
      <c r="V115" s="84"/>
      <c r="W115" s="85"/>
    </row>
    <row r="116" spans="2:23">
      <c r="B116" s="14" t="s">
        <v>44</v>
      </c>
      <c r="C116" s="14" t="s">
        <v>18</v>
      </c>
      <c r="D116" s="76" t="s">
        <v>188</v>
      </c>
      <c r="E116" s="85" t="s">
        <v>189</v>
      </c>
      <c r="F116" s="84">
        <v>3</v>
      </c>
      <c r="G116" s="84">
        <v>2</v>
      </c>
      <c r="H116" s="84">
        <v>3</v>
      </c>
      <c r="I116" s="97" t="s">
        <v>71</v>
      </c>
      <c r="J116" s="97" t="s">
        <v>71</v>
      </c>
      <c r="K116" s="97" t="s">
        <v>190</v>
      </c>
      <c r="L116" s="85" t="s">
        <v>1488</v>
      </c>
      <c r="M116" s="97" t="s">
        <v>1562</v>
      </c>
      <c r="N116" s="97">
        <v>1</v>
      </c>
      <c r="O116" s="97">
        <v>30</v>
      </c>
      <c r="P116" s="97">
        <v>30</v>
      </c>
      <c r="Q116" s="98">
        <f>N116*(F116+G116)</f>
        <v>5</v>
      </c>
      <c r="R116" s="98">
        <v>5</v>
      </c>
      <c r="S116" s="98" t="s">
        <v>1493</v>
      </c>
      <c r="T116" s="98" t="s">
        <v>1490</v>
      </c>
      <c r="U116" s="85"/>
      <c r="V116" s="84"/>
      <c r="W116" s="85"/>
    </row>
    <row r="117" spans="2:23">
      <c r="B117" s="14" t="s">
        <v>44</v>
      </c>
      <c r="C117" s="14" t="s">
        <v>18</v>
      </c>
      <c r="D117" s="76" t="s">
        <v>188</v>
      </c>
      <c r="E117" s="85" t="s">
        <v>189</v>
      </c>
      <c r="F117" s="84">
        <v>3</v>
      </c>
      <c r="G117" s="84">
        <v>2</v>
      </c>
      <c r="H117" s="84">
        <v>3</v>
      </c>
      <c r="I117" s="97" t="s">
        <v>71</v>
      </c>
      <c r="J117" s="97" t="s">
        <v>71</v>
      </c>
      <c r="K117" s="97" t="s">
        <v>190</v>
      </c>
      <c r="L117" s="85" t="s">
        <v>1491</v>
      </c>
      <c r="M117" s="97" t="s">
        <v>1562</v>
      </c>
      <c r="N117" s="97">
        <v>1</v>
      </c>
      <c r="O117" s="97">
        <v>30</v>
      </c>
      <c r="P117" s="97">
        <v>30</v>
      </c>
      <c r="Q117" s="98">
        <f>N117*(F117+G117)</f>
        <v>5</v>
      </c>
      <c r="R117" s="98">
        <v>5</v>
      </c>
      <c r="S117" s="98" t="s">
        <v>1493</v>
      </c>
      <c r="T117" s="98" t="s">
        <v>1490</v>
      </c>
      <c r="U117" s="85"/>
      <c r="V117" s="84"/>
      <c r="W117" s="85"/>
    </row>
    <row r="118" spans="2:23">
      <c r="B118" s="14" t="s">
        <v>44</v>
      </c>
      <c r="C118" s="14" t="s">
        <v>18</v>
      </c>
      <c r="D118" s="76" t="s">
        <v>203</v>
      </c>
      <c r="E118" s="85" t="s">
        <v>204</v>
      </c>
      <c r="F118" s="84">
        <v>3</v>
      </c>
      <c r="G118" s="84">
        <v>2</v>
      </c>
      <c r="H118" s="84">
        <v>3</v>
      </c>
      <c r="I118" s="97" t="s">
        <v>71</v>
      </c>
      <c r="J118" s="97" t="s">
        <v>71</v>
      </c>
      <c r="K118" s="97" t="s">
        <v>205</v>
      </c>
      <c r="L118" s="85" t="s">
        <v>1488</v>
      </c>
      <c r="M118" s="97" t="s">
        <v>1562</v>
      </c>
      <c r="N118" s="97">
        <v>1</v>
      </c>
      <c r="O118" s="97">
        <v>30</v>
      </c>
      <c r="P118" s="97">
        <v>30</v>
      </c>
      <c r="Q118" s="98">
        <f>N118*(F118+G118)</f>
        <v>5</v>
      </c>
      <c r="R118" s="98">
        <v>5</v>
      </c>
      <c r="S118" s="98" t="s">
        <v>1493</v>
      </c>
      <c r="T118" s="98" t="s">
        <v>1490</v>
      </c>
      <c r="U118" s="85"/>
      <c r="V118" s="84"/>
      <c r="W118" s="85"/>
    </row>
    <row r="119" spans="2:23">
      <c r="B119" s="14" t="s">
        <v>44</v>
      </c>
      <c r="C119" s="14" t="s">
        <v>18</v>
      </c>
      <c r="D119" s="76" t="s">
        <v>203</v>
      </c>
      <c r="E119" s="85" t="s">
        <v>204</v>
      </c>
      <c r="F119" s="84">
        <v>3</v>
      </c>
      <c r="G119" s="84">
        <v>2</v>
      </c>
      <c r="H119" s="84">
        <v>3</v>
      </c>
      <c r="I119" s="97" t="s">
        <v>71</v>
      </c>
      <c r="J119" s="97" t="s">
        <v>71</v>
      </c>
      <c r="K119" s="97" t="s">
        <v>205</v>
      </c>
      <c r="L119" s="85" t="s">
        <v>1491</v>
      </c>
      <c r="M119" s="97" t="s">
        <v>1562</v>
      </c>
      <c r="N119" s="97">
        <v>1</v>
      </c>
      <c r="O119" s="97">
        <v>30</v>
      </c>
      <c r="P119" s="97">
        <v>30</v>
      </c>
      <c r="Q119" s="98">
        <f>N119*(F119+G119)</f>
        <v>5</v>
      </c>
      <c r="R119" s="98">
        <v>5</v>
      </c>
      <c r="S119" s="98" t="s">
        <v>1493</v>
      </c>
      <c r="T119" s="98" t="s">
        <v>1490</v>
      </c>
      <c r="U119" s="85"/>
      <c r="V119" s="84"/>
      <c r="W119" s="85"/>
    </row>
    <row r="120" spans="2:23">
      <c r="B120" s="14" t="s">
        <v>44</v>
      </c>
      <c r="C120" s="14" t="s">
        <v>18</v>
      </c>
      <c r="D120" s="76" t="s">
        <v>658</v>
      </c>
      <c r="E120" s="85" t="s">
        <v>273</v>
      </c>
      <c r="F120" s="84">
        <v>3</v>
      </c>
      <c r="G120" s="84">
        <v>2</v>
      </c>
      <c r="H120" s="84">
        <v>5</v>
      </c>
      <c r="I120" s="97" t="s">
        <v>71</v>
      </c>
      <c r="J120" s="97" t="s">
        <v>71</v>
      </c>
      <c r="K120" s="97" t="s">
        <v>163</v>
      </c>
      <c r="L120" s="85" t="s">
        <v>1488</v>
      </c>
      <c r="M120" s="97" t="s">
        <v>1562</v>
      </c>
      <c r="N120" s="97">
        <v>1</v>
      </c>
      <c r="O120" s="97">
        <v>30</v>
      </c>
      <c r="P120" s="97">
        <v>30</v>
      </c>
      <c r="Q120" s="98">
        <f>N120*(F120+G120)</f>
        <v>5</v>
      </c>
      <c r="R120" s="98">
        <v>5</v>
      </c>
      <c r="S120" s="98" t="s">
        <v>1493</v>
      </c>
      <c r="T120" s="98" t="s">
        <v>1490</v>
      </c>
      <c r="U120" s="85"/>
      <c r="V120" s="84"/>
      <c r="W120" s="85"/>
    </row>
    <row r="121" spans="2:23">
      <c r="B121" s="14" t="s">
        <v>44</v>
      </c>
      <c r="C121" s="14" t="s">
        <v>18</v>
      </c>
      <c r="D121" s="76" t="s">
        <v>658</v>
      </c>
      <c r="E121" s="85" t="s">
        <v>273</v>
      </c>
      <c r="F121" s="84">
        <v>3</v>
      </c>
      <c r="G121" s="84">
        <v>2</v>
      </c>
      <c r="H121" s="84">
        <v>5</v>
      </c>
      <c r="I121" s="97" t="s">
        <v>71</v>
      </c>
      <c r="J121" s="97" t="s">
        <v>71</v>
      </c>
      <c r="K121" s="97" t="s">
        <v>163</v>
      </c>
      <c r="L121" s="85" t="s">
        <v>1491</v>
      </c>
      <c r="M121" s="97" t="s">
        <v>1562</v>
      </c>
      <c r="N121" s="97">
        <v>1</v>
      </c>
      <c r="O121" s="97">
        <v>30</v>
      </c>
      <c r="P121" s="97">
        <v>30</v>
      </c>
      <c r="Q121" s="98">
        <f>N121*(F121+G121)</f>
        <v>5</v>
      </c>
      <c r="R121" s="98">
        <v>5</v>
      </c>
      <c r="S121" s="98" t="s">
        <v>1493</v>
      </c>
      <c r="T121" s="98" t="s">
        <v>1490</v>
      </c>
      <c r="U121" s="85"/>
      <c r="V121" s="84"/>
      <c r="W121" s="85"/>
    </row>
    <row r="122" spans="2:23">
      <c r="B122" s="14" t="s">
        <v>44</v>
      </c>
      <c r="C122" s="14" t="s">
        <v>18</v>
      </c>
      <c r="D122" s="76" t="s">
        <v>664</v>
      </c>
      <c r="E122" s="85" t="s">
        <v>665</v>
      </c>
      <c r="F122" s="84">
        <v>2</v>
      </c>
      <c r="G122" s="84">
        <v>2</v>
      </c>
      <c r="H122" s="84">
        <v>4</v>
      </c>
      <c r="I122" s="97" t="s">
        <v>71</v>
      </c>
      <c r="J122" s="97" t="s">
        <v>71</v>
      </c>
      <c r="K122" s="97" t="s">
        <v>666</v>
      </c>
      <c r="L122" s="85" t="s">
        <v>1488</v>
      </c>
      <c r="M122" s="97" t="s">
        <v>1562</v>
      </c>
      <c r="N122" s="97">
        <v>1</v>
      </c>
      <c r="O122" s="97">
        <v>30</v>
      </c>
      <c r="P122" s="97">
        <v>30</v>
      </c>
      <c r="Q122" s="98">
        <f>N122*(F122+G122)</f>
        <v>4</v>
      </c>
      <c r="R122" s="98">
        <v>4</v>
      </c>
      <c r="S122" s="98" t="s">
        <v>1493</v>
      </c>
      <c r="T122" s="98" t="s">
        <v>1490</v>
      </c>
      <c r="U122" s="85"/>
      <c r="V122" s="84"/>
      <c r="W122" s="85"/>
    </row>
    <row r="123" spans="2:23">
      <c r="B123" s="14" t="s">
        <v>44</v>
      </c>
      <c r="C123" s="14" t="s">
        <v>18</v>
      </c>
      <c r="D123" s="76" t="s">
        <v>664</v>
      </c>
      <c r="E123" s="85" t="s">
        <v>665</v>
      </c>
      <c r="F123" s="84">
        <v>2</v>
      </c>
      <c r="G123" s="84">
        <v>2</v>
      </c>
      <c r="H123" s="84">
        <v>4</v>
      </c>
      <c r="I123" s="97" t="s">
        <v>71</v>
      </c>
      <c r="J123" s="97" t="s">
        <v>71</v>
      </c>
      <c r="K123" s="97" t="s">
        <v>666</v>
      </c>
      <c r="L123" s="85" t="s">
        <v>1491</v>
      </c>
      <c r="M123" s="97" t="s">
        <v>1562</v>
      </c>
      <c r="N123" s="97">
        <v>1</v>
      </c>
      <c r="O123" s="97">
        <v>30</v>
      </c>
      <c r="P123" s="97">
        <v>30</v>
      </c>
      <c r="Q123" s="98">
        <f>N123*(F123+G123)</f>
        <v>4</v>
      </c>
      <c r="R123" s="98">
        <v>4</v>
      </c>
      <c r="S123" s="98" t="s">
        <v>1493</v>
      </c>
      <c r="T123" s="98" t="s">
        <v>1490</v>
      </c>
      <c r="U123" s="85"/>
      <c r="V123" s="84"/>
      <c r="W123" s="85"/>
    </row>
    <row r="124" spans="2:23">
      <c r="B124" s="14" t="s">
        <v>44</v>
      </c>
      <c r="C124" s="14" t="s">
        <v>18</v>
      </c>
      <c r="D124" s="76" t="s">
        <v>923</v>
      </c>
      <c r="E124" s="85" t="s">
        <v>924</v>
      </c>
      <c r="F124" s="84">
        <v>4</v>
      </c>
      <c r="G124" s="84">
        <v>2</v>
      </c>
      <c r="H124" s="84">
        <v>5</v>
      </c>
      <c r="I124" s="97" t="s">
        <v>71</v>
      </c>
      <c r="J124" s="97" t="s">
        <v>71</v>
      </c>
      <c r="K124" s="97" t="s">
        <v>925</v>
      </c>
      <c r="L124" s="85" t="s">
        <v>1488</v>
      </c>
      <c r="M124" s="97" t="s">
        <v>1562</v>
      </c>
      <c r="N124" s="97">
        <v>1</v>
      </c>
      <c r="O124" s="97">
        <v>30</v>
      </c>
      <c r="P124" s="97">
        <v>30</v>
      </c>
      <c r="Q124" s="98">
        <f>N124*(F124+G124)</f>
        <v>6</v>
      </c>
      <c r="R124" s="98">
        <v>6</v>
      </c>
      <c r="S124" s="98" t="s">
        <v>1493</v>
      </c>
      <c r="T124" s="98" t="s">
        <v>1490</v>
      </c>
      <c r="U124" s="85"/>
      <c r="V124" s="84"/>
      <c r="W124" s="85"/>
    </row>
    <row r="125" spans="2:23">
      <c r="B125" s="14" t="s">
        <v>44</v>
      </c>
      <c r="C125" s="14" t="s">
        <v>18</v>
      </c>
      <c r="D125" s="76" t="s">
        <v>923</v>
      </c>
      <c r="E125" s="85" t="s">
        <v>924</v>
      </c>
      <c r="F125" s="84">
        <v>4</v>
      </c>
      <c r="G125" s="84">
        <v>2</v>
      </c>
      <c r="H125" s="84">
        <v>5</v>
      </c>
      <c r="I125" s="97" t="s">
        <v>71</v>
      </c>
      <c r="J125" s="97" t="s">
        <v>71</v>
      </c>
      <c r="K125" s="97" t="s">
        <v>925</v>
      </c>
      <c r="L125" s="85" t="s">
        <v>1491</v>
      </c>
      <c r="M125" s="97" t="s">
        <v>1562</v>
      </c>
      <c r="N125" s="97">
        <v>1</v>
      </c>
      <c r="O125" s="97">
        <v>30</v>
      </c>
      <c r="P125" s="97">
        <v>30</v>
      </c>
      <c r="Q125" s="98">
        <f>N125*(F125+G125)</f>
        <v>6</v>
      </c>
      <c r="R125" s="98">
        <v>6</v>
      </c>
      <c r="S125" s="98" t="s">
        <v>1493</v>
      </c>
      <c r="T125" s="98" t="s">
        <v>1490</v>
      </c>
      <c r="U125" s="85"/>
      <c r="V125" s="84"/>
      <c r="W125" s="85"/>
    </row>
    <row r="126" spans="2:23">
      <c r="B126" s="14" t="s">
        <v>44</v>
      </c>
      <c r="C126" s="14" t="s">
        <v>18</v>
      </c>
      <c r="D126" s="76" t="s">
        <v>1216</v>
      </c>
      <c r="E126" s="85" t="s">
        <v>1217</v>
      </c>
      <c r="F126" s="84">
        <v>4</v>
      </c>
      <c r="G126" s="84">
        <v>2</v>
      </c>
      <c r="H126" s="84">
        <v>4</v>
      </c>
      <c r="I126" s="97" t="s">
        <v>71</v>
      </c>
      <c r="J126" s="97" t="s">
        <v>71</v>
      </c>
      <c r="K126" s="97" t="s">
        <v>197</v>
      </c>
      <c r="L126" s="85" t="s">
        <v>1488</v>
      </c>
      <c r="M126" s="97" t="s">
        <v>1562</v>
      </c>
      <c r="N126" s="97">
        <v>1</v>
      </c>
      <c r="O126" s="97">
        <v>30</v>
      </c>
      <c r="P126" s="97">
        <v>30</v>
      </c>
      <c r="Q126" s="98">
        <f>N126*(F126+G126)</f>
        <v>6</v>
      </c>
      <c r="R126" s="98">
        <v>6</v>
      </c>
      <c r="S126" s="98" t="s">
        <v>1493</v>
      </c>
      <c r="T126" s="98" t="s">
        <v>1490</v>
      </c>
      <c r="U126" s="85"/>
      <c r="V126" s="84"/>
      <c r="W126" s="85"/>
    </row>
    <row r="127" spans="2:23">
      <c r="B127" s="14" t="s">
        <v>44</v>
      </c>
      <c r="C127" s="14" t="s">
        <v>18</v>
      </c>
      <c r="D127" s="76" t="s">
        <v>1216</v>
      </c>
      <c r="E127" s="85" t="s">
        <v>1217</v>
      </c>
      <c r="F127" s="84">
        <v>4</v>
      </c>
      <c r="G127" s="84">
        <v>2</v>
      </c>
      <c r="H127" s="84">
        <v>4</v>
      </c>
      <c r="I127" s="97" t="s">
        <v>71</v>
      </c>
      <c r="J127" s="97" t="s">
        <v>71</v>
      </c>
      <c r="K127" s="97" t="s">
        <v>197</v>
      </c>
      <c r="L127" s="85" t="s">
        <v>1491</v>
      </c>
      <c r="M127" s="97" t="s">
        <v>1562</v>
      </c>
      <c r="N127" s="97">
        <v>1</v>
      </c>
      <c r="O127" s="97">
        <v>30</v>
      </c>
      <c r="P127" s="97">
        <v>30</v>
      </c>
      <c r="Q127" s="98">
        <f>N127*(F127+G127)</f>
        <v>6</v>
      </c>
      <c r="R127" s="98">
        <v>6</v>
      </c>
      <c r="S127" s="98" t="s">
        <v>1493</v>
      </c>
      <c r="T127" s="98" t="s">
        <v>1490</v>
      </c>
      <c r="U127" s="85"/>
      <c r="V127" s="84"/>
      <c r="W127" s="85"/>
    </row>
    <row r="128" spans="2:23">
      <c r="B128" s="14" t="s">
        <v>44</v>
      </c>
      <c r="C128" s="14" t="s">
        <v>18</v>
      </c>
      <c r="D128" s="76" t="s">
        <v>1246</v>
      </c>
      <c r="E128" s="85" t="s">
        <v>184</v>
      </c>
      <c r="F128" s="84">
        <v>2</v>
      </c>
      <c r="G128" s="84">
        <v>2</v>
      </c>
      <c r="H128" s="84">
        <v>4</v>
      </c>
      <c r="I128" s="97" t="s">
        <v>71</v>
      </c>
      <c r="J128" s="97" t="s">
        <v>71</v>
      </c>
      <c r="K128" s="97" t="s">
        <v>192</v>
      </c>
      <c r="L128" s="85" t="s">
        <v>1488</v>
      </c>
      <c r="M128" s="97" t="s">
        <v>1562</v>
      </c>
      <c r="N128" s="97">
        <v>1</v>
      </c>
      <c r="O128" s="97">
        <v>30</v>
      </c>
      <c r="P128" s="97">
        <v>30</v>
      </c>
      <c r="Q128" s="98">
        <f>N128*(F128+G128)</f>
        <v>4</v>
      </c>
      <c r="R128" s="98">
        <v>4</v>
      </c>
      <c r="S128" s="98" t="s">
        <v>1489</v>
      </c>
      <c r="T128" s="98" t="s">
        <v>1490</v>
      </c>
      <c r="U128" s="85"/>
      <c r="V128" s="84"/>
      <c r="W128" s="85"/>
    </row>
    <row r="129" spans="2:23">
      <c r="B129" s="14" t="s">
        <v>44</v>
      </c>
      <c r="C129" s="14" t="s">
        <v>18</v>
      </c>
      <c r="D129" s="76" t="s">
        <v>1246</v>
      </c>
      <c r="E129" s="85" t="s">
        <v>184</v>
      </c>
      <c r="F129" s="84">
        <v>2</v>
      </c>
      <c r="G129" s="84">
        <v>2</v>
      </c>
      <c r="H129" s="84">
        <v>4</v>
      </c>
      <c r="I129" s="97" t="s">
        <v>71</v>
      </c>
      <c r="J129" s="97" t="s">
        <v>71</v>
      </c>
      <c r="K129" s="97" t="s">
        <v>192</v>
      </c>
      <c r="L129" s="85" t="s">
        <v>1491</v>
      </c>
      <c r="M129" s="97" t="s">
        <v>1562</v>
      </c>
      <c r="N129" s="97">
        <v>1</v>
      </c>
      <c r="O129" s="97">
        <v>30</v>
      </c>
      <c r="P129" s="97">
        <v>30</v>
      </c>
      <c r="Q129" s="98">
        <f>N129*(F129+G129)</f>
        <v>4</v>
      </c>
      <c r="R129" s="98">
        <v>4</v>
      </c>
      <c r="S129" s="98" t="s">
        <v>1489</v>
      </c>
      <c r="T129" s="98" t="s">
        <v>1490</v>
      </c>
      <c r="U129" s="85"/>
      <c r="V129" s="84"/>
      <c r="W129" s="85"/>
    </row>
    <row r="130" spans="2:23">
      <c r="B130" s="14" t="s">
        <v>44</v>
      </c>
      <c r="C130" s="14" t="s">
        <v>18</v>
      </c>
      <c r="D130" s="76" t="s">
        <v>1329</v>
      </c>
      <c r="E130" s="85" t="s">
        <v>1330</v>
      </c>
      <c r="F130" s="84">
        <v>2</v>
      </c>
      <c r="G130" s="84">
        <v>0</v>
      </c>
      <c r="H130" s="84">
        <v>2</v>
      </c>
      <c r="I130" s="97" t="s">
        <v>71</v>
      </c>
      <c r="J130" s="97" t="s">
        <v>71</v>
      </c>
      <c r="K130" s="97" t="s">
        <v>1331</v>
      </c>
      <c r="L130" s="85" t="s">
        <v>1488</v>
      </c>
      <c r="M130" s="97" t="s">
        <v>1562</v>
      </c>
      <c r="N130" s="97">
        <v>1</v>
      </c>
      <c r="O130" s="97">
        <v>30</v>
      </c>
      <c r="P130" s="97">
        <v>30</v>
      </c>
      <c r="Q130" s="98">
        <f>N130*(F130+G130)</f>
        <v>2</v>
      </c>
      <c r="R130" s="98">
        <v>2</v>
      </c>
      <c r="S130" s="98"/>
      <c r="T130" s="98"/>
      <c r="U130" s="85"/>
      <c r="V130" s="84"/>
      <c r="W130" s="85"/>
    </row>
    <row r="131" spans="2:23">
      <c r="B131" s="14" t="s">
        <v>44</v>
      </c>
      <c r="C131" s="14" t="s">
        <v>18</v>
      </c>
      <c r="D131" s="76" t="s">
        <v>1329</v>
      </c>
      <c r="E131" s="85" t="s">
        <v>1330</v>
      </c>
      <c r="F131" s="84">
        <v>2</v>
      </c>
      <c r="G131" s="84">
        <v>0</v>
      </c>
      <c r="H131" s="84">
        <v>2</v>
      </c>
      <c r="I131" s="97" t="s">
        <v>71</v>
      </c>
      <c r="J131" s="97" t="s">
        <v>71</v>
      </c>
      <c r="K131" s="97" t="s">
        <v>1331</v>
      </c>
      <c r="L131" s="85" t="s">
        <v>1491</v>
      </c>
      <c r="M131" s="97" t="s">
        <v>1562</v>
      </c>
      <c r="N131" s="97">
        <v>1</v>
      </c>
      <c r="O131" s="97">
        <v>30</v>
      </c>
      <c r="P131" s="97">
        <v>30</v>
      </c>
      <c r="Q131" s="98">
        <f>N131*(F131+G131)</f>
        <v>2</v>
      </c>
      <c r="R131" s="98">
        <v>2</v>
      </c>
      <c r="S131" s="98"/>
      <c r="T131" s="98"/>
      <c r="U131" s="85"/>
      <c r="V131" s="84"/>
      <c r="W131" s="85"/>
    </row>
    <row r="132" spans="2:23">
      <c r="B132" s="14" t="s">
        <v>44</v>
      </c>
      <c r="C132" s="14" t="s">
        <v>18</v>
      </c>
      <c r="D132" s="76" t="s">
        <v>141</v>
      </c>
      <c r="E132" s="85" t="s">
        <v>142</v>
      </c>
      <c r="F132" s="84">
        <v>2</v>
      </c>
      <c r="G132" s="84">
        <v>0</v>
      </c>
      <c r="H132" s="84">
        <v>2</v>
      </c>
      <c r="I132" s="97" t="s">
        <v>73</v>
      </c>
      <c r="J132" s="97" t="s">
        <v>73</v>
      </c>
      <c r="K132" s="97" t="s">
        <v>143</v>
      </c>
      <c r="L132" s="85" t="s">
        <v>1488</v>
      </c>
      <c r="M132" s="97" t="s">
        <v>1562</v>
      </c>
      <c r="N132" s="97">
        <v>1</v>
      </c>
      <c r="O132" s="97">
        <v>30</v>
      </c>
      <c r="P132" s="97">
        <v>30</v>
      </c>
      <c r="Q132" s="98">
        <f>N132*(F132+G132)</f>
        <v>2</v>
      </c>
      <c r="R132" s="98">
        <v>2</v>
      </c>
      <c r="S132" s="98"/>
      <c r="T132" s="98"/>
      <c r="U132" s="85"/>
      <c r="V132" s="84"/>
      <c r="W132" s="85"/>
    </row>
    <row r="133" spans="2:23">
      <c r="B133" s="14" t="s">
        <v>44</v>
      </c>
      <c r="C133" s="14" t="s">
        <v>18</v>
      </c>
      <c r="D133" s="76" t="s">
        <v>141</v>
      </c>
      <c r="E133" s="85" t="s">
        <v>142</v>
      </c>
      <c r="F133" s="84">
        <v>2</v>
      </c>
      <c r="G133" s="84">
        <v>0</v>
      </c>
      <c r="H133" s="84">
        <v>2</v>
      </c>
      <c r="I133" s="97" t="s">
        <v>73</v>
      </c>
      <c r="J133" s="97" t="s">
        <v>73</v>
      </c>
      <c r="K133" s="97" t="s">
        <v>143</v>
      </c>
      <c r="L133" s="85" t="s">
        <v>1491</v>
      </c>
      <c r="M133" s="97" t="s">
        <v>1562</v>
      </c>
      <c r="N133" s="97">
        <v>1</v>
      </c>
      <c r="O133" s="97">
        <v>30</v>
      </c>
      <c r="P133" s="97">
        <v>30</v>
      </c>
      <c r="Q133" s="98">
        <f>N133*(F133+G133)</f>
        <v>2</v>
      </c>
      <c r="R133" s="98">
        <v>2</v>
      </c>
      <c r="S133" s="98"/>
      <c r="T133" s="98"/>
      <c r="U133" s="85"/>
      <c r="V133" s="84"/>
      <c r="W133" s="85"/>
    </row>
    <row r="134" spans="2:23">
      <c r="B134" s="14" t="s">
        <v>44</v>
      </c>
      <c r="C134" s="14" t="s">
        <v>18</v>
      </c>
      <c r="D134" s="76" t="s">
        <v>313</v>
      </c>
      <c r="E134" s="85" t="s">
        <v>314</v>
      </c>
      <c r="F134" s="84">
        <v>4</v>
      </c>
      <c r="G134" s="84">
        <v>0</v>
      </c>
      <c r="H134" s="84">
        <v>4</v>
      </c>
      <c r="I134" s="97" t="s">
        <v>73</v>
      </c>
      <c r="J134" s="97" t="s">
        <v>73</v>
      </c>
      <c r="K134" s="97" t="s">
        <v>315</v>
      </c>
      <c r="L134" s="85" t="s">
        <v>1488</v>
      </c>
      <c r="M134" s="97" t="s">
        <v>1562</v>
      </c>
      <c r="N134" s="97">
        <v>1</v>
      </c>
      <c r="O134" s="97">
        <v>30</v>
      </c>
      <c r="P134" s="97">
        <v>30</v>
      </c>
      <c r="Q134" s="98">
        <f>N134*(F134+G134)</f>
        <v>4</v>
      </c>
      <c r="R134" s="98">
        <v>4</v>
      </c>
      <c r="S134" s="98"/>
      <c r="T134" s="98"/>
      <c r="U134" s="85"/>
      <c r="V134" s="84"/>
      <c r="W134" s="85"/>
    </row>
    <row r="135" spans="2:23">
      <c r="B135" s="14" t="s">
        <v>44</v>
      </c>
      <c r="C135" s="14" t="s">
        <v>18</v>
      </c>
      <c r="D135" s="76" t="s">
        <v>313</v>
      </c>
      <c r="E135" s="85" t="s">
        <v>314</v>
      </c>
      <c r="F135" s="84">
        <v>4</v>
      </c>
      <c r="G135" s="84">
        <v>0</v>
      </c>
      <c r="H135" s="84">
        <v>4</v>
      </c>
      <c r="I135" s="97" t="s">
        <v>73</v>
      </c>
      <c r="J135" s="97" t="s">
        <v>73</v>
      </c>
      <c r="K135" s="97" t="s">
        <v>315</v>
      </c>
      <c r="L135" s="85" t="s">
        <v>1491</v>
      </c>
      <c r="M135" s="97" t="s">
        <v>1562</v>
      </c>
      <c r="N135" s="97">
        <v>1</v>
      </c>
      <c r="O135" s="97">
        <v>30</v>
      </c>
      <c r="P135" s="97">
        <v>30</v>
      </c>
      <c r="Q135" s="98">
        <f>N135*(F135+G135)</f>
        <v>4</v>
      </c>
      <c r="R135" s="98">
        <v>4</v>
      </c>
      <c r="S135" s="98"/>
      <c r="T135" s="98"/>
      <c r="U135" s="85"/>
      <c r="V135" s="84"/>
      <c r="W135" s="85"/>
    </row>
    <row r="136" spans="2:23">
      <c r="B136" s="14" t="s">
        <v>44</v>
      </c>
      <c r="C136" s="14" t="s">
        <v>18</v>
      </c>
      <c r="D136" s="76" t="s">
        <v>983</v>
      </c>
      <c r="E136" s="85" t="s">
        <v>984</v>
      </c>
      <c r="F136" s="84">
        <v>3</v>
      </c>
      <c r="G136" s="84">
        <v>0</v>
      </c>
      <c r="H136" s="84">
        <v>3</v>
      </c>
      <c r="I136" s="97" t="s">
        <v>73</v>
      </c>
      <c r="J136" s="97" t="s">
        <v>73</v>
      </c>
      <c r="K136" s="97" t="s">
        <v>985</v>
      </c>
      <c r="L136" s="85" t="s">
        <v>1488</v>
      </c>
      <c r="M136" s="97" t="s">
        <v>1562</v>
      </c>
      <c r="N136" s="97">
        <v>1</v>
      </c>
      <c r="O136" s="97">
        <v>30</v>
      </c>
      <c r="P136" s="97">
        <v>30</v>
      </c>
      <c r="Q136" s="98">
        <f>N136*(F136+G136)</f>
        <v>3</v>
      </c>
      <c r="R136" s="98">
        <v>3</v>
      </c>
      <c r="S136" s="98"/>
      <c r="T136" s="98"/>
      <c r="U136" s="85"/>
      <c r="V136" s="84"/>
      <c r="W136" s="85"/>
    </row>
    <row r="137" spans="2:23">
      <c r="B137" s="14" t="s">
        <v>44</v>
      </c>
      <c r="C137" s="14" t="s">
        <v>18</v>
      </c>
      <c r="D137" s="76" t="s">
        <v>983</v>
      </c>
      <c r="E137" s="85" t="s">
        <v>984</v>
      </c>
      <c r="F137" s="84">
        <v>3</v>
      </c>
      <c r="G137" s="84">
        <v>0</v>
      </c>
      <c r="H137" s="84">
        <v>3</v>
      </c>
      <c r="I137" s="97" t="s">
        <v>73</v>
      </c>
      <c r="J137" s="97" t="s">
        <v>73</v>
      </c>
      <c r="K137" s="97" t="s">
        <v>985</v>
      </c>
      <c r="L137" s="85" t="s">
        <v>1491</v>
      </c>
      <c r="M137" s="97" t="s">
        <v>1562</v>
      </c>
      <c r="N137" s="97">
        <v>1</v>
      </c>
      <c r="O137" s="97">
        <v>30</v>
      </c>
      <c r="P137" s="97">
        <v>30</v>
      </c>
      <c r="Q137" s="98">
        <f>N137*(F137+G137)</f>
        <v>3</v>
      </c>
      <c r="R137" s="98">
        <v>3</v>
      </c>
      <c r="S137" s="98"/>
      <c r="T137" s="98"/>
      <c r="U137" s="85"/>
      <c r="V137" s="84"/>
      <c r="W137" s="85"/>
    </row>
    <row r="138" spans="2:23">
      <c r="B138" s="14" t="s">
        <v>44</v>
      </c>
      <c r="C138" s="14" t="s">
        <v>18</v>
      </c>
      <c r="D138" s="76" t="s">
        <v>378</v>
      </c>
      <c r="E138" s="85" t="s">
        <v>379</v>
      </c>
      <c r="F138" s="84">
        <v>4</v>
      </c>
      <c r="G138" s="84">
        <v>0</v>
      </c>
      <c r="H138" s="84">
        <v>4</v>
      </c>
      <c r="I138" s="97" t="s">
        <v>73</v>
      </c>
      <c r="J138" s="97" t="s">
        <v>73</v>
      </c>
      <c r="K138" s="97" t="s">
        <v>315</v>
      </c>
      <c r="L138" s="85" t="s">
        <v>1488</v>
      </c>
      <c r="M138" s="97" t="s">
        <v>1562</v>
      </c>
      <c r="N138" s="97">
        <v>1</v>
      </c>
      <c r="O138" s="97">
        <v>30</v>
      </c>
      <c r="P138" s="97">
        <v>30</v>
      </c>
      <c r="Q138" s="98">
        <f>N138*(F138+G138)</f>
        <v>4</v>
      </c>
      <c r="R138" s="98">
        <v>4</v>
      </c>
      <c r="S138" s="98"/>
      <c r="T138" s="98"/>
      <c r="U138" s="85"/>
      <c r="V138" s="84"/>
      <c r="W138" s="85"/>
    </row>
    <row r="139" spans="2:23">
      <c r="B139" s="14" t="s">
        <v>44</v>
      </c>
      <c r="C139" s="14" t="s">
        <v>18</v>
      </c>
      <c r="D139" s="76" t="s">
        <v>1323</v>
      </c>
      <c r="E139" s="85" t="s">
        <v>1324</v>
      </c>
      <c r="F139" s="84">
        <v>4</v>
      </c>
      <c r="G139" s="84">
        <v>2</v>
      </c>
      <c r="H139" s="84">
        <v>4</v>
      </c>
      <c r="I139" s="97" t="s">
        <v>73</v>
      </c>
      <c r="J139" s="97" t="s">
        <v>73</v>
      </c>
      <c r="K139" s="97" t="s">
        <v>572</v>
      </c>
      <c r="L139" s="85" t="s">
        <v>1491</v>
      </c>
      <c r="M139" s="97" t="s">
        <v>1562</v>
      </c>
      <c r="N139" s="97">
        <v>1</v>
      </c>
      <c r="O139" s="97">
        <v>30</v>
      </c>
      <c r="P139" s="97">
        <v>30</v>
      </c>
      <c r="Q139" s="98">
        <f>N139*(F139+G139)</f>
        <v>6</v>
      </c>
      <c r="R139" s="98">
        <v>6</v>
      </c>
      <c r="S139" s="98"/>
      <c r="T139" s="98"/>
      <c r="U139" s="85"/>
      <c r="V139" s="84"/>
      <c r="W139" s="85"/>
    </row>
    <row r="140" spans="2:23">
      <c r="B140" s="14" t="s">
        <v>44</v>
      </c>
      <c r="C140" s="14" t="s">
        <v>18</v>
      </c>
      <c r="D140" s="76" t="s">
        <v>562</v>
      </c>
      <c r="E140" s="85" t="s">
        <v>563</v>
      </c>
      <c r="F140" s="84">
        <v>3</v>
      </c>
      <c r="G140" s="84">
        <v>0</v>
      </c>
      <c r="H140" s="84">
        <v>3</v>
      </c>
      <c r="I140" s="97" t="s">
        <v>73</v>
      </c>
      <c r="J140" s="97" t="s">
        <v>73</v>
      </c>
      <c r="K140" s="97" t="s">
        <v>564</v>
      </c>
      <c r="L140" s="85" t="s">
        <v>1488</v>
      </c>
      <c r="M140" s="97" t="s">
        <v>1562</v>
      </c>
      <c r="N140" s="97">
        <v>1</v>
      </c>
      <c r="O140" s="97">
        <v>30</v>
      </c>
      <c r="P140" s="97">
        <v>30</v>
      </c>
      <c r="Q140" s="98">
        <f>N140*(F140+G140)</f>
        <v>3</v>
      </c>
      <c r="R140" s="98">
        <v>3</v>
      </c>
      <c r="S140" s="98" t="s">
        <v>1493</v>
      </c>
      <c r="T140" s="98"/>
      <c r="U140" s="85"/>
      <c r="V140" s="84"/>
      <c r="W140" s="85"/>
    </row>
    <row r="141" spans="2:23">
      <c r="B141" s="35" t="s">
        <v>41</v>
      </c>
      <c r="C141" s="35" t="s">
        <v>19</v>
      </c>
      <c r="D141" s="76" t="s">
        <v>1121</v>
      </c>
      <c r="E141" s="85" t="s">
        <v>1122</v>
      </c>
      <c r="F141" s="84">
        <v>0</v>
      </c>
      <c r="G141" s="84">
        <v>2</v>
      </c>
      <c r="H141" s="84">
        <v>10</v>
      </c>
      <c r="I141" s="97" t="s">
        <v>71</v>
      </c>
      <c r="J141" s="97" t="s">
        <v>71</v>
      </c>
      <c r="K141" s="97" t="s">
        <v>76</v>
      </c>
      <c r="L141" s="85" t="s">
        <v>1488</v>
      </c>
      <c r="M141" s="97" t="s">
        <v>1528</v>
      </c>
      <c r="N141" s="97">
        <v>2</v>
      </c>
      <c r="O141" s="97">
        <v>45</v>
      </c>
      <c r="P141" s="97">
        <v>90</v>
      </c>
      <c r="Q141" s="98">
        <f>N141*(F141+G141)</f>
        <v>4</v>
      </c>
      <c r="R141" s="98">
        <v>4</v>
      </c>
      <c r="S141" s="98"/>
      <c r="T141" s="98"/>
      <c r="U141" s="85"/>
      <c r="V141" s="84"/>
      <c r="W141" s="85"/>
    </row>
    <row r="142" spans="2:23">
      <c r="B142" s="35" t="s">
        <v>41</v>
      </c>
      <c r="C142" s="35" t="s">
        <v>19</v>
      </c>
      <c r="D142" s="76" t="s">
        <v>1121</v>
      </c>
      <c r="E142" s="85" t="s">
        <v>1122</v>
      </c>
      <c r="F142" s="84">
        <v>0</v>
      </c>
      <c r="G142" s="84">
        <v>2</v>
      </c>
      <c r="H142" s="84">
        <v>10</v>
      </c>
      <c r="I142" s="97" t="s">
        <v>71</v>
      </c>
      <c r="J142" s="97" t="s">
        <v>71</v>
      </c>
      <c r="K142" s="97" t="s">
        <v>76</v>
      </c>
      <c r="L142" s="85" t="s">
        <v>1491</v>
      </c>
      <c r="M142" s="97" t="s">
        <v>1528</v>
      </c>
      <c r="N142" s="97">
        <v>2</v>
      </c>
      <c r="O142" s="97">
        <v>45</v>
      </c>
      <c r="P142" s="97">
        <v>90</v>
      </c>
      <c r="Q142" s="98">
        <f>N142*(F142+G142)</f>
        <v>4</v>
      </c>
      <c r="R142" s="98">
        <v>4</v>
      </c>
      <c r="S142" s="98"/>
      <c r="T142" s="98"/>
      <c r="U142" s="85"/>
      <c r="V142" s="84"/>
      <c r="W142" s="85"/>
    </row>
    <row r="143" spans="2:23">
      <c r="B143" s="35" t="s">
        <v>41</v>
      </c>
      <c r="C143" s="35" t="s">
        <v>19</v>
      </c>
      <c r="D143" s="76" t="s">
        <v>168</v>
      </c>
      <c r="E143" s="85" t="s">
        <v>169</v>
      </c>
      <c r="F143" s="84">
        <v>3</v>
      </c>
      <c r="G143" s="84">
        <v>0</v>
      </c>
      <c r="H143" s="84">
        <v>4</v>
      </c>
      <c r="I143" s="97" t="s">
        <v>71</v>
      </c>
      <c r="J143" s="97" t="s">
        <v>71</v>
      </c>
      <c r="K143" s="97" t="s">
        <v>76</v>
      </c>
      <c r="L143" s="85" t="s">
        <v>1488</v>
      </c>
      <c r="M143" s="97" t="s">
        <v>1528</v>
      </c>
      <c r="N143" s="97">
        <v>2</v>
      </c>
      <c r="O143" s="97">
        <v>100</v>
      </c>
      <c r="P143" s="97">
        <v>200</v>
      </c>
      <c r="Q143" s="98">
        <f>N143*(F143+G143)</f>
        <v>6</v>
      </c>
      <c r="R143" s="98">
        <v>6</v>
      </c>
      <c r="S143" s="98"/>
      <c r="T143" s="98"/>
      <c r="U143" s="85"/>
      <c r="V143" s="84"/>
      <c r="W143" s="85"/>
    </row>
    <row r="144" spans="2:23">
      <c r="B144" s="35" t="s">
        <v>41</v>
      </c>
      <c r="C144" s="35" t="s">
        <v>19</v>
      </c>
      <c r="D144" s="76" t="s">
        <v>168</v>
      </c>
      <c r="E144" s="85" t="s">
        <v>169</v>
      </c>
      <c r="F144" s="84">
        <v>3</v>
      </c>
      <c r="G144" s="84">
        <v>0</v>
      </c>
      <c r="H144" s="84">
        <v>4</v>
      </c>
      <c r="I144" s="97" t="s">
        <v>71</v>
      </c>
      <c r="J144" s="97" t="s">
        <v>71</v>
      </c>
      <c r="K144" s="97" t="s">
        <v>76</v>
      </c>
      <c r="L144" s="85" t="s">
        <v>1491</v>
      </c>
      <c r="M144" s="97" t="s">
        <v>1528</v>
      </c>
      <c r="N144" s="97">
        <v>2</v>
      </c>
      <c r="O144" s="97">
        <v>100</v>
      </c>
      <c r="P144" s="97">
        <v>200</v>
      </c>
      <c r="Q144" s="98">
        <f>N144*(F144+G144)</f>
        <v>6</v>
      </c>
      <c r="R144" s="98">
        <v>6</v>
      </c>
      <c r="S144" s="98"/>
      <c r="T144" s="98"/>
      <c r="U144" s="85"/>
      <c r="V144" s="84"/>
      <c r="W144" s="85"/>
    </row>
    <row r="145" spans="2:23">
      <c r="B145" s="35" t="s">
        <v>41</v>
      </c>
      <c r="C145" s="35" t="s">
        <v>19</v>
      </c>
      <c r="D145" s="76" t="s">
        <v>538</v>
      </c>
      <c r="E145" s="85" t="s">
        <v>539</v>
      </c>
      <c r="F145" s="84">
        <v>3</v>
      </c>
      <c r="G145" s="84">
        <v>0</v>
      </c>
      <c r="H145" s="84">
        <v>4</v>
      </c>
      <c r="I145" s="97" t="s">
        <v>71</v>
      </c>
      <c r="J145" s="97" t="s">
        <v>71</v>
      </c>
      <c r="K145" s="97" t="s">
        <v>76</v>
      </c>
      <c r="L145" s="85" t="s">
        <v>1488</v>
      </c>
      <c r="M145" s="97" t="s">
        <v>1528</v>
      </c>
      <c r="N145" s="97">
        <v>2</v>
      </c>
      <c r="O145" s="97">
        <v>120</v>
      </c>
      <c r="P145" s="97">
        <v>240</v>
      </c>
      <c r="Q145" s="98">
        <f>N145*(F145+G145)</f>
        <v>6</v>
      </c>
      <c r="R145" s="98">
        <v>6</v>
      </c>
      <c r="S145" s="98"/>
      <c r="T145" s="98"/>
      <c r="U145" s="85"/>
      <c r="V145" s="84"/>
      <c r="W145" s="85"/>
    </row>
    <row r="146" spans="2:23">
      <c r="B146" s="35" t="s">
        <v>41</v>
      </c>
      <c r="C146" s="35" t="s">
        <v>19</v>
      </c>
      <c r="D146" s="76" t="s">
        <v>538</v>
      </c>
      <c r="E146" s="85" t="s">
        <v>539</v>
      </c>
      <c r="F146" s="84">
        <v>3</v>
      </c>
      <c r="G146" s="84">
        <v>0</v>
      </c>
      <c r="H146" s="84">
        <v>4</v>
      </c>
      <c r="I146" s="97" t="s">
        <v>71</v>
      </c>
      <c r="J146" s="97" t="s">
        <v>71</v>
      </c>
      <c r="K146" s="97" t="s">
        <v>76</v>
      </c>
      <c r="L146" s="85" t="s">
        <v>1491</v>
      </c>
      <c r="M146" s="97" t="s">
        <v>1528</v>
      </c>
      <c r="N146" s="97">
        <v>2</v>
      </c>
      <c r="O146" s="97">
        <v>120</v>
      </c>
      <c r="P146" s="97">
        <v>240</v>
      </c>
      <c r="Q146" s="98">
        <f>N146*(F146+G146)</f>
        <v>6</v>
      </c>
      <c r="R146" s="98">
        <v>6</v>
      </c>
      <c r="S146" s="98"/>
      <c r="T146" s="98"/>
      <c r="U146" s="85"/>
      <c r="V146" s="84"/>
      <c r="W146" s="85"/>
    </row>
    <row r="147" spans="2:23">
      <c r="B147" s="35" t="s">
        <v>41</v>
      </c>
      <c r="C147" s="35" t="s">
        <v>19</v>
      </c>
      <c r="D147" s="76" t="s">
        <v>311</v>
      </c>
      <c r="E147" s="85" t="s">
        <v>312</v>
      </c>
      <c r="F147" s="84">
        <v>4</v>
      </c>
      <c r="G147" s="84">
        <v>0</v>
      </c>
      <c r="H147" s="84">
        <v>4</v>
      </c>
      <c r="I147" s="97" t="s">
        <v>71</v>
      </c>
      <c r="J147" s="97" t="s">
        <v>71</v>
      </c>
      <c r="K147" s="97" t="s">
        <v>76</v>
      </c>
      <c r="L147" s="85" t="s">
        <v>1488</v>
      </c>
      <c r="M147" s="97" t="s">
        <v>1528</v>
      </c>
      <c r="N147" s="97">
        <v>2</v>
      </c>
      <c r="O147" s="97">
        <v>100</v>
      </c>
      <c r="P147" s="97">
        <v>200</v>
      </c>
      <c r="Q147" s="98">
        <f>N147*(F147+G147)</f>
        <v>8</v>
      </c>
      <c r="R147" s="98">
        <v>8</v>
      </c>
      <c r="S147" s="98"/>
      <c r="T147" s="98"/>
      <c r="U147" s="85"/>
      <c r="V147" s="84"/>
      <c r="W147" s="85"/>
    </row>
    <row r="148" spans="2:23">
      <c r="B148" s="35" t="s">
        <v>41</v>
      </c>
      <c r="C148" s="35" t="s">
        <v>19</v>
      </c>
      <c r="D148" s="76" t="s">
        <v>311</v>
      </c>
      <c r="E148" s="85" t="s">
        <v>312</v>
      </c>
      <c r="F148" s="84">
        <v>4</v>
      </c>
      <c r="G148" s="84">
        <v>0</v>
      </c>
      <c r="H148" s="84">
        <v>4</v>
      </c>
      <c r="I148" s="97" t="s">
        <v>71</v>
      </c>
      <c r="J148" s="97" t="s">
        <v>71</v>
      </c>
      <c r="K148" s="97" t="s">
        <v>76</v>
      </c>
      <c r="L148" s="85" t="s">
        <v>1491</v>
      </c>
      <c r="M148" s="97" t="s">
        <v>1528</v>
      </c>
      <c r="N148" s="97">
        <v>2</v>
      </c>
      <c r="O148" s="97">
        <v>100</v>
      </c>
      <c r="P148" s="97">
        <v>200</v>
      </c>
      <c r="Q148" s="98">
        <f>N148*(F148+G148)</f>
        <v>8</v>
      </c>
      <c r="R148" s="98">
        <v>8</v>
      </c>
      <c r="S148" s="98"/>
      <c r="T148" s="98"/>
      <c r="U148" s="85"/>
      <c r="V148" s="84"/>
      <c r="W148" s="85"/>
    </row>
    <row r="149" spans="2:23">
      <c r="B149" s="35" t="s">
        <v>41</v>
      </c>
      <c r="C149" s="35" t="s">
        <v>19</v>
      </c>
      <c r="D149" s="76" t="s">
        <v>1314</v>
      </c>
      <c r="E149" s="85" t="s">
        <v>1315</v>
      </c>
      <c r="F149" s="84">
        <v>4</v>
      </c>
      <c r="G149" s="84">
        <v>0</v>
      </c>
      <c r="H149" s="84">
        <v>4</v>
      </c>
      <c r="I149" s="97" t="s">
        <v>71</v>
      </c>
      <c r="J149" s="97" t="s">
        <v>71</v>
      </c>
      <c r="K149" s="97" t="s">
        <v>76</v>
      </c>
      <c r="L149" s="85" t="s">
        <v>1488</v>
      </c>
      <c r="M149" s="97" t="s">
        <v>1528</v>
      </c>
      <c r="N149" s="97">
        <v>2</v>
      </c>
      <c r="O149" s="97">
        <v>100</v>
      </c>
      <c r="P149" s="97">
        <v>200</v>
      </c>
      <c r="Q149" s="98">
        <f>N149*(F149+G149)</f>
        <v>8</v>
      </c>
      <c r="R149" s="98">
        <v>8</v>
      </c>
      <c r="S149" s="98"/>
      <c r="T149" s="98"/>
      <c r="U149" s="85"/>
      <c r="V149" s="84"/>
      <c r="W149" s="85"/>
    </row>
    <row r="150" spans="2:23">
      <c r="B150" s="35" t="s">
        <v>41</v>
      </c>
      <c r="C150" s="35" t="s">
        <v>19</v>
      </c>
      <c r="D150" s="76" t="s">
        <v>1314</v>
      </c>
      <c r="E150" s="85" t="s">
        <v>1315</v>
      </c>
      <c r="F150" s="84">
        <v>4</v>
      </c>
      <c r="G150" s="84">
        <v>0</v>
      </c>
      <c r="H150" s="84">
        <v>4</v>
      </c>
      <c r="I150" s="97" t="s">
        <v>71</v>
      </c>
      <c r="J150" s="97" t="s">
        <v>71</v>
      </c>
      <c r="K150" s="97" t="s">
        <v>76</v>
      </c>
      <c r="L150" s="85" t="s">
        <v>1491</v>
      </c>
      <c r="M150" s="97" t="s">
        <v>1528</v>
      </c>
      <c r="N150" s="97">
        <v>2</v>
      </c>
      <c r="O150" s="97">
        <v>100</v>
      </c>
      <c r="P150" s="97">
        <v>200</v>
      </c>
      <c r="Q150" s="98">
        <f>N150*(F150+G150)</f>
        <v>8</v>
      </c>
      <c r="R150" s="98">
        <v>8</v>
      </c>
      <c r="S150" s="98"/>
      <c r="T150" s="98"/>
      <c r="U150" s="85"/>
      <c r="V150" s="84"/>
      <c r="W150" s="85"/>
    </row>
    <row r="151" spans="2:23">
      <c r="B151" s="35" t="s">
        <v>41</v>
      </c>
      <c r="C151" s="35" t="s">
        <v>19</v>
      </c>
      <c r="D151" s="76" t="s">
        <v>1384</v>
      </c>
      <c r="E151" s="85" t="s">
        <v>308</v>
      </c>
      <c r="F151" s="84">
        <v>3</v>
      </c>
      <c r="G151" s="84">
        <v>0</v>
      </c>
      <c r="H151" s="84">
        <v>4</v>
      </c>
      <c r="I151" s="97" t="s">
        <v>71</v>
      </c>
      <c r="J151" s="97" t="s">
        <v>71</v>
      </c>
      <c r="K151" s="97" t="s">
        <v>1385</v>
      </c>
      <c r="L151" s="85" t="s">
        <v>1488</v>
      </c>
      <c r="M151" s="97" t="s">
        <v>1528</v>
      </c>
      <c r="N151" s="97">
        <v>2</v>
      </c>
      <c r="O151" s="97">
        <v>100</v>
      </c>
      <c r="P151" s="97">
        <v>200</v>
      </c>
      <c r="Q151" s="98">
        <f>N151*(F151+G151)</f>
        <v>6</v>
      </c>
      <c r="R151" s="98">
        <v>6</v>
      </c>
      <c r="S151" s="98"/>
      <c r="T151" s="98"/>
      <c r="U151" s="85"/>
      <c r="V151" s="84"/>
      <c r="W151" s="85"/>
    </row>
    <row r="152" spans="2:23">
      <c r="B152" s="35" t="s">
        <v>41</v>
      </c>
      <c r="C152" s="35" t="s">
        <v>19</v>
      </c>
      <c r="D152" s="76" t="s">
        <v>1384</v>
      </c>
      <c r="E152" s="85" t="s">
        <v>308</v>
      </c>
      <c r="F152" s="84">
        <v>3</v>
      </c>
      <c r="G152" s="84">
        <v>0</v>
      </c>
      <c r="H152" s="84">
        <v>4</v>
      </c>
      <c r="I152" s="97" t="s">
        <v>71</v>
      </c>
      <c r="J152" s="97" t="s">
        <v>71</v>
      </c>
      <c r="K152" s="97" t="s">
        <v>1385</v>
      </c>
      <c r="L152" s="85" t="s">
        <v>1491</v>
      </c>
      <c r="M152" s="97" t="s">
        <v>1528</v>
      </c>
      <c r="N152" s="97">
        <v>2</v>
      </c>
      <c r="O152" s="97">
        <v>100</v>
      </c>
      <c r="P152" s="97">
        <v>200</v>
      </c>
      <c r="Q152" s="98">
        <f>N152*(F152+G152)</f>
        <v>6</v>
      </c>
      <c r="R152" s="98">
        <v>6</v>
      </c>
      <c r="S152" s="98"/>
      <c r="T152" s="98"/>
      <c r="U152" s="85"/>
      <c r="V152" s="84"/>
      <c r="W152" s="85"/>
    </row>
    <row r="153" spans="2:23">
      <c r="B153" s="35" t="s">
        <v>41</v>
      </c>
      <c r="C153" s="35" t="s">
        <v>19</v>
      </c>
      <c r="D153" s="76" t="s">
        <v>166</v>
      </c>
      <c r="E153" s="85" t="s">
        <v>167</v>
      </c>
      <c r="F153" s="84">
        <v>0</v>
      </c>
      <c r="G153" s="84">
        <v>2</v>
      </c>
      <c r="H153" s="84">
        <v>2</v>
      </c>
      <c r="I153" s="97" t="s">
        <v>71</v>
      </c>
      <c r="J153" s="97" t="s">
        <v>71</v>
      </c>
      <c r="K153" s="97" t="s">
        <v>76</v>
      </c>
      <c r="L153" s="85" t="s">
        <v>1488</v>
      </c>
      <c r="M153" s="97" t="s">
        <v>1528</v>
      </c>
      <c r="N153" s="97">
        <v>1</v>
      </c>
      <c r="O153" s="97">
        <v>42</v>
      </c>
      <c r="P153" s="97">
        <v>42</v>
      </c>
      <c r="Q153" s="98">
        <f>N153*(F153+G153)</f>
        <v>2</v>
      </c>
      <c r="R153" s="98">
        <v>2</v>
      </c>
      <c r="S153" s="98" t="s">
        <v>1489</v>
      </c>
      <c r="T153" s="98" t="s">
        <v>1490</v>
      </c>
      <c r="U153" s="85"/>
      <c r="V153" s="84"/>
      <c r="W153" s="85"/>
    </row>
    <row r="154" spans="2:23">
      <c r="B154" s="35" t="s">
        <v>41</v>
      </c>
      <c r="C154" s="35" t="s">
        <v>19</v>
      </c>
      <c r="D154" s="76" t="s">
        <v>166</v>
      </c>
      <c r="E154" s="85" t="s">
        <v>167</v>
      </c>
      <c r="F154" s="84">
        <v>0</v>
      </c>
      <c r="G154" s="84">
        <v>2</v>
      </c>
      <c r="H154" s="84">
        <v>2</v>
      </c>
      <c r="I154" s="97" t="s">
        <v>71</v>
      </c>
      <c r="J154" s="97" t="s">
        <v>71</v>
      </c>
      <c r="K154" s="97" t="s">
        <v>76</v>
      </c>
      <c r="L154" s="85" t="s">
        <v>1491</v>
      </c>
      <c r="M154" s="97" t="s">
        <v>1528</v>
      </c>
      <c r="N154" s="97">
        <v>2</v>
      </c>
      <c r="O154" s="97">
        <v>42</v>
      </c>
      <c r="P154" s="97">
        <v>84</v>
      </c>
      <c r="Q154" s="98">
        <f>N154*(F154+G154)</f>
        <v>4</v>
      </c>
      <c r="R154" s="98">
        <v>4</v>
      </c>
      <c r="S154" s="98" t="s">
        <v>1489</v>
      </c>
      <c r="T154" s="98" t="s">
        <v>1490</v>
      </c>
      <c r="U154" s="85"/>
      <c r="V154" s="84"/>
      <c r="W154" s="85"/>
    </row>
    <row r="155" spans="2:23">
      <c r="B155" s="15" t="s">
        <v>46</v>
      </c>
      <c r="C155" s="15" t="s">
        <v>20</v>
      </c>
      <c r="D155" s="9" t="s">
        <v>1381</v>
      </c>
      <c r="E155" s="85" t="s">
        <v>385</v>
      </c>
      <c r="F155" s="84">
        <v>4</v>
      </c>
      <c r="G155" s="84">
        <v>0</v>
      </c>
      <c r="H155" s="84">
        <v>4</v>
      </c>
      <c r="I155" s="97" t="s">
        <v>71</v>
      </c>
      <c r="J155" s="97" t="s">
        <v>71</v>
      </c>
      <c r="K155" s="85" t="s">
        <v>76</v>
      </c>
      <c r="L155" s="97" t="s">
        <v>1488</v>
      </c>
      <c r="M155" s="97" t="s">
        <v>1528</v>
      </c>
      <c r="N155" s="97">
        <v>1</v>
      </c>
      <c r="O155" s="97">
        <v>90</v>
      </c>
      <c r="P155" s="98">
        <v>90</v>
      </c>
      <c r="Q155" s="98">
        <f>N155*(F155+G155)</f>
        <v>4</v>
      </c>
      <c r="R155" s="98">
        <v>4</v>
      </c>
      <c r="S155" s="85"/>
      <c r="T155" s="84"/>
      <c r="U155" s="85"/>
      <c r="V155" s="84"/>
      <c r="W155" s="85"/>
    </row>
    <row r="156" spans="2:23">
      <c r="B156" s="15" t="s">
        <v>46</v>
      </c>
      <c r="C156" s="15" t="s">
        <v>20</v>
      </c>
      <c r="D156" s="9" t="s">
        <v>1381</v>
      </c>
      <c r="E156" s="85" t="s">
        <v>385</v>
      </c>
      <c r="F156" s="84">
        <v>4</v>
      </c>
      <c r="G156" s="84">
        <v>0</v>
      </c>
      <c r="H156" s="84">
        <v>4</v>
      </c>
      <c r="I156" s="97" t="s">
        <v>71</v>
      </c>
      <c r="J156" s="97" t="s">
        <v>71</v>
      </c>
      <c r="K156" s="85" t="s">
        <v>76</v>
      </c>
      <c r="L156" s="97" t="s">
        <v>1491</v>
      </c>
      <c r="M156" s="97" t="s">
        <v>1528</v>
      </c>
      <c r="N156" s="97">
        <v>1</v>
      </c>
      <c r="O156" s="97">
        <v>90</v>
      </c>
      <c r="P156" s="98">
        <v>90</v>
      </c>
      <c r="Q156" s="98">
        <f>N156*(F156+G156)</f>
        <v>4</v>
      </c>
      <c r="R156" s="98">
        <v>4</v>
      </c>
      <c r="S156" s="85"/>
      <c r="T156" s="84"/>
      <c r="U156" s="85"/>
      <c r="V156" s="84"/>
      <c r="W156" s="85"/>
    </row>
    <row r="157" spans="2:23">
      <c r="B157" s="15" t="s">
        <v>46</v>
      </c>
      <c r="C157" s="15" t="s">
        <v>20</v>
      </c>
      <c r="D157" s="9" t="s">
        <v>926</v>
      </c>
      <c r="E157" s="85" t="s">
        <v>927</v>
      </c>
      <c r="F157" s="84">
        <v>4</v>
      </c>
      <c r="G157" s="84">
        <v>0</v>
      </c>
      <c r="H157" s="84">
        <v>4</v>
      </c>
      <c r="I157" s="97" t="s">
        <v>71</v>
      </c>
      <c r="J157" s="97" t="s">
        <v>71</v>
      </c>
      <c r="K157" s="85" t="s">
        <v>838</v>
      </c>
      <c r="L157" s="97" t="s">
        <v>1488</v>
      </c>
      <c r="M157" s="97" t="s">
        <v>1528</v>
      </c>
      <c r="N157" s="97">
        <v>1</v>
      </c>
      <c r="O157" s="97">
        <v>90</v>
      </c>
      <c r="P157" s="98">
        <v>90</v>
      </c>
      <c r="Q157" s="98">
        <f>N157*(F157+G157)</f>
        <v>4</v>
      </c>
      <c r="R157" s="98">
        <v>4</v>
      </c>
      <c r="S157" s="85"/>
      <c r="T157" s="84"/>
      <c r="U157" s="85"/>
      <c r="V157" s="84"/>
      <c r="W157" s="85"/>
    </row>
    <row r="158" spans="2:23">
      <c r="B158" s="15" t="s">
        <v>46</v>
      </c>
      <c r="C158" s="15" t="s">
        <v>20</v>
      </c>
      <c r="D158" s="9" t="s">
        <v>926</v>
      </c>
      <c r="E158" s="85" t="s">
        <v>927</v>
      </c>
      <c r="F158" s="84">
        <v>4</v>
      </c>
      <c r="G158" s="84">
        <v>0</v>
      </c>
      <c r="H158" s="84">
        <v>4</v>
      </c>
      <c r="I158" s="97" t="s">
        <v>71</v>
      </c>
      <c r="J158" s="97" t="s">
        <v>71</v>
      </c>
      <c r="K158" s="85" t="s">
        <v>838</v>
      </c>
      <c r="L158" s="97" t="s">
        <v>1491</v>
      </c>
      <c r="M158" s="97" t="s">
        <v>1528</v>
      </c>
      <c r="N158" s="97">
        <v>1</v>
      </c>
      <c r="O158" s="97">
        <v>90</v>
      </c>
      <c r="P158" s="98">
        <v>90</v>
      </c>
      <c r="Q158" s="98">
        <f>N158*(F158+G158)</f>
        <v>4</v>
      </c>
      <c r="R158" s="98">
        <v>4</v>
      </c>
      <c r="S158" s="85"/>
      <c r="T158" s="84"/>
      <c r="U158" s="85"/>
      <c r="V158" s="84"/>
      <c r="W158" s="85"/>
    </row>
    <row r="159" spans="2:23">
      <c r="B159" s="15" t="s">
        <v>46</v>
      </c>
      <c r="C159" s="15" t="s">
        <v>20</v>
      </c>
      <c r="D159" s="9" t="s">
        <v>836</v>
      </c>
      <c r="E159" s="85" t="s">
        <v>837</v>
      </c>
      <c r="F159" s="84">
        <v>4</v>
      </c>
      <c r="G159" s="84">
        <v>0</v>
      </c>
      <c r="H159" s="84">
        <v>4</v>
      </c>
      <c r="I159" s="97" t="s">
        <v>71</v>
      </c>
      <c r="J159" s="97" t="s">
        <v>71</v>
      </c>
      <c r="K159" s="85" t="s">
        <v>838</v>
      </c>
      <c r="L159" s="97" t="s">
        <v>1488</v>
      </c>
      <c r="M159" s="97" t="s">
        <v>1528</v>
      </c>
      <c r="N159" s="97">
        <v>1</v>
      </c>
      <c r="O159" s="97">
        <v>90</v>
      </c>
      <c r="P159" s="98">
        <v>90</v>
      </c>
      <c r="Q159" s="98">
        <f>N159*(F159+G159)</f>
        <v>4</v>
      </c>
      <c r="R159" s="98">
        <v>4</v>
      </c>
      <c r="S159" s="85"/>
      <c r="T159" s="84"/>
      <c r="U159" s="85"/>
      <c r="V159" s="84"/>
      <c r="W159" s="85"/>
    </row>
    <row r="160" spans="2:23">
      <c r="B160" s="15" t="s">
        <v>46</v>
      </c>
      <c r="C160" s="15" t="s">
        <v>20</v>
      </c>
      <c r="D160" s="9" t="s">
        <v>836</v>
      </c>
      <c r="E160" s="85" t="s">
        <v>837</v>
      </c>
      <c r="F160" s="84">
        <v>4</v>
      </c>
      <c r="G160" s="84">
        <v>0</v>
      </c>
      <c r="H160" s="84">
        <v>4</v>
      </c>
      <c r="I160" s="97" t="s">
        <v>71</v>
      </c>
      <c r="J160" s="97" t="s">
        <v>71</v>
      </c>
      <c r="K160" s="85" t="s">
        <v>838</v>
      </c>
      <c r="L160" s="97" t="s">
        <v>1491</v>
      </c>
      <c r="M160" s="97" t="s">
        <v>1528</v>
      </c>
      <c r="N160" s="97">
        <v>1</v>
      </c>
      <c r="O160" s="97">
        <v>90</v>
      </c>
      <c r="P160" s="98">
        <v>90</v>
      </c>
      <c r="Q160" s="98">
        <f>N160*(F160+G160)</f>
        <v>4</v>
      </c>
      <c r="R160" s="98">
        <v>4</v>
      </c>
      <c r="S160" s="85"/>
      <c r="T160" s="84"/>
      <c r="U160" s="85"/>
      <c r="V160" s="84"/>
      <c r="W160" s="85"/>
    </row>
    <row r="161" spans="2:23">
      <c r="B161" s="15" t="s">
        <v>46</v>
      </c>
      <c r="C161" s="15" t="s">
        <v>20</v>
      </c>
      <c r="D161" s="9" t="s">
        <v>395</v>
      </c>
      <c r="E161" s="85" t="s">
        <v>396</v>
      </c>
      <c r="F161" s="84">
        <v>4</v>
      </c>
      <c r="G161" s="84">
        <v>0</v>
      </c>
      <c r="H161" s="84">
        <v>4</v>
      </c>
      <c r="I161" s="97" t="s">
        <v>71</v>
      </c>
      <c r="J161" s="97" t="s">
        <v>71</v>
      </c>
      <c r="K161" s="85" t="s">
        <v>397</v>
      </c>
      <c r="L161" s="97" t="s">
        <v>1488</v>
      </c>
      <c r="M161" s="97" t="s">
        <v>1528</v>
      </c>
      <c r="N161" s="97">
        <v>1</v>
      </c>
      <c r="O161" s="97">
        <v>90</v>
      </c>
      <c r="P161" s="98">
        <v>90</v>
      </c>
      <c r="Q161" s="98">
        <f>N161*(F161+G161)</f>
        <v>4</v>
      </c>
      <c r="R161" s="98">
        <v>4</v>
      </c>
      <c r="S161" s="85"/>
      <c r="T161" s="84"/>
      <c r="U161" s="85"/>
      <c r="V161" s="84"/>
      <c r="W161" s="85"/>
    </row>
    <row r="162" spans="2:23">
      <c r="B162" s="15" t="s">
        <v>46</v>
      </c>
      <c r="C162" s="15" t="s">
        <v>20</v>
      </c>
      <c r="D162" s="9" t="s">
        <v>395</v>
      </c>
      <c r="E162" s="85" t="s">
        <v>396</v>
      </c>
      <c r="F162" s="84">
        <v>4</v>
      </c>
      <c r="G162" s="84">
        <v>0</v>
      </c>
      <c r="H162" s="84">
        <v>4</v>
      </c>
      <c r="I162" s="97" t="s">
        <v>71</v>
      </c>
      <c r="J162" s="97" t="s">
        <v>71</v>
      </c>
      <c r="K162" s="85" t="s">
        <v>397</v>
      </c>
      <c r="L162" s="97" t="s">
        <v>1491</v>
      </c>
      <c r="M162" s="97" t="s">
        <v>1528</v>
      </c>
      <c r="N162" s="97">
        <v>1</v>
      </c>
      <c r="O162" s="97">
        <v>90</v>
      </c>
      <c r="P162" s="98">
        <v>90</v>
      </c>
      <c r="Q162" s="98">
        <f>N162*(F162+G162)</f>
        <v>4</v>
      </c>
      <c r="R162" s="98">
        <v>4</v>
      </c>
      <c r="S162" s="85"/>
      <c r="T162" s="84"/>
      <c r="U162" s="85"/>
      <c r="V162" s="84"/>
      <c r="W162" s="85"/>
    </row>
    <row r="163" spans="2:23">
      <c r="B163" s="15" t="s">
        <v>46</v>
      </c>
      <c r="C163" s="15" t="s">
        <v>20</v>
      </c>
      <c r="D163" s="9" t="s">
        <v>381</v>
      </c>
      <c r="E163" s="85" t="s">
        <v>382</v>
      </c>
      <c r="F163" s="84">
        <v>4</v>
      </c>
      <c r="G163" s="84">
        <v>0</v>
      </c>
      <c r="H163" s="84">
        <v>3</v>
      </c>
      <c r="I163" s="97" t="s">
        <v>71</v>
      </c>
      <c r="J163" s="97" t="s">
        <v>71</v>
      </c>
      <c r="K163" s="85" t="s">
        <v>380</v>
      </c>
      <c r="L163" s="97" t="s">
        <v>1488</v>
      </c>
      <c r="M163" s="97" t="s">
        <v>1528</v>
      </c>
      <c r="N163" s="97">
        <v>1</v>
      </c>
      <c r="O163" s="97">
        <v>90</v>
      </c>
      <c r="P163" s="98">
        <v>90</v>
      </c>
      <c r="Q163" s="98">
        <f>N163*(F163+G163)</f>
        <v>4</v>
      </c>
      <c r="R163" s="98">
        <v>4</v>
      </c>
      <c r="S163" s="85" t="s">
        <v>1563</v>
      </c>
      <c r="T163" s="84"/>
      <c r="U163" s="85"/>
      <c r="V163" s="84"/>
      <c r="W163" s="85"/>
    </row>
    <row r="164" spans="2:23">
      <c r="B164" s="15" t="s">
        <v>46</v>
      </c>
      <c r="C164" s="15" t="s">
        <v>20</v>
      </c>
      <c r="D164" s="9" t="s">
        <v>381</v>
      </c>
      <c r="E164" s="85" t="s">
        <v>382</v>
      </c>
      <c r="F164" s="84">
        <v>4</v>
      </c>
      <c r="G164" s="84">
        <v>0</v>
      </c>
      <c r="H164" s="84">
        <v>3</v>
      </c>
      <c r="I164" s="97" t="s">
        <v>71</v>
      </c>
      <c r="J164" s="97" t="s">
        <v>71</v>
      </c>
      <c r="K164" s="85" t="s">
        <v>380</v>
      </c>
      <c r="L164" s="97" t="s">
        <v>1491</v>
      </c>
      <c r="M164" s="97" t="s">
        <v>1528</v>
      </c>
      <c r="N164" s="97">
        <v>1</v>
      </c>
      <c r="O164" s="97">
        <v>90</v>
      </c>
      <c r="P164" s="98">
        <v>90</v>
      </c>
      <c r="Q164" s="98">
        <f>N164*(F164+G164)</f>
        <v>4</v>
      </c>
      <c r="R164" s="98">
        <v>4</v>
      </c>
      <c r="S164" s="85" t="s">
        <v>1563</v>
      </c>
      <c r="T164" s="84"/>
      <c r="U164" s="85"/>
      <c r="V164" s="84"/>
      <c r="W164" s="85"/>
    </row>
    <row r="165" spans="2:23">
      <c r="B165" s="15" t="s">
        <v>46</v>
      </c>
      <c r="C165" s="15" t="s">
        <v>20</v>
      </c>
      <c r="D165" s="9" t="s">
        <v>386</v>
      </c>
      <c r="E165" s="85" t="s">
        <v>387</v>
      </c>
      <c r="F165" s="84">
        <v>4</v>
      </c>
      <c r="G165" s="84">
        <v>0</v>
      </c>
      <c r="H165" s="84">
        <v>3</v>
      </c>
      <c r="I165" s="97" t="s">
        <v>71</v>
      </c>
      <c r="J165" s="97" t="s">
        <v>71</v>
      </c>
      <c r="K165" s="85" t="s">
        <v>384</v>
      </c>
      <c r="L165" s="97" t="s">
        <v>1488</v>
      </c>
      <c r="M165" s="97" t="s">
        <v>1528</v>
      </c>
      <c r="N165" s="97">
        <v>1</v>
      </c>
      <c r="O165" s="97">
        <v>90</v>
      </c>
      <c r="P165" s="98">
        <v>90</v>
      </c>
      <c r="Q165" s="98">
        <f>N165*(F165+G165)</f>
        <v>4</v>
      </c>
      <c r="R165" s="98">
        <v>4</v>
      </c>
      <c r="S165" s="85"/>
      <c r="T165" s="84"/>
      <c r="U165" s="85"/>
      <c r="V165" s="84"/>
      <c r="W165" s="85"/>
    </row>
    <row r="166" spans="2:23">
      <c r="B166" s="15" t="s">
        <v>46</v>
      </c>
      <c r="C166" s="15" t="s">
        <v>20</v>
      </c>
      <c r="D166" s="9" t="s">
        <v>386</v>
      </c>
      <c r="E166" s="85" t="s">
        <v>387</v>
      </c>
      <c r="F166" s="84">
        <v>4</v>
      </c>
      <c r="G166" s="84">
        <v>0</v>
      </c>
      <c r="H166" s="84">
        <v>3</v>
      </c>
      <c r="I166" s="97" t="s">
        <v>71</v>
      </c>
      <c r="J166" s="97" t="s">
        <v>71</v>
      </c>
      <c r="K166" s="85" t="s">
        <v>384</v>
      </c>
      <c r="L166" s="97" t="s">
        <v>1491</v>
      </c>
      <c r="M166" s="97" t="s">
        <v>1528</v>
      </c>
      <c r="N166" s="97">
        <v>1</v>
      </c>
      <c r="O166" s="97">
        <v>90</v>
      </c>
      <c r="P166" s="98">
        <v>90</v>
      </c>
      <c r="Q166" s="98">
        <f>N166*(F166+G166)</f>
        <v>4</v>
      </c>
      <c r="R166" s="98">
        <v>4</v>
      </c>
      <c r="S166" s="85"/>
      <c r="T166" s="84"/>
      <c r="U166" s="85"/>
      <c r="V166" s="84"/>
      <c r="W166" s="85"/>
    </row>
    <row r="167" spans="2:23">
      <c r="B167" s="15" t="s">
        <v>46</v>
      </c>
      <c r="C167" s="15" t="s">
        <v>20</v>
      </c>
      <c r="D167" s="9" t="s">
        <v>1591</v>
      </c>
      <c r="E167" s="85" t="s">
        <v>601</v>
      </c>
      <c r="F167" s="84">
        <v>4</v>
      </c>
      <c r="G167" s="84">
        <v>0</v>
      </c>
      <c r="H167" s="84">
        <v>4</v>
      </c>
      <c r="I167" s="97" t="s">
        <v>71</v>
      </c>
      <c r="J167" s="97" t="s">
        <v>71</v>
      </c>
      <c r="K167" s="85"/>
      <c r="L167" s="97" t="s">
        <v>1488</v>
      </c>
      <c r="M167" s="97" t="s">
        <v>1528</v>
      </c>
      <c r="N167" s="97">
        <v>1</v>
      </c>
      <c r="O167" s="97">
        <v>90</v>
      </c>
      <c r="P167" s="98">
        <v>90</v>
      </c>
      <c r="Q167" s="98">
        <f>N167*(F167+G167)</f>
        <v>4</v>
      </c>
      <c r="R167" s="98">
        <v>4</v>
      </c>
      <c r="S167" s="85"/>
      <c r="T167" s="84"/>
      <c r="U167" s="85"/>
      <c r="V167" s="84"/>
      <c r="W167" s="85"/>
    </row>
    <row r="168" spans="2:23">
      <c r="B168" s="15" t="s">
        <v>46</v>
      </c>
      <c r="C168" s="15" t="s">
        <v>20</v>
      </c>
      <c r="D168" s="9" t="s">
        <v>1591</v>
      </c>
      <c r="E168" s="85" t="s">
        <v>601</v>
      </c>
      <c r="F168" s="84">
        <v>4</v>
      </c>
      <c r="G168" s="84">
        <v>0</v>
      </c>
      <c r="H168" s="84">
        <v>4</v>
      </c>
      <c r="I168" s="97" t="s">
        <v>71</v>
      </c>
      <c r="J168" s="97" t="s">
        <v>71</v>
      </c>
      <c r="K168" s="85"/>
      <c r="L168" s="97" t="s">
        <v>1491</v>
      </c>
      <c r="M168" s="97" t="s">
        <v>1528</v>
      </c>
      <c r="N168" s="97">
        <v>1</v>
      </c>
      <c r="O168" s="97">
        <v>90</v>
      </c>
      <c r="P168" s="98">
        <v>90</v>
      </c>
      <c r="Q168" s="98">
        <f>N168*(F168+G168)</f>
        <v>4</v>
      </c>
      <c r="R168" s="98">
        <v>4</v>
      </c>
      <c r="S168" s="85"/>
      <c r="T168" s="84"/>
      <c r="U168" s="85"/>
      <c r="V168" s="84"/>
      <c r="W168" s="85"/>
    </row>
    <row r="169" spans="2:23">
      <c r="B169" s="15" t="s">
        <v>46</v>
      </c>
      <c r="C169" s="15" t="s">
        <v>20</v>
      </c>
      <c r="D169" s="9" t="s">
        <v>1592</v>
      </c>
      <c r="E169" s="85" t="s">
        <v>398</v>
      </c>
      <c r="F169" s="84">
        <v>4</v>
      </c>
      <c r="G169" s="84">
        <v>0</v>
      </c>
      <c r="H169" s="84">
        <v>4</v>
      </c>
      <c r="I169" s="97" t="s">
        <v>71</v>
      </c>
      <c r="J169" s="97" t="s">
        <v>71</v>
      </c>
      <c r="K169" s="85" t="s">
        <v>399</v>
      </c>
      <c r="L169" s="97" t="s">
        <v>1488</v>
      </c>
      <c r="M169" s="97" t="s">
        <v>1528</v>
      </c>
      <c r="N169" s="97">
        <v>1</v>
      </c>
      <c r="O169" s="97">
        <v>90</v>
      </c>
      <c r="P169" s="98">
        <v>90</v>
      </c>
      <c r="Q169" s="98">
        <f>N169*(F169+G169)</f>
        <v>4</v>
      </c>
      <c r="R169" s="98">
        <v>4</v>
      </c>
      <c r="S169" s="85"/>
      <c r="T169" s="84"/>
      <c r="U169" s="85"/>
      <c r="V169" s="84"/>
      <c r="W169" s="85"/>
    </row>
    <row r="170" spans="2:23">
      <c r="B170" s="15" t="s">
        <v>46</v>
      </c>
      <c r="C170" s="15" t="s">
        <v>20</v>
      </c>
      <c r="D170" s="9" t="s">
        <v>1592</v>
      </c>
      <c r="E170" s="85" t="s">
        <v>398</v>
      </c>
      <c r="F170" s="84">
        <v>4</v>
      </c>
      <c r="G170" s="84">
        <v>0</v>
      </c>
      <c r="H170" s="84">
        <v>4</v>
      </c>
      <c r="I170" s="97" t="s">
        <v>71</v>
      </c>
      <c r="J170" s="97" t="s">
        <v>71</v>
      </c>
      <c r="K170" s="85" t="s">
        <v>399</v>
      </c>
      <c r="L170" s="97" t="s">
        <v>1491</v>
      </c>
      <c r="M170" s="97" t="s">
        <v>1528</v>
      </c>
      <c r="N170" s="97">
        <v>1</v>
      </c>
      <c r="O170" s="97">
        <v>90</v>
      </c>
      <c r="P170" s="98">
        <v>90</v>
      </c>
      <c r="Q170" s="98">
        <f>N170*(F170+G170)</f>
        <v>4</v>
      </c>
      <c r="R170" s="98">
        <v>4</v>
      </c>
      <c r="S170" s="85"/>
      <c r="T170" s="84"/>
      <c r="U170" s="85"/>
      <c r="V170" s="84"/>
      <c r="W170" s="85"/>
    </row>
    <row r="171" spans="2:23">
      <c r="B171" s="15" t="s">
        <v>46</v>
      </c>
      <c r="C171" s="15" t="s">
        <v>20</v>
      </c>
      <c r="D171" s="9" t="s">
        <v>114</v>
      </c>
      <c r="E171" s="85" t="s">
        <v>115</v>
      </c>
      <c r="F171" s="84">
        <v>3</v>
      </c>
      <c r="G171" s="84">
        <v>0</v>
      </c>
      <c r="H171" s="84">
        <v>3</v>
      </c>
      <c r="I171" s="97" t="s">
        <v>71</v>
      </c>
      <c r="J171" s="97" t="s">
        <v>71</v>
      </c>
      <c r="K171" s="85" t="s">
        <v>76</v>
      </c>
      <c r="L171" s="97" t="s">
        <v>1488</v>
      </c>
      <c r="M171" s="97" t="s">
        <v>1528</v>
      </c>
      <c r="N171" s="97">
        <v>1</v>
      </c>
      <c r="O171" s="97">
        <v>90</v>
      </c>
      <c r="P171" s="98">
        <v>90</v>
      </c>
      <c r="Q171" s="98">
        <f>N171*(F171+G171)</f>
        <v>3</v>
      </c>
      <c r="R171" s="98">
        <v>3</v>
      </c>
      <c r="S171" s="85"/>
      <c r="T171" s="84"/>
      <c r="U171" s="85"/>
      <c r="V171" s="84"/>
      <c r="W171" s="85"/>
    </row>
    <row r="172" spans="2:23">
      <c r="B172" s="15" t="s">
        <v>46</v>
      </c>
      <c r="C172" s="15" t="s">
        <v>20</v>
      </c>
      <c r="D172" s="9" t="s">
        <v>114</v>
      </c>
      <c r="E172" s="85" t="s">
        <v>115</v>
      </c>
      <c r="F172" s="84">
        <v>3</v>
      </c>
      <c r="G172" s="84">
        <v>0</v>
      </c>
      <c r="H172" s="84">
        <v>3</v>
      </c>
      <c r="I172" s="97" t="s">
        <v>71</v>
      </c>
      <c r="J172" s="97" t="s">
        <v>71</v>
      </c>
      <c r="K172" s="85" t="s">
        <v>76</v>
      </c>
      <c r="L172" s="97" t="s">
        <v>1491</v>
      </c>
      <c r="M172" s="97" t="s">
        <v>1528</v>
      </c>
      <c r="N172" s="97">
        <v>1</v>
      </c>
      <c r="O172" s="97">
        <v>90</v>
      </c>
      <c r="P172" s="98">
        <v>90</v>
      </c>
      <c r="Q172" s="98">
        <f>N172*(F172+G172)</f>
        <v>3</v>
      </c>
      <c r="R172" s="98">
        <v>3</v>
      </c>
      <c r="S172" s="85"/>
      <c r="T172" s="84"/>
      <c r="U172" s="85"/>
      <c r="V172" s="84"/>
      <c r="W172" s="85"/>
    </row>
    <row r="173" spans="2:23">
      <c r="B173" s="15" t="s">
        <v>46</v>
      </c>
      <c r="C173" s="15" t="s">
        <v>20</v>
      </c>
      <c r="D173" s="9" t="s">
        <v>1593</v>
      </c>
      <c r="E173" s="85" t="s">
        <v>1463</v>
      </c>
      <c r="F173" s="84">
        <v>0</v>
      </c>
      <c r="G173" s="84">
        <v>9</v>
      </c>
      <c r="H173" s="84">
        <v>9</v>
      </c>
      <c r="I173" s="97" t="s">
        <v>71</v>
      </c>
      <c r="J173" s="97" t="s">
        <v>71</v>
      </c>
      <c r="K173" s="85" t="s">
        <v>1462</v>
      </c>
      <c r="L173" s="97" t="s">
        <v>1488</v>
      </c>
      <c r="M173" s="97" t="s">
        <v>1528</v>
      </c>
      <c r="N173" s="97">
        <v>1</v>
      </c>
      <c r="O173" s="97">
        <v>45</v>
      </c>
      <c r="P173" s="98">
        <v>45</v>
      </c>
      <c r="Q173" s="98">
        <f>N173*(F173+G173)</f>
        <v>9</v>
      </c>
      <c r="R173" s="98">
        <v>9</v>
      </c>
      <c r="S173" s="85"/>
      <c r="T173" s="84"/>
      <c r="U173" s="85"/>
      <c r="V173" s="84"/>
      <c r="W173" s="85"/>
    </row>
    <row r="174" spans="2:23">
      <c r="B174" s="15" t="s">
        <v>46</v>
      </c>
      <c r="C174" s="15" t="s">
        <v>20</v>
      </c>
      <c r="D174" s="9" t="s">
        <v>1593</v>
      </c>
      <c r="E174" s="85" t="s">
        <v>1463</v>
      </c>
      <c r="F174" s="84">
        <v>0</v>
      </c>
      <c r="G174" s="84">
        <v>9</v>
      </c>
      <c r="H174" s="84">
        <v>9</v>
      </c>
      <c r="I174" s="97" t="s">
        <v>71</v>
      </c>
      <c r="J174" s="97" t="s">
        <v>71</v>
      </c>
      <c r="K174" s="85" t="s">
        <v>1462</v>
      </c>
      <c r="L174" s="97" t="s">
        <v>1491</v>
      </c>
      <c r="M174" s="97" t="s">
        <v>1528</v>
      </c>
      <c r="N174" s="97">
        <v>1</v>
      </c>
      <c r="O174" s="97">
        <v>45</v>
      </c>
      <c r="P174" s="98">
        <v>45</v>
      </c>
      <c r="Q174" s="98">
        <f>N174*(F174+G174)</f>
        <v>9</v>
      </c>
      <c r="R174" s="98">
        <v>9</v>
      </c>
      <c r="S174" s="85"/>
      <c r="T174" s="84"/>
      <c r="U174" s="85"/>
      <c r="V174" s="84"/>
      <c r="W174" s="85"/>
    </row>
    <row r="175" spans="2:23">
      <c r="B175" s="15" t="s">
        <v>46</v>
      </c>
      <c r="C175" s="15" t="s">
        <v>20</v>
      </c>
      <c r="D175" s="9" t="s">
        <v>1594</v>
      </c>
      <c r="E175" s="85" t="s">
        <v>1595</v>
      </c>
      <c r="F175" s="84">
        <v>0</v>
      </c>
      <c r="G175" s="84">
        <v>8</v>
      </c>
      <c r="H175" s="84">
        <v>0</v>
      </c>
      <c r="I175" s="97" t="s">
        <v>71</v>
      </c>
      <c r="J175" s="97" t="s">
        <v>71</v>
      </c>
      <c r="K175" s="85" t="s">
        <v>1255</v>
      </c>
      <c r="L175" s="97" t="s">
        <v>1488</v>
      </c>
      <c r="M175" s="97" t="s">
        <v>1528</v>
      </c>
      <c r="N175" s="97">
        <v>1</v>
      </c>
      <c r="O175" s="97">
        <v>45</v>
      </c>
      <c r="P175" s="98">
        <v>45</v>
      </c>
      <c r="Q175" s="98">
        <f>N175*(F175+G175)</f>
        <v>8</v>
      </c>
      <c r="R175" s="98">
        <v>8</v>
      </c>
      <c r="S175" s="85"/>
      <c r="T175" s="84"/>
      <c r="U175" s="85"/>
      <c r="V175" s="84"/>
      <c r="W175" s="85"/>
    </row>
    <row r="176" spans="2:23">
      <c r="B176" s="15" t="s">
        <v>46</v>
      </c>
      <c r="C176" s="15" t="s">
        <v>20</v>
      </c>
      <c r="D176" s="9" t="s">
        <v>1594</v>
      </c>
      <c r="E176" s="85" t="s">
        <v>1595</v>
      </c>
      <c r="F176" s="84">
        <v>0</v>
      </c>
      <c r="G176" s="84">
        <v>8</v>
      </c>
      <c r="H176" s="84">
        <v>0</v>
      </c>
      <c r="I176" s="97" t="s">
        <v>71</v>
      </c>
      <c r="J176" s="97" t="s">
        <v>71</v>
      </c>
      <c r="K176" s="85" t="s">
        <v>1255</v>
      </c>
      <c r="L176" s="97" t="s">
        <v>1491</v>
      </c>
      <c r="M176" s="97" t="s">
        <v>1528</v>
      </c>
      <c r="N176" s="97">
        <v>1</v>
      </c>
      <c r="O176" s="97">
        <v>45</v>
      </c>
      <c r="P176" s="98">
        <v>45</v>
      </c>
      <c r="Q176" s="98">
        <f>N176*(F176+G176)</f>
        <v>8</v>
      </c>
      <c r="R176" s="98">
        <v>8</v>
      </c>
      <c r="S176" s="85"/>
      <c r="T176" s="84"/>
      <c r="U176" s="85"/>
      <c r="V176" s="84"/>
      <c r="W176" s="85"/>
    </row>
    <row r="177" spans="1:23">
      <c r="A177" s="1" t="s">
        <v>1669</v>
      </c>
      <c r="B177" s="71" t="s">
        <v>46</v>
      </c>
      <c r="C177" s="71" t="s">
        <v>20</v>
      </c>
      <c r="D177" s="72" t="s">
        <v>1596</v>
      </c>
      <c r="E177" s="93" t="s">
        <v>329</v>
      </c>
      <c r="F177" s="94">
        <v>2</v>
      </c>
      <c r="G177" s="94">
        <v>1</v>
      </c>
      <c r="H177" s="94">
        <v>3</v>
      </c>
      <c r="I177" s="99" t="s">
        <v>70</v>
      </c>
      <c r="J177" s="99" t="s">
        <v>71</v>
      </c>
      <c r="K177" s="93" t="s">
        <v>76</v>
      </c>
      <c r="L177" s="99"/>
      <c r="M177" s="97" t="s">
        <v>1562</v>
      </c>
      <c r="N177" s="97">
        <v>1</v>
      </c>
      <c r="O177" s="99">
        <v>90</v>
      </c>
      <c r="P177" s="100">
        <v>90</v>
      </c>
      <c r="Q177" s="98">
        <f>N177*(F177+G177)</f>
        <v>3</v>
      </c>
      <c r="R177" s="100">
        <v>3</v>
      </c>
      <c r="S177" s="93"/>
      <c r="T177" s="94"/>
      <c r="U177" s="93"/>
      <c r="V177" s="84"/>
      <c r="W177" s="85"/>
    </row>
    <row r="178" spans="1:23">
      <c r="B178" s="15" t="s">
        <v>46</v>
      </c>
      <c r="C178" s="15" t="s">
        <v>20</v>
      </c>
      <c r="D178" s="9" t="s">
        <v>256</v>
      </c>
      <c r="E178" s="85" t="s">
        <v>257</v>
      </c>
      <c r="F178" s="84">
        <v>3</v>
      </c>
      <c r="G178" s="84">
        <v>0</v>
      </c>
      <c r="H178" s="84">
        <v>4</v>
      </c>
      <c r="I178" s="97" t="s">
        <v>71</v>
      </c>
      <c r="J178" s="97" t="s">
        <v>71</v>
      </c>
      <c r="K178" s="85" t="s">
        <v>76</v>
      </c>
      <c r="L178" s="97"/>
      <c r="M178" s="97" t="s">
        <v>1528</v>
      </c>
      <c r="N178" s="97">
        <v>1</v>
      </c>
      <c r="O178" s="97">
        <v>120</v>
      </c>
      <c r="P178" s="98">
        <v>120</v>
      </c>
      <c r="Q178" s="98">
        <f>N178*(F178+G178)</f>
        <v>3</v>
      </c>
      <c r="R178" s="98">
        <v>3</v>
      </c>
      <c r="S178" s="85"/>
      <c r="T178" s="84"/>
      <c r="U178" s="85"/>
      <c r="V178" s="84"/>
      <c r="W178" s="85"/>
    </row>
    <row r="179" spans="1:23">
      <c r="A179" s="1" t="s">
        <v>1669</v>
      </c>
      <c r="B179" s="15" t="s">
        <v>46</v>
      </c>
      <c r="C179" s="15" t="s">
        <v>20</v>
      </c>
      <c r="D179" s="9" t="s">
        <v>1121</v>
      </c>
      <c r="E179" s="85" t="s">
        <v>1122</v>
      </c>
      <c r="F179" s="84">
        <v>0</v>
      </c>
      <c r="G179" s="84">
        <v>2</v>
      </c>
      <c r="H179" s="84">
        <v>10</v>
      </c>
      <c r="I179" s="97" t="s">
        <v>70</v>
      </c>
      <c r="J179" s="97" t="s">
        <v>71</v>
      </c>
      <c r="K179" s="85" t="s">
        <v>76</v>
      </c>
      <c r="L179" s="97"/>
      <c r="M179" s="97" t="s">
        <v>1528</v>
      </c>
      <c r="N179" s="97">
        <v>1</v>
      </c>
      <c r="O179" s="97">
        <v>60</v>
      </c>
      <c r="P179" s="98">
        <v>60</v>
      </c>
      <c r="Q179" s="98">
        <f>N179*(F179+G179)</f>
        <v>2</v>
      </c>
      <c r="R179" s="98">
        <v>2</v>
      </c>
      <c r="S179" s="85"/>
      <c r="T179" s="84"/>
      <c r="U179" s="85"/>
    </row>
    <row r="180" spans="1:23">
      <c r="B180" s="12" t="s">
        <v>1772</v>
      </c>
      <c r="C180" s="12" t="s">
        <v>1680</v>
      </c>
      <c r="D180" s="76" t="s">
        <v>715</v>
      </c>
      <c r="E180" s="85" t="s">
        <v>1674</v>
      </c>
      <c r="F180" s="84">
        <v>4</v>
      </c>
      <c r="G180" s="84">
        <v>0</v>
      </c>
      <c r="H180" s="84">
        <v>4</v>
      </c>
      <c r="I180" s="97" t="s">
        <v>71</v>
      </c>
      <c r="J180" s="97" t="s">
        <v>71</v>
      </c>
      <c r="K180" s="85" t="s">
        <v>76</v>
      </c>
      <c r="L180" s="97" t="s">
        <v>1488</v>
      </c>
      <c r="M180" s="97" t="s">
        <v>1528</v>
      </c>
      <c r="N180" s="97">
        <v>1</v>
      </c>
      <c r="O180" s="97">
        <v>20</v>
      </c>
      <c r="P180" s="98">
        <v>20</v>
      </c>
      <c r="Q180" s="98">
        <f>N180*(F180+G180)</f>
        <v>4</v>
      </c>
      <c r="R180" s="98">
        <v>4</v>
      </c>
      <c r="S180" s="85" t="s">
        <v>1675</v>
      </c>
      <c r="T180" s="84" t="s">
        <v>1676</v>
      </c>
      <c r="U180" s="85"/>
    </row>
    <row r="181" spans="1:23">
      <c r="B181" s="12" t="s">
        <v>1772</v>
      </c>
      <c r="C181" s="12" t="s">
        <v>1680</v>
      </c>
      <c r="D181" s="76" t="s">
        <v>715</v>
      </c>
      <c r="E181" s="85" t="s">
        <v>1674</v>
      </c>
      <c r="F181" s="84">
        <v>4</v>
      </c>
      <c r="G181" s="84">
        <v>0</v>
      </c>
      <c r="H181" s="84">
        <v>4</v>
      </c>
      <c r="I181" s="97" t="s">
        <v>71</v>
      </c>
      <c r="J181" s="97" t="s">
        <v>71</v>
      </c>
      <c r="K181" s="85" t="s">
        <v>76</v>
      </c>
      <c r="L181" s="97" t="s">
        <v>1491</v>
      </c>
      <c r="M181" s="97" t="s">
        <v>1528</v>
      </c>
      <c r="N181" s="97">
        <v>1</v>
      </c>
      <c r="O181" s="97">
        <v>20</v>
      </c>
      <c r="P181" s="98">
        <v>20</v>
      </c>
      <c r="Q181" s="98">
        <f>N181*(F181+G181)</f>
        <v>4</v>
      </c>
      <c r="R181" s="98">
        <v>4</v>
      </c>
      <c r="S181" s="85" t="s">
        <v>1675</v>
      </c>
      <c r="T181" s="84" t="s">
        <v>1676</v>
      </c>
      <c r="U181" s="85"/>
    </row>
    <row r="182" spans="1:23">
      <c r="B182" s="12" t="s">
        <v>1772</v>
      </c>
      <c r="C182" s="12" t="s">
        <v>1680</v>
      </c>
      <c r="D182" s="76" t="s">
        <v>531</v>
      </c>
      <c r="E182" s="85" t="s">
        <v>532</v>
      </c>
      <c r="F182" s="84">
        <v>4</v>
      </c>
      <c r="G182" s="84">
        <v>0</v>
      </c>
      <c r="H182" s="84">
        <v>4</v>
      </c>
      <c r="I182" s="97" t="s">
        <v>71</v>
      </c>
      <c r="J182" s="97" t="s">
        <v>71</v>
      </c>
      <c r="K182" s="85" t="s">
        <v>76</v>
      </c>
      <c r="L182" s="97" t="s">
        <v>1488</v>
      </c>
      <c r="M182" s="97" t="s">
        <v>1528</v>
      </c>
      <c r="N182" s="97">
        <v>1</v>
      </c>
      <c r="O182" s="97">
        <v>20</v>
      </c>
      <c r="P182" s="98">
        <v>20</v>
      </c>
      <c r="Q182" s="98">
        <f>N182*(F182+G182)</f>
        <v>4</v>
      </c>
      <c r="R182" s="98">
        <v>4</v>
      </c>
      <c r="S182" s="85" t="s">
        <v>1675</v>
      </c>
      <c r="T182" s="84" t="s">
        <v>1676</v>
      </c>
      <c r="U182" s="85"/>
    </row>
    <row r="183" spans="1:23">
      <c r="B183" s="12" t="s">
        <v>1772</v>
      </c>
      <c r="C183" s="12" t="s">
        <v>1680</v>
      </c>
      <c r="D183" s="76" t="s">
        <v>531</v>
      </c>
      <c r="E183" s="85" t="s">
        <v>532</v>
      </c>
      <c r="F183" s="84">
        <v>4</v>
      </c>
      <c r="G183" s="84">
        <v>0</v>
      </c>
      <c r="H183" s="84">
        <v>4</v>
      </c>
      <c r="I183" s="97" t="s">
        <v>71</v>
      </c>
      <c r="J183" s="97" t="s">
        <v>71</v>
      </c>
      <c r="K183" s="85" t="s">
        <v>76</v>
      </c>
      <c r="L183" s="97" t="s">
        <v>1491</v>
      </c>
      <c r="M183" s="97" t="s">
        <v>1528</v>
      </c>
      <c r="N183" s="97">
        <v>1</v>
      </c>
      <c r="O183" s="97">
        <v>20</v>
      </c>
      <c r="P183" s="98">
        <v>20</v>
      </c>
      <c r="Q183" s="98">
        <f>N183*(F183+G183)</f>
        <v>4</v>
      </c>
      <c r="R183" s="98">
        <v>4</v>
      </c>
      <c r="S183" s="85" t="s">
        <v>1675</v>
      </c>
      <c r="T183" s="84" t="s">
        <v>1676</v>
      </c>
      <c r="U183" s="85"/>
    </row>
    <row r="184" spans="1:23">
      <c r="B184" s="12" t="s">
        <v>1772</v>
      </c>
      <c r="C184" s="12" t="s">
        <v>1680</v>
      </c>
      <c r="D184" s="76" t="s">
        <v>1297</v>
      </c>
      <c r="E184" s="85" t="s">
        <v>1298</v>
      </c>
      <c r="F184" s="84">
        <v>4</v>
      </c>
      <c r="G184" s="84">
        <v>0</v>
      </c>
      <c r="H184" s="84">
        <v>4</v>
      </c>
      <c r="I184" s="97" t="s">
        <v>71</v>
      </c>
      <c r="J184" s="97" t="s">
        <v>71</v>
      </c>
      <c r="K184" s="85" t="s">
        <v>76</v>
      </c>
      <c r="L184" s="97" t="s">
        <v>1488</v>
      </c>
      <c r="M184" s="97" t="s">
        <v>1528</v>
      </c>
      <c r="N184" s="97">
        <v>1</v>
      </c>
      <c r="O184" s="97">
        <v>20</v>
      </c>
      <c r="P184" s="98">
        <v>20</v>
      </c>
      <c r="Q184" s="98">
        <f>N184*(F184+G184)</f>
        <v>4</v>
      </c>
      <c r="R184" s="98">
        <v>4</v>
      </c>
      <c r="S184" s="85" t="s">
        <v>1675</v>
      </c>
      <c r="T184" s="84" t="s">
        <v>1676</v>
      </c>
      <c r="U184" s="85"/>
    </row>
    <row r="185" spans="1:23">
      <c r="B185" s="12" t="s">
        <v>1772</v>
      </c>
      <c r="C185" s="12" t="s">
        <v>1680</v>
      </c>
      <c r="D185" s="76" t="s">
        <v>1297</v>
      </c>
      <c r="E185" s="85" t="s">
        <v>1298</v>
      </c>
      <c r="F185" s="84">
        <v>4</v>
      </c>
      <c r="G185" s="84">
        <v>0</v>
      </c>
      <c r="H185" s="84">
        <v>4</v>
      </c>
      <c r="I185" s="97" t="s">
        <v>71</v>
      </c>
      <c r="J185" s="97" t="s">
        <v>71</v>
      </c>
      <c r="K185" s="85" t="s">
        <v>76</v>
      </c>
      <c r="L185" s="97" t="s">
        <v>1491</v>
      </c>
      <c r="M185" s="97" t="s">
        <v>1528</v>
      </c>
      <c r="N185" s="97">
        <v>1</v>
      </c>
      <c r="O185" s="97">
        <v>20</v>
      </c>
      <c r="P185" s="98">
        <v>20</v>
      </c>
      <c r="Q185" s="98">
        <f>N185*(F185+G185)</f>
        <v>4</v>
      </c>
      <c r="R185" s="98">
        <v>4</v>
      </c>
      <c r="S185" s="85" t="s">
        <v>1675</v>
      </c>
      <c r="T185" s="84" t="s">
        <v>1676</v>
      </c>
      <c r="U185" s="85"/>
    </row>
    <row r="186" spans="1:23">
      <c r="B186" s="12" t="s">
        <v>1772</v>
      </c>
      <c r="C186" s="12" t="s">
        <v>1680</v>
      </c>
      <c r="D186" s="76" t="s">
        <v>720</v>
      </c>
      <c r="E186" s="85" t="s">
        <v>721</v>
      </c>
      <c r="F186" s="84">
        <v>4</v>
      </c>
      <c r="G186" s="84">
        <v>0</v>
      </c>
      <c r="H186" s="84">
        <v>4</v>
      </c>
      <c r="I186" s="97" t="s">
        <v>71</v>
      </c>
      <c r="J186" s="97" t="s">
        <v>71</v>
      </c>
      <c r="K186" s="85" t="s">
        <v>76</v>
      </c>
      <c r="L186" s="97" t="s">
        <v>1488</v>
      </c>
      <c r="M186" s="97" t="s">
        <v>1528</v>
      </c>
      <c r="N186" s="97">
        <v>1</v>
      </c>
      <c r="O186" s="97">
        <v>20</v>
      </c>
      <c r="P186" s="98">
        <v>20</v>
      </c>
      <c r="Q186" s="98">
        <f>N186*(F186+G186)</f>
        <v>4</v>
      </c>
      <c r="R186" s="98">
        <v>4</v>
      </c>
      <c r="S186" s="85" t="s">
        <v>1675</v>
      </c>
      <c r="T186" s="84" t="s">
        <v>1676</v>
      </c>
      <c r="U186" s="85"/>
    </row>
    <row r="187" spans="1:23">
      <c r="B187" s="12" t="s">
        <v>1772</v>
      </c>
      <c r="C187" s="12" t="s">
        <v>1680</v>
      </c>
      <c r="D187" s="76" t="s">
        <v>720</v>
      </c>
      <c r="E187" s="85" t="s">
        <v>721</v>
      </c>
      <c r="F187" s="84">
        <v>4</v>
      </c>
      <c r="G187" s="84">
        <v>0</v>
      </c>
      <c r="H187" s="84">
        <v>4</v>
      </c>
      <c r="I187" s="97" t="s">
        <v>71</v>
      </c>
      <c r="J187" s="97" t="s">
        <v>71</v>
      </c>
      <c r="K187" s="85" t="s">
        <v>76</v>
      </c>
      <c r="L187" s="97" t="s">
        <v>1491</v>
      </c>
      <c r="M187" s="97" t="s">
        <v>1528</v>
      </c>
      <c r="N187" s="97">
        <v>1</v>
      </c>
      <c r="O187" s="97">
        <v>20</v>
      </c>
      <c r="P187" s="98">
        <v>20</v>
      </c>
      <c r="Q187" s="98">
        <f>N187*(F187+G187)</f>
        <v>4</v>
      </c>
      <c r="R187" s="98">
        <v>4</v>
      </c>
      <c r="S187" s="85" t="s">
        <v>1675</v>
      </c>
      <c r="T187" s="84" t="s">
        <v>1676</v>
      </c>
      <c r="U187" s="85"/>
    </row>
    <row r="188" spans="1:23">
      <c r="B188" s="12" t="s">
        <v>1772</v>
      </c>
      <c r="C188" s="12" t="s">
        <v>1680</v>
      </c>
      <c r="D188" s="76" t="s">
        <v>254</v>
      </c>
      <c r="E188" s="85" t="s">
        <v>255</v>
      </c>
      <c r="F188" s="84">
        <v>4</v>
      </c>
      <c r="G188" s="84">
        <v>0</v>
      </c>
      <c r="H188" s="84">
        <v>4</v>
      </c>
      <c r="I188" s="97" t="s">
        <v>73</v>
      </c>
      <c r="J188" s="97" t="s">
        <v>73</v>
      </c>
      <c r="K188" s="85" t="s">
        <v>76</v>
      </c>
      <c r="L188" s="97" t="s">
        <v>1488</v>
      </c>
      <c r="M188" s="97" t="s">
        <v>1528</v>
      </c>
      <c r="N188" s="97">
        <v>1</v>
      </c>
      <c r="O188" s="97">
        <v>20</v>
      </c>
      <c r="P188" s="98">
        <v>20</v>
      </c>
      <c r="Q188" s="98">
        <f>N188*(F188+G188)</f>
        <v>4</v>
      </c>
      <c r="R188" s="98">
        <v>4</v>
      </c>
      <c r="S188" s="85" t="s">
        <v>1675</v>
      </c>
      <c r="T188" s="84" t="s">
        <v>1676</v>
      </c>
      <c r="U188" s="85"/>
    </row>
    <row r="189" spans="1:23">
      <c r="B189" s="12" t="s">
        <v>1772</v>
      </c>
      <c r="C189" s="12" t="s">
        <v>1680</v>
      </c>
      <c r="D189" s="76" t="s">
        <v>254</v>
      </c>
      <c r="E189" s="85" t="s">
        <v>255</v>
      </c>
      <c r="F189" s="84">
        <v>4</v>
      </c>
      <c r="G189" s="84">
        <v>0</v>
      </c>
      <c r="H189" s="84">
        <v>4</v>
      </c>
      <c r="I189" s="97" t="s">
        <v>73</v>
      </c>
      <c r="J189" s="97" t="s">
        <v>73</v>
      </c>
      <c r="K189" s="85" t="s">
        <v>76</v>
      </c>
      <c r="L189" s="97" t="s">
        <v>1491</v>
      </c>
      <c r="M189" s="97" t="s">
        <v>1528</v>
      </c>
      <c r="N189" s="97">
        <v>1</v>
      </c>
      <c r="O189" s="97">
        <v>20</v>
      </c>
      <c r="P189" s="98">
        <v>20</v>
      </c>
      <c r="Q189" s="98">
        <f>N189*(F189+G189)</f>
        <v>4</v>
      </c>
      <c r="R189" s="98">
        <v>4</v>
      </c>
      <c r="S189" s="85" t="s">
        <v>1675</v>
      </c>
      <c r="T189" s="84" t="s">
        <v>1676</v>
      </c>
      <c r="U189" s="85"/>
    </row>
    <row r="190" spans="1:23">
      <c r="B190" s="12" t="s">
        <v>1772</v>
      </c>
      <c r="C190" s="12" t="s">
        <v>1680</v>
      </c>
      <c r="D190" s="76" t="s">
        <v>718</v>
      </c>
      <c r="E190" s="85" t="s">
        <v>719</v>
      </c>
      <c r="F190" s="84">
        <v>4</v>
      </c>
      <c r="G190" s="84">
        <v>0</v>
      </c>
      <c r="H190" s="84">
        <v>4</v>
      </c>
      <c r="I190" s="97" t="s">
        <v>71</v>
      </c>
      <c r="J190" s="97" t="s">
        <v>71</v>
      </c>
      <c r="K190" s="85" t="s">
        <v>76</v>
      </c>
      <c r="L190" s="97" t="s">
        <v>1488</v>
      </c>
      <c r="M190" s="97" t="s">
        <v>1528</v>
      </c>
      <c r="N190" s="97">
        <v>1</v>
      </c>
      <c r="O190" s="97">
        <v>20</v>
      </c>
      <c r="P190" s="98">
        <v>20</v>
      </c>
      <c r="Q190" s="98">
        <f>N190*(F190+G190)</f>
        <v>4</v>
      </c>
      <c r="R190" s="98">
        <v>4</v>
      </c>
      <c r="S190" s="85" t="s">
        <v>1675</v>
      </c>
      <c r="T190" s="84" t="s">
        <v>1676</v>
      </c>
      <c r="U190" s="85"/>
    </row>
    <row r="191" spans="1:23">
      <c r="B191" s="12" t="s">
        <v>1772</v>
      </c>
      <c r="C191" s="12" t="s">
        <v>1680</v>
      </c>
      <c r="D191" s="76" t="s">
        <v>718</v>
      </c>
      <c r="E191" s="85" t="s">
        <v>1677</v>
      </c>
      <c r="F191" s="84">
        <v>4</v>
      </c>
      <c r="G191" s="84">
        <v>0</v>
      </c>
      <c r="H191" s="84">
        <v>4</v>
      </c>
      <c r="I191" s="97" t="s">
        <v>71</v>
      </c>
      <c r="J191" s="97" t="s">
        <v>71</v>
      </c>
      <c r="K191" s="85" t="s">
        <v>76</v>
      </c>
      <c r="L191" s="97" t="s">
        <v>1491</v>
      </c>
      <c r="M191" s="97" t="s">
        <v>1528</v>
      </c>
      <c r="N191" s="97">
        <v>1</v>
      </c>
      <c r="O191" s="97">
        <v>20</v>
      </c>
      <c r="P191" s="98">
        <v>20</v>
      </c>
      <c r="Q191" s="98">
        <f>N191*(F191+G191)</f>
        <v>4</v>
      </c>
      <c r="R191" s="98">
        <v>4</v>
      </c>
      <c r="S191" s="85" t="s">
        <v>1675</v>
      </c>
      <c r="T191" s="84" t="s">
        <v>1676</v>
      </c>
      <c r="U191" s="85"/>
    </row>
    <row r="192" spans="1:23">
      <c r="B192" s="12" t="s">
        <v>1772</v>
      </c>
      <c r="C192" s="12" t="s">
        <v>1680</v>
      </c>
      <c r="D192" s="76" t="s">
        <v>1390</v>
      </c>
      <c r="E192" s="85" t="s">
        <v>1391</v>
      </c>
      <c r="F192" s="84">
        <v>4</v>
      </c>
      <c r="G192" s="84">
        <v>0</v>
      </c>
      <c r="H192" s="84">
        <v>4</v>
      </c>
      <c r="I192" s="97" t="s">
        <v>71</v>
      </c>
      <c r="J192" s="97" t="s">
        <v>71</v>
      </c>
      <c r="K192" s="85" t="s">
        <v>1392</v>
      </c>
      <c r="L192" s="97" t="s">
        <v>1488</v>
      </c>
      <c r="M192" s="97" t="s">
        <v>1528</v>
      </c>
      <c r="N192" s="97">
        <v>1</v>
      </c>
      <c r="O192" s="97">
        <v>20</v>
      </c>
      <c r="P192" s="98">
        <v>20</v>
      </c>
      <c r="Q192" s="98">
        <f>N192*(F192+G192)</f>
        <v>4</v>
      </c>
      <c r="R192" s="98">
        <v>4</v>
      </c>
      <c r="S192" s="85" t="s">
        <v>1675</v>
      </c>
      <c r="T192" s="84" t="s">
        <v>1676</v>
      </c>
      <c r="U192" s="85"/>
    </row>
    <row r="193" spans="2:22">
      <c r="B193" s="12" t="s">
        <v>1772</v>
      </c>
      <c r="C193" s="12" t="s">
        <v>1680</v>
      </c>
      <c r="D193" s="76" t="s">
        <v>1390</v>
      </c>
      <c r="E193" s="85" t="s">
        <v>1391</v>
      </c>
      <c r="F193" s="84">
        <v>4</v>
      </c>
      <c r="G193" s="84">
        <v>0</v>
      </c>
      <c r="H193" s="84">
        <v>4</v>
      </c>
      <c r="I193" s="97" t="s">
        <v>71</v>
      </c>
      <c r="J193" s="97" t="s">
        <v>71</v>
      </c>
      <c r="K193" s="85" t="s">
        <v>1392</v>
      </c>
      <c r="L193" s="97" t="s">
        <v>1491</v>
      </c>
      <c r="M193" s="97" t="s">
        <v>1528</v>
      </c>
      <c r="N193" s="97">
        <v>1</v>
      </c>
      <c r="O193" s="97">
        <v>20</v>
      </c>
      <c r="P193" s="98">
        <v>20</v>
      </c>
      <c r="Q193" s="98">
        <f>N193*(F193+G193)</f>
        <v>4</v>
      </c>
      <c r="R193" s="98">
        <v>4</v>
      </c>
      <c r="S193" s="85" t="s">
        <v>1675</v>
      </c>
      <c r="T193" s="84" t="s">
        <v>1676</v>
      </c>
      <c r="U193" s="85"/>
    </row>
    <row r="194" spans="2:22">
      <c r="B194" s="12" t="s">
        <v>1772</v>
      </c>
      <c r="C194" s="12" t="s">
        <v>1680</v>
      </c>
      <c r="D194" s="76" t="s">
        <v>585</v>
      </c>
      <c r="E194" s="85" t="s">
        <v>588</v>
      </c>
      <c r="F194" s="84">
        <v>4</v>
      </c>
      <c r="G194" s="84">
        <v>0</v>
      </c>
      <c r="H194" s="84">
        <v>4</v>
      </c>
      <c r="I194" s="97" t="s">
        <v>71</v>
      </c>
      <c r="J194" s="97" t="s">
        <v>71</v>
      </c>
      <c r="K194" s="85" t="s">
        <v>586</v>
      </c>
      <c r="L194" s="97" t="s">
        <v>1488</v>
      </c>
      <c r="M194" s="97" t="s">
        <v>1528</v>
      </c>
      <c r="N194" s="97">
        <v>1</v>
      </c>
      <c r="O194" s="97">
        <v>20</v>
      </c>
      <c r="P194" s="98">
        <v>20</v>
      </c>
      <c r="Q194" s="98">
        <f>N194*(F194+G194)</f>
        <v>4</v>
      </c>
      <c r="R194" s="98">
        <v>4</v>
      </c>
      <c r="S194" s="85" t="s">
        <v>1675</v>
      </c>
      <c r="T194" s="84" t="s">
        <v>1676</v>
      </c>
      <c r="U194" s="85"/>
    </row>
    <row r="195" spans="2:22">
      <c r="B195" s="12" t="s">
        <v>1772</v>
      </c>
      <c r="C195" s="12" t="s">
        <v>1680</v>
      </c>
      <c r="D195" s="76" t="s">
        <v>585</v>
      </c>
      <c r="E195" s="85" t="s">
        <v>588</v>
      </c>
      <c r="F195" s="84">
        <v>4</v>
      </c>
      <c r="G195" s="84">
        <v>0</v>
      </c>
      <c r="H195" s="84">
        <v>4</v>
      </c>
      <c r="I195" s="97" t="s">
        <v>71</v>
      </c>
      <c r="J195" s="97" t="s">
        <v>71</v>
      </c>
      <c r="K195" s="85" t="s">
        <v>586</v>
      </c>
      <c r="L195" s="97" t="s">
        <v>1491</v>
      </c>
      <c r="M195" s="97" t="s">
        <v>1528</v>
      </c>
      <c r="N195" s="97">
        <v>1</v>
      </c>
      <c r="O195" s="97">
        <v>20</v>
      </c>
      <c r="P195" s="98">
        <v>20</v>
      </c>
      <c r="Q195" s="98">
        <f>N195*(F195+G195)</f>
        <v>4</v>
      </c>
      <c r="R195" s="98">
        <v>4</v>
      </c>
      <c r="S195" s="85" t="s">
        <v>1675</v>
      </c>
      <c r="T195" s="84" t="s">
        <v>1676</v>
      </c>
      <c r="U195" s="85"/>
    </row>
    <row r="196" spans="2:22">
      <c r="B196" s="12" t="s">
        <v>1772</v>
      </c>
      <c r="C196" s="12" t="s">
        <v>1680</v>
      </c>
      <c r="D196" s="76" t="s">
        <v>575</v>
      </c>
      <c r="E196" s="85" t="s">
        <v>576</v>
      </c>
      <c r="F196" s="84">
        <v>4</v>
      </c>
      <c r="G196" s="84">
        <v>0</v>
      </c>
      <c r="H196" s="84">
        <v>4</v>
      </c>
      <c r="I196" s="97" t="s">
        <v>71</v>
      </c>
      <c r="J196" s="97" t="s">
        <v>71</v>
      </c>
      <c r="K196" s="85" t="s">
        <v>577</v>
      </c>
      <c r="L196" s="97" t="s">
        <v>1488</v>
      </c>
      <c r="M196" s="97" t="s">
        <v>1528</v>
      </c>
      <c r="N196" s="97">
        <v>1</v>
      </c>
      <c r="O196" s="97">
        <v>20</v>
      </c>
      <c r="P196" s="98">
        <v>20</v>
      </c>
      <c r="Q196" s="98">
        <f>N196*(F196+G196)</f>
        <v>4</v>
      </c>
      <c r="R196" s="98">
        <v>4</v>
      </c>
      <c r="S196" s="85" t="s">
        <v>1675</v>
      </c>
      <c r="T196" s="84" t="s">
        <v>1676</v>
      </c>
      <c r="U196" s="85"/>
    </row>
    <row r="197" spans="2:22">
      <c r="B197" s="12" t="s">
        <v>1772</v>
      </c>
      <c r="C197" s="12" t="s">
        <v>1680</v>
      </c>
      <c r="D197" s="76" t="s">
        <v>575</v>
      </c>
      <c r="E197" s="85" t="s">
        <v>576</v>
      </c>
      <c r="F197" s="84">
        <v>4</v>
      </c>
      <c r="G197" s="84">
        <v>0</v>
      </c>
      <c r="H197" s="84">
        <v>4</v>
      </c>
      <c r="I197" s="97" t="s">
        <v>71</v>
      </c>
      <c r="J197" s="97" t="s">
        <v>71</v>
      </c>
      <c r="K197" s="85" t="s">
        <v>577</v>
      </c>
      <c r="L197" s="97" t="s">
        <v>1491</v>
      </c>
      <c r="M197" s="97" t="s">
        <v>1528</v>
      </c>
      <c r="N197" s="97">
        <v>1</v>
      </c>
      <c r="O197" s="97">
        <v>20</v>
      </c>
      <c r="P197" s="98">
        <v>20</v>
      </c>
      <c r="Q197" s="98">
        <f>N197*(F197+G197)</f>
        <v>4</v>
      </c>
      <c r="R197" s="98">
        <v>4</v>
      </c>
      <c r="S197" s="85" t="s">
        <v>1675</v>
      </c>
      <c r="T197" s="84" t="s">
        <v>1676</v>
      </c>
      <c r="U197" s="85"/>
    </row>
    <row r="198" spans="2:22">
      <c r="B198" s="12" t="s">
        <v>1772</v>
      </c>
      <c r="C198" s="12" t="s">
        <v>1680</v>
      </c>
      <c r="D198" s="76" t="s">
        <v>1074</v>
      </c>
      <c r="E198" s="85" t="s">
        <v>1075</v>
      </c>
      <c r="F198" s="84">
        <v>4</v>
      </c>
      <c r="G198" s="84">
        <v>0</v>
      </c>
      <c r="H198" s="84">
        <v>4</v>
      </c>
      <c r="I198" s="97" t="s">
        <v>71</v>
      </c>
      <c r="J198" s="97" t="s">
        <v>71</v>
      </c>
      <c r="K198" s="85" t="s">
        <v>76</v>
      </c>
      <c r="L198" s="97" t="s">
        <v>1488</v>
      </c>
      <c r="M198" s="97" t="s">
        <v>1528</v>
      </c>
      <c r="N198" s="97">
        <v>1</v>
      </c>
      <c r="O198" s="97">
        <v>20</v>
      </c>
      <c r="P198" s="98">
        <v>20</v>
      </c>
      <c r="Q198" s="98">
        <f>N198*(F198+G198)</f>
        <v>4</v>
      </c>
      <c r="R198" s="98">
        <v>4</v>
      </c>
      <c r="S198" s="85" t="s">
        <v>1675</v>
      </c>
      <c r="T198" s="84" t="s">
        <v>1676</v>
      </c>
      <c r="U198" s="85"/>
    </row>
    <row r="199" spans="2:22">
      <c r="B199" s="12" t="s">
        <v>1772</v>
      </c>
      <c r="C199" s="12" t="s">
        <v>1680</v>
      </c>
      <c r="D199" s="76" t="s">
        <v>1074</v>
      </c>
      <c r="E199" s="85" t="s">
        <v>1075</v>
      </c>
      <c r="F199" s="84">
        <v>4</v>
      </c>
      <c r="G199" s="84">
        <v>0</v>
      </c>
      <c r="H199" s="84">
        <v>4</v>
      </c>
      <c r="I199" s="97" t="s">
        <v>71</v>
      </c>
      <c r="J199" s="97" t="s">
        <v>71</v>
      </c>
      <c r="K199" s="85" t="s">
        <v>76</v>
      </c>
      <c r="L199" s="97" t="s">
        <v>1491</v>
      </c>
      <c r="M199" s="97" t="s">
        <v>1528</v>
      </c>
      <c r="N199" s="97">
        <v>1</v>
      </c>
      <c r="O199" s="97">
        <v>20</v>
      </c>
      <c r="P199" s="98">
        <v>20</v>
      </c>
      <c r="Q199" s="98">
        <f>N199*(F199+G199)</f>
        <v>4</v>
      </c>
      <c r="R199" s="98">
        <v>4</v>
      </c>
      <c r="S199" s="85" t="s">
        <v>1675</v>
      </c>
      <c r="T199" s="84" t="s">
        <v>1676</v>
      </c>
      <c r="U199" s="85"/>
    </row>
    <row r="200" spans="2:22">
      <c r="B200" s="12" t="s">
        <v>1772</v>
      </c>
      <c r="C200" s="12" t="s">
        <v>1680</v>
      </c>
      <c r="D200" s="76" t="s">
        <v>1423</v>
      </c>
      <c r="E200" s="85" t="s">
        <v>1678</v>
      </c>
      <c r="F200" s="84">
        <v>4</v>
      </c>
      <c r="G200" s="84">
        <v>0</v>
      </c>
      <c r="H200" s="84">
        <v>4</v>
      </c>
      <c r="I200" s="97" t="s">
        <v>73</v>
      </c>
      <c r="J200" s="97" t="s">
        <v>73</v>
      </c>
      <c r="K200" s="85" t="s">
        <v>76</v>
      </c>
      <c r="L200" s="97" t="s">
        <v>1488</v>
      </c>
      <c r="M200" s="97" t="s">
        <v>1528</v>
      </c>
      <c r="N200" s="97">
        <v>1</v>
      </c>
      <c r="O200" s="97">
        <v>20</v>
      </c>
      <c r="P200" s="98">
        <v>20</v>
      </c>
      <c r="Q200" s="98">
        <f>N200*(F200+G200)</f>
        <v>4</v>
      </c>
      <c r="R200" s="98">
        <v>4</v>
      </c>
      <c r="S200" s="85" t="s">
        <v>1675</v>
      </c>
      <c r="T200" s="84" t="s">
        <v>1676</v>
      </c>
      <c r="U200" s="85"/>
    </row>
    <row r="201" spans="2:22">
      <c r="B201" s="12" t="s">
        <v>1772</v>
      </c>
      <c r="C201" s="12" t="s">
        <v>1680</v>
      </c>
      <c r="D201" s="76" t="s">
        <v>1423</v>
      </c>
      <c r="E201" s="85" t="s">
        <v>1678</v>
      </c>
      <c r="F201" s="84">
        <v>4</v>
      </c>
      <c r="G201" s="84">
        <v>0</v>
      </c>
      <c r="H201" s="84">
        <v>4</v>
      </c>
      <c r="I201" s="97" t="s">
        <v>73</v>
      </c>
      <c r="J201" s="97" t="s">
        <v>73</v>
      </c>
      <c r="K201" s="85" t="s">
        <v>76</v>
      </c>
      <c r="L201" s="97" t="s">
        <v>1491</v>
      </c>
      <c r="M201" s="97" t="s">
        <v>1528</v>
      </c>
      <c r="N201" s="97">
        <v>1</v>
      </c>
      <c r="O201" s="97">
        <v>20</v>
      </c>
      <c r="P201" s="98">
        <v>20</v>
      </c>
      <c r="Q201" s="98">
        <f>N201*(F201+G201)</f>
        <v>4</v>
      </c>
      <c r="R201" s="98">
        <v>4</v>
      </c>
      <c r="S201" s="85" t="s">
        <v>1675</v>
      </c>
      <c r="T201" s="84" t="s">
        <v>1676</v>
      </c>
      <c r="U201" s="85"/>
    </row>
    <row r="202" spans="2:22">
      <c r="B202" s="12" t="s">
        <v>1772</v>
      </c>
      <c r="C202" s="12" t="s">
        <v>1680</v>
      </c>
      <c r="D202" s="76" t="s">
        <v>1268</v>
      </c>
      <c r="E202" s="85" t="s">
        <v>1269</v>
      </c>
      <c r="F202" s="84">
        <v>4</v>
      </c>
      <c r="G202" s="84">
        <v>0</v>
      </c>
      <c r="H202" s="84">
        <v>4</v>
      </c>
      <c r="I202" s="97" t="s">
        <v>73</v>
      </c>
      <c r="J202" s="97" t="s">
        <v>73</v>
      </c>
      <c r="K202" s="85" t="s">
        <v>76</v>
      </c>
      <c r="L202" s="97" t="s">
        <v>1488</v>
      </c>
      <c r="M202" s="97" t="s">
        <v>1528</v>
      </c>
      <c r="N202" s="97">
        <v>1</v>
      </c>
      <c r="O202" s="97">
        <v>20</v>
      </c>
      <c r="P202" s="98">
        <v>20</v>
      </c>
      <c r="Q202" s="98">
        <f>N202*(F202+G202)</f>
        <v>4</v>
      </c>
      <c r="R202" s="98">
        <v>4</v>
      </c>
      <c r="S202" s="85" t="s">
        <v>1675</v>
      </c>
      <c r="T202" s="84" t="s">
        <v>1676</v>
      </c>
      <c r="U202" s="85"/>
    </row>
    <row r="203" spans="2:22">
      <c r="B203" s="12" t="s">
        <v>1772</v>
      </c>
      <c r="C203" s="12" t="s">
        <v>1680</v>
      </c>
      <c r="D203" s="76" t="s">
        <v>1268</v>
      </c>
      <c r="E203" s="85" t="s">
        <v>1269</v>
      </c>
      <c r="F203" s="84">
        <v>4</v>
      </c>
      <c r="G203" s="84">
        <v>0</v>
      </c>
      <c r="H203" s="84">
        <v>4</v>
      </c>
      <c r="I203" s="97" t="s">
        <v>73</v>
      </c>
      <c r="J203" s="97" t="s">
        <v>73</v>
      </c>
      <c r="K203" s="85" t="s">
        <v>76</v>
      </c>
      <c r="L203" s="97" t="s">
        <v>1491</v>
      </c>
      <c r="M203" s="97" t="s">
        <v>1528</v>
      </c>
      <c r="N203" s="97">
        <v>1</v>
      </c>
      <c r="O203" s="97">
        <v>20</v>
      </c>
      <c r="P203" s="98">
        <v>20</v>
      </c>
      <c r="Q203" s="98">
        <f>N203*(F203+G203)</f>
        <v>4</v>
      </c>
      <c r="R203" s="98">
        <v>4</v>
      </c>
      <c r="S203" s="85" t="s">
        <v>1675</v>
      </c>
      <c r="T203" s="84" t="s">
        <v>1676</v>
      </c>
      <c r="U203" s="85"/>
    </row>
    <row r="204" spans="2:22">
      <c r="B204" s="36" t="s">
        <v>47</v>
      </c>
      <c r="C204" s="36" t="s">
        <v>21</v>
      </c>
      <c r="D204" s="9" t="s">
        <v>812</v>
      </c>
      <c r="E204" s="85" t="s">
        <v>813</v>
      </c>
      <c r="F204" s="84">
        <v>0</v>
      </c>
      <c r="G204" s="84">
        <v>3</v>
      </c>
      <c r="H204" s="84">
        <v>5</v>
      </c>
      <c r="I204" s="97" t="s">
        <v>71</v>
      </c>
      <c r="J204" s="97" t="s">
        <v>71</v>
      </c>
      <c r="K204" s="97" t="s">
        <v>814</v>
      </c>
      <c r="L204" s="85" t="s">
        <v>1488</v>
      </c>
      <c r="M204" s="97" t="s">
        <v>1562</v>
      </c>
      <c r="N204" s="97">
        <v>1</v>
      </c>
      <c r="O204" s="97">
        <v>30</v>
      </c>
      <c r="P204" s="97">
        <v>30</v>
      </c>
      <c r="Q204" s="98">
        <f>N204*(F204+G204)</f>
        <v>3</v>
      </c>
      <c r="R204" s="98">
        <v>3</v>
      </c>
      <c r="S204" s="98" t="s">
        <v>1518</v>
      </c>
      <c r="T204" s="85"/>
      <c r="U204" s="84"/>
      <c r="V204" s="85"/>
    </row>
    <row r="205" spans="2:22">
      <c r="B205" s="36" t="s">
        <v>47</v>
      </c>
      <c r="C205" s="36" t="s">
        <v>21</v>
      </c>
      <c r="D205" s="9" t="s">
        <v>812</v>
      </c>
      <c r="E205" s="85" t="s">
        <v>813</v>
      </c>
      <c r="F205" s="84">
        <v>0</v>
      </c>
      <c r="G205" s="84">
        <v>3</v>
      </c>
      <c r="H205" s="84">
        <v>5</v>
      </c>
      <c r="I205" s="97" t="s">
        <v>71</v>
      </c>
      <c r="J205" s="97" t="s">
        <v>71</v>
      </c>
      <c r="K205" s="97" t="s">
        <v>814</v>
      </c>
      <c r="L205" s="85" t="s">
        <v>1491</v>
      </c>
      <c r="M205" s="97" t="s">
        <v>1562</v>
      </c>
      <c r="N205" s="97">
        <v>1</v>
      </c>
      <c r="O205" s="97">
        <v>30</v>
      </c>
      <c r="P205" s="97">
        <v>30</v>
      </c>
      <c r="Q205" s="98">
        <f>N205*(F205+G205)</f>
        <v>3</v>
      </c>
      <c r="R205" s="98">
        <v>3</v>
      </c>
      <c r="S205" s="98" t="s">
        <v>1518</v>
      </c>
      <c r="T205" s="85"/>
      <c r="U205" s="84"/>
      <c r="V205" s="85"/>
    </row>
    <row r="206" spans="2:22">
      <c r="B206" s="36" t="s">
        <v>47</v>
      </c>
      <c r="C206" s="36" t="s">
        <v>21</v>
      </c>
      <c r="D206" s="9" t="s">
        <v>225</v>
      </c>
      <c r="E206" s="85" t="s">
        <v>226</v>
      </c>
      <c r="F206" s="84">
        <v>4</v>
      </c>
      <c r="G206" s="84">
        <v>0</v>
      </c>
      <c r="H206" s="84">
        <v>4</v>
      </c>
      <c r="I206" s="97" t="s">
        <v>71</v>
      </c>
      <c r="J206" s="97" t="s">
        <v>71</v>
      </c>
      <c r="K206" s="97" t="s">
        <v>227</v>
      </c>
      <c r="L206" s="85" t="s">
        <v>1488</v>
      </c>
      <c r="M206" s="97" t="s">
        <v>1562</v>
      </c>
      <c r="N206" s="97">
        <v>1</v>
      </c>
      <c r="O206" s="97">
        <v>30</v>
      </c>
      <c r="P206" s="97">
        <v>30</v>
      </c>
      <c r="Q206" s="98">
        <f>N206*(F206+G206)</f>
        <v>4</v>
      </c>
      <c r="R206" s="98">
        <v>4</v>
      </c>
      <c r="S206" s="98"/>
      <c r="T206" s="85"/>
      <c r="U206" s="84"/>
      <c r="V206" s="85"/>
    </row>
    <row r="207" spans="2:22">
      <c r="B207" s="36" t="s">
        <v>47</v>
      </c>
      <c r="C207" s="36" t="s">
        <v>21</v>
      </c>
      <c r="D207" s="9" t="s">
        <v>225</v>
      </c>
      <c r="E207" s="85" t="s">
        <v>226</v>
      </c>
      <c r="F207" s="84">
        <v>4</v>
      </c>
      <c r="G207" s="84">
        <v>0</v>
      </c>
      <c r="H207" s="84">
        <v>4</v>
      </c>
      <c r="I207" s="97" t="s">
        <v>71</v>
      </c>
      <c r="J207" s="97" t="s">
        <v>71</v>
      </c>
      <c r="K207" s="97" t="s">
        <v>227</v>
      </c>
      <c r="L207" s="85" t="s">
        <v>1491</v>
      </c>
      <c r="M207" s="97" t="s">
        <v>1562</v>
      </c>
      <c r="N207" s="97">
        <v>1</v>
      </c>
      <c r="O207" s="97">
        <v>30</v>
      </c>
      <c r="P207" s="97">
        <v>30</v>
      </c>
      <c r="Q207" s="98">
        <f>N207*(F207+G207)</f>
        <v>4</v>
      </c>
      <c r="R207" s="98">
        <v>4</v>
      </c>
      <c r="S207" s="98"/>
      <c r="T207" s="85"/>
      <c r="U207" s="84"/>
      <c r="V207" s="85"/>
    </row>
    <row r="208" spans="2:22">
      <c r="B208" s="36" t="s">
        <v>47</v>
      </c>
      <c r="C208" s="36" t="s">
        <v>21</v>
      </c>
      <c r="D208" s="9" t="s">
        <v>974</v>
      </c>
      <c r="E208" s="85" t="s">
        <v>975</v>
      </c>
      <c r="F208" s="84">
        <v>3</v>
      </c>
      <c r="G208" s="84">
        <v>1</v>
      </c>
      <c r="H208" s="84">
        <v>4</v>
      </c>
      <c r="I208" s="97" t="s">
        <v>71</v>
      </c>
      <c r="J208" s="97" t="s">
        <v>71</v>
      </c>
      <c r="K208" s="97" t="s">
        <v>263</v>
      </c>
      <c r="L208" s="85" t="s">
        <v>1488</v>
      </c>
      <c r="M208" s="97" t="s">
        <v>1562</v>
      </c>
      <c r="N208" s="97">
        <v>1</v>
      </c>
      <c r="O208" s="97">
        <v>30</v>
      </c>
      <c r="P208" s="97">
        <v>30</v>
      </c>
      <c r="Q208" s="98">
        <f>N208*(F208+G208)</f>
        <v>4</v>
      </c>
      <c r="R208" s="98">
        <v>4</v>
      </c>
      <c r="S208" s="98" t="s">
        <v>1505</v>
      </c>
      <c r="T208" s="85"/>
      <c r="U208" s="84"/>
      <c r="V208" s="85"/>
    </row>
    <row r="209" spans="2:22">
      <c r="B209" s="36" t="s">
        <v>47</v>
      </c>
      <c r="C209" s="36" t="s">
        <v>21</v>
      </c>
      <c r="D209" s="9" t="s">
        <v>974</v>
      </c>
      <c r="E209" s="85" t="s">
        <v>975</v>
      </c>
      <c r="F209" s="84">
        <v>3</v>
      </c>
      <c r="G209" s="84">
        <v>1</v>
      </c>
      <c r="H209" s="84">
        <v>4</v>
      </c>
      <c r="I209" s="97" t="s">
        <v>71</v>
      </c>
      <c r="J209" s="97" t="s">
        <v>71</v>
      </c>
      <c r="K209" s="97" t="s">
        <v>263</v>
      </c>
      <c r="L209" s="85" t="s">
        <v>1491</v>
      </c>
      <c r="M209" s="97" t="s">
        <v>1562</v>
      </c>
      <c r="N209" s="97">
        <v>1</v>
      </c>
      <c r="O209" s="97">
        <v>30</v>
      </c>
      <c r="P209" s="97">
        <v>30</v>
      </c>
      <c r="Q209" s="98">
        <f>N209*(F209+G209)</f>
        <v>4</v>
      </c>
      <c r="R209" s="98">
        <v>4</v>
      </c>
      <c r="S209" s="98" t="s">
        <v>1505</v>
      </c>
      <c r="T209" s="85"/>
      <c r="U209" s="84"/>
      <c r="V209" s="85"/>
    </row>
    <row r="210" spans="2:22">
      <c r="B210" s="36" t="s">
        <v>47</v>
      </c>
      <c r="C210" s="36" t="s">
        <v>21</v>
      </c>
      <c r="D210" s="9" t="s">
        <v>865</v>
      </c>
      <c r="E210" s="85" t="s">
        <v>866</v>
      </c>
      <c r="F210" s="84">
        <v>4</v>
      </c>
      <c r="G210" s="84">
        <v>0</v>
      </c>
      <c r="H210" s="84">
        <v>4</v>
      </c>
      <c r="I210" s="97" t="s">
        <v>71</v>
      </c>
      <c r="J210" s="97" t="s">
        <v>71</v>
      </c>
      <c r="K210" s="97" t="s">
        <v>867</v>
      </c>
      <c r="L210" s="85" t="s">
        <v>1488</v>
      </c>
      <c r="M210" s="97" t="s">
        <v>1562</v>
      </c>
      <c r="N210" s="97">
        <v>1</v>
      </c>
      <c r="O210" s="97">
        <v>30</v>
      </c>
      <c r="P210" s="97">
        <v>30</v>
      </c>
      <c r="Q210" s="98">
        <f>N210*(F210+G210)</f>
        <v>4</v>
      </c>
      <c r="R210" s="98">
        <v>4</v>
      </c>
      <c r="S210" s="98"/>
      <c r="T210" s="85"/>
      <c r="U210" s="84"/>
      <c r="V210" s="85"/>
    </row>
    <row r="211" spans="2:22">
      <c r="B211" s="36" t="s">
        <v>47</v>
      </c>
      <c r="C211" s="36" t="s">
        <v>21</v>
      </c>
      <c r="D211" s="9" t="s">
        <v>865</v>
      </c>
      <c r="E211" s="85" t="s">
        <v>866</v>
      </c>
      <c r="F211" s="84">
        <v>4</v>
      </c>
      <c r="G211" s="84">
        <v>0</v>
      </c>
      <c r="H211" s="84">
        <v>4</v>
      </c>
      <c r="I211" s="97" t="s">
        <v>71</v>
      </c>
      <c r="J211" s="97" t="s">
        <v>71</v>
      </c>
      <c r="K211" s="97" t="s">
        <v>867</v>
      </c>
      <c r="L211" s="85" t="s">
        <v>1491</v>
      </c>
      <c r="M211" s="97" t="s">
        <v>1562</v>
      </c>
      <c r="N211" s="97">
        <v>1</v>
      </c>
      <c r="O211" s="97">
        <v>30</v>
      </c>
      <c r="P211" s="97">
        <v>30</v>
      </c>
      <c r="Q211" s="98">
        <f>N211*(F211+G211)</f>
        <v>4</v>
      </c>
      <c r="R211" s="98">
        <v>4</v>
      </c>
      <c r="S211" s="98"/>
      <c r="T211" s="85"/>
      <c r="U211" s="84"/>
      <c r="V211" s="85"/>
    </row>
    <row r="212" spans="2:22">
      <c r="B212" s="36" t="s">
        <v>47</v>
      </c>
      <c r="C212" s="36" t="s">
        <v>21</v>
      </c>
      <c r="D212" s="9" t="s">
        <v>877</v>
      </c>
      <c r="E212" s="85" t="s">
        <v>878</v>
      </c>
      <c r="F212" s="84">
        <v>6</v>
      </c>
      <c r="G212" s="84">
        <v>0</v>
      </c>
      <c r="H212" s="84">
        <v>6</v>
      </c>
      <c r="I212" s="97" t="s">
        <v>71</v>
      </c>
      <c r="J212" s="97" t="s">
        <v>71</v>
      </c>
      <c r="K212" s="97" t="s">
        <v>76</v>
      </c>
      <c r="L212" s="85" t="s">
        <v>1488</v>
      </c>
      <c r="M212" s="97" t="s">
        <v>1562</v>
      </c>
      <c r="N212" s="97">
        <v>1</v>
      </c>
      <c r="O212" s="97">
        <v>30</v>
      </c>
      <c r="P212" s="97">
        <v>30</v>
      </c>
      <c r="Q212" s="98">
        <f>N212*(F212+G212)</f>
        <v>6</v>
      </c>
      <c r="R212" s="98">
        <v>6</v>
      </c>
      <c r="S212" s="98"/>
      <c r="T212" s="85"/>
      <c r="U212" s="84"/>
      <c r="V212" s="85"/>
    </row>
    <row r="213" spans="2:22">
      <c r="B213" s="36" t="s">
        <v>47</v>
      </c>
      <c r="C213" s="36" t="s">
        <v>21</v>
      </c>
      <c r="D213" s="9" t="s">
        <v>877</v>
      </c>
      <c r="E213" s="85" t="s">
        <v>878</v>
      </c>
      <c r="F213" s="84">
        <v>6</v>
      </c>
      <c r="G213" s="84">
        <v>0</v>
      </c>
      <c r="H213" s="84">
        <v>6</v>
      </c>
      <c r="I213" s="97" t="s">
        <v>71</v>
      </c>
      <c r="J213" s="97" t="s">
        <v>71</v>
      </c>
      <c r="K213" s="97" t="s">
        <v>76</v>
      </c>
      <c r="L213" s="85" t="s">
        <v>1491</v>
      </c>
      <c r="M213" s="97" t="s">
        <v>1562</v>
      </c>
      <c r="N213" s="97">
        <v>1</v>
      </c>
      <c r="O213" s="97">
        <v>30</v>
      </c>
      <c r="P213" s="97">
        <v>30</v>
      </c>
      <c r="Q213" s="98">
        <f>N213*(F213+G213)</f>
        <v>6</v>
      </c>
      <c r="R213" s="98">
        <v>6</v>
      </c>
      <c r="S213" s="98"/>
      <c r="T213" s="85"/>
      <c r="U213" s="84"/>
      <c r="V213" s="85"/>
    </row>
    <row r="214" spans="2:22">
      <c r="B214" s="36" t="s">
        <v>47</v>
      </c>
      <c r="C214" s="36" t="s">
        <v>21</v>
      </c>
      <c r="D214" s="9" t="s">
        <v>1332</v>
      </c>
      <c r="E214" s="85" t="s">
        <v>1333</v>
      </c>
      <c r="F214" s="84">
        <v>2</v>
      </c>
      <c r="G214" s="84">
        <v>0</v>
      </c>
      <c r="H214" s="84">
        <v>2</v>
      </c>
      <c r="I214" s="97" t="s">
        <v>71</v>
      </c>
      <c r="J214" s="97" t="s">
        <v>71</v>
      </c>
      <c r="K214" s="97" t="s">
        <v>76</v>
      </c>
      <c r="L214" s="85" t="s">
        <v>1491</v>
      </c>
      <c r="M214" s="97" t="s">
        <v>1562</v>
      </c>
      <c r="N214" s="97">
        <v>1</v>
      </c>
      <c r="O214" s="97">
        <v>30</v>
      </c>
      <c r="P214" s="97">
        <v>30</v>
      </c>
      <c r="Q214" s="98">
        <f>N214*(F214+G214)</f>
        <v>2</v>
      </c>
      <c r="R214" s="98">
        <v>2</v>
      </c>
      <c r="S214" s="98"/>
      <c r="T214" s="85"/>
      <c r="U214" s="84"/>
      <c r="V214" s="85"/>
    </row>
    <row r="215" spans="2:22">
      <c r="B215" s="36" t="s">
        <v>47</v>
      </c>
      <c r="C215" s="36" t="s">
        <v>21</v>
      </c>
      <c r="D215" s="9" t="s">
        <v>1154</v>
      </c>
      <c r="E215" s="85" t="s">
        <v>1155</v>
      </c>
      <c r="F215" s="84">
        <v>4</v>
      </c>
      <c r="G215" s="84">
        <v>0</v>
      </c>
      <c r="H215" s="84">
        <v>4</v>
      </c>
      <c r="I215" s="97" t="s">
        <v>73</v>
      </c>
      <c r="J215" s="97" t="s">
        <v>73</v>
      </c>
      <c r="K215" s="97" t="s">
        <v>76</v>
      </c>
      <c r="L215" s="85" t="s">
        <v>1488</v>
      </c>
      <c r="M215" s="97" t="s">
        <v>1562</v>
      </c>
      <c r="N215" s="97">
        <v>1</v>
      </c>
      <c r="O215" s="97">
        <v>30</v>
      </c>
      <c r="P215" s="97">
        <v>30</v>
      </c>
      <c r="Q215" s="98">
        <f>N215*(F215+G215)</f>
        <v>4</v>
      </c>
      <c r="R215" s="98">
        <v>4</v>
      </c>
      <c r="S215" s="98"/>
      <c r="T215" s="85"/>
      <c r="U215" s="84"/>
      <c r="V215" s="85"/>
    </row>
    <row r="216" spans="2:22">
      <c r="B216" s="36" t="s">
        <v>47</v>
      </c>
      <c r="C216" s="36" t="s">
        <v>21</v>
      </c>
      <c r="D216" s="9" t="s">
        <v>1154</v>
      </c>
      <c r="E216" s="85" t="s">
        <v>1155</v>
      </c>
      <c r="F216" s="84">
        <v>4</v>
      </c>
      <c r="G216" s="84">
        <v>0</v>
      </c>
      <c r="H216" s="84">
        <v>4</v>
      </c>
      <c r="I216" s="97" t="s">
        <v>73</v>
      </c>
      <c r="J216" s="97" t="s">
        <v>73</v>
      </c>
      <c r="K216" s="97" t="s">
        <v>76</v>
      </c>
      <c r="L216" s="85" t="s">
        <v>1491</v>
      </c>
      <c r="M216" s="97" t="s">
        <v>1562</v>
      </c>
      <c r="N216" s="97">
        <v>1</v>
      </c>
      <c r="O216" s="97">
        <v>30</v>
      </c>
      <c r="P216" s="97">
        <v>30</v>
      </c>
      <c r="Q216" s="98">
        <f>N216*(F216+G216)</f>
        <v>4</v>
      </c>
      <c r="R216" s="98">
        <v>4</v>
      </c>
      <c r="S216" s="98"/>
      <c r="T216" s="85"/>
      <c r="U216" s="84"/>
      <c r="V216" s="85"/>
    </row>
    <row r="217" spans="2:22">
      <c r="B217" s="36" t="s">
        <v>47</v>
      </c>
      <c r="C217" s="36" t="s">
        <v>21</v>
      </c>
      <c r="D217" s="9" t="s">
        <v>883</v>
      </c>
      <c r="E217" s="85" t="s">
        <v>884</v>
      </c>
      <c r="F217" s="84">
        <v>4</v>
      </c>
      <c r="G217" s="84">
        <v>0</v>
      </c>
      <c r="H217" s="84">
        <v>4</v>
      </c>
      <c r="I217" s="97" t="s">
        <v>73</v>
      </c>
      <c r="J217" s="97" t="s">
        <v>73</v>
      </c>
      <c r="K217" s="97" t="s">
        <v>76</v>
      </c>
      <c r="L217" s="85" t="s">
        <v>1488</v>
      </c>
      <c r="M217" s="97" t="s">
        <v>1562</v>
      </c>
      <c r="N217" s="97">
        <v>1</v>
      </c>
      <c r="O217" s="97">
        <v>30</v>
      </c>
      <c r="P217" s="97">
        <v>30</v>
      </c>
      <c r="Q217" s="98">
        <f>N217*(F217+G217)</f>
        <v>4</v>
      </c>
      <c r="R217" s="98">
        <v>4</v>
      </c>
      <c r="S217" s="98"/>
      <c r="T217" s="85"/>
      <c r="U217" s="84"/>
      <c r="V217" s="85"/>
    </row>
    <row r="218" spans="2:22">
      <c r="B218" s="36" t="s">
        <v>47</v>
      </c>
      <c r="C218" s="36" t="s">
        <v>21</v>
      </c>
      <c r="D218" s="9" t="s">
        <v>883</v>
      </c>
      <c r="E218" s="85" t="s">
        <v>884</v>
      </c>
      <c r="F218" s="84">
        <v>4</v>
      </c>
      <c r="G218" s="84">
        <v>0</v>
      </c>
      <c r="H218" s="84">
        <v>4</v>
      </c>
      <c r="I218" s="97" t="s">
        <v>73</v>
      </c>
      <c r="J218" s="97" t="s">
        <v>73</v>
      </c>
      <c r="K218" s="97" t="s">
        <v>76</v>
      </c>
      <c r="L218" s="85" t="s">
        <v>1491</v>
      </c>
      <c r="M218" s="97" t="s">
        <v>1562</v>
      </c>
      <c r="N218" s="97">
        <v>1</v>
      </c>
      <c r="O218" s="97">
        <v>30</v>
      </c>
      <c r="P218" s="97">
        <v>30</v>
      </c>
      <c r="Q218" s="98">
        <f>N218*(F218+G218)</f>
        <v>4</v>
      </c>
      <c r="R218" s="98">
        <v>4</v>
      </c>
      <c r="S218" s="98"/>
      <c r="T218" s="85"/>
      <c r="U218" s="84"/>
      <c r="V218" s="85"/>
    </row>
    <row r="219" spans="2:22">
      <c r="B219" s="36" t="s">
        <v>47</v>
      </c>
      <c r="C219" s="36" t="s">
        <v>21</v>
      </c>
      <c r="D219" s="9" t="s">
        <v>1698</v>
      </c>
      <c r="E219" s="85" t="s">
        <v>817</v>
      </c>
      <c r="F219" s="84">
        <v>0</v>
      </c>
      <c r="G219" s="84">
        <v>3</v>
      </c>
      <c r="H219" s="84">
        <v>2</v>
      </c>
      <c r="I219" s="97" t="s">
        <v>73</v>
      </c>
      <c r="J219" s="97" t="s">
        <v>73</v>
      </c>
      <c r="K219" s="97" t="s">
        <v>781</v>
      </c>
      <c r="L219" s="85" t="s">
        <v>1488</v>
      </c>
      <c r="M219" s="97" t="s">
        <v>1562</v>
      </c>
      <c r="N219" s="97">
        <v>1</v>
      </c>
      <c r="O219" s="97">
        <v>30</v>
      </c>
      <c r="P219" s="97">
        <v>30</v>
      </c>
      <c r="Q219" s="98">
        <f>N219*(F219+G219)</f>
        <v>3</v>
      </c>
      <c r="R219" s="98">
        <v>3</v>
      </c>
      <c r="S219" s="98" t="s">
        <v>1518</v>
      </c>
      <c r="T219" s="85"/>
      <c r="U219" s="84"/>
      <c r="V219" s="85"/>
    </row>
    <row r="220" spans="2:22">
      <c r="B220" s="36" t="s">
        <v>47</v>
      </c>
      <c r="C220" s="36" t="s">
        <v>21</v>
      </c>
      <c r="D220" s="9" t="s">
        <v>1698</v>
      </c>
      <c r="E220" s="85" t="s">
        <v>817</v>
      </c>
      <c r="F220" s="84">
        <v>0</v>
      </c>
      <c r="G220" s="84">
        <v>3</v>
      </c>
      <c r="H220" s="84">
        <v>2</v>
      </c>
      <c r="I220" s="97" t="s">
        <v>73</v>
      </c>
      <c r="J220" s="97" t="s">
        <v>73</v>
      </c>
      <c r="K220" s="97" t="s">
        <v>781</v>
      </c>
      <c r="L220" s="85" t="s">
        <v>1491</v>
      </c>
      <c r="M220" s="97" t="s">
        <v>1562</v>
      </c>
      <c r="N220" s="97">
        <v>1</v>
      </c>
      <c r="O220" s="97">
        <v>30</v>
      </c>
      <c r="P220" s="97">
        <v>30</v>
      </c>
      <c r="Q220" s="98">
        <f>N220*(F220+G220)</f>
        <v>3</v>
      </c>
      <c r="R220" s="98">
        <v>3</v>
      </c>
      <c r="S220" s="98" t="s">
        <v>1518</v>
      </c>
      <c r="T220" s="85"/>
      <c r="U220" s="84"/>
      <c r="V220" s="85"/>
    </row>
    <row r="221" spans="2:22">
      <c r="B221" s="36" t="s">
        <v>47</v>
      </c>
      <c r="C221" s="36" t="s">
        <v>21</v>
      </c>
      <c r="D221" s="9" t="s">
        <v>641</v>
      </c>
      <c r="E221" s="85" t="s">
        <v>642</v>
      </c>
      <c r="F221" s="84">
        <v>4</v>
      </c>
      <c r="G221" s="84">
        <v>0</v>
      </c>
      <c r="H221" s="84">
        <v>4</v>
      </c>
      <c r="I221" s="97" t="s">
        <v>73</v>
      </c>
      <c r="J221" s="97" t="s">
        <v>73</v>
      </c>
      <c r="K221" s="97" t="s">
        <v>76</v>
      </c>
      <c r="L221" s="85" t="s">
        <v>1488</v>
      </c>
      <c r="M221" s="97" t="s">
        <v>1562</v>
      </c>
      <c r="N221" s="97">
        <v>1</v>
      </c>
      <c r="O221" s="97">
        <v>30</v>
      </c>
      <c r="P221" s="97">
        <v>30</v>
      </c>
      <c r="Q221" s="98">
        <f>N221*(F221+G221)</f>
        <v>4</v>
      </c>
      <c r="R221" s="98">
        <v>4</v>
      </c>
      <c r="S221" s="98"/>
      <c r="T221" s="85"/>
      <c r="U221" s="84"/>
      <c r="V221" s="85"/>
    </row>
    <row r="222" spans="2:22">
      <c r="B222" s="36" t="s">
        <v>47</v>
      </c>
      <c r="C222" s="36" t="s">
        <v>21</v>
      </c>
      <c r="D222" s="9" t="s">
        <v>1279</v>
      </c>
      <c r="E222" s="85" t="s">
        <v>1280</v>
      </c>
      <c r="F222" s="84">
        <v>4</v>
      </c>
      <c r="G222" s="84">
        <v>0</v>
      </c>
      <c r="H222" s="84">
        <v>4</v>
      </c>
      <c r="I222" s="97" t="s">
        <v>1751</v>
      </c>
      <c r="J222" s="97" t="s">
        <v>73</v>
      </c>
      <c r="K222" s="97" t="s">
        <v>76</v>
      </c>
      <c r="L222" s="85" t="s">
        <v>1491</v>
      </c>
      <c r="M222" s="97" t="s">
        <v>1562</v>
      </c>
      <c r="N222" s="97">
        <v>1</v>
      </c>
      <c r="O222" s="97">
        <v>30</v>
      </c>
      <c r="P222" s="97">
        <v>30</v>
      </c>
      <c r="Q222" s="98">
        <f>N222*(F222+G222)</f>
        <v>4</v>
      </c>
      <c r="R222" s="98">
        <v>4</v>
      </c>
      <c r="S222" s="98"/>
      <c r="T222" s="85"/>
      <c r="U222" s="84"/>
      <c r="V222" s="85"/>
    </row>
    <row r="223" spans="2:22">
      <c r="B223" s="36" t="s">
        <v>47</v>
      </c>
      <c r="C223" s="36" t="s">
        <v>21</v>
      </c>
      <c r="D223" s="9" t="s">
        <v>1293</v>
      </c>
      <c r="E223" s="85" t="s">
        <v>1294</v>
      </c>
      <c r="F223" s="84">
        <v>4</v>
      </c>
      <c r="G223" s="84">
        <v>0</v>
      </c>
      <c r="H223" s="84">
        <v>4</v>
      </c>
      <c r="I223" s="97" t="s">
        <v>1751</v>
      </c>
      <c r="J223" s="97" t="s">
        <v>73</v>
      </c>
      <c r="K223" s="97" t="s">
        <v>76</v>
      </c>
      <c r="L223" s="85" t="s">
        <v>1488</v>
      </c>
      <c r="M223" s="97" t="s">
        <v>1562</v>
      </c>
      <c r="N223" s="97">
        <v>1</v>
      </c>
      <c r="O223" s="97">
        <v>30</v>
      </c>
      <c r="P223" s="97">
        <v>30</v>
      </c>
      <c r="Q223" s="98">
        <f>N223*(F223+G223)</f>
        <v>4</v>
      </c>
      <c r="R223" s="98">
        <v>4</v>
      </c>
      <c r="S223" s="98"/>
      <c r="T223" s="85"/>
      <c r="U223" s="84"/>
      <c r="V223" s="85"/>
    </row>
    <row r="224" spans="2:22">
      <c r="B224" s="40" t="s">
        <v>49</v>
      </c>
      <c r="C224" s="40" t="s">
        <v>22</v>
      </c>
      <c r="D224" s="9" t="s">
        <v>225</v>
      </c>
      <c r="E224" s="85" t="s">
        <v>226</v>
      </c>
      <c r="F224" s="84">
        <v>4</v>
      </c>
      <c r="G224" s="84">
        <v>0</v>
      </c>
      <c r="H224" s="84">
        <v>4</v>
      </c>
      <c r="I224" s="97" t="s">
        <v>71</v>
      </c>
      <c r="J224" s="97" t="s">
        <v>71</v>
      </c>
      <c r="K224" s="97" t="s">
        <v>227</v>
      </c>
      <c r="L224" s="85" t="s">
        <v>1488</v>
      </c>
      <c r="M224" s="97" t="s">
        <v>1562</v>
      </c>
      <c r="N224" s="97">
        <v>1</v>
      </c>
      <c r="O224" s="97">
        <v>90</v>
      </c>
      <c r="P224" s="97">
        <v>90</v>
      </c>
      <c r="Q224" s="98">
        <f>N224*(F224+G224)</f>
        <v>4</v>
      </c>
      <c r="R224" s="98">
        <v>4</v>
      </c>
      <c r="S224" s="98"/>
      <c r="T224" s="85"/>
      <c r="U224" s="84"/>
      <c r="V224" s="85"/>
    </row>
    <row r="225" spans="2:22">
      <c r="B225" s="40" t="s">
        <v>49</v>
      </c>
      <c r="C225" s="40" t="s">
        <v>22</v>
      </c>
      <c r="D225" s="9" t="s">
        <v>225</v>
      </c>
      <c r="E225" s="85" t="s">
        <v>226</v>
      </c>
      <c r="F225" s="84">
        <v>4</v>
      </c>
      <c r="G225" s="84">
        <v>0</v>
      </c>
      <c r="H225" s="84">
        <v>4</v>
      </c>
      <c r="I225" s="97" t="s">
        <v>71</v>
      </c>
      <c r="J225" s="97" t="s">
        <v>71</v>
      </c>
      <c r="K225" s="97" t="s">
        <v>227</v>
      </c>
      <c r="L225" s="85" t="s">
        <v>1491</v>
      </c>
      <c r="M225" s="97" t="s">
        <v>1562</v>
      </c>
      <c r="N225" s="97">
        <v>1</v>
      </c>
      <c r="O225" s="97">
        <v>90</v>
      </c>
      <c r="P225" s="97">
        <v>90</v>
      </c>
      <c r="Q225" s="98">
        <f>N225*(F225+G225)</f>
        <v>4</v>
      </c>
      <c r="R225" s="98">
        <v>4</v>
      </c>
      <c r="S225" s="98"/>
      <c r="T225" s="85"/>
      <c r="U225" s="84"/>
      <c r="V225" s="85"/>
    </row>
    <row r="226" spans="2:22">
      <c r="B226" s="40" t="s">
        <v>49</v>
      </c>
      <c r="C226" s="40" t="s">
        <v>22</v>
      </c>
      <c r="D226" s="9" t="s">
        <v>843</v>
      </c>
      <c r="E226" s="85" t="s">
        <v>844</v>
      </c>
      <c r="F226" s="84">
        <v>4</v>
      </c>
      <c r="G226" s="84">
        <v>0</v>
      </c>
      <c r="H226" s="84">
        <v>4</v>
      </c>
      <c r="I226" s="97" t="s">
        <v>71</v>
      </c>
      <c r="J226" s="97" t="s">
        <v>71</v>
      </c>
      <c r="K226" s="97" t="s">
        <v>845</v>
      </c>
      <c r="L226" s="85" t="s">
        <v>1488</v>
      </c>
      <c r="M226" s="97" t="s">
        <v>1562</v>
      </c>
      <c r="N226" s="97">
        <v>1</v>
      </c>
      <c r="O226" s="97">
        <v>40</v>
      </c>
      <c r="P226" s="97">
        <v>40</v>
      </c>
      <c r="Q226" s="98">
        <f>N226*(F226+G226)</f>
        <v>4</v>
      </c>
      <c r="R226" s="98">
        <v>4</v>
      </c>
      <c r="S226" s="98"/>
      <c r="T226" s="85"/>
      <c r="U226" s="84"/>
      <c r="V226" s="85"/>
    </row>
    <row r="227" spans="2:22">
      <c r="B227" s="40" t="s">
        <v>49</v>
      </c>
      <c r="C227" s="40" t="s">
        <v>22</v>
      </c>
      <c r="D227" s="9" t="s">
        <v>1702</v>
      </c>
      <c r="E227" s="85" t="s">
        <v>844</v>
      </c>
      <c r="F227" s="84">
        <v>4</v>
      </c>
      <c r="G227" s="84">
        <v>0</v>
      </c>
      <c r="H227" s="84">
        <v>4</v>
      </c>
      <c r="I227" s="97" t="s">
        <v>71</v>
      </c>
      <c r="J227" s="97" t="s">
        <v>71</v>
      </c>
      <c r="K227" s="97" t="s">
        <v>845</v>
      </c>
      <c r="L227" s="85" t="s">
        <v>1491</v>
      </c>
      <c r="M227" s="97" t="s">
        <v>1562</v>
      </c>
      <c r="N227" s="97">
        <v>1</v>
      </c>
      <c r="O227" s="97">
        <v>40</v>
      </c>
      <c r="P227" s="97">
        <v>40</v>
      </c>
      <c r="Q227" s="98">
        <f>N227*(F227+G227)</f>
        <v>4</v>
      </c>
      <c r="R227" s="98">
        <v>4</v>
      </c>
      <c r="S227" s="98"/>
      <c r="T227" s="85"/>
      <c r="U227" s="84"/>
      <c r="V227" s="85"/>
    </row>
    <row r="228" spans="2:22">
      <c r="B228" s="40" t="s">
        <v>49</v>
      </c>
      <c r="C228" s="40" t="s">
        <v>22</v>
      </c>
      <c r="D228" s="9" t="s">
        <v>89</v>
      </c>
      <c r="E228" s="85" t="s">
        <v>90</v>
      </c>
      <c r="F228" s="84">
        <v>6</v>
      </c>
      <c r="G228" s="84">
        <v>0</v>
      </c>
      <c r="H228" s="84">
        <v>5</v>
      </c>
      <c r="I228" s="97" t="s">
        <v>71</v>
      </c>
      <c r="J228" s="97" t="s">
        <v>71</v>
      </c>
      <c r="K228" s="97" t="s">
        <v>91</v>
      </c>
      <c r="L228" s="85" t="s">
        <v>1488</v>
      </c>
      <c r="M228" s="97" t="s">
        <v>1562</v>
      </c>
      <c r="N228" s="97">
        <v>1</v>
      </c>
      <c r="O228" s="97">
        <v>90</v>
      </c>
      <c r="P228" s="97">
        <v>90</v>
      </c>
      <c r="Q228" s="98">
        <f>N228*(F228+G228)</f>
        <v>6</v>
      </c>
      <c r="R228" s="98">
        <v>6</v>
      </c>
      <c r="S228" s="98"/>
      <c r="T228" s="85"/>
      <c r="U228" s="84"/>
      <c r="V228" s="85"/>
    </row>
    <row r="229" spans="2:22">
      <c r="B229" s="40" t="s">
        <v>49</v>
      </c>
      <c r="C229" s="40" t="s">
        <v>22</v>
      </c>
      <c r="D229" s="9" t="s">
        <v>89</v>
      </c>
      <c r="E229" s="85" t="s">
        <v>90</v>
      </c>
      <c r="F229" s="84">
        <v>6</v>
      </c>
      <c r="G229" s="84">
        <v>0</v>
      </c>
      <c r="H229" s="84">
        <v>5</v>
      </c>
      <c r="I229" s="97" t="s">
        <v>71</v>
      </c>
      <c r="J229" s="97" t="s">
        <v>71</v>
      </c>
      <c r="K229" s="97" t="s">
        <v>91</v>
      </c>
      <c r="L229" s="85" t="s">
        <v>1491</v>
      </c>
      <c r="M229" s="97" t="s">
        <v>1562</v>
      </c>
      <c r="N229" s="97">
        <v>1</v>
      </c>
      <c r="O229" s="97">
        <v>90</v>
      </c>
      <c r="P229" s="97">
        <v>90</v>
      </c>
      <c r="Q229" s="98">
        <f>N229*(F229+G229)</f>
        <v>6</v>
      </c>
      <c r="R229" s="98">
        <v>6</v>
      </c>
      <c r="S229" s="98"/>
      <c r="T229" s="85"/>
      <c r="U229" s="84"/>
      <c r="V229" s="85"/>
    </row>
    <row r="230" spans="2:22">
      <c r="B230" s="40" t="s">
        <v>49</v>
      </c>
      <c r="C230" s="40" t="s">
        <v>22</v>
      </c>
      <c r="D230" s="9" t="s">
        <v>631</v>
      </c>
      <c r="E230" s="85" t="s">
        <v>102</v>
      </c>
      <c r="F230" s="84">
        <v>6</v>
      </c>
      <c r="G230" s="84">
        <v>0</v>
      </c>
      <c r="H230" s="84">
        <v>5</v>
      </c>
      <c r="I230" s="97" t="s">
        <v>71</v>
      </c>
      <c r="J230" s="97" t="s">
        <v>71</v>
      </c>
      <c r="K230" s="97" t="s">
        <v>632</v>
      </c>
      <c r="L230" s="85" t="s">
        <v>1488</v>
      </c>
      <c r="M230" s="97" t="s">
        <v>1562</v>
      </c>
      <c r="N230" s="97">
        <v>1</v>
      </c>
      <c r="O230" s="97">
        <v>40</v>
      </c>
      <c r="P230" s="97">
        <v>40</v>
      </c>
      <c r="Q230" s="98">
        <f>N230*(F230+G230)</f>
        <v>6</v>
      </c>
      <c r="R230" s="98">
        <v>6</v>
      </c>
      <c r="S230" s="98"/>
      <c r="T230" s="85"/>
      <c r="U230" s="84"/>
      <c r="V230" s="85"/>
    </row>
    <row r="231" spans="2:22">
      <c r="B231" s="40" t="s">
        <v>49</v>
      </c>
      <c r="C231" s="40" t="s">
        <v>22</v>
      </c>
      <c r="D231" s="9" t="s">
        <v>631</v>
      </c>
      <c r="E231" s="85" t="s">
        <v>102</v>
      </c>
      <c r="F231" s="84">
        <v>6</v>
      </c>
      <c r="G231" s="84">
        <v>0</v>
      </c>
      <c r="H231" s="84">
        <v>5</v>
      </c>
      <c r="I231" s="97" t="s">
        <v>71</v>
      </c>
      <c r="J231" s="97" t="s">
        <v>71</v>
      </c>
      <c r="K231" s="97" t="s">
        <v>632</v>
      </c>
      <c r="L231" s="85" t="s">
        <v>1491</v>
      </c>
      <c r="M231" s="97" t="s">
        <v>1562</v>
      </c>
      <c r="N231" s="97">
        <v>1</v>
      </c>
      <c r="O231" s="97">
        <v>40</v>
      </c>
      <c r="P231" s="97">
        <v>40</v>
      </c>
      <c r="Q231" s="98">
        <f>N231*(F231+G231)</f>
        <v>6</v>
      </c>
      <c r="R231" s="98">
        <v>6</v>
      </c>
      <c r="S231" s="98"/>
      <c r="T231" s="85"/>
      <c r="U231" s="84"/>
      <c r="V231" s="85"/>
    </row>
    <row r="232" spans="2:22">
      <c r="B232" s="40" t="s">
        <v>49</v>
      </c>
      <c r="C232" s="40" t="s">
        <v>22</v>
      </c>
      <c r="D232" s="9" t="s">
        <v>698</v>
      </c>
      <c r="E232" s="85" t="s">
        <v>699</v>
      </c>
      <c r="F232" s="84">
        <v>4</v>
      </c>
      <c r="G232" s="84">
        <v>0</v>
      </c>
      <c r="H232" s="84">
        <v>4</v>
      </c>
      <c r="I232" s="97" t="s">
        <v>71</v>
      </c>
      <c r="J232" s="97" t="s">
        <v>71</v>
      </c>
      <c r="K232" s="97" t="s">
        <v>131</v>
      </c>
      <c r="L232" s="85" t="s">
        <v>1488</v>
      </c>
      <c r="M232" s="97" t="s">
        <v>1562</v>
      </c>
      <c r="N232" s="97">
        <v>1</v>
      </c>
      <c r="O232" s="97">
        <v>40</v>
      </c>
      <c r="P232" s="97">
        <v>40</v>
      </c>
      <c r="Q232" s="98">
        <f>N232*(F232+G232)</f>
        <v>4</v>
      </c>
      <c r="R232" s="98">
        <v>4</v>
      </c>
      <c r="S232" s="98"/>
      <c r="T232" s="85"/>
      <c r="U232" s="84"/>
      <c r="V232" s="85"/>
    </row>
    <row r="233" spans="2:22">
      <c r="B233" s="40" t="s">
        <v>49</v>
      </c>
      <c r="C233" s="40" t="s">
        <v>22</v>
      </c>
      <c r="D233" s="9" t="s">
        <v>698</v>
      </c>
      <c r="E233" s="85" t="s">
        <v>699</v>
      </c>
      <c r="F233" s="84">
        <v>4</v>
      </c>
      <c r="G233" s="84">
        <v>0</v>
      </c>
      <c r="H233" s="84">
        <v>4</v>
      </c>
      <c r="I233" s="97" t="s">
        <v>71</v>
      </c>
      <c r="J233" s="97" t="s">
        <v>71</v>
      </c>
      <c r="K233" s="97" t="s">
        <v>131</v>
      </c>
      <c r="L233" s="85" t="s">
        <v>1491</v>
      </c>
      <c r="M233" s="97" t="s">
        <v>1562</v>
      </c>
      <c r="N233" s="97">
        <v>1</v>
      </c>
      <c r="O233" s="97">
        <v>40</v>
      </c>
      <c r="P233" s="97">
        <v>40</v>
      </c>
      <c r="Q233" s="98">
        <f>N233*(F233+G233)</f>
        <v>4</v>
      </c>
      <c r="R233" s="98">
        <v>4</v>
      </c>
      <c r="S233" s="98"/>
      <c r="T233" s="85"/>
      <c r="U233" s="84"/>
      <c r="V233" s="85"/>
    </row>
    <row r="234" spans="2:22">
      <c r="B234" s="40" t="s">
        <v>49</v>
      </c>
      <c r="C234" s="40" t="s">
        <v>22</v>
      </c>
      <c r="D234" s="9" t="s">
        <v>119</v>
      </c>
      <c r="E234" s="85" t="s">
        <v>120</v>
      </c>
      <c r="F234" s="84">
        <v>4</v>
      </c>
      <c r="G234" s="84">
        <v>0</v>
      </c>
      <c r="H234" s="84">
        <v>4</v>
      </c>
      <c r="I234" s="97" t="s">
        <v>71</v>
      </c>
      <c r="J234" s="97" t="s">
        <v>71</v>
      </c>
      <c r="K234" s="97" t="s">
        <v>121</v>
      </c>
      <c r="L234" s="85" t="s">
        <v>1488</v>
      </c>
      <c r="M234" s="97" t="s">
        <v>1562</v>
      </c>
      <c r="N234" s="97">
        <v>1</v>
      </c>
      <c r="O234" s="97">
        <v>40</v>
      </c>
      <c r="P234" s="97">
        <v>40</v>
      </c>
      <c r="Q234" s="98">
        <f>N234*(F234+G234)</f>
        <v>4</v>
      </c>
      <c r="R234" s="98">
        <v>4</v>
      </c>
      <c r="S234" s="98"/>
      <c r="T234" s="85"/>
      <c r="U234" s="84"/>
      <c r="V234" s="85"/>
    </row>
    <row r="235" spans="2:22">
      <c r="B235" s="40" t="s">
        <v>49</v>
      </c>
      <c r="C235" s="40" t="s">
        <v>22</v>
      </c>
      <c r="D235" s="9" t="s">
        <v>119</v>
      </c>
      <c r="E235" s="85" t="s">
        <v>120</v>
      </c>
      <c r="F235" s="84">
        <v>4</v>
      </c>
      <c r="G235" s="84">
        <v>0</v>
      </c>
      <c r="H235" s="84">
        <v>4</v>
      </c>
      <c r="I235" s="97" t="s">
        <v>71</v>
      </c>
      <c r="J235" s="97" t="s">
        <v>71</v>
      </c>
      <c r="K235" s="97" t="s">
        <v>121</v>
      </c>
      <c r="L235" s="85" t="s">
        <v>1491</v>
      </c>
      <c r="M235" s="97" t="s">
        <v>1562</v>
      </c>
      <c r="N235" s="97">
        <v>1</v>
      </c>
      <c r="O235" s="97">
        <v>40</v>
      </c>
      <c r="P235" s="97">
        <v>40</v>
      </c>
      <c r="Q235" s="98">
        <f>N235*(F235+G235)</f>
        <v>4</v>
      </c>
      <c r="R235" s="98">
        <v>4</v>
      </c>
      <c r="S235" s="98"/>
      <c r="T235" s="85"/>
      <c r="U235" s="84"/>
      <c r="V235" s="85"/>
    </row>
    <row r="236" spans="2:22">
      <c r="B236" s="40" t="s">
        <v>49</v>
      </c>
      <c r="C236" s="40" t="s">
        <v>22</v>
      </c>
      <c r="D236" s="9" t="s">
        <v>668</v>
      </c>
      <c r="E236" s="85" t="s">
        <v>669</v>
      </c>
      <c r="F236" s="84">
        <v>4</v>
      </c>
      <c r="G236" s="84">
        <v>0</v>
      </c>
      <c r="H236" s="84">
        <v>4</v>
      </c>
      <c r="I236" s="97" t="s">
        <v>71</v>
      </c>
      <c r="J236" s="97" t="s">
        <v>71</v>
      </c>
      <c r="K236" s="97" t="s">
        <v>670</v>
      </c>
      <c r="L236" s="85" t="s">
        <v>1488</v>
      </c>
      <c r="M236" s="97" t="s">
        <v>1562</v>
      </c>
      <c r="N236" s="97">
        <v>1</v>
      </c>
      <c r="O236" s="97">
        <v>40</v>
      </c>
      <c r="P236" s="97">
        <v>40</v>
      </c>
      <c r="Q236" s="98">
        <f>N236*(F236+G236)</f>
        <v>4</v>
      </c>
      <c r="R236" s="98">
        <v>4</v>
      </c>
      <c r="S236" s="98"/>
      <c r="T236" s="85"/>
      <c r="U236" s="84"/>
      <c r="V236" s="85"/>
    </row>
    <row r="237" spans="2:22">
      <c r="B237" s="40" t="s">
        <v>49</v>
      </c>
      <c r="C237" s="40" t="s">
        <v>22</v>
      </c>
      <c r="D237" s="9" t="s">
        <v>668</v>
      </c>
      <c r="E237" s="85" t="s">
        <v>669</v>
      </c>
      <c r="F237" s="84">
        <v>4</v>
      </c>
      <c r="G237" s="84">
        <v>0</v>
      </c>
      <c r="H237" s="84">
        <v>4</v>
      </c>
      <c r="I237" s="97" t="s">
        <v>71</v>
      </c>
      <c r="J237" s="97" t="s">
        <v>71</v>
      </c>
      <c r="K237" s="97" t="s">
        <v>670</v>
      </c>
      <c r="L237" s="85" t="s">
        <v>1491</v>
      </c>
      <c r="M237" s="97" t="s">
        <v>1562</v>
      </c>
      <c r="N237" s="97">
        <v>1</v>
      </c>
      <c r="O237" s="97">
        <v>40</v>
      </c>
      <c r="P237" s="97">
        <v>40</v>
      </c>
      <c r="Q237" s="98">
        <f>N237*(F237+G237)</f>
        <v>4</v>
      </c>
      <c r="R237" s="98">
        <v>4</v>
      </c>
      <c r="S237" s="98"/>
      <c r="T237" s="85"/>
      <c r="U237" s="84"/>
      <c r="V237" s="85"/>
    </row>
    <row r="238" spans="2:22">
      <c r="B238" s="40" t="s">
        <v>49</v>
      </c>
      <c r="C238" s="40" t="s">
        <v>22</v>
      </c>
      <c r="D238" s="9" t="s">
        <v>469</v>
      </c>
      <c r="E238" s="85" t="s">
        <v>470</v>
      </c>
      <c r="F238" s="84">
        <v>4</v>
      </c>
      <c r="G238" s="84">
        <v>0</v>
      </c>
      <c r="H238" s="84">
        <v>4</v>
      </c>
      <c r="I238" s="97" t="s">
        <v>71</v>
      </c>
      <c r="J238" s="97" t="s">
        <v>71</v>
      </c>
      <c r="K238" s="97" t="s">
        <v>120</v>
      </c>
      <c r="L238" s="85" t="s">
        <v>1488</v>
      </c>
      <c r="M238" s="97" t="s">
        <v>1562</v>
      </c>
      <c r="N238" s="97">
        <v>1</v>
      </c>
      <c r="O238" s="97">
        <v>40</v>
      </c>
      <c r="P238" s="97">
        <v>40</v>
      </c>
      <c r="Q238" s="98">
        <f>N238*(F238+G238)</f>
        <v>4</v>
      </c>
      <c r="R238" s="98">
        <v>4</v>
      </c>
      <c r="S238" s="98"/>
      <c r="T238" s="85"/>
      <c r="U238" s="84"/>
      <c r="V238" s="85"/>
    </row>
    <row r="239" spans="2:22">
      <c r="B239" s="40" t="s">
        <v>49</v>
      </c>
      <c r="C239" s="40" t="s">
        <v>22</v>
      </c>
      <c r="D239" s="9" t="s">
        <v>469</v>
      </c>
      <c r="E239" s="85" t="s">
        <v>470</v>
      </c>
      <c r="F239" s="84">
        <v>4</v>
      </c>
      <c r="G239" s="84">
        <v>0</v>
      </c>
      <c r="H239" s="84">
        <v>4</v>
      </c>
      <c r="I239" s="97" t="s">
        <v>71</v>
      </c>
      <c r="J239" s="97" t="s">
        <v>71</v>
      </c>
      <c r="K239" s="97" t="s">
        <v>120</v>
      </c>
      <c r="L239" s="85" t="s">
        <v>1491</v>
      </c>
      <c r="M239" s="97" t="s">
        <v>1562</v>
      </c>
      <c r="N239" s="97">
        <v>1</v>
      </c>
      <c r="O239" s="97">
        <v>40</v>
      </c>
      <c r="P239" s="97">
        <v>40</v>
      </c>
      <c r="Q239" s="98">
        <f>N239*(F239+G239)</f>
        <v>4</v>
      </c>
      <c r="R239" s="98">
        <v>4</v>
      </c>
      <c r="S239" s="98"/>
      <c r="T239" s="85"/>
      <c r="U239" s="84"/>
      <c r="V239" s="85"/>
    </row>
    <row r="240" spans="2:22">
      <c r="B240" s="40" t="s">
        <v>49</v>
      </c>
      <c r="C240" s="40" t="s">
        <v>22</v>
      </c>
      <c r="D240" s="9" t="s">
        <v>1289</v>
      </c>
      <c r="E240" s="85" t="s">
        <v>1290</v>
      </c>
      <c r="F240" s="84">
        <v>4</v>
      </c>
      <c r="G240" s="84">
        <v>0</v>
      </c>
      <c r="H240" s="84">
        <v>4</v>
      </c>
      <c r="I240" s="97" t="s">
        <v>73</v>
      </c>
      <c r="J240" s="97" t="s">
        <v>73</v>
      </c>
      <c r="K240" s="97" t="s">
        <v>102</v>
      </c>
      <c r="L240" s="85" t="s">
        <v>1488</v>
      </c>
      <c r="M240" s="97" t="s">
        <v>1562</v>
      </c>
      <c r="N240" s="97">
        <v>1</v>
      </c>
      <c r="O240" s="97">
        <v>40</v>
      </c>
      <c r="P240" s="97">
        <v>40</v>
      </c>
      <c r="Q240" s="98">
        <f>N240*(F240+G240)</f>
        <v>4</v>
      </c>
      <c r="R240" s="98">
        <v>4</v>
      </c>
      <c r="S240" s="98"/>
      <c r="T240" s="85"/>
      <c r="U240" s="84"/>
      <c r="V240" s="85"/>
    </row>
    <row r="241" spans="2:24">
      <c r="B241" s="40" t="s">
        <v>49</v>
      </c>
      <c r="C241" s="40" t="s">
        <v>22</v>
      </c>
      <c r="D241" s="9" t="s">
        <v>1289</v>
      </c>
      <c r="E241" s="85" t="s">
        <v>1290</v>
      </c>
      <c r="F241" s="84">
        <v>4</v>
      </c>
      <c r="G241" s="84">
        <v>0</v>
      </c>
      <c r="H241" s="84">
        <v>4</v>
      </c>
      <c r="I241" s="97" t="s">
        <v>73</v>
      </c>
      <c r="J241" s="97" t="s">
        <v>73</v>
      </c>
      <c r="K241" s="97" t="s">
        <v>102</v>
      </c>
      <c r="L241" s="85" t="s">
        <v>1491</v>
      </c>
      <c r="M241" s="97" t="s">
        <v>1562</v>
      </c>
      <c r="N241" s="97">
        <v>1</v>
      </c>
      <c r="O241" s="97">
        <v>40</v>
      </c>
      <c r="P241" s="97">
        <v>40</v>
      </c>
      <c r="Q241" s="98">
        <f>N241*(F241+G241)</f>
        <v>4</v>
      </c>
      <c r="R241" s="98">
        <v>4</v>
      </c>
      <c r="S241" s="98"/>
      <c r="T241" s="85"/>
      <c r="U241" s="84"/>
      <c r="V241" s="85"/>
    </row>
    <row r="242" spans="2:24">
      <c r="B242" s="40" t="s">
        <v>49</v>
      </c>
      <c r="C242" s="40" t="s">
        <v>22</v>
      </c>
      <c r="D242" s="9" t="s">
        <v>1336</v>
      </c>
      <c r="E242" s="85" t="s">
        <v>1337</v>
      </c>
      <c r="F242" s="84">
        <v>0</v>
      </c>
      <c r="G242" s="84">
        <v>4</v>
      </c>
      <c r="H242" s="84">
        <v>6</v>
      </c>
      <c r="I242" s="97" t="s">
        <v>1511</v>
      </c>
      <c r="J242" s="97" t="s">
        <v>71</v>
      </c>
      <c r="K242" s="97" t="s">
        <v>1335</v>
      </c>
      <c r="L242" s="85" t="s">
        <v>1491</v>
      </c>
      <c r="M242" s="97" t="s">
        <v>1562</v>
      </c>
      <c r="N242" s="97">
        <v>1</v>
      </c>
      <c r="O242" s="97">
        <v>40</v>
      </c>
      <c r="P242" s="97">
        <v>40</v>
      </c>
      <c r="Q242" s="98">
        <f>N242*(F242+G242)</f>
        <v>4</v>
      </c>
      <c r="R242" s="98">
        <v>4</v>
      </c>
      <c r="S242" s="98"/>
      <c r="T242" s="85"/>
      <c r="U242" s="84"/>
      <c r="V242" s="85"/>
    </row>
    <row r="243" spans="2:24">
      <c r="B243" s="40" t="s">
        <v>49</v>
      </c>
      <c r="C243" s="40" t="s">
        <v>22</v>
      </c>
      <c r="D243" s="9" t="s">
        <v>567</v>
      </c>
      <c r="E243" s="85" t="s">
        <v>568</v>
      </c>
      <c r="F243" s="84">
        <v>4</v>
      </c>
      <c r="G243" s="84">
        <v>0</v>
      </c>
      <c r="H243" s="84">
        <v>4</v>
      </c>
      <c r="I243" s="97" t="s">
        <v>71</v>
      </c>
      <c r="J243" s="97" t="s">
        <v>71</v>
      </c>
      <c r="K243" s="97" t="s">
        <v>569</v>
      </c>
      <c r="L243" s="85" t="s">
        <v>1488</v>
      </c>
      <c r="M243" s="97" t="s">
        <v>1562</v>
      </c>
      <c r="N243" s="97">
        <v>1</v>
      </c>
      <c r="O243" s="97">
        <v>40</v>
      </c>
      <c r="P243" s="97">
        <v>40</v>
      </c>
      <c r="Q243" s="98">
        <f>N243*(F243+G243)</f>
        <v>4</v>
      </c>
      <c r="R243" s="98">
        <v>4</v>
      </c>
      <c r="S243" s="98"/>
      <c r="T243" s="85"/>
      <c r="U243" s="84"/>
      <c r="V243" s="85"/>
    </row>
    <row r="244" spans="2:24">
      <c r="B244" s="40" t="s">
        <v>49</v>
      </c>
      <c r="C244" s="40" t="s">
        <v>22</v>
      </c>
      <c r="D244" s="9" t="s">
        <v>916</v>
      </c>
      <c r="E244" s="85" t="s">
        <v>917</v>
      </c>
      <c r="F244" s="84">
        <v>4</v>
      </c>
      <c r="G244" s="84">
        <v>0</v>
      </c>
      <c r="H244" s="84">
        <v>4</v>
      </c>
      <c r="I244" s="97" t="s">
        <v>73</v>
      </c>
      <c r="J244" s="97" t="s">
        <v>73</v>
      </c>
      <c r="K244" s="97" t="s">
        <v>918</v>
      </c>
      <c r="L244" s="85" t="s">
        <v>1488</v>
      </c>
      <c r="M244" s="97" t="s">
        <v>1562</v>
      </c>
      <c r="N244" s="97">
        <v>1</v>
      </c>
      <c r="O244" s="97">
        <v>40</v>
      </c>
      <c r="P244" s="97">
        <v>40</v>
      </c>
      <c r="Q244" s="98">
        <f>N244*(F244+G244)</f>
        <v>4</v>
      </c>
      <c r="R244" s="98">
        <v>4</v>
      </c>
      <c r="S244" s="98"/>
      <c r="T244" s="85"/>
      <c r="U244" s="84"/>
      <c r="V244" s="85"/>
    </row>
    <row r="245" spans="2:24">
      <c r="B245" s="40" t="s">
        <v>49</v>
      </c>
      <c r="C245" s="40" t="s">
        <v>22</v>
      </c>
      <c r="D245" s="9" t="s">
        <v>1703</v>
      </c>
      <c r="E245" s="85" t="s">
        <v>674</v>
      </c>
      <c r="F245" s="84">
        <v>4</v>
      </c>
      <c r="G245" s="84">
        <v>0</v>
      </c>
      <c r="H245" s="84">
        <v>4</v>
      </c>
      <c r="I245" s="97" t="s">
        <v>73</v>
      </c>
      <c r="J245" s="97" t="s">
        <v>73</v>
      </c>
      <c r="K245" s="97" t="s">
        <v>76</v>
      </c>
      <c r="L245" s="85" t="s">
        <v>1491</v>
      </c>
      <c r="M245" s="97" t="s">
        <v>1562</v>
      </c>
      <c r="N245" s="97">
        <v>1</v>
      </c>
      <c r="O245" s="97">
        <v>40</v>
      </c>
      <c r="P245" s="97">
        <v>40</v>
      </c>
      <c r="Q245" s="98">
        <f>N245*(F245+G245)</f>
        <v>4</v>
      </c>
      <c r="R245" s="98">
        <v>4</v>
      </c>
      <c r="S245" s="98"/>
      <c r="T245" s="85"/>
      <c r="U245" s="84"/>
      <c r="V245" s="85"/>
    </row>
    <row r="246" spans="2:24">
      <c r="B246" s="40" t="s">
        <v>49</v>
      </c>
      <c r="C246" s="40" t="s">
        <v>22</v>
      </c>
      <c r="D246" s="9" t="s">
        <v>1320</v>
      </c>
      <c r="E246" s="85" t="s">
        <v>1321</v>
      </c>
      <c r="F246" s="84">
        <v>4</v>
      </c>
      <c r="G246" s="84">
        <v>0</v>
      </c>
      <c r="H246" s="84">
        <v>4</v>
      </c>
      <c r="I246" s="97" t="s">
        <v>73</v>
      </c>
      <c r="J246" s="97" t="s">
        <v>73</v>
      </c>
      <c r="K246" s="97" t="s">
        <v>1322</v>
      </c>
      <c r="L246" s="85" t="s">
        <v>1491</v>
      </c>
      <c r="M246" s="97" t="s">
        <v>1562</v>
      </c>
      <c r="N246" s="97">
        <v>1</v>
      </c>
      <c r="O246" s="97">
        <v>40</v>
      </c>
      <c r="P246" s="97">
        <v>40</v>
      </c>
      <c r="Q246" s="98">
        <f>N246*(F246+G246)</f>
        <v>4</v>
      </c>
      <c r="R246" s="98">
        <v>4</v>
      </c>
      <c r="S246" s="98"/>
      <c r="T246" s="98"/>
      <c r="U246" s="85"/>
      <c r="V246" s="84"/>
      <c r="W246" s="85"/>
    </row>
    <row r="247" spans="2:24">
      <c r="B247" s="45" t="s">
        <v>50</v>
      </c>
      <c r="C247" s="45" t="s">
        <v>23</v>
      </c>
      <c r="D247" s="9" t="s">
        <v>952</v>
      </c>
      <c r="E247" s="85" t="s">
        <v>953</v>
      </c>
      <c r="F247" s="84">
        <v>2</v>
      </c>
      <c r="G247" s="84">
        <v>1</v>
      </c>
      <c r="H247" s="84">
        <v>3</v>
      </c>
      <c r="I247" s="97" t="s">
        <v>71</v>
      </c>
      <c r="J247" s="97" t="s">
        <v>71</v>
      </c>
      <c r="K247" s="97" t="s">
        <v>954</v>
      </c>
      <c r="L247" s="97" t="s">
        <v>1488</v>
      </c>
      <c r="M247" s="97" t="s">
        <v>1562</v>
      </c>
      <c r="N247" s="97">
        <v>1</v>
      </c>
      <c r="O247" s="97">
        <v>30</v>
      </c>
      <c r="P247" s="97">
        <v>30</v>
      </c>
      <c r="Q247" s="98">
        <f>N247*(F247+G247)</f>
        <v>3</v>
      </c>
      <c r="R247" s="98">
        <v>3</v>
      </c>
      <c r="S247" s="98" t="s">
        <v>1710</v>
      </c>
      <c r="T247" s="98" t="s">
        <v>1505</v>
      </c>
      <c r="U247" s="98" t="s">
        <v>1711</v>
      </c>
      <c r="V247" s="85"/>
      <c r="W247" s="84"/>
      <c r="X247" s="113"/>
    </row>
    <row r="248" spans="2:24">
      <c r="B248" s="45" t="s">
        <v>50</v>
      </c>
      <c r="C248" s="45" t="s">
        <v>23</v>
      </c>
      <c r="D248" s="9" t="s">
        <v>1374</v>
      </c>
      <c r="E248" s="85" t="s">
        <v>212</v>
      </c>
      <c r="F248" s="84">
        <v>3</v>
      </c>
      <c r="G248" s="84">
        <v>1</v>
      </c>
      <c r="H248" s="84">
        <v>4</v>
      </c>
      <c r="I248" s="97" t="s">
        <v>71</v>
      </c>
      <c r="J248" s="97" t="s">
        <v>71</v>
      </c>
      <c r="K248" s="97" t="s">
        <v>308</v>
      </c>
      <c r="L248" s="97" t="s">
        <v>1488</v>
      </c>
      <c r="M248" s="97" t="s">
        <v>1528</v>
      </c>
      <c r="N248" s="97">
        <v>1</v>
      </c>
      <c r="O248" s="97">
        <v>30</v>
      </c>
      <c r="P248" s="97">
        <v>30</v>
      </c>
      <c r="Q248" s="98">
        <f>N248*(F248+G248)</f>
        <v>4</v>
      </c>
      <c r="R248" s="98">
        <v>4</v>
      </c>
      <c r="S248" s="98"/>
      <c r="T248" s="98"/>
      <c r="U248" s="98"/>
      <c r="V248" s="85"/>
      <c r="W248" s="84"/>
      <c r="X248" s="113"/>
    </row>
    <row r="249" spans="2:24">
      <c r="B249" s="45" t="s">
        <v>50</v>
      </c>
      <c r="C249" s="45" t="s">
        <v>23</v>
      </c>
      <c r="D249" s="9" t="s">
        <v>1374</v>
      </c>
      <c r="E249" s="85" t="s">
        <v>212</v>
      </c>
      <c r="F249" s="84">
        <v>3</v>
      </c>
      <c r="G249" s="84">
        <v>1</v>
      </c>
      <c r="H249" s="84">
        <v>4</v>
      </c>
      <c r="I249" s="97" t="s">
        <v>71</v>
      </c>
      <c r="J249" s="97" t="s">
        <v>71</v>
      </c>
      <c r="K249" s="97" t="s">
        <v>308</v>
      </c>
      <c r="L249" s="97" t="s">
        <v>1491</v>
      </c>
      <c r="M249" s="97" t="s">
        <v>1528</v>
      </c>
      <c r="N249" s="97">
        <v>1</v>
      </c>
      <c r="O249" s="97">
        <v>30</v>
      </c>
      <c r="P249" s="97">
        <v>30</v>
      </c>
      <c r="Q249" s="98">
        <f>N249*(F249+G249)</f>
        <v>4</v>
      </c>
      <c r="R249" s="98">
        <v>4</v>
      </c>
      <c r="S249" s="98"/>
      <c r="T249" s="98"/>
      <c r="U249" s="98"/>
      <c r="V249" s="85"/>
      <c r="W249" s="84"/>
      <c r="X249" s="113"/>
    </row>
    <row r="250" spans="2:24">
      <c r="B250" s="45" t="s">
        <v>50</v>
      </c>
      <c r="C250" s="45" t="s">
        <v>23</v>
      </c>
      <c r="D250" s="9" t="s">
        <v>955</v>
      </c>
      <c r="E250" s="85" t="s">
        <v>956</v>
      </c>
      <c r="F250" s="84">
        <v>2</v>
      </c>
      <c r="G250" s="84">
        <v>2</v>
      </c>
      <c r="H250" s="84">
        <v>2</v>
      </c>
      <c r="I250" s="97" t="s">
        <v>71</v>
      </c>
      <c r="J250" s="97" t="s">
        <v>71</v>
      </c>
      <c r="K250" s="97" t="s">
        <v>76</v>
      </c>
      <c r="L250" s="97" t="s">
        <v>1488</v>
      </c>
      <c r="M250" s="97" t="s">
        <v>1562</v>
      </c>
      <c r="N250" s="97">
        <v>1</v>
      </c>
      <c r="O250" s="97">
        <v>30</v>
      </c>
      <c r="P250" s="97">
        <v>30</v>
      </c>
      <c r="Q250" s="98">
        <f>N250*(F250+G250)</f>
        <v>4</v>
      </c>
      <c r="R250" s="98">
        <v>4</v>
      </c>
      <c r="S250" s="98" t="s">
        <v>1710</v>
      </c>
      <c r="T250" s="98"/>
      <c r="U250" s="98" t="s">
        <v>1711</v>
      </c>
      <c r="V250" s="85"/>
      <c r="W250" s="84"/>
      <c r="X250" s="113"/>
    </row>
    <row r="251" spans="2:24">
      <c r="B251" s="45" t="s">
        <v>50</v>
      </c>
      <c r="C251" s="45" t="s">
        <v>23</v>
      </c>
      <c r="D251" s="9" t="s">
        <v>177</v>
      </c>
      <c r="E251" s="85" t="s">
        <v>178</v>
      </c>
      <c r="F251" s="84">
        <v>2</v>
      </c>
      <c r="G251" s="84">
        <v>0</v>
      </c>
      <c r="H251" s="84">
        <v>2</v>
      </c>
      <c r="I251" s="97" t="s">
        <v>71</v>
      </c>
      <c r="J251" s="97" t="s">
        <v>71</v>
      </c>
      <c r="K251" s="97" t="s">
        <v>76</v>
      </c>
      <c r="L251" s="97" t="s">
        <v>1488</v>
      </c>
      <c r="M251" s="97" t="s">
        <v>1528</v>
      </c>
      <c r="N251" s="97">
        <v>1</v>
      </c>
      <c r="O251" s="97">
        <v>30</v>
      </c>
      <c r="P251" s="97">
        <v>30</v>
      </c>
      <c r="Q251" s="98">
        <f>N251*(F251+G251)</f>
        <v>2</v>
      </c>
      <c r="R251" s="98">
        <v>2</v>
      </c>
      <c r="S251" s="98"/>
      <c r="T251" s="98"/>
      <c r="U251" s="98"/>
      <c r="V251" s="85"/>
      <c r="W251" s="84"/>
      <c r="X251" s="113"/>
    </row>
    <row r="252" spans="2:24">
      <c r="B252" s="45" t="s">
        <v>50</v>
      </c>
      <c r="C252" s="45" t="s">
        <v>23</v>
      </c>
      <c r="D252" s="9" t="s">
        <v>177</v>
      </c>
      <c r="E252" s="85" t="s">
        <v>178</v>
      </c>
      <c r="F252" s="84">
        <v>2</v>
      </c>
      <c r="G252" s="84">
        <v>0</v>
      </c>
      <c r="H252" s="84">
        <v>2</v>
      </c>
      <c r="I252" s="97" t="s">
        <v>71</v>
      </c>
      <c r="J252" s="97" t="s">
        <v>71</v>
      </c>
      <c r="K252" s="97" t="s">
        <v>76</v>
      </c>
      <c r="L252" s="97" t="s">
        <v>1491</v>
      </c>
      <c r="M252" s="97" t="s">
        <v>1528</v>
      </c>
      <c r="N252" s="97">
        <v>1</v>
      </c>
      <c r="O252" s="97">
        <v>30</v>
      </c>
      <c r="P252" s="97">
        <v>30</v>
      </c>
      <c r="Q252" s="98">
        <f>N252*(F252+G252)</f>
        <v>2</v>
      </c>
      <c r="R252" s="98">
        <v>2</v>
      </c>
      <c r="S252" s="98"/>
      <c r="T252" s="98"/>
      <c r="U252" s="98"/>
      <c r="V252" s="85"/>
      <c r="W252" s="84"/>
      <c r="X252" s="113"/>
    </row>
    <row r="253" spans="2:24">
      <c r="B253" s="45" t="s">
        <v>50</v>
      </c>
      <c r="C253" s="45" t="s">
        <v>23</v>
      </c>
      <c r="D253" s="9" t="s">
        <v>794</v>
      </c>
      <c r="E253" s="85" t="s">
        <v>795</v>
      </c>
      <c r="F253" s="84">
        <v>4</v>
      </c>
      <c r="G253" s="84">
        <v>0</v>
      </c>
      <c r="H253" s="84">
        <v>4</v>
      </c>
      <c r="I253" s="97" t="s">
        <v>71</v>
      </c>
      <c r="J253" s="97" t="s">
        <v>71</v>
      </c>
      <c r="K253" s="97" t="s">
        <v>76</v>
      </c>
      <c r="L253" s="97" t="s">
        <v>1488</v>
      </c>
      <c r="M253" s="97" t="s">
        <v>1528</v>
      </c>
      <c r="N253" s="97">
        <v>1</v>
      </c>
      <c r="O253" s="97">
        <v>30</v>
      </c>
      <c r="P253" s="97">
        <v>30</v>
      </c>
      <c r="Q253" s="98">
        <f>N253*(F253+G253)</f>
        <v>4</v>
      </c>
      <c r="R253" s="98">
        <v>4</v>
      </c>
      <c r="S253" s="98" t="s">
        <v>1509</v>
      </c>
      <c r="T253" s="98" t="s">
        <v>1518</v>
      </c>
      <c r="U253" s="98"/>
      <c r="V253" s="85"/>
      <c r="W253" s="84"/>
      <c r="X253" s="113"/>
    </row>
    <row r="254" spans="2:24">
      <c r="B254" s="45" t="s">
        <v>50</v>
      </c>
      <c r="C254" s="45" t="s">
        <v>23</v>
      </c>
      <c r="D254" s="9" t="s">
        <v>794</v>
      </c>
      <c r="E254" s="85" t="s">
        <v>795</v>
      </c>
      <c r="F254" s="84">
        <v>4</v>
      </c>
      <c r="G254" s="84">
        <v>0</v>
      </c>
      <c r="H254" s="84">
        <v>4</v>
      </c>
      <c r="I254" s="97" t="s">
        <v>71</v>
      </c>
      <c r="J254" s="97" t="s">
        <v>71</v>
      </c>
      <c r="K254" s="97" t="s">
        <v>76</v>
      </c>
      <c r="L254" s="85" t="s">
        <v>1491</v>
      </c>
      <c r="M254" s="97" t="s">
        <v>1528</v>
      </c>
      <c r="N254" s="97">
        <v>1</v>
      </c>
      <c r="O254" s="97">
        <v>30</v>
      </c>
      <c r="P254" s="97">
        <v>30</v>
      </c>
      <c r="Q254" s="98">
        <f>N254*(F254+G254)</f>
        <v>4</v>
      </c>
      <c r="R254" s="98">
        <v>4</v>
      </c>
      <c r="S254" s="98" t="s">
        <v>1509</v>
      </c>
      <c r="T254" s="98" t="s">
        <v>1518</v>
      </c>
      <c r="U254" s="85"/>
      <c r="V254" s="84"/>
      <c r="W254" s="85"/>
    </row>
    <row r="255" spans="2:24">
      <c r="B255" s="45" t="s">
        <v>50</v>
      </c>
      <c r="C255" s="45" t="s">
        <v>23</v>
      </c>
      <c r="D255" s="9" t="s">
        <v>1132</v>
      </c>
      <c r="E255" s="85" t="s">
        <v>1133</v>
      </c>
      <c r="F255" s="84">
        <v>4</v>
      </c>
      <c r="G255" s="84">
        <v>0</v>
      </c>
      <c r="H255" s="84">
        <v>4</v>
      </c>
      <c r="I255" s="97" t="s">
        <v>71</v>
      </c>
      <c r="J255" s="97" t="s">
        <v>71</v>
      </c>
      <c r="K255" s="97" t="s">
        <v>76</v>
      </c>
      <c r="L255" s="85" t="s">
        <v>1488</v>
      </c>
      <c r="M255" s="97" t="s">
        <v>1528</v>
      </c>
      <c r="N255" s="97">
        <v>1</v>
      </c>
      <c r="O255" s="97">
        <v>30</v>
      </c>
      <c r="P255" s="97">
        <v>30</v>
      </c>
      <c r="Q255" s="98">
        <f>N255*(F255+G255)</f>
        <v>4</v>
      </c>
      <c r="R255" s="98">
        <v>4</v>
      </c>
      <c r="S255" s="98"/>
      <c r="T255" s="98"/>
      <c r="U255" s="85"/>
      <c r="V255" s="84"/>
      <c r="W255" s="85"/>
    </row>
    <row r="256" spans="2:24">
      <c r="B256" s="45" t="s">
        <v>50</v>
      </c>
      <c r="C256" s="45" t="s">
        <v>23</v>
      </c>
      <c r="D256" s="9" t="s">
        <v>1132</v>
      </c>
      <c r="E256" s="85" t="s">
        <v>1133</v>
      </c>
      <c r="F256" s="84">
        <v>4</v>
      </c>
      <c r="G256" s="84">
        <v>0</v>
      </c>
      <c r="H256" s="84">
        <v>4</v>
      </c>
      <c r="I256" s="97" t="s">
        <v>71</v>
      </c>
      <c r="J256" s="97" t="s">
        <v>71</v>
      </c>
      <c r="K256" s="97" t="s">
        <v>76</v>
      </c>
      <c r="L256" s="85" t="s">
        <v>1491</v>
      </c>
      <c r="M256" s="97" t="s">
        <v>1528</v>
      </c>
      <c r="N256" s="97">
        <v>1</v>
      </c>
      <c r="O256" s="97">
        <v>30</v>
      </c>
      <c r="P256" s="97">
        <v>30</v>
      </c>
      <c r="Q256" s="98">
        <f>N256*(F256+G256)</f>
        <v>4</v>
      </c>
      <c r="R256" s="98">
        <v>4</v>
      </c>
      <c r="S256" s="98"/>
      <c r="T256" s="98"/>
      <c r="U256" s="85"/>
      <c r="V256" s="84"/>
      <c r="W256" s="85"/>
    </row>
    <row r="257" spans="2:24">
      <c r="B257" s="45" t="s">
        <v>50</v>
      </c>
      <c r="C257" s="45" t="s">
        <v>23</v>
      </c>
      <c r="D257" s="9" t="s">
        <v>1132</v>
      </c>
      <c r="E257" s="85" t="s">
        <v>1133</v>
      </c>
      <c r="F257" s="84">
        <v>4</v>
      </c>
      <c r="G257" s="84">
        <v>0</v>
      </c>
      <c r="H257" s="84">
        <v>4</v>
      </c>
      <c r="I257" s="97" t="s">
        <v>71</v>
      </c>
      <c r="J257" s="97" t="s">
        <v>71</v>
      </c>
      <c r="K257" s="97" t="s">
        <v>76</v>
      </c>
      <c r="L257" s="97" t="s">
        <v>1488</v>
      </c>
      <c r="M257" s="97" t="s">
        <v>1562</v>
      </c>
      <c r="N257" s="97">
        <v>1</v>
      </c>
      <c r="O257" s="97">
        <v>30</v>
      </c>
      <c r="P257" s="97">
        <v>30</v>
      </c>
      <c r="Q257" s="98">
        <f>N257*(F257+G257)</f>
        <v>4</v>
      </c>
      <c r="R257" s="98">
        <v>4</v>
      </c>
      <c r="S257" s="98"/>
      <c r="T257" s="98"/>
      <c r="U257" s="98" t="s">
        <v>1712</v>
      </c>
      <c r="V257" s="85"/>
      <c r="W257" s="84"/>
      <c r="X257" s="113"/>
    </row>
    <row r="258" spans="2:24">
      <c r="B258" s="45" t="s">
        <v>50</v>
      </c>
      <c r="C258" s="45" t="s">
        <v>23</v>
      </c>
      <c r="D258" s="9" t="s">
        <v>957</v>
      </c>
      <c r="E258" s="85" t="s">
        <v>958</v>
      </c>
      <c r="F258" s="84">
        <v>4</v>
      </c>
      <c r="G258" s="84">
        <v>2</v>
      </c>
      <c r="H258" s="84">
        <v>2</v>
      </c>
      <c r="I258" s="97" t="s">
        <v>71</v>
      </c>
      <c r="J258" s="97" t="s">
        <v>71</v>
      </c>
      <c r="K258" s="97" t="s">
        <v>959</v>
      </c>
      <c r="L258" s="97" t="s">
        <v>1488</v>
      </c>
      <c r="M258" s="97" t="s">
        <v>1528</v>
      </c>
      <c r="N258" s="97">
        <v>1</v>
      </c>
      <c r="O258" s="97">
        <v>30</v>
      </c>
      <c r="P258" s="97">
        <v>30</v>
      </c>
      <c r="Q258" s="98">
        <f>N258*(F258+G258)</f>
        <v>6</v>
      </c>
      <c r="R258" s="98">
        <v>6</v>
      </c>
      <c r="S258" s="98" t="s">
        <v>1710</v>
      </c>
      <c r="T258" s="98" t="s">
        <v>1518</v>
      </c>
      <c r="U258" s="98"/>
      <c r="V258" s="85"/>
      <c r="W258" s="84"/>
      <c r="X258" s="113"/>
    </row>
    <row r="259" spans="2:24">
      <c r="B259" s="45" t="s">
        <v>50</v>
      </c>
      <c r="C259" s="45" t="s">
        <v>23</v>
      </c>
      <c r="D259" s="9" t="s">
        <v>957</v>
      </c>
      <c r="E259" s="85" t="s">
        <v>958</v>
      </c>
      <c r="F259" s="84">
        <v>4</v>
      </c>
      <c r="G259" s="84">
        <v>2</v>
      </c>
      <c r="H259" s="84">
        <v>2</v>
      </c>
      <c r="I259" s="97" t="s">
        <v>71</v>
      </c>
      <c r="J259" s="97" t="s">
        <v>71</v>
      </c>
      <c r="K259" s="97" t="s">
        <v>959</v>
      </c>
      <c r="L259" s="97" t="s">
        <v>1491</v>
      </c>
      <c r="M259" s="97" t="s">
        <v>1528</v>
      </c>
      <c r="N259" s="97">
        <v>1</v>
      </c>
      <c r="O259" s="97">
        <v>30</v>
      </c>
      <c r="P259" s="97">
        <v>30</v>
      </c>
      <c r="Q259" s="98">
        <f>N259*(F259+G259)</f>
        <v>6</v>
      </c>
      <c r="R259" s="98">
        <v>6</v>
      </c>
      <c r="S259" s="98" t="s">
        <v>1710</v>
      </c>
      <c r="T259" s="98" t="s">
        <v>1518</v>
      </c>
      <c r="U259" s="98"/>
      <c r="V259" s="85"/>
      <c r="W259" s="84"/>
      <c r="X259" s="113"/>
    </row>
    <row r="260" spans="2:24">
      <c r="B260" s="45" t="s">
        <v>50</v>
      </c>
      <c r="C260" s="45" t="s">
        <v>23</v>
      </c>
      <c r="D260" s="9" t="s">
        <v>957</v>
      </c>
      <c r="E260" s="85" t="s">
        <v>958</v>
      </c>
      <c r="F260" s="84">
        <v>4</v>
      </c>
      <c r="G260" s="84">
        <v>2</v>
      </c>
      <c r="H260" s="84">
        <v>2</v>
      </c>
      <c r="I260" s="97" t="s">
        <v>71</v>
      </c>
      <c r="J260" s="97" t="s">
        <v>71</v>
      </c>
      <c r="K260" s="97" t="s">
        <v>959</v>
      </c>
      <c r="L260" s="97" t="s">
        <v>1488</v>
      </c>
      <c r="M260" s="97" t="s">
        <v>1562</v>
      </c>
      <c r="N260" s="97">
        <v>1</v>
      </c>
      <c r="O260" s="97">
        <v>30</v>
      </c>
      <c r="P260" s="97">
        <v>30</v>
      </c>
      <c r="Q260" s="98">
        <f>N260*(F260+G260)</f>
        <v>6</v>
      </c>
      <c r="R260" s="98">
        <v>6</v>
      </c>
      <c r="S260" s="98" t="s">
        <v>1710</v>
      </c>
      <c r="T260" s="98" t="s">
        <v>1518</v>
      </c>
      <c r="U260" s="98" t="s">
        <v>1712</v>
      </c>
      <c r="V260" s="85"/>
      <c r="W260" s="84"/>
      <c r="X260" s="113"/>
    </row>
    <row r="261" spans="2:24">
      <c r="B261" s="45" t="s">
        <v>50</v>
      </c>
      <c r="C261" s="45" t="s">
        <v>23</v>
      </c>
      <c r="D261" s="9" t="s">
        <v>794</v>
      </c>
      <c r="E261" s="85" t="s">
        <v>795</v>
      </c>
      <c r="F261" s="84">
        <v>4</v>
      </c>
      <c r="G261" s="84">
        <v>0</v>
      </c>
      <c r="H261" s="84">
        <v>4</v>
      </c>
      <c r="I261" s="97" t="s">
        <v>71</v>
      </c>
      <c r="J261" s="97" t="s">
        <v>71</v>
      </c>
      <c r="K261" s="97" t="s">
        <v>76</v>
      </c>
      <c r="L261" s="85" t="s">
        <v>1488</v>
      </c>
      <c r="M261" s="97" t="s">
        <v>1562</v>
      </c>
      <c r="N261" s="97">
        <v>1</v>
      </c>
      <c r="O261" s="97">
        <v>30</v>
      </c>
      <c r="P261" s="97">
        <v>30</v>
      </c>
      <c r="Q261" s="98">
        <f>N261*(F261+G261)</f>
        <v>4</v>
      </c>
      <c r="R261" s="98">
        <v>4</v>
      </c>
      <c r="S261" s="98" t="s">
        <v>1509</v>
      </c>
      <c r="T261" s="98"/>
      <c r="U261" s="85" t="s">
        <v>1712</v>
      </c>
      <c r="V261" s="84"/>
      <c r="W261" s="85"/>
    </row>
    <row r="262" spans="2:24">
      <c r="B262" s="69" t="s">
        <v>52</v>
      </c>
      <c r="C262" s="69" t="s">
        <v>24</v>
      </c>
      <c r="D262" s="9" t="s">
        <v>1360</v>
      </c>
      <c r="E262" s="85" t="s">
        <v>208</v>
      </c>
      <c r="F262" s="84">
        <v>3</v>
      </c>
      <c r="G262" s="84">
        <v>0</v>
      </c>
      <c r="H262" s="84">
        <v>4</v>
      </c>
      <c r="I262" s="97" t="s">
        <v>71</v>
      </c>
      <c r="J262" s="97" t="s">
        <v>71</v>
      </c>
      <c r="K262" s="85" t="s">
        <v>76</v>
      </c>
      <c r="L262" s="97" t="s">
        <v>1488</v>
      </c>
      <c r="M262" s="97" t="s">
        <v>1528</v>
      </c>
      <c r="N262" s="97">
        <v>1</v>
      </c>
      <c r="O262" s="97">
        <v>38</v>
      </c>
      <c r="P262" s="98">
        <v>38</v>
      </c>
      <c r="Q262" s="98">
        <f>N262*(F262+G262)</f>
        <v>3</v>
      </c>
      <c r="R262" s="98">
        <v>3</v>
      </c>
      <c r="S262" s="85"/>
      <c r="T262" s="84"/>
      <c r="U262" s="85"/>
    </row>
    <row r="263" spans="2:24">
      <c r="B263" s="69" t="s">
        <v>52</v>
      </c>
      <c r="C263" s="69" t="s">
        <v>24</v>
      </c>
      <c r="D263" s="9" t="s">
        <v>404</v>
      </c>
      <c r="E263" s="85" t="s">
        <v>405</v>
      </c>
      <c r="F263" s="84">
        <v>4</v>
      </c>
      <c r="G263" s="84">
        <v>0</v>
      </c>
      <c r="H263" s="84">
        <v>4</v>
      </c>
      <c r="I263" s="97" t="s">
        <v>71</v>
      </c>
      <c r="J263" s="97" t="s">
        <v>71</v>
      </c>
      <c r="K263" s="85" t="s">
        <v>76</v>
      </c>
      <c r="L263" s="97" t="s">
        <v>1488</v>
      </c>
      <c r="M263" s="97" t="s">
        <v>1528</v>
      </c>
      <c r="N263" s="97">
        <v>1</v>
      </c>
      <c r="O263" s="97">
        <v>38</v>
      </c>
      <c r="P263" s="98">
        <v>38</v>
      </c>
      <c r="Q263" s="98">
        <f>N263*(F263+G263)</f>
        <v>4</v>
      </c>
      <c r="R263" s="98">
        <v>4</v>
      </c>
      <c r="S263" s="85"/>
      <c r="T263" s="84"/>
      <c r="U263" s="85"/>
    </row>
    <row r="264" spans="2:24">
      <c r="B264" s="69" t="s">
        <v>52</v>
      </c>
      <c r="C264" s="69" t="s">
        <v>24</v>
      </c>
      <c r="D264" s="9" t="s">
        <v>342</v>
      </c>
      <c r="E264" s="85" t="s">
        <v>343</v>
      </c>
      <c r="F264" s="84">
        <v>4</v>
      </c>
      <c r="G264" s="84">
        <v>0</v>
      </c>
      <c r="H264" s="84">
        <v>4</v>
      </c>
      <c r="I264" s="97" t="s">
        <v>71</v>
      </c>
      <c r="J264" s="97" t="s">
        <v>71</v>
      </c>
      <c r="K264" s="85" t="s">
        <v>76</v>
      </c>
      <c r="L264" s="97" t="s">
        <v>1488</v>
      </c>
      <c r="M264" s="97" t="s">
        <v>1528</v>
      </c>
      <c r="N264" s="97">
        <v>1</v>
      </c>
      <c r="O264" s="97">
        <v>38</v>
      </c>
      <c r="P264" s="98">
        <v>38</v>
      </c>
      <c r="Q264" s="98">
        <f>N264*(F264+G264)</f>
        <v>4</v>
      </c>
      <c r="R264" s="98">
        <v>4</v>
      </c>
      <c r="S264" s="85"/>
      <c r="T264" s="84"/>
      <c r="U264" s="85"/>
    </row>
    <row r="265" spans="2:24">
      <c r="B265" s="69" t="s">
        <v>52</v>
      </c>
      <c r="C265" s="69" t="s">
        <v>24</v>
      </c>
      <c r="D265" s="9" t="s">
        <v>238</v>
      </c>
      <c r="E265" s="85" t="s">
        <v>239</v>
      </c>
      <c r="F265" s="84">
        <v>2</v>
      </c>
      <c r="G265" s="84">
        <v>3</v>
      </c>
      <c r="H265" s="84">
        <v>3</v>
      </c>
      <c r="I265" s="97" t="s">
        <v>71</v>
      </c>
      <c r="J265" s="97" t="s">
        <v>71</v>
      </c>
      <c r="K265" s="85" t="s">
        <v>76</v>
      </c>
      <c r="L265" s="97" t="s">
        <v>1488</v>
      </c>
      <c r="M265" s="97" t="s">
        <v>1528</v>
      </c>
      <c r="N265" s="97">
        <v>1</v>
      </c>
      <c r="O265" s="97">
        <v>38</v>
      </c>
      <c r="P265" s="98">
        <v>38</v>
      </c>
      <c r="Q265" s="98">
        <f>N265*(F265+G265)</f>
        <v>5</v>
      </c>
      <c r="R265" s="98">
        <v>5</v>
      </c>
      <c r="S265" s="85" t="s">
        <v>1622</v>
      </c>
      <c r="T265" s="84" t="s">
        <v>1564</v>
      </c>
      <c r="U265" s="85" t="s">
        <v>1623</v>
      </c>
    </row>
    <row r="266" spans="2:24">
      <c r="B266" s="69" t="s">
        <v>52</v>
      </c>
      <c r="C266" s="69" t="s">
        <v>24</v>
      </c>
      <c r="D266" s="9" t="s">
        <v>1163</v>
      </c>
      <c r="E266" s="85" t="s">
        <v>1164</v>
      </c>
      <c r="F266" s="84">
        <v>2</v>
      </c>
      <c r="G266" s="84">
        <v>0</v>
      </c>
      <c r="H266" s="84">
        <v>2</v>
      </c>
      <c r="I266" s="97" t="s">
        <v>71</v>
      </c>
      <c r="J266" s="97" t="s">
        <v>71</v>
      </c>
      <c r="K266" s="85" t="s">
        <v>76</v>
      </c>
      <c r="L266" s="97" t="s">
        <v>1488</v>
      </c>
      <c r="M266" s="97" t="s">
        <v>1528</v>
      </c>
      <c r="N266" s="97">
        <v>1</v>
      </c>
      <c r="O266" s="97">
        <v>38</v>
      </c>
      <c r="P266" s="98">
        <v>38</v>
      </c>
      <c r="Q266" s="98">
        <f>N266*(F266+G266)</f>
        <v>2</v>
      </c>
      <c r="R266" s="98">
        <v>2</v>
      </c>
      <c r="S266" s="85"/>
      <c r="T266" s="84"/>
      <c r="U266" s="85"/>
    </row>
    <row r="267" spans="2:24">
      <c r="B267" s="69" t="s">
        <v>52</v>
      </c>
      <c r="C267" s="69" t="s">
        <v>24</v>
      </c>
      <c r="D267" s="9" t="s">
        <v>1360</v>
      </c>
      <c r="E267" s="85" t="s">
        <v>208</v>
      </c>
      <c r="F267" s="84">
        <v>3</v>
      </c>
      <c r="G267" s="84">
        <v>0</v>
      </c>
      <c r="H267" s="84">
        <v>4</v>
      </c>
      <c r="I267" s="97" t="s">
        <v>71</v>
      </c>
      <c r="J267" s="97" t="s">
        <v>71</v>
      </c>
      <c r="K267" s="85" t="s">
        <v>76</v>
      </c>
      <c r="L267" s="97" t="s">
        <v>1491</v>
      </c>
      <c r="M267" s="97" t="s">
        <v>1528</v>
      </c>
      <c r="N267" s="97">
        <v>1</v>
      </c>
      <c r="O267" s="97">
        <v>38</v>
      </c>
      <c r="P267" s="98">
        <v>38</v>
      </c>
      <c r="Q267" s="98">
        <f>N267*(F267+G267)</f>
        <v>3</v>
      </c>
      <c r="R267" s="98">
        <v>3</v>
      </c>
      <c r="S267" s="85"/>
      <c r="T267" s="84"/>
      <c r="U267" s="85"/>
    </row>
    <row r="268" spans="2:24">
      <c r="B268" s="69" t="s">
        <v>52</v>
      </c>
      <c r="C268" s="69" t="s">
        <v>24</v>
      </c>
      <c r="D268" s="9" t="s">
        <v>404</v>
      </c>
      <c r="E268" s="85" t="s">
        <v>405</v>
      </c>
      <c r="F268" s="84">
        <v>4</v>
      </c>
      <c r="G268" s="84">
        <v>0</v>
      </c>
      <c r="H268" s="84">
        <v>4</v>
      </c>
      <c r="I268" s="97" t="s">
        <v>71</v>
      </c>
      <c r="J268" s="97" t="s">
        <v>71</v>
      </c>
      <c r="K268" s="85" t="s">
        <v>76</v>
      </c>
      <c r="L268" s="97" t="s">
        <v>1491</v>
      </c>
      <c r="M268" s="97" t="s">
        <v>1528</v>
      </c>
      <c r="N268" s="97">
        <v>1</v>
      </c>
      <c r="O268" s="97">
        <v>38</v>
      </c>
      <c r="P268" s="98">
        <v>38</v>
      </c>
      <c r="Q268" s="98">
        <f>N268*(F268+G268)</f>
        <v>4</v>
      </c>
      <c r="R268" s="98">
        <v>4</v>
      </c>
      <c r="S268" s="85"/>
      <c r="T268" s="84"/>
      <c r="U268" s="85"/>
    </row>
    <row r="269" spans="2:24">
      <c r="B269" s="69" t="s">
        <v>52</v>
      </c>
      <c r="C269" s="69" t="s">
        <v>24</v>
      </c>
      <c r="D269" s="9" t="s">
        <v>342</v>
      </c>
      <c r="E269" s="85" t="s">
        <v>343</v>
      </c>
      <c r="F269" s="84">
        <v>4</v>
      </c>
      <c r="G269" s="84">
        <v>0</v>
      </c>
      <c r="H269" s="84">
        <v>4</v>
      </c>
      <c r="I269" s="97" t="s">
        <v>71</v>
      </c>
      <c r="J269" s="97" t="s">
        <v>71</v>
      </c>
      <c r="K269" s="85" t="s">
        <v>76</v>
      </c>
      <c r="L269" s="97" t="s">
        <v>1491</v>
      </c>
      <c r="M269" s="97" t="s">
        <v>1528</v>
      </c>
      <c r="N269" s="97">
        <v>1</v>
      </c>
      <c r="O269" s="97">
        <v>38</v>
      </c>
      <c r="P269" s="98">
        <v>38</v>
      </c>
      <c r="Q269" s="98">
        <f>N269*(F269+G269)</f>
        <v>4</v>
      </c>
      <c r="R269" s="98">
        <v>4</v>
      </c>
      <c r="S269" s="85"/>
      <c r="T269" s="84"/>
      <c r="U269" s="85"/>
    </row>
    <row r="270" spans="2:24">
      <c r="B270" s="69" t="s">
        <v>52</v>
      </c>
      <c r="C270" s="69" t="s">
        <v>24</v>
      </c>
      <c r="D270" s="9" t="s">
        <v>238</v>
      </c>
      <c r="E270" s="85" t="s">
        <v>239</v>
      </c>
      <c r="F270" s="84">
        <v>2</v>
      </c>
      <c r="G270" s="84">
        <v>3</v>
      </c>
      <c r="H270" s="84">
        <v>3</v>
      </c>
      <c r="I270" s="97" t="s">
        <v>71</v>
      </c>
      <c r="J270" s="97" t="s">
        <v>71</v>
      </c>
      <c r="K270" s="85" t="s">
        <v>76</v>
      </c>
      <c r="L270" s="97" t="s">
        <v>1491</v>
      </c>
      <c r="M270" s="97" t="s">
        <v>1528</v>
      </c>
      <c r="N270" s="97">
        <v>1</v>
      </c>
      <c r="O270" s="97">
        <v>38</v>
      </c>
      <c r="P270" s="98">
        <v>38</v>
      </c>
      <c r="Q270" s="98">
        <f>N270*(F270+G270)</f>
        <v>5</v>
      </c>
      <c r="R270" s="98">
        <v>5</v>
      </c>
      <c r="S270" s="85" t="s">
        <v>1622</v>
      </c>
      <c r="T270" s="84" t="s">
        <v>1564</v>
      </c>
      <c r="U270" s="85" t="s">
        <v>1623</v>
      </c>
    </row>
    <row r="271" spans="2:24">
      <c r="B271" s="69" t="s">
        <v>52</v>
      </c>
      <c r="C271" s="69" t="s">
        <v>24</v>
      </c>
      <c r="D271" s="9" t="s">
        <v>1163</v>
      </c>
      <c r="E271" s="85" t="s">
        <v>1164</v>
      </c>
      <c r="F271" s="84">
        <v>2</v>
      </c>
      <c r="G271" s="84">
        <v>0</v>
      </c>
      <c r="H271" s="84">
        <v>2</v>
      </c>
      <c r="I271" s="97" t="s">
        <v>71</v>
      </c>
      <c r="J271" s="97" t="s">
        <v>71</v>
      </c>
      <c r="K271" s="85" t="s">
        <v>76</v>
      </c>
      <c r="L271" s="97" t="s">
        <v>1491</v>
      </c>
      <c r="M271" s="97" t="s">
        <v>1528</v>
      </c>
      <c r="N271" s="97">
        <v>1</v>
      </c>
      <c r="O271" s="97">
        <v>38</v>
      </c>
      <c r="P271" s="98">
        <v>38</v>
      </c>
      <c r="Q271" s="98">
        <f>N271*(F271+G271)</f>
        <v>2</v>
      </c>
      <c r="R271" s="98">
        <v>2</v>
      </c>
      <c r="S271" s="85"/>
      <c r="T271" s="84"/>
      <c r="U271" s="85"/>
    </row>
    <row r="272" spans="2:24">
      <c r="B272" s="69" t="s">
        <v>52</v>
      </c>
      <c r="C272" s="69" t="s">
        <v>24</v>
      </c>
      <c r="D272" s="9" t="s">
        <v>1411</v>
      </c>
      <c r="E272" s="85" t="s">
        <v>1624</v>
      </c>
      <c r="F272" s="84">
        <v>1</v>
      </c>
      <c r="G272" s="84">
        <v>3</v>
      </c>
      <c r="H272" s="84">
        <v>4</v>
      </c>
      <c r="I272" s="97" t="s">
        <v>73</v>
      </c>
      <c r="J272" s="97" t="s">
        <v>73</v>
      </c>
      <c r="K272" s="85"/>
      <c r="L272" s="97" t="s">
        <v>1488</v>
      </c>
      <c r="M272" s="97" t="s">
        <v>1528</v>
      </c>
      <c r="N272" s="97">
        <v>1</v>
      </c>
      <c r="O272" s="97">
        <v>38</v>
      </c>
      <c r="P272" s="98">
        <v>38</v>
      </c>
      <c r="Q272" s="98">
        <f>N272*(F272+G272)</f>
        <v>4</v>
      </c>
      <c r="R272" s="98">
        <v>4</v>
      </c>
      <c r="S272" s="85" t="s">
        <v>1622</v>
      </c>
      <c r="T272" s="84" t="s">
        <v>1564</v>
      </c>
      <c r="U272" s="85" t="s">
        <v>1623</v>
      </c>
    </row>
    <row r="273" spans="1:21">
      <c r="B273" s="69" t="s">
        <v>52</v>
      </c>
      <c r="C273" s="69" t="s">
        <v>24</v>
      </c>
      <c r="D273" s="9" t="s">
        <v>1411</v>
      </c>
      <c r="E273" s="85" t="s">
        <v>1624</v>
      </c>
      <c r="F273" s="84">
        <v>1</v>
      </c>
      <c r="G273" s="84">
        <v>3</v>
      </c>
      <c r="H273" s="84">
        <v>4</v>
      </c>
      <c r="I273" s="97" t="s">
        <v>73</v>
      </c>
      <c r="J273" s="97" t="s">
        <v>73</v>
      </c>
      <c r="K273" s="85"/>
      <c r="L273" s="97" t="s">
        <v>1488</v>
      </c>
      <c r="M273" s="97" t="s">
        <v>1528</v>
      </c>
      <c r="N273" s="97">
        <v>1</v>
      </c>
      <c r="O273" s="97">
        <v>38</v>
      </c>
      <c r="P273" s="98">
        <v>38</v>
      </c>
      <c r="Q273" s="98">
        <f>N273*(F273+G273)</f>
        <v>4</v>
      </c>
      <c r="R273" s="98">
        <v>4</v>
      </c>
      <c r="S273" s="85" t="s">
        <v>1622</v>
      </c>
      <c r="T273" s="84" t="s">
        <v>1564</v>
      </c>
      <c r="U273" s="85" t="s">
        <v>1623</v>
      </c>
    </row>
    <row r="274" spans="1:21">
      <c r="B274" s="39" t="s">
        <v>51</v>
      </c>
      <c r="C274" s="39" t="s">
        <v>25</v>
      </c>
      <c r="D274" s="9" t="s">
        <v>748</v>
      </c>
      <c r="E274" s="85" t="s">
        <v>749</v>
      </c>
      <c r="F274" s="84">
        <v>2</v>
      </c>
      <c r="G274" s="84">
        <v>2</v>
      </c>
      <c r="H274" s="84">
        <v>4</v>
      </c>
      <c r="I274" s="97" t="s">
        <v>71</v>
      </c>
      <c r="J274" s="97" t="s">
        <v>71</v>
      </c>
      <c r="K274" s="85" t="s">
        <v>76</v>
      </c>
      <c r="L274" s="97" t="s">
        <v>1491</v>
      </c>
      <c r="M274" s="97" t="s">
        <v>1528</v>
      </c>
      <c r="N274" s="97">
        <v>1</v>
      </c>
      <c r="O274" s="97">
        <v>45</v>
      </c>
      <c r="P274" s="98">
        <v>45</v>
      </c>
      <c r="Q274" s="98">
        <f>N274*(F274+G274)</f>
        <v>4</v>
      </c>
      <c r="R274" s="98">
        <v>4</v>
      </c>
      <c r="S274" s="85" t="s">
        <v>1489</v>
      </c>
      <c r="T274" s="84" t="s">
        <v>1490</v>
      </c>
      <c r="U274" s="85"/>
    </row>
    <row r="275" spans="1:21">
      <c r="B275" s="39" t="s">
        <v>51</v>
      </c>
      <c r="C275" s="39" t="s">
        <v>25</v>
      </c>
      <c r="D275" s="9" t="s">
        <v>1375</v>
      </c>
      <c r="E275" s="85" t="s">
        <v>1376</v>
      </c>
      <c r="F275" s="84">
        <v>2</v>
      </c>
      <c r="G275" s="84">
        <v>2</v>
      </c>
      <c r="H275" s="84">
        <v>4</v>
      </c>
      <c r="I275" s="97" t="s">
        <v>71</v>
      </c>
      <c r="J275" s="97" t="s">
        <v>71</v>
      </c>
      <c r="K275" s="85" t="s">
        <v>76</v>
      </c>
      <c r="L275" s="97" t="s">
        <v>1488</v>
      </c>
      <c r="M275" s="97" t="s">
        <v>1528</v>
      </c>
      <c r="N275" s="97">
        <v>1</v>
      </c>
      <c r="O275" s="97">
        <v>45</v>
      </c>
      <c r="P275" s="98">
        <v>45</v>
      </c>
      <c r="Q275" s="98">
        <f>N275*(F275+G275)</f>
        <v>4</v>
      </c>
      <c r="R275" s="98">
        <v>4</v>
      </c>
      <c r="S275" s="85" t="s">
        <v>1489</v>
      </c>
      <c r="T275" s="84" t="s">
        <v>1490</v>
      </c>
      <c r="U275" s="85"/>
    </row>
    <row r="276" spans="1:21">
      <c r="B276" s="39" t="s">
        <v>51</v>
      </c>
      <c r="C276" s="39" t="s">
        <v>25</v>
      </c>
      <c r="D276" s="9" t="s">
        <v>1375</v>
      </c>
      <c r="E276" s="85" t="s">
        <v>1376</v>
      </c>
      <c r="F276" s="84">
        <v>2</v>
      </c>
      <c r="G276" s="84">
        <v>2</v>
      </c>
      <c r="H276" s="84">
        <v>4</v>
      </c>
      <c r="I276" s="97" t="s">
        <v>71</v>
      </c>
      <c r="J276" s="97" t="s">
        <v>71</v>
      </c>
      <c r="K276" s="85" t="s">
        <v>76</v>
      </c>
      <c r="L276" s="97" t="s">
        <v>1491</v>
      </c>
      <c r="M276" s="97" t="s">
        <v>1528</v>
      </c>
      <c r="N276" s="97">
        <v>1</v>
      </c>
      <c r="O276" s="97">
        <v>45</v>
      </c>
      <c r="P276" s="98">
        <v>45</v>
      </c>
      <c r="Q276" s="98">
        <f>N276*(F276+G276)</f>
        <v>4</v>
      </c>
      <c r="R276" s="98">
        <v>4</v>
      </c>
      <c r="S276" s="85" t="s">
        <v>1489</v>
      </c>
      <c r="T276" s="84" t="s">
        <v>1490</v>
      </c>
      <c r="U276" s="85"/>
    </row>
    <row r="277" spans="1:21">
      <c r="B277" s="39" t="s">
        <v>51</v>
      </c>
      <c r="C277" s="39" t="s">
        <v>25</v>
      </c>
      <c r="D277" s="9" t="s">
        <v>798</v>
      </c>
      <c r="E277" s="85" t="s">
        <v>799</v>
      </c>
      <c r="F277" s="84">
        <v>4</v>
      </c>
      <c r="G277" s="84">
        <v>0</v>
      </c>
      <c r="H277" s="84">
        <v>4</v>
      </c>
      <c r="I277" s="97" t="s">
        <v>71</v>
      </c>
      <c r="J277" s="97" t="s">
        <v>71</v>
      </c>
      <c r="K277" s="85" t="s">
        <v>76</v>
      </c>
      <c r="L277" s="97" t="s">
        <v>1488</v>
      </c>
      <c r="M277" s="97" t="s">
        <v>1528</v>
      </c>
      <c r="N277" s="97">
        <v>1</v>
      </c>
      <c r="O277" s="97">
        <v>45</v>
      </c>
      <c r="P277" s="98">
        <v>45</v>
      </c>
      <c r="Q277" s="98">
        <f>N277*(F277+G277)</f>
        <v>4</v>
      </c>
      <c r="R277" s="98">
        <v>4</v>
      </c>
      <c r="S277" s="85"/>
      <c r="T277" s="84"/>
      <c r="U277" s="85"/>
    </row>
    <row r="278" spans="1:21">
      <c r="B278" s="39" t="s">
        <v>51</v>
      </c>
      <c r="C278" s="39" t="s">
        <v>25</v>
      </c>
      <c r="D278" s="9" t="s">
        <v>798</v>
      </c>
      <c r="E278" s="85" t="s">
        <v>799</v>
      </c>
      <c r="F278" s="84">
        <v>4</v>
      </c>
      <c r="G278" s="84">
        <v>0</v>
      </c>
      <c r="H278" s="84">
        <v>4</v>
      </c>
      <c r="I278" s="97" t="s">
        <v>71</v>
      </c>
      <c r="J278" s="97" t="s">
        <v>71</v>
      </c>
      <c r="K278" s="85" t="s">
        <v>76</v>
      </c>
      <c r="L278" s="97" t="s">
        <v>1491</v>
      </c>
      <c r="M278" s="97" t="s">
        <v>1528</v>
      </c>
      <c r="N278" s="97">
        <v>1</v>
      </c>
      <c r="O278" s="97">
        <v>45</v>
      </c>
      <c r="P278" s="98">
        <v>45</v>
      </c>
      <c r="Q278" s="98">
        <f>N278*(F278+G278)</f>
        <v>4</v>
      </c>
      <c r="R278" s="98">
        <v>4</v>
      </c>
      <c r="S278" s="85"/>
      <c r="T278" s="84"/>
      <c r="U278" s="85"/>
    </row>
    <row r="279" spans="1:21">
      <c r="B279" s="39" t="s">
        <v>51</v>
      </c>
      <c r="C279" s="39" t="s">
        <v>25</v>
      </c>
      <c r="D279" s="9" t="s">
        <v>600</v>
      </c>
      <c r="E279" s="85" t="s">
        <v>601</v>
      </c>
      <c r="F279" s="84">
        <v>4</v>
      </c>
      <c r="G279" s="84">
        <v>0</v>
      </c>
      <c r="H279" s="84">
        <v>4</v>
      </c>
      <c r="I279" s="97" t="s">
        <v>71</v>
      </c>
      <c r="J279" s="97" t="s">
        <v>71</v>
      </c>
      <c r="K279" s="85" t="s">
        <v>76</v>
      </c>
      <c r="L279" s="97" t="s">
        <v>1488</v>
      </c>
      <c r="M279" s="97" t="s">
        <v>1528</v>
      </c>
      <c r="N279" s="97">
        <v>1</v>
      </c>
      <c r="O279" s="97">
        <v>45</v>
      </c>
      <c r="P279" s="98">
        <v>45</v>
      </c>
      <c r="Q279" s="98">
        <f>N279*(F279+G279)</f>
        <v>4</v>
      </c>
      <c r="R279" s="98">
        <v>4</v>
      </c>
      <c r="S279" s="85"/>
      <c r="T279" s="84"/>
      <c r="U279" s="85"/>
    </row>
    <row r="280" spans="1:21">
      <c r="B280" s="39" t="s">
        <v>51</v>
      </c>
      <c r="C280" s="39" t="s">
        <v>25</v>
      </c>
      <c r="D280" s="9" t="s">
        <v>600</v>
      </c>
      <c r="E280" s="85" t="s">
        <v>601</v>
      </c>
      <c r="F280" s="84">
        <v>4</v>
      </c>
      <c r="G280" s="84">
        <v>0</v>
      </c>
      <c r="H280" s="84">
        <v>4</v>
      </c>
      <c r="I280" s="97" t="s">
        <v>71</v>
      </c>
      <c r="J280" s="97" t="s">
        <v>71</v>
      </c>
      <c r="K280" s="85" t="s">
        <v>76</v>
      </c>
      <c r="L280" s="97" t="s">
        <v>1491</v>
      </c>
      <c r="M280" s="97" t="s">
        <v>1528</v>
      </c>
      <c r="N280" s="97">
        <v>1</v>
      </c>
      <c r="O280" s="97">
        <v>45</v>
      </c>
      <c r="P280" s="98">
        <v>45</v>
      </c>
      <c r="Q280" s="98">
        <f>N280*(F280+G280)</f>
        <v>4</v>
      </c>
      <c r="R280" s="98">
        <v>4</v>
      </c>
      <c r="S280" s="85"/>
      <c r="T280" s="84"/>
      <c r="U280" s="85"/>
    </row>
    <row r="281" spans="1:21">
      <c r="B281" s="39" t="s">
        <v>51</v>
      </c>
      <c r="C281" s="39" t="s">
        <v>25</v>
      </c>
      <c r="D281" s="9" t="s">
        <v>1327</v>
      </c>
      <c r="E281" s="85" t="s">
        <v>1328</v>
      </c>
      <c r="F281" s="84">
        <v>0</v>
      </c>
      <c r="G281" s="84">
        <v>2</v>
      </c>
      <c r="H281" s="84">
        <v>6</v>
      </c>
      <c r="I281" s="97" t="s">
        <v>71</v>
      </c>
      <c r="J281" s="97" t="s">
        <v>71</v>
      </c>
      <c r="K281" s="85" t="s">
        <v>76</v>
      </c>
      <c r="L281" s="97" t="s">
        <v>1488</v>
      </c>
      <c r="M281" s="97" t="s">
        <v>1528</v>
      </c>
      <c r="N281" s="97">
        <v>1</v>
      </c>
      <c r="O281" s="97">
        <v>45</v>
      </c>
      <c r="P281" s="98">
        <v>45</v>
      </c>
      <c r="Q281" s="98">
        <f>N281*(F281+G281)</f>
        <v>2</v>
      </c>
      <c r="R281" s="98">
        <v>2</v>
      </c>
      <c r="S281" s="85"/>
      <c r="T281" s="84"/>
      <c r="U281" s="85"/>
    </row>
    <row r="282" spans="1:21">
      <c r="A282" s="1" t="s">
        <v>1669</v>
      </c>
      <c r="B282" s="39" t="s">
        <v>51</v>
      </c>
      <c r="C282" s="39" t="s">
        <v>25</v>
      </c>
      <c r="D282" s="9" t="s">
        <v>77</v>
      </c>
      <c r="E282" s="85" t="s">
        <v>78</v>
      </c>
      <c r="F282" s="84">
        <v>4</v>
      </c>
      <c r="G282" s="84">
        <v>0</v>
      </c>
      <c r="H282" s="84">
        <v>4</v>
      </c>
      <c r="I282" s="97" t="s">
        <v>71</v>
      </c>
      <c r="J282" s="97" t="s">
        <v>71</v>
      </c>
      <c r="K282" s="85" t="s">
        <v>76</v>
      </c>
      <c r="L282" s="97" t="s">
        <v>1488</v>
      </c>
      <c r="M282" s="97" t="s">
        <v>1528</v>
      </c>
      <c r="N282" s="97">
        <v>1</v>
      </c>
      <c r="O282" s="97">
        <v>45</v>
      </c>
      <c r="P282" s="98">
        <v>45</v>
      </c>
      <c r="Q282" s="98">
        <f>N282*(F282+G282)</f>
        <v>4</v>
      </c>
      <c r="R282" s="98">
        <v>4</v>
      </c>
      <c r="S282" s="85"/>
      <c r="T282" s="84"/>
      <c r="U282" s="85"/>
    </row>
    <row r="283" spans="1:21">
      <c r="A283" s="1" t="s">
        <v>1669</v>
      </c>
      <c r="B283" s="39" t="s">
        <v>51</v>
      </c>
      <c r="C283" s="39" t="s">
        <v>25</v>
      </c>
      <c r="D283" s="9" t="s">
        <v>77</v>
      </c>
      <c r="E283" s="85" t="s">
        <v>78</v>
      </c>
      <c r="F283" s="84">
        <v>4</v>
      </c>
      <c r="G283" s="84">
        <v>0</v>
      </c>
      <c r="H283" s="84">
        <v>4</v>
      </c>
      <c r="I283" s="97" t="s">
        <v>71</v>
      </c>
      <c r="J283" s="97" t="s">
        <v>71</v>
      </c>
      <c r="K283" s="85" t="s">
        <v>76</v>
      </c>
      <c r="L283" s="97" t="s">
        <v>1491</v>
      </c>
      <c r="M283" s="97" t="s">
        <v>1528</v>
      </c>
      <c r="N283" s="97">
        <v>1</v>
      </c>
      <c r="O283" s="97">
        <v>45</v>
      </c>
      <c r="P283" s="98">
        <v>45</v>
      </c>
      <c r="Q283" s="98">
        <f>N283*(F283+G283)</f>
        <v>4</v>
      </c>
      <c r="R283" s="98">
        <v>4</v>
      </c>
      <c r="S283" s="85"/>
      <c r="T283" s="84"/>
      <c r="U283" s="85"/>
    </row>
    <row r="284" spans="1:21">
      <c r="A284" s="1" t="s">
        <v>1669</v>
      </c>
      <c r="B284" s="39" t="s">
        <v>51</v>
      </c>
      <c r="C284" s="39" t="s">
        <v>25</v>
      </c>
      <c r="D284" s="9" t="s">
        <v>1264</v>
      </c>
      <c r="E284" s="85" t="s">
        <v>1265</v>
      </c>
      <c r="F284" s="84">
        <v>2</v>
      </c>
      <c r="G284" s="84">
        <v>2</v>
      </c>
      <c r="H284" s="84">
        <v>4</v>
      </c>
      <c r="I284" s="97" t="s">
        <v>71</v>
      </c>
      <c r="J284" s="97" t="s">
        <v>71</v>
      </c>
      <c r="K284" s="85" t="s">
        <v>76</v>
      </c>
      <c r="L284" s="97" t="s">
        <v>1488</v>
      </c>
      <c r="M284" s="97" t="s">
        <v>1528</v>
      </c>
      <c r="N284" s="97">
        <v>1</v>
      </c>
      <c r="O284" s="97">
        <v>45</v>
      </c>
      <c r="P284" s="98">
        <v>45</v>
      </c>
      <c r="Q284" s="98">
        <f>N284*(F284+G284)</f>
        <v>4</v>
      </c>
      <c r="R284" s="98">
        <v>4</v>
      </c>
      <c r="S284" s="85"/>
      <c r="T284" s="84"/>
      <c r="U284" s="85"/>
    </row>
    <row r="285" spans="1:21">
      <c r="A285" s="1" t="s">
        <v>1669</v>
      </c>
      <c r="B285" s="39" t="s">
        <v>51</v>
      </c>
      <c r="C285" s="39" t="s">
        <v>25</v>
      </c>
      <c r="D285" s="9" t="s">
        <v>1264</v>
      </c>
      <c r="E285" s="85" t="s">
        <v>1265</v>
      </c>
      <c r="F285" s="84">
        <v>2</v>
      </c>
      <c r="G285" s="84">
        <v>2</v>
      </c>
      <c r="H285" s="84">
        <v>4</v>
      </c>
      <c r="I285" s="97" t="s">
        <v>71</v>
      </c>
      <c r="J285" s="97" t="s">
        <v>71</v>
      </c>
      <c r="K285" s="85" t="s">
        <v>76</v>
      </c>
      <c r="L285" s="97" t="s">
        <v>1491</v>
      </c>
      <c r="M285" s="97" t="s">
        <v>1528</v>
      </c>
      <c r="N285" s="97">
        <v>1</v>
      </c>
      <c r="O285" s="97">
        <v>45</v>
      </c>
      <c r="P285" s="98">
        <v>45</v>
      </c>
      <c r="Q285" s="98">
        <f>N285*(F285+G285)</f>
        <v>4</v>
      </c>
      <c r="R285" s="98">
        <v>4</v>
      </c>
      <c r="S285" s="85"/>
      <c r="T285" s="84"/>
      <c r="U285" s="85"/>
    </row>
    <row r="286" spans="1:21">
      <c r="B286" s="39" t="s">
        <v>51</v>
      </c>
      <c r="C286" s="39" t="s">
        <v>25</v>
      </c>
      <c r="D286" s="9"/>
      <c r="E286" s="85" t="s">
        <v>1601</v>
      </c>
      <c r="F286" s="84">
        <v>4</v>
      </c>
      <c r="G286" s="84">
        <v>0</v>
      </c>
      <c r="H286" s="84">
        <v>4</v>
      </c>
      <c r="I286" s="97" t="s">
        <v>73</v>
      </c>
      <c r="J286" s="97" t="s">
        <v>73</v>
      </c>
      <c r="K286" s="85" t="s">
        <v>76</v>
      </c>
      <c r="L286" s="97" t="s">
        <v>1488</v>
      </c>
      <c r="M286" s="97" t="s">
        <v>1528</v>
      </c>
      <c r="N286" s="97">
        <v>1</v>
      </c>
      <c r="O286" s="97">
        <v>45</v>
      </c>
      <c r="P286" s="98">
        <v>45</v>
      </c>
      <c r="Q286" s="98">
        <f>N286*(F286+G286)</f>
        <v>4</v>
      </c>
      <c r="R286" s="98">
        <v>4</v>
      </c>
      <c r="S286" s="85"/>
      <c r="T286" s="84"/>
      <c r="U286" s="85"/>
    </row>
    <row r="287" spans="1:21">
      <c r="B287" s="39" t="s">
        <v>51</v>
      </c>
      <c r="C287" s="39" t="s">
        <v>25</v>
      </c>
      <c r="D287" s="9"/>
      <c r="E287" s="85" t="s">
        <v>1601</v>
      </c>
      <c r="F287" s="84">
        <v>4</v>
      </c>
      <c r="G287" s="84">
        <v>0</v>
      </c>
      <c r="H287" s="84">
        <v>4</v>
      </c>
      <c r="I287" s="97" t="s">
        <v>73</v>
      </c>
      <c r="J287" s="97" t="s">
        <v>73</v>
      </c>
      <c r="K287" s="85" t="s">
        <v>76</v>
      </c>
      <c r="L287" s="97" t="s">
        <v>1491</v>
      </c>
      <c r="M287" s="97" t="s">
        <v>1528</v>
      </c>
      <c r="N287" s="97">
        <v>1</v>
      </c>
      <c r="O287" s="97">
        <v>45</v>
      </c>
      <c r="P287" s="98">
        <v>45</v>
      </c>
      <c r="Q287" s="98">
        <f>N287*(F287+G287)</f>
        <v>4</v>
      </c>
      <c r="R287" s="98">
        <v>4</v>
      </c>
      <c r="S287" s="85"/>
      <c r="T287" s="84"/>
      <c r="U287" s="85"/>
    </row>
    <row r="288" spans="1:21">
      <c r="B288" s="39" t="s">
        <v>51</v>
      </c>
      <c r="C288" s="39" t="s">
        <v>25</v>
      </c>
      <c r="D288" s="9"/>
      <c r="E288" s="85" t="s">
        <v>1602</v>
      </c>
      <c r="F288" s="84">
        <v>4</v>
      </c>
      <c r="G288" s="84">
        <v>0</v>
      </c>
      <c r="H288" s="84">
        <v>4</v>
      </c>
      <c r="I288" s="97" t="s">
        <v>73</v>
      </c>
      <c r="J288" s="97" t="s">
        <v>73</v>
      </c>
      <c r="K288" s="85" t="s">
        <v>1527</v>
      </c>
      <c r="L288" s="97"/>
      <c r="M288" s="97" t="s">
        <v>1528</v>
      </c>
      <c r="N288" s="97">
        <v>1</v>
      </c>
      <c r="O288" s="97">
        <v>45</v>
      </c>
      <c r="P288" s="98">
        <v>45</v>
      </c>
      <c r="Q288" s="98">
        <f>N288*(F288+G288)</f>
        <v>4</v>
      </c>
      <c r="R288" s="98">
        <v>4</v>
      </c>
      <c r="S288" s="85"/>
      <c r="T288" s="84"/>
      <c r="U288" s="85"/>
    </row>
    <row r="289" spans="1:23">
      <c r="B289" s="39" t="s">
        <v>51</v>
      </c>
      <c r="C289" s="39" t="s">
        <v>25</v>
      </c>
      <c r="D289" s="9"/>
      <c r="E289" s="85" t="s">
        <v>1602</v>
      </c>
      <c r="F289" s="84">
        <v>4</v>
      </c>
      <c r="G289" s="84">
        <v>0</v>
      </c>
      <c r="H289" s="84">
        <v>4</v>
      </c>
      <c r="I289" s="97" t="s">
        <v>73</v>
      </c>
      <c r="J289" s="97" t="s">
        <v>73</v>
      </c>
      <c r="K289" s="85" t="s">
        <v>1527</v>
      </c>
      <c r="L289" s="97"/>
      <c r="M289" s="97" t="s">
        <v>1528</v>
      </c>
      <c r="N289" s="97">
        <v>1</v>
      </c>
      <c r="O289" s="97">
        <v>45</v>
      </c>
      <c r="P289" s="98">
        <v>45</v>
      </c>
      <c r="Q289" s="98">
        <f>N289*(F289+G289)</f>
        <v>4</v>
      </c>
      <c r="R289" s="98">
        <v>4</v>
      </c>
      <c r="S289" s="85"/>
      <c r="T289" s="84"/>
      <c r="U289" s="85"/>
    </row>
    <row r="290" spans="1:23">
      <c r="A290" s="1" t="s">
        <v>1669</v>
      </c>
      <c r="B290" s="39" t="s">
        <v>51</v>
      </c>
      <c r="C290" s="39" t="s">
        <v>25</v>
      </c>
      <c r="D290" s="9" t="s">
        <v>1418</v>
      </c>
      <c r="E290" s="85" t="s">
        <v>1603</v>
      </c>
      <c r="F290" s="84">
        <v>4</v>
      </c>
      <c r="G290" s="84">
        <v>0</v>
      </c>
      <c r="H290" s="84">
        <v>4</v>
      </c>
      <c r="I290" s="97" t="s">
        <v>73</v>
      </c>
      <c r="J290" s="97" t="s">
        <v>73</v>
      </c>
      <c r="K290" s="85" t="s">
        <v>76</v>
      </c>
      <c r="L290" s="97" t="s">
        <v>1488</v>
      </c>
      <c r="M290" s="97" t="s">
        <v>1528</v>
      </c>
      <c r="N290" s="97">
        <v>1</v>
      </c>
      <c r="O290" s="97">
        <v>45</v>
      </c>
      <c r="P290" s="98">
        <v>45</v>
      </c>
      <c r="Q290" s="98">
        <f>N290*(F290+G290)</f>
        <v>4</v>
      </c>
      <c r="R290" s="98">
        <v>4</v>
      </c>
      <c r="S290" s="85"/>
      <c r="T290" s="84"/>
      <c r="U290" s="85"/>
    </row>
    <row r="291" spans="1:23">
      <c r="B291" s="38" t="s">
        <v>1637</v>
      </c>
      <c r="C291" s="38" t="s">
        <v>26</v>
      </c>
      <c r="D291" s="9" t="s">
        <v>1152</v>
      </c>
      <c r="E291" s="85" t="s">
        <v>1153</v>
      </c>
      <c r="F291" s="84">
        <v>0</v>
      </c>
      <c r="G291" s="84">
        <v>4</v>
      </c>
      <c r="H291" s="84">
        <v>6</v>
      </c>
      <c r="I291" s="97" t="s">
        <v>71</v>
      </c>
      <c r="J291" s="97" t="s">
        <v>71</v>
      </c>
      <c r="K291" s="97" t="s">
        <v>76</v>
      </c>
      <c r="L291" s="85" t="s">
        <v>1488</v>
      </c>
      <c r="M291" s="97" t="s">
        <v>1562</v>
      </c>
      <c r="N291" s="97">
        <v>1</v>
      </c>
      <c r="O291" s="97">
        <v>30</v>
      </c>
      <c r="P291" s="97">
        <v>30</v>
      </c>
      <c r="Q291" s="98">
        <f>N291*(F291+G291)</f>
        <v>4</v>
      </c>
      <c r="R291" s="98">
        <f>Q291</f>
        <v>4</v>
      </c>
      <c r="S291" s="98" t="s">
        <v>1695</v>
      </c>
      <c r="T291" s="98" t="s">
        <v>1564</v>
      </c>
      <c r="U291" s="85"/>
      <c r="V291" s="78"/>
      <c r="W291" s="78"/>
    </row>
    <row r="292" spans="1:23">
      <c r="B292" s="38" t="s">
        <v>1637</v>
      </c>
      <c r="C292" s="38" t="s">
        <v>26</v>
      </c>
      <c r="D292" s="9" t="s">
        <v>1142</v>
      </c>
      <c r="E292" s="85" t="s">
        <v>1143</v>
      </c>
      <c r="F292" s="84">
        <v>4</v>
      </c>
      <c r="G292" s="84">
        <v>2</v>
      </c>
      <c r="H292" s="84">
        <v>6</v>
      </c>
      <c r="I292" s="97" t="s">
        <v>71</v>
      </c>
      <c r="J292" s="97" t="s">
        <v>71</v>
      </c>
      <c r="K292" s="97" t="s">
        <v>76</v>
      </c>
      <c r="L292" s="85" t="s">
        <v>1488</v>
      </c>
      <c r="M292" s="97" t="s">
        <v>1562</v>
      </c>
      <c r="N292" s="97">
        <v>1</v>
      </c>
      <c r="O292" s="97">
        <v>30</v>
      </c>
      <c r="P292" s="97">
        <v>30</v>
      </c>
      <c r="Q292" s="98">
        <f>N292*(F292+G292)</f>
        <v>6</v>
      </c>
      <c r="R292" s="98">
        <f>Q292</f>
        <v>6</v>
      </c>
      <c r="S292" s="98" t="s">
        <v>1695</v>
      </c>
      <c r="T292" s="98" t="s">
        <v>1564</v>
      </c>
      <c r="U292" s="85"/>
      <c r="V292" s="78"/>
      <c r="W292" s="78"/>
    </row>
    <row r="293" spans="1:23">
      <c r="B293" s="38" t="s">
        <v>1637</v>
      </c>
      <c r="C293" s="38" t="s">
        <v>26</v>
      </c>
      <c r="D293" s="9" t="s">
        <v>425</v>
      </c>
      <c r="E293" s="85" t="s">
        <v>426</v>
      </c>
      <c r="F293" s="84">
        <v>6</v>
      </c>
      <c r="G293" s="84">
        <v>0</v>
      </c>
      <c r="H293" s="84">
        <v>6</v>
      </c>
      <c r="I293" s="97" t="s">
        <v>71</v>
      </c>
      <c r="J293" s="97" t="s">
        <v>71</v>
      </c>
      <c r="K293" s="97" t="s">
        <v>76</v>
      </c>
      <c r="L293" s="85" t="s">
        <v>1488</v>
      </c>
      <c r="M293" s="97" t="s">
        <v>1562</v>
      </c>
      <c r="N293" s="97">
        <v>1</v>
      </c>
      <c r="O293" s="97">
        <v>50</v>
      </c>
      <c r="P293" s="97">
        <v>50</v>
      </c>
      <c r="Q293" s="98">
        <f>N293*(F293+G293)</f>
        <v>6</v>
      </c>
      <c r="R293" s="98">
        <f>Q293</f>
        <v>6</v>
      </c>
      <c r="S293" s="98"/>
      <c r="T293" s="98"/>
      <c r="U293" s="85"/>
      <c r="V293" s="78"/>
      <c r="W293" s="78"/>
    </row>
    <row r="294" spans="1:23">
      <c r="B294" s="38" t="s">
        <v>1637</v>
      </c>
      <c r="C294" s="38" t="s">
        <v>26</v>
      </c>
      <c r="D294" s="9" t="s">
        <v>827</v>
      </c>
      <c r="E294" s="85" t="s">
        <v>828</v>
      </c>
      <c r="F294" s="84">
        <v>4</v>
      </c>
      <c r="G294" s="84">
        <v>0</v>
      </c>
      <c r="H294" s="84">
        <v>6</v>
      </c>
      <c r="I294" s="97" t="s">
        <v>71</v>
      </c>
      <c r="J294" s="97" t="s">
        <v>71</v>
      </c>
      <c r="K294" s="97" t="s">
        <v>76</v>
      </c>
      <c r="L294" s="85" t="s">
        <v>1488</v>
      </c>
      <c r="M294" s="97" t="s">
        <v>1562</v>
      </c>
      <c r="N294" s="97">
        <v>1</v>
      </c>
      <c r="O294" s="97">
        <v>50</v>
      </c>
      <c r="P294" s="97">
        <v>50</v>
      </c>
      <c r="Q294" s="98">
        <f>N294*(F294+G294)</f>
        <v>4</v>
      </c>
      <c r="R294" s="98">
        <f>Q294</f>
        <v>4</v>
      </c>
      <c r="S294" s="98"/>
      <c r="T294" s="98"/>
      <c r="U294" s="85"/>
      <c r="V294" s="78"/>
      <c r="W294" s="78"/>
    </row>
    <row r="295" spans="1:23">
      <c r="B295" s="38" t="s">
        <v>1637</v>
      </c>
      <c r="C295" s="38" t="s">
        <v>26</v>
      </c>
      <c r="D295" s="9" t="s">
        <v>1717</v>
      </c>
      <c r="E295" s="85" t="s">
        <v>1140</v>
      </c>
      <c r="F295" s="84">
        <v>4</v>
      </c>
      <c r="G295" s="84">
        <v>2</v>
      </c>
      <c r="H295" s="84">
        <v>6</v>
      </c>
      <c r="I295" s="97" t="s">
        <v>71</v>
      </c>
      <c r="J295" s="97" t="s">
        <v>71</v>
      </c>
      <c r="K295" s="97" t="e">
        <v>#N/A</v>
      </c>
      <c r="L295" s="85" t="s">
        <v>1488</v>
      </c>
      <c r="M295" s="97" t="s">
        <v>1562</v>
      </c>
      <c r="N295" s="97">
        <v>1</v>
      </c>
      <c r="O295" s="97">
        <v>30</v>
      </c>
      <c r="P295" s="97">
        <v>30</v>
      </c>
      <c r="Q295" s="98">
        <f>N295*(F295+G295)</f>
        <v>6</v>
      </c>
      <c r="R295" s="98">
        <f>Q295</f>
        <v>6</v>
      </c>
      <c r="S295" s="98" t="s">
        <v>1695</v>
      </c>
      <c r="T295" s="98" t="s">
        <v>1564</v>
      </c>
      <c r="U295" s="85"/>
      <c r="V295" s="78"/>
      <c r="W295" s="78"/>
    </row>
    <row r="296" spans="1:23">
      <c r="B296" s="38" t="s">
        <v>1637</v>
      </c>
      <c r="C296" s="38" t="s">
        <v>26</v>
      </c>
      <c r="D296" s="9" t="s">
        <v>1068</v>
      </c>
      <c r="E296" s="85" t="s">
        <v>1069</v>
      </c>
      <c r="F296" s="84">
        <v>4</v>
      </c>
      <c r="G296" s="84">
        <v>0</v>
      </c>
      <c r="H296" s="84">
        <v>6</v>
      </c>
      <c r="I296" s="97" t="s">
        <v>71</v>
      </c>
      <c r="J296" s="97" t="s">
        <v>71</v>
      </c>
      <c r="K296" s="97" t="s">
        <v>76</v>
      </c>
      <c r="L296" s="85" t="s">
        <v>1488</v>
      </c>
      <c r="M296" s="97" t="s">
        <v>1562</v>
      </c>
      <c r="N296" s="97">
        <v>1</v>
      </c>
      <c r="O296" s="97">
        <v>50</v>
      </c>
      <c r="P296" s="97">
        <v>50</v>
      </c>
      <c r="Q296" s="98">
        <f>N296*(F296+G296)</f>
        <v>4</v>
      </c>
      <c r="R296" s="98">
        <f>Q296</f>
        <v>4</v>
      </c>
      <c r="S296" s="98"/>
      <c r="T296" s="98"/>
      <c r="U296" s="85"/>
      <c r="V296" s="78"/>
      <c r="W296" s="78"/>
    </row>
    <row r="297" spans="1:23">
      <c r="B297" s="38" t="s">
        <v>1637</v>
      </c>
      <c r="C297" s="38" t="s">
        <v>26</v>
      </c>
      <c r="D297" s="9" t="s">
        <v>970</v>
      </c>
      <c r="E297" s="85" t="s">
        <v>971</v>
      </c>
      <c r="F297" s="84">
        <v>4</v>
      </c>
      <c r="G297" s="84">
        <v>0</v>
      </c>
      <c r="H297" s="84">
        <v>4</v>
      </c>
      <c r="I297" s="97" t="s">
        <v>73</v>
      </c>
      <c r="J297" s="97" t="s">
        <v>73</v>
      </c>
      <c r="K297" s="97" t="s">
        <v>76</v>
      </c>
      <c r="L297" s="85" t="s">
        <v>1488</v>
      </c>
      <c r="M297" s="97" t="s">
        <v>1562</v>
      </c>
      <c r="N297" s="97">
        <v>1</v>
      </c>
      <c r="O297" s="97">
        <v>50</v>
      </c>
      <c r="P297" s="97">
        <v>50</v>
      </c>
      <c r="Q297" s="98">
        <f>N297*(F297+G297)</f>
        <v>4</v>
      </c>
      <c r="R297" s="98">
        <f>Q297</f>
        <v>4</v>
      </c>
      <c r="S297" s="98"/>
      <c r="T297" s="98"/>
      <c r="U297" s="85"/>
      <c r="V297" s="78"/>
      <c r="W297" s="78"/>
    </row>
    <row r="298" spans="1:23">
      <c r="B298" s="38" t="s">
        <v>1637</v>
      </c>
      <c r="C298" s="38" t="s">
        <v>26</v>
      </c>
      <c r="D298" s="9" t="s">
        <v>1338</v>
      </c>
      <c r="E298" s="85" t="s">
        <v>1339</v>
      </c>
      <c r="F298" s="84">
        <v>2</v>
      </c>
      <c r="G298" s="84">
        <v>0</v>
      </c>
      <c r="H298" s="84">
        <v>2</v>
      </c>
      <c r="I298" s="97" t="s">
        <v>71</v>
      </c>
      <c r="J298" s="97" t="s">
        <v>71</v>
      </c>
      <c r="K298" s="97" t="s">
        <v>76</v>
      </c>
      <c r="L298" s="85" t="s">
        <v>1488</v>
      </c>
      <c r="M298" s="97" t="s">
        <v>1562</v>
      </c>
      <c r="N298" s="97">
        <v>1</v>
      </c>
      <c r="O298" s="97">
        <v>15</v>
      </c>
      <c r="P298" s="97">
        <v>15</v>
      </c>
      <c r="Q298" s="98">
        <f>N298*(F298+G298)</f>
        <v>2</v>
      </c>
      <c r="R298" s="98">
        <f>Q298</f>
        <v>2</v>
      </c>
      <c r="S298" s="98"/>
      <c r="T298" s="98"/>
      <c r="U298" s="85"/>
      <c r="V298" s="78"/>
      <c r="W298" s="78"/>
    </row>
    <row r="299" spans="1:23">
      <c r="B299" s="38" t="s">
        <v>1637</v>
      </c>
      <c r="C299" s="38" t="s">
        <v>26</v>
      </c>
      <c r="D299" s="9" t="s">
        <v>1100</v>
      </c>
      <c r="E299" s="85" t="s">
        <v>1101</v>
      </c>
      <c r="F299" s="84">
        <v>4</v>
      </c>
      <c r="G299" s="84">
        <v>0</v>
      </c>
      <c r="H299" s="84">
        <v>4</v>
      </c>
      <c r="I299" s="97" t="s">
        <v>73</v>
      </c>
      <c r="J299" s="97" t="s">
        <v>73</v>
      </c>
      <c r="K299" s="97" t="s">
        <v>76</v>
      </c>
      <c r="L299" s="85" t="s">
        <v>1488</v>
      </c>
      <c r="M299" s="97" t="s">
        <v>1562</v>
      </c>
      <c r="N299" s="97">
        <v>1</v>
      </c>
      <c r="O299" s="97">
        <v>50</v>
      </c>
      <c r="P299" s="97">
        <v>50</v>
      </c>
      <c r="Q299" s="98">
        <f>N299*(F299+G299)</f>
        <v>4</v>
      </c>
      <c r="R299" s="98">
        <f>Q299</f>
        <v>4</v>
      </c>
      <c r="S299" s="98"/>
      <c r="T299" s="98"/>
      <c r="U299" s="85"/>
      <c r="V299" s="78"/>
      <c r="W299" s="78"/>
    </row>
    <row r="300" spans="1:23">
      <c r="B300" s="38" t="s">
        <v>1637</v>
      </c>
      <c r="C300" s="38" t="s">
        <v>26</v>
      </c>
      <c r="D300" s="9" t="s">
        <v>1152</v>
      </c>
      <c r="E300" s="85" t="s">
        <v>1153</v>
      </c>
      <c r="F300" s="84">
        <v>0</v>
      </c>
      <c r="G300" s="84">
        <v>4</v>
      </c>
      <c r="H300" s="84">
        <v>6</v>
      </c>
      <c r="I300" s="97" t="s">
        <v>71</v>
      </c>
      <c r="J300" s="97" t="s">
        <v>71</v>
      </c>
      <c r="K300" s="97" t="s">
        <v>76</v>
      </c>
      <c r="L300" s="85" t="s">
        <v>1491</v>
      </c>
      <c r="M300" s="97" t="s">
        <v>1562</v>
      </c>
      <c r="N300" s="97">
        <v>1</v>
      </c>
      <c r="O300" s="97">
        <v>30</v>
      </c>
      <c r="P300" s="97">
        <v>30</v>
      </c>
      <c r="Q300" s="98">
        <f>N300*(F300+G300)</f>
        <v>4</v>
      </c>
      <c r="R300" s="98">
        <f>Q300</f>
        <v>4</v>
      </c>
      <c r="S300" s="98" t="s">
        <v>1695</v>
      </c>
      <c r="T300" s="98" t="s">
        <v>1564</v>
      </c>
      <c r="U300" s="85"/>
      <c r="V300" s="78"/>
      <c r="W300" s="78"/>
    </row>
    <row r="301" spans="1:23">
      <c r="B301" s="38" t="s">
        <v>1637</v>
      </c>
      <c r="C301" s="38" t="s">
        <v>26</v>
      </c>
      <c r="D301" s="9" t="s">
        <v>1142</v>
      </c>
      <c r="E301" s="85" t="s">
        <v>1143</v>
      </c>
      <c r="F301" s="84">
        <v>4</v>
      </c>
      <c r="G301" s="84">
        <v>2</v>
      </c>
      <c r="H301" s="84">
        <v>6</v>
      </c>
      <c r="I301" s="97" t="s">
        <v>71</v>
      </c>
      <c r="J301" s="97" t="s">
        <v>71</v>
      </c>
      <c r="K301" s="97" t="s">
        <v>76</v>
      </c>
      <c r="L301" s="85" t="s">
        <v>1491</v>
      </c>
      <c r="M301" s="97" t="s">
        <v>1562</v>
      </c>
      <c r="N301" s="97">
        <v>1</v>
      </c>
      <c r="O301" s="97">
        <v>30</v>
      </c>
      <c r="P301" s="97">
        <v>30</v>
      </c>
      <c r="Q301" s="98">
        <f>N301*(F301+G301)</f>
        <v>6</v>
      </c>
      <c r="R301" s="98">
        <f>Q301</f>
        <v>6</v>
      </c>
      <c r="S301" s="98" t="s">
        <v>1695</v>
      </c>
      <c r="T301" s="98" t="s">
        <v>1564</v>
      </c>
      <c r="U301" s="85"/>
      <c r="V301" s="78"/>
      <c r="W301" s="78"/>
    </row>
    <row r="302" spans="1:23">
      <c r="B302" s="38" t="s">
        <v>1637</v>
      </c>
      <c r="C302" s="38" t="s">
        <v>26</v>
      </c>
      <c r="D302" s="9" t="s">
        <v>425</v>
      </c>
      <c r="E302" s="85" t="s">
        <v>426</v>
      </c>
      <c r="F302" s="84">
        <v>6</v>
      </c>
      <c r="G302" s="84">
        <v>0</v>
      </c>
      <c r="H302" s="84">
        <v>6</v>
      </c>
      <c r="I302" s="97" t="s">
        <v>71</v>
      </c>
      <c r="J302" s="97" t="s">
        <v>71</v>
      </c>
      <c r="K302" s="97" t="s">
        <v>76</v>
      </c>
      <c r="L302" s="85" t="s">
        <v>1491</v>
      </c>
      <c r="M302" s="97" t="s">
        <v>1562</v>
      </c>
      <c r="N302" s="97">
        <v>1</v>
      </c>
      <c r="O302" s="97">
        <v>50</v>
      </c>
      <c r="P302" s="97">
        <v>50</v>
      </c>
      <c r="Q302" s="98">
        <f>N302*(F302+G302)</f>
        <v>6</v>
      </c>
      <c r="R302" s="98">
        <f>Q302</f>
        <v>6</v>
      </c>
      <c r="S302" s="98"/>
      <c r="T302" s="98"/>
      <c r="U302" s="85"/>
      <c r="V302" s="78"/>
      <c r="W302" s="78"/>
    </row>
    <row r="303" spans="1:23">
      <c r="B303" s="38" t="s">
        <v>1637</v>
      </c>
      <c r="C303" s="38" t="s">
        <v>26</v>
      </c>
      <c r="D303" s="9" t="s">
        <v>827</v>
      </c>
      <c r="E303" s="85" t="s">
        <v>828</v>
      </c>
      <c r="F303" s="84">
        <v>4</v>
      </c>
      <c r="G303" s="84">
        <v>0</v>
      </c>
      <c r="H303" s="84">
        <v>6</v>
      </c>
      <c r="I303" s="97" t="s">
        <v>71</v>
      </c>
      <c r="J303" s="97" t="s">
        <v>71</v>
      </c>
      <c r="K303" s="97" t="s">
        <v>76</v>
      </c>
      <c r="L303" s="85" t="s">
        <v>1491</v>
      </c>
      <c r="M303" s="97" t="s">
        <v>1562</v>
      </c>
      <c r="N303" s="97">
        <v>1</v>
      </c>
      <c r="O303" s="97">
        <v>50</v>
      </c>
      <c r="P303" s="97">
        <v>50</v>
      </c>
      <c r="Q303" s="98">
        <f>N303*(F303+G303)</f>
        <v>4</v>
      </c>
      <c r="R303" s="98">
        <f>Q303</f>
        <v>4</v>
      </c>
      <c r="S303" s="98"/>
      <c r="T303" s="98"/>
      <c r="U303" s="85"/>
      <c r="V303" s="78"/>
      <c r="W303" s="78"/>
    </row>
    <row r="304" spans="1:23">
      <c r="B304" s="38" t="s">
        <v>1637</v>
      </c>
      <c r="C304" s="38" t="s">
        <v>26</v>
      </c>
      <c r="D304" s="9" t="s">
        <v>1717</v>
      </c>
      <c r="E304" s="85" t="s">
        <v>1140</v>
      </c>
      <c r="F304" s="84">
        <v>4</v>
      </c>
      <c r="G304" s="84">
        <v>2</v>
      </c>
      <c r="H304" s="84">
        <v>6</v>
      </c>
      <c r="I304" s="97" t="s">
        <v>71</v>
      </c>
      <c r="J304" s="97" t="s">
        <v>71</v>
      </c>
      <c r="K304" s="97" t="e">
        <v>#N/A</v>
      </c>
      <c r="L304" s="85" t="s">
        <v>1491</v>
      </c>
      <c r="M304" s="97" t="s">
        <v>1562</v>
      </c>
      <c r="N304" s="97">
        <v>1</v>
      </c>
      <c r="O304" s="97">
        <v>30</v>
      </c>
      <c r="P304" s="97">
        <v>30</v>
      </c>
      <c r="Q304" s="98">
        <f>N304*(F304+G304)</f>
        <v>6</v>
      </c>
      <c r="R304" s="98">
        <f>Q304</f>
        <v>6</v>
      </c>
      <c r="S304" s="98" t="s">
        <v>1695</v>
      </c>
      <c r="T304" s="98" t="s">
        <v>1564</v>
      </c>
      <c r="U304" s="85"/>
      <c r="V304" s="78"/>
      <c r="W304" s="78"/>
    </row>
    <row r="305" spans="2:23">
      <c r="B305" s="38" t="s">
        <v>1637</v>
      </c>
      <c r="C305" s="38" t="s">
        <v>26</v>
      </c>
      <c r="D305" s="9" t="s">
        <v>1068</v>
      </c>
      <c r="E305" s="85" t="s">
        <v>1069</v>
      </c>
      <c r="F305" s="84">
        <v>4</v>
      </c>
      <c r="G305" s="84">
        <v>0</v>
      </c>
      <c r="H305" s="84">
        <v>6</v>
      </c>
      <c r="I305" s="97" t="s">
        <v>71</v>
      </c>
      <c r="J305" s="97" t="s">
        <v>71</v>
      </c>
      <c r="K305" s="97" t="s">
        <v>76</v>
      </c>
      <c r="L305" s="85" t="s">
        <v>1491</v>
      </c>
      <c r="M305" s="97" t="s">
        <v>1562</v>
      </c>
      <c r="N305" s="97">
        <v>1</v>
      </c>
      <c r="O305" s="97">
        <v>50</v>
      </c>
      <c r="P305" s="97">
        <v>50</v>
      </c>
      <c r="Q305" s="98">
        <f>N305*(F305+G305)</f>
        <v>4</v>
      </c>
      <c r="R305" s="98">
        <f>Q305</f>
        <v>4</v>
      </c>
      <c r="S305" s="98"/>
      <c r="T305" s="98"/>
      <c r="U305" s="85"/>
      <c r="V305" s="78"/>
      <c r="W305" s="78"/>
    </row>
    <row r="306" spans="2:23">
      <c r="B306" s="38" t="s">
        <v>1637</v>
      </c>
      <c r="C306" s="38" t="s">
        <v>26</v>
      </c>
      <c r="D306" s="9" t="s">
        <v>970</v>
      </c>
      <c r="E306" s="85" t="s">
        <v>971</v>
      </c>
      <c r="F306" s="84">
        <v>4</v>
      </c>
      <c r="G306" s="84">
        <v>0</v>
      </c>
      <c r="H306" s="84">
        <v>4</v>
      </c>
      <c r="I306" s="97" t="s">
        <v>73</v>
      </c>
      <c r="J306" s="97" t="s">
        <v>73</v>
      </c>
      <c r="K306" s="97" t="s">
        <v>76</v>
      </c>
      <c r="L306" s="85" t="s">
        <v>1491</v>
      </c>
      <c r="M306" s="97" t="s">
        <v>1562</v>
      </c>
      <c r="N306" s="97">
        <v>1</v>
      </c>
      <c r="O306" s="97">
        <v>50</v>
      </c>
      <c r="P306" s="97">
        <v>50</v>
      </c>
      <c r="Q306" s="98">
        <f>N306*(F306+G306)</f>
        <v>4</v>
      </c>
      <c r="R306" s="98">
        <f>Q306</f>
        <v>4</v>
      </c>
      <c r="S306" s="98"/>
      <c r="T306" s="98"/>
      <c r="U306" s="85"/>
      <c r="V306" s="78"/>
      <c r="W306" s="78"/>
    </row>
    <row r="307" spans="2:23">
      <c r="B307" s="38" t="s">
        <v>1637</v>
      </c>
      <c r="C307" s="38" t="s">
        <v>26</v>
      </c>
      <c r="D307" s="9" t="s">
        <v>1338</v>
      </c>
      <c r="E307" s="85" t="s">
        <v>1339</v>
      </c>
      <c r="F307" s="84">
        <v>2</v>
      </c>
      <c r="G307" s="84">
        <v>0</v>
      </c>
      <c r="H307" s="84">
        <v>2</v>
      </c>
      <c r="I307" s="97" t="s">
        <v>71</v>
      </c>
      <c r="J307" s="97" t="s">
        <v>71</v>
      </c>
      <c r="K307" s="97" t="s">
        <v>76</v>
      </c>
      <c r="L307" s="85" t="s">
        <v>1491</v>
      </c>
      <c r="M307" s="97" t="s">
        <v>1562</v>
      </c>
      <c r="N307" s="97">
        <v>1</v>
      </c>
      <c r="O307" s="97">
        <v>15</v>
      </c>
      <c r="P307" s="97">
        <v>15</v>
      </c>
      <c r="Q307" s="98">
        <f>N307*(F307+G307)</f>
        <v>2</v>
      </c>
      <c r="R307" s="98">
        <f>Q307</f>
        <v>2</v>
      </c>
      <c r="S307" s="98"/>
      <c r="T307" s="98"/>
      <c r="U307" s="85"/>
      <c r="V307" s="78"/>
      <c r="W307" s="78"/>
    </row>
    <row r="308" spans="2:23">
      <c r="B308" s="38" t="s">
        <v>1637</v>
      </c>
      <c r="C308" s="38" t="s">
        <v>26</v>
      </c>
      <c r="D308" s="9" t="s">
        <v>1100</v>
      </c>
      <c r="E308" s="85" t="s">
        <v>1101</v>
      </c>
      <c r="F308" s="84">
        <v>4</v>
      </c>
      <c r="G308" s="84">
        <v>0</v>
      </c>
      <c r="H308" s="84">
        <v>4</v>
      </c>
      <c r="I308" s="97" t="s">
        <v>73</v>
      </c>
      <c r="J308" s="97" t="s">
        <v>73</v>
      </c>
      <c r="K308" s="97" t="s">
        <v>76</v>
      </c>
      <c r="L308" s="85" t="s">
        <v>1491</v>
      </c>
      <c r="M308" s="97" t="s">
        <v>1562</v>
      </c>
      <c r="N308" s="97">
        <v>1</v>
      </c>
      <c r="O308" s="97">
        <v>50</v>
      </c>
      <c r="P308" s="97">
        <v>50</v>
      </c>
      <c r="Q308" s="98">
        <f>N308*(F308+G308)</f>
        <v>4</v>
      </c>
      <c r="R308" s="98">
        <f>Q308</f>
        <v>4</v>
      </c>
      <c r="S308" s="98"/>
      <c r="T308" s="98"/>
      <c r="U308" s="85"/>
      <c r="V308" s="78"/>
      <c r="W308" s="78"/>
    </row>
    <row r="309" spans="2:23">
      <c r="B309" s="38" t="s">
        <v>1637</v>
      </c>
      <c r="C309" s="38" t="s">
        <v>26</v>
      </c>
      <c r="D309" s="9" t="s">
        <v>1185</v>
      </c>
      <c r="E309" s="85" t="s">
        <v>1186</v>
      </c>
      <c r="F309" s="84">
        <v>2</v>
      </c>
      <c r="G309" s="84">
        <v>0</v>
      </c>
      <c r="H309" s="84">
        <v>2</v>
      </c>
      <c r="I309" s="97" t="s">
        <v>73</v>
      </c>
      <c r="J309" s="97" t="s">
        <v>73</v>
      </c>
      <c r="K309" s="97" t="s">
        <v>76</v>
      </c>
      <c r="L309" s="85" t="s">
        <v>1488</v>
      </c>
      <c r="M309" s="97" t="s">
        <v>1562</v>
      </c>
      <c r="N309" s="97">
        <v>1</v>
      </c>
      <c r="O309" s="97">
        <v>50</v>
      </c>
      <c r="P309" s="97">
        <v>50</v>
      </c>
      <c r="Q309" s="98">
        <f>N309*(F309+G309)</f>
        <v>2</v>
      </c>
      <c r="R309" s="98">
        <f>Q309</f>
        <v>2</v>
      </c>
      <c r="S309" s="98"/>
      <c r="T309" s="98"/>
      <c r="U309" s="85"/>
      <c r="V309" s="78"/>
      <c r="W309" s="78"/>
    </row>
    <row r="310" spans="2:23">
      <c r="B310" s="38" t="s">
        <v>1637</v>
      </c>
      <c r="C310" s="38" t="s">
        <v>26</v>
      </c>
      <c r="D310" s="9" t="s">
        <v>1250</v>
      </c>
      <c r="E310" s="85" t="s">
        <v>1251</v>
      </c>
      <c r="F310" s="84">
        <v>4</v>
      </c>
      <c r="G310" s="84">
        <v>2</v>
      </c>
      <c r="H310" s="84">
        <v>4</v>
      </c>
      <c r="I310" s="97" t="s">
        <v>73</v>
      </c>
      <c r="J310" s="97" t="s">
        <v>73</v>
      </c>
      <c r="K310" s="97" t="s">
        <v>76</v>
      </c>
      <c r="L310" s="85" t="s">
        <v>1488</v>
      </c>
      <c r="M310" s="97" t="s">
        <v>1562</v>
      </c>
      <c r="N310" s="97">
        <v>1</v>
      </c>
      <c r="O310" s="97">
        <v>30</v>
      </c>
      <c r="P310" s="97">
        <v>30</v>
      </c>
      <c r="Q310" s="98">
        <f>N310*(F310+G310)</f>
        <v>6</v>
      </c>
      <c r="R310" s="98">
        <f>Q310</f>
        <v>6</v>
      </c>
      <c r="S310" s="98" t="s">
        <v>1695</v>
      </c>
      <c r="T310" s="98" t="s">
        <v>1564</v>
      </c>
      <c r="U310" s="85"/>
      <c r="V310" s="78"/>
      <c r="W310" s="78"/>
    </row>
    <row r="311" spans="2:23">
      <c r="B311" s="38" t="s">
        <v>1637</v>
      </c>
      <c r="C311" s="38" t="s">
        <v>26</v>
      </c>
      <c r="D311" s="9" t="s">
        <v>1146</v>
      </c>
      <c r="E311" s="85" t="s">
        <v>1147</v>
      </c>
      <c r="F311" s="84">
        <v>4</v>
      </c>
      <c r="G311" s="84">
        <v>2</v>
      </c>
      <c r="H311" s="84">
        <v>4</v>
      </c>
      <c r="I311" s="97" t="s">
        <v>73</v>
      </c>
      <c r="J311" s="97" t="s">
        <v>73</v>
      </c>
      <c r="K311" s="97" t="s">
        <v>76</v>
      </c>
      <c r="L311" s="85" t="s">
        <v>1488</v>
      </c>
      <c r="M311" s="97" t="s">
        <v>1562</v>
      </c>
      <c r="N311" s="97">
        <v>1</v>
      </c>
      <c r="O311" s="97">
        <v>30</v>
      </c>
      <c r="P311" s="97">
        <v>30</v>
      </c>
      <c r="Q311" s="98">
        <f>N311*(F311+G311)</f>
        <v>6</v>
      </c>
      <c r="R311" s="98">
        <f>Q311</f>
        <v>6</v>
      </c>
      <c r="S311" s="98" t="s">
        <v>1695</v>
      </c>
      <c r="T311" s="98" t="s">
        <v>1564</v>
      </c>
      <c r="U311" s="85"/>
      <c r="V311" s="78"/>
      <c r="W311" s="78"/>
    </row>
    <row r="312" spans="2:23">
      <c r="B312" s="41" t="s">
        <v>54</v>
      </c>
      <c r="C312" s="41" t="s">
        <v>27</v>
      </c>
      <c r="D312" s="3" t="s">
        <v>730</v>
      </c>
      <c r="E312" s="80" t="s">
        <v>731</v>
      </c>
      <c r="F312" s="81">
        <v>4</v>
      </c>
      <c r="G312" s="81">
        <v>0</v>
      </c>
      <c r="H312" s="81">
        <v>4</v>
      </c>
      <c r="I312" s="101" t="s">
        <v>71</v>
      </c>
      <c r="J312" s="97" t="s">
        <v>71</v>
      </c>
      <c r="K312" s="80" t="s">
        <v>76</v>
      </c>
      <c r="L312" s="101" t="s">
        <v>1488</v>
      </c>
      <c r="M312" s="97" t="s">
        <v>1528</v>
      </c>
      <c r="N312" s="101">
        <v>1</v>
      </c>
      <c r="O312" s="101">
        <v>80</v>
      </c>
      <c r="P312" s="102">
        <v>80</v>
      </c>
      <c r="Q312" s="98">
        <f>N312*(F312+G312)</f>
        <v>4</v>
      </c>
      <c r="R312" s="98">
        <v>4</v>
      </c>
      <c r="S312" s="80"/>
      <c r="T312" s="81"/>
      <c r="U312" s="80"/>
    </row>
    <row r="313" spans="2:23">
      <c r="B313" s="41" t="s">
        <v>54</v>
      </c>
      <c r="C313" s="41" t="s">
        <v>27</v>
      </c>
      <c r="D313" s="3" t="s">
        <v>730</v>
      </c>
      <c r="E313" s="80" t="s">
        <v>731</v>
      </c>
      <c r="F313" s="81">
        <v>4</v>
      </c>
      <c r="G313" s="81">
        <v>0</v>
      </c>
      <c r="H313" s="81">
        <v>4</v>
      </c>
      <c r="I313" s="101" t="s">
        <v>71</v>
      </c>
      <c r="J313" s="97" t="s">
        <v>71</v>
      </c>
      <c r="K313" s="80" t="s">
        <v>76</v>
      </c>
      <c r="L313" s="101" t="s">
        <v>1491</v>
      </c>
      <c r="M313" s="97" t="s">
        <v>1528</v>
      </c>
      <c r="N313" s="101">
        <v>1</v>
      </c>
      <c r="O313" s="101">
        <v>80</v>
      </c>
      <c r="P313" s="102">
        <v>80</v>
      </c>
      <c r="Q313" s="98">
        <f>N313*(F313+G313)</f>
        <v>4</v>
      </c>
      <c r="R313" s="98">
        <v>4</v>
      </c>
      <c r="S313" s="80"/>
      <c r="T313" s="81"/>
      <c r="U313" s="80"/>
    </row>
    <row r="314" spans="2:23">
      <c r="B314" s="41" t="s">
        <v>54</v>
      </c>
      <c r="C314" s="41" t="s">
        <v>27</v>
      </c>
      <c r="D314" s="3" t="s">
        <v>1375</v>
      </c>
      <c r="E314" s="80" t="s">
        <v>1376</v>
      </c>
      <c r="F314" s="81">
        <v>2</v>
      </c>
      <c r="G314" s="81">
        <v>2</v>
      </c>
      <c r="H314" s="81">
        <v>4</v>
      </c>
      <c r="I314" s="101" t="s">
        <v>71</v>
      </c>
      <c r="J314" s="97" t="s">
        <v>71</v>
      </c>
      <c r="K314" s="80" t="s">
        <v>76</v>
      </c>
      <c r="L314" s="101" t="s">
        <v>1488</v>
      </c>
      <c r="M314" s="97" t="s">
        <v>1528</v>
      </c>
      <c r="N314" s="101">
        <v>1</v>
      </c>
      <c r="O314" s="101">
        <v>80</v>
      </c>
      <c r="P314" s="102">
        <v>80</v>
      </c>
      <c r="Q314" s="98">
        <f>N314*(F314+G314)</f>
        <v>4</v>
      </c>
      <c r="R314" s="98">
        <v>4</v>
      </c>
      <c r="S314" s="80"/>
      <c r="T314" s="81"/>
      <c r="U314" s="80"/>
    </row>
    <row r="315" spans="2:23">
      <c r="B315" s="41" t="s">
        <v>54</v>
      </c>
      <c r="C315" s="41" t="s">
        <v>27</v>
      </c>
      <c r="D315" s="3" t="s">
        <v>1375</v>
      </c>
      <c r="E315" s="80" t="s">
        <v>1376</v>
      </c>
      <c r="F315" s="81">
        <v>2</v>
      </c>
      <c r="G315" s="81">
        <v>2</v>
      </c>
      <c r="H315" s="81">
        <v>4</v>
      </c>
      <c r="I315" s="101" t="s">
        <v>71</v>
      </c>
      <c r="J315" s="97" t="s">
        <v>71</v>
      </c>
      <c r="K315" s="80" t="s">
        <v>76</v>
      </c>
      <c r="L315" s="101" t="s">
        <v>1491</v>
      </c>
      <c r="M315" s="97" t="s">
        <v>1528</v>
      </c>
      <c r="N315" s="101">
        <v>1</v>
      </c>
      <c r="O315" s="101">
        <v>80</v>
      </c>
      <c r="P315" s="102">
        <v>80</v>
      </c>
      <c r="Q315" s="98">
        <f>N315*(F315+G315)</f>
        <v>4</v>
      </c>
      <c r="R315" s="98">
        <v>4</v>
      </c>
      <c r="S315" s="80"/>
      <c r="T315" s="81"/>
      <c r="U315" s="80"/>
    </row>
    <row r="316" spans="2:23">
      <c r="B316" s="41" t="s">
        <v>54</v>
      </c>
      <c r="C316" s="41" t="s">
        <v>27</v>
      </c>
      <c r="D316" s="3" t="s">
        <v>369</v>
      </c>
      <c r="E316" s="80" t="s">
        <v>370</v>
      </c>
      <c r="F316" s="81">
        <v>4</v>
      </c>
      <c r="G316" s="81">
        <v>0</v>
      </c>
      <c r="H316" s="81">
        <v>4</v>
      </c>
      <c r="I316" s="101" t="s">
        <v>71</v>
      </c>
      <c r="J316" s="97" t="s">
        <v>71</v>
      </c>
      <c r="K316" s="80" t="s">
        <v>371</v>
      </c>
      <c r="L316" s="101" t="s">
        <v>1488</v>
      </c>
      <c r="M316" s="97" t="s">
        <v>1528</v>
      </c>
      <c r="N316" s="101">
        <v>1</v>
      </c>
      <c r="O316" s="101">
        <v>80</v>
      </c>
      <c r="P316" s="102">
        <v>80</v>
      </c>
      <c r="Q316" s="98">
        <f>N316*(F316+G316)</f>
        <v>4</v>
      </c>
      <c r="R316" s="98">
        <v>4</v>
      </c>
      <c r="S316" s="80"/>
      <c r="T316" s="81"/>
      <c r="U316" s="80"/>
    </row>
    <row r="317" spans="2:23">
      <c r="B317" s="41" t="s">
        <v>54</v>
      </c>
      <c r="C317" s="41" t="s">
        <v>27</v>
      </c>
      <c r="D317" s="3" t="s">
        <v>369</v>
      </c>
      <c r="E317" s="80" t="s">
        <v>370</v>
      </c>
      <c r="F317" s="81">
        <v>4</v>
      </c>
      <c r="G317" s="81">
        <v>0</v>
      </c>
      <c r="H317" s="81">
        <v>4</v>
      </c>
      <c r="I317" s="101" t="s">
        <v>71</v>
      </c>
      <c r="J317" s="97" t="s">
        <v>71</v>
      </c>
      <c r="K317" s="80" t="s">
        <v>371</v>
      </c>
      <c r="L317" s="101" t="s">
        <v>1491</v>
      </c>
      <c r="M317" s="97" t="s">
        <v>1528</v>
      </c>
      <c r="N317" s="101">
        <v>1</v>
      </c>
      <c r="O317" s="101">
        <v>80</v>
      </c>
      <c r="P317" s="102">
        <v>80</v>
      </c>
      <c r="Q317" s="98">
        <f>N317*(F317+G317)</f>
        <v>4</v>
      </c>
      <c r="R317" s="98">
        <v>4</v>
      </c>
      <c r="S317" s="80"/>
      <c r="T317" s="81"/>
      <c r="U317" s="80"/>
    </row>
    <row r="318" spans="2:23">
      <c r="B318" s="41" t="s">
        <v>54</v>
      </c>
      <c r="C318" s="41" t="s">
        <v>27</v>
      </c>
      <c r="D318" s="3" t="s">
        <v>1609</v>
      </c>
      <c r="E318" s="80" t="s">
        <v>1165</v>
      </c>
      <c r="F318" s="81">
        <v>4</v>
      </c>
      <c r="G318" s="81">
        <v>0</v>
      </c>
      <c r="H318" s="81">
        <v>4</v>
      </c>
      <c r="I318" s="101" t="s">
        <v>71</v>
      </c>
      <c r="J318" s="97" t="s">
        <v>71</v>
      </c>
      <c r="K318" s="80" t="s">
        <v>76</v>
      </c>
      <c r="L318" s="101" t="s">
        <v>1488</v>
      </c>
      <c r="M318" s="97" t="s">
        <v>1528</v>
      </c>
      <c r="N318" s="101">
        <v>1</v>
      </c>
      <c r="O318" s="101">
        <v>80</v>
      </c>
      <c r="P318" s="102">
        <v>80</v>
      </c>
      <c r="Q318" s="98">
        <f>N318*(F318+G318)</f>
        <v>4</v>
      </c>
      <c r="R318" s="98">
        <v>4</v>
      </c>
      <c r="S318" s="80"/>
      <c r="T318" s="81"/>
      <c r="U318" s="80"/>
    </row>
    <row r="319" spans="2:23">
      <c r="B319" s="41" t="s">
        <v>54</v>
      </c>
      <c r="C319" s="41" t="s">
        <v>27</v>
      </c>
      <c r="D319" s="3" t="s">
        <v>1609</v>
      </c>
      <c r="E319" s="80" t="s">
        <v>1610</v>
      </c>
      <c r="F319" s="81">
        <v>4</v>
      </c>
      <c r="G319" s="81">
        <v>0</v>
      </c>
      <c r="H319" s="81">
        <v>4</v>
      </c>
      <c r="I319" s="101" t="s">
        <v>71</v>
      </c>
      <c r="J319" s="97" t="s">
        <v>71</v>
      </c>
      <c r="K319" s="80" t="s">
        <v>76</v>
      </c>
      <c r="L319" s="101" t="s">
        <v>1491</v>
      </c>
      <c r="M319" s="97" t="s">
        <v>1528</v>
      </c>
      <c r="N319" s="101">
        <v>1</v>
      </c>
      <c r="O319" s="101">
        <v>80</v>
      </c>
      <c r="P319" s="102">
        <v>80</v>
      </c>
      <c r="Q319" s="98">
        <f>N319*(F319+G319)</f>
        <v>4</v>
      </c>
      <c r="R319" s="98">
        <v>4</v>
      </c>
      <c r="S319" s="80"/>
      <c r="T319" s="81"/>
      <c r="U319" s="80"/>
    </row>
    <row r="320" spans="2:23">
      <c r="B320" s="41" t="s">
        <v>54</v>
      </c>
      <c r="C320" s="41" t="s">
        <v>27</v>
      </c>
      <c r="D320" s="3" t="s">
        <v>1611</v>
      </c>
      <c r="E320" s="80" t="s">
        <v>1470</v>
      </c>
      <c r="F320" s="81">
        <v>4</v>
      </c>
      <c r="G320" s="81">
        <v>0</v>
      </c>
      <c r="H320" s="81">
        <v>4</v>
      </c>
      <c r="I320" s="101" t="s">
        <v>73</v>
      </c>
      <c r="J320" s="97" t="s">
        <v>73</v>
      </c>
      <c r="K320" s="80" t="s">
        <v>76</v>
      </c>
      <c r="L320" s="101" t="s">
        <v>1488</v>
      </c>
      <c r="M320" s="97" t="s">
        <v>1528</v>
      </c>
      <c r="N320" s="101">
        <v>1</v>
      </c>
      <c r="O320" s="101">
        <v>40</v>
      </c>
      <c r="P320" s="102">
        <v>40</v>
      </c>
      <c r="Q320" s="98">
        <f>N320*(F320+G320)</f>
        <v>4</v>
      </c>
      <c r="R320" s="98">
        <v>4</v>
      </c>
      <c r="S320" s="80"/>
      <c r="T320" s="81"/>
      <c r="U320" s="80"/>
    </row>
    <row r="321" spans="2:21">
      <c r="B321" s="46" t="s">
        <v>1773</v>
      </c>
      <c r="C321" s="46" t="s">
        <v>28</v>
      </c>
      <c r="D321" s="3" t="s">
        <v>1252</v>
      </c>
      <c r="E321" s="80" t="s">
        <v>1502</v>
      </c>
      <c r="F321" s="81">
        <v>3</v>
      </c>
      <c r="G321" s="81">
        <v>1</v>
      </c>
      <c r="H321" s="81">
        <v>4</v>
      </c>
      <c r="I321" s="101" t="s">
        <v>1503</v>
      </c>
      <c r="J321" s="97" t="s">
        <v>71</v>
      </c>
      <c r="K321" s="80" t="s">
        <v>118</v>
      </c>
      <c r="L321" s="101" t="s">
        <v>1488</v>
      </c>
      <c r="M321" s="97" t="s">
        <v>1562</v>
      </c>
      <c r="N321" s="101">
        <v>1</v>
      </c>
      <c r="O321" s="101">
        <v>60</v>
      </c>
      <c r="P321" s="102">
        <v>60</v>
      </c>
      <c r="Q321" s="98">
        <f>N321*(F321+G321)</f>
        <v>4</v>
      </c>
      <c r="R321" s="98">
        <v>4</v>
      </c>
      <c r="S321" s="80" t="s">
        <v>1504</v>
      </c>
      <c r="T321" s="81" t="s">
        <v>1505</v>
      </c>
      <c r="U321" s="80"/>
    </row>
    <row r="322" spans="2:21">
      <c r="B322" s="46" t="s">
        <v>1773</v>
      </c>
      <c r="C322" s="46" t="s">
        <v>28</v>
      </c>
      <c r="D322" s="3" t="s">
        <v>849</v>
      </c>
      <c r="E322" s="80" t="s">
        <v>1506</v>
      </c>
      <c r="F322" s="81">
        <v>4</v>
      </c>
      <c r="G322" s="81">
        <v>0</v>
      </c>
      <c r="H322" s="81">
        <v>4</v>
      </c>
      <c r="I322" s="101" t="s">
        <v>1503</v>
      </c>
      <c r="J322" s="97" t="s">
        <v>71</v>
      </c>
      <c r="K322" s="80" t="s">
        <v>251</v>
      </c>
      <c r="L322" s="101" t="s">
        <v>1488</v>
      </c>
      <c r="M322" s="97" t="s">
        <v>1562</v>
      </c>
      <c r="N322" s="101">
        <v>1</v>
      </c>
      <c r="O322" s="101">
        <v>60</v>
      </c>
      <c r="P322" s="102">
        <v>60</v>
      </c>
      <c r="Q322" s="98">
        <f>N322*(F322+G322)</f>
        <v>4</v>
      </c>
      <c r="R322" s="98">
        <v>4</v>
      </c>
      <c r="S322" s="80"/>
      <c r="T322" s="81"/>
      <c r="U322" s="80"/>
    </row>
    <row r="323" spans="2:21">
      <c r="B323" s="46" t="s">
        <v>1773</v>
      </c>
      <c r="C323" s="46" t="s">
        <v>28</v>
      </c>
      <c r="D323" s="3" t="s">
        <v>1368</v>
      </c>
      <c r="E323" s="80" t="s">
        <v>1369</v>
      </c>
      <c r="F323" s="81">
        <v>4</v>
      </c>
      <c r="G323" s="81">
        <v>0</v>
      </c>
      <c r="H323" s="81">
        <v>4</v>
      </c>
      <c r="I323" s="101" t="s">
        <v>1503</v>
      </c>
      <c r="J323" s="97" t="s">
        <v>71</v>
      </c>
      <c r="K323" s="80" t="s">
        <v>1370</v>
      </c>
      <c r="L323" s="101" t="s">
        <v>1491</v>
      </c>
      <c r="M323" s="97" t="s">
        <v>1562</v>
      </c>
      <c r="N323" s="101">
        <v>1</v>
      </c>
      <c r="O323" s="101">
        <v>60</v>
      </c>
      <c r="P323" s="102">
        <v>60</v>
      </c>
      <c r="Q323" s="98">
        <f>N323*(F323+G323)</f>
        <v>4</v>
      </c>
      <c r="R323" s="98">
        <v>4</v>
      </c>
      <c r="S323" s="80"/>
      <c r="T323" s="81"/>
      <c r="U323" s="80"/>
    </row>
    <row r="324" spans="2:21">
      <c r="B324" s="46" t="s">
        <v>1773</v>
      </c>
      <c r="C324" s="46" t="s">
        <v>28</v>
      </c>
      <c r="D324" s="3" t="s">
        <v>132</v>
      </c>
      <c r="E324" s="80" t="s">
        <v>1507</v>
      </c>
      <c r="F324" s="81">
        <v>3</v>
      </c>
      <c r="G324" s="81">
        <v>1</v>
      </c>
      <c r="H324" s="81">
        <v>4</v>
      </c>
      <c r="I324" s="101" t="s">
        <v>1508</v>
      </c>
      <c r="J324" s="97" t="s">
        <v>73</v>
      </c>
      <c r="K324" s="80" t="s">
        <v>133</v>
      </c>
      <c r="L324" s="101" t="s">
        <v>1488</v>
      </c>
      <c r="M324" s="97" t="s">
        <v>1562</v>
      </c>
      <c r="N324" s="101">
        <v>1</v>
      </c>
      <c r="O324" s="101">
        <v>60</v>
      </c>
      <c r="P324" s="102">
        <v>60</v>
      </c>
      <c r="Q324" s="98">
        <f>N324*(F324+G324)</f>
        <v>4</v>
      </c>
      <c r="R324" s="98">
        <v>4</v>
      </c>
      <c r="S324" s="80" t="s">
        <v>1509</v>
      </c>
      <c r="T324" s="81" t="s">
        <v>1505</v>
      </c>
      <c r="U324" s="80"/>
    </row>
    <row r="325" spans="2:21">
      <c r="B325" s="46" t="s">
        <v>1773</v>
      </c>
      <c r="C325" s="46" t="s">
        <v>28</v>
      </c>
      <c r="D325" s="3" t="s">
        <v>360</v>
      </c>
      <c r="E325" s="80" t="s">
        <v>260</v>
      </c>
      <c r="F325" s="81">
        <v>4</v>
      </c>
      <c r="G325" s="81">
        <v>0</v>
      </c>
      <c r="H325" s="81">
        <v>5</v>
      </c>
      <c r="I325" s="101" t="s">
        <v>1503</v>
      </c>
      <c r="J325" s="97" t="s">
        <v>71</v>
      </c>
      <c r="K325" s="80" t="s">
        <v>361</v>
      </c>
      <c r="L325" s="101" t="s">
        <v>1491</v>
      </c>
      <c r="M325" s="97" t="s">
        <v>1562</v>
      </c>
      <c r="N325" s="101">
        <v>1</v>
      </c>
      <c r="O325" s="101">
        <v>60</v>
      </c>
      <c r="P325" s="102">
        <v>60</v>
      </c>
      <c r="Q325" s="98">
        <f>N325*(F325+G325)</f>
        <v>4</v>
      </c>
      <c r="R325" s="98">
        <v>4</v>
      </c>
      <c r="S325" s="80"/>
      <c r="T325" s="81"/>
      <c r="U325" s="80"/>
    </row>
    <row r="326" spans="2:21">
      <c r="B326" s="46" t="s">
        <v>1773</v>
      </c>
      <c r="C326" s="46" t="s">
        <v>28</v>
      </c>
      <c r="D326" s="3" t="s">
        <v>1224</v>
      </c>
      <c r="E326" s="80" t="s">
        <v>146</v>
      </c>
      <c r="F326" s="81">
        <v>3</v>
      </c>
      <c r="G326" s="81">
        <v>2</v>
      </c>
      <c r="H326" s="81">
        <v>4</v>
      </c>
      <c r="I326" s="101" t="s">
        <v>71</v>
      </c>
      <c r="J326" s="97" t="s">
        <v>71</v>
      </c>
      <c r="K326" s="80" t="s">
        <v>657</v>
      </c>
      <c r="L326" s="101" t="s">
        <v>1488</v>
      </c>
      <c r="M326" s="97" t="s">
        <v>1562</v>
      </c>
      <c r="N326" s="101">
        <v>1</v>
      </c>
      <c r="O326" s="101">
        <v>60</v>
      </c>
      <c r="P326" s="102">
        <v>60</v>
      </c>
      <c r="Q326" s="98">
        <f>N326*(F326+G326)</f>
        <v>5</v>
      </c>
      <c r="R326" s="98">
        <v>5</v>
      </c>
      <c r="S326" s="80" t="s">
        <v>1509</v>
      </c>
      <c r="T326" s="81"/>
      <c r="U326" s="80"/>
    </row>
    <row r="327" spans="2:21">
      <c r="B327" s="46" t="s">
        <v>1773</v>
      </c>
      <c r="C327" s="46" t="s">
        <v>28</v>
      </c>
      <c r="D327" s="3" t="s">
        <v>357</v>
      </c>
      <c r="E327" s="80" t="s">
        <v>358</v>
      </c>
      <c r="F327" s="81">
        <v>4</v>
      </c>
      <c r="G327" s="81">
        <v>0</v>
      </c>
      <c r="H327" s="81">
        <v>4</v>
      </c>
      <c r="I327" s="101" t="s">
        <v>71</v>
      </c>
      <c r="J327" s="97" t="s">
        <v>71</v>
      </c>
      <c r="K327" s="80" t="s">
        <v>359</v>
      </c>
      <c r="L327" s="101" t="s">
        <v>1491</v>
      </c>
      <c r="M327" s="97" t="s">
        <v>1562</v>
      </c>
      <c r="N327" s="101">
        <v>1</v>
      </c>
      <c r="O327" s="101">
        <v>60</v>
      </c>
      <c r="P327" s="102">
        <v>60</v>
      </c>
      <c r="Q327" s="98">
        <f>N327*(F327+G327)</f>
        <v>4</v>
      </c>
      <c r="R327" s="98">
        <v>4</v>
      </c>
      <c r="S327" s="80"/>
      <c r="T327" s="81"/>
      <c r="U327" s="80"/>
    </row>
    <row r="328" spans="2:21">
      <c r="B328" s="46" t="s">
        <v>1773</v>
      </c>
      <c r="C328" s="46" t="s">
        <v>28</v>
      </c>
      <c r="D328" s="3" t="s">
        <v>88</v>
      </c>
      <c r="E328" s="80" t="s">
        <v>1510</v>
      </c>
      <c r="F328" s="81">
        <v>4</v>
      </c>
      <c r="G328" s="81">
        <v>0</v>
      </c>
      <c r="H328" s="81">
        <v>4</v>
      </c>
      <c r="I328" s="101" t="s">
        <v>1511</v>
      </c>
      <c r="J328" s="97" t="s">
        <v>71</v>
      </c>
      <c r="K328" s="80" t="s">
        <v>1512</v>
      </c>
      <c r="L328" s="101" t="s">
        <v>1491</v>
      </c>
      <c r="M328" s="97" t="s">
        <v>1528</v>
      </c>
      <c r="N328" s="101">
        <v>1</v>
      </c>
      <c r="O328" s="101">
        <v>60</v>
      </c>
      <c r="P328" s="102">
        <v>60</v>
      </c>
      <c r="Q328" s="98">
        <f>N328*(F328+G328)</f>
        <v>4</v>
      </c>
      <c r="R328" s="98">
        <v>4</v>
      </c>
      <c r="S328" s="80"/>
      <c r="T328" s="81"/>
      <c r="U328" s="80"/>
    </row>
    <row r="329" spans="2:21">
      <c r="B329" s="46" t="s">
        <v>1773</v>
      </c>
      <c r="C329" s="46" t="s">
        <v>28</v>
      </c>
      <c r="D329" s="3" t="s">
        <v>1363</v>
      </c>
      <c r="E329" s="80" t="s">
        <v>1061</v>
      </c>
      <c r="F329" s="81">
        <v>4</v>
      </c>
      <c r="G329" s="81">
        <v>0</v>
      </c>
      <c r="H329" s="81">
        <v>4</v>
      </c>
      <c r="I329" s="101" t="s">
        <v>1511</v>
      </c>
      <c r="J329" s="97" t="s">
        <v>71</v>
      </c>
      <c r="K329" s="80" t="s">
        <v>227</v>
      </c>
      <c r="L329" s="101" t="s">
        <v>1488</v>
      </c>
      <c r="M329" s="97" t="s">
        <v>1562</v>
      </c>
      <c r="N329" s="101">
        <v>1</v>
      </c>
      <c r="O329" s="101">
        <v>60</v>
      </c>
      <c r="P329" s="102">
        <v>60</v>
      </c>
      <c r="Q329" s="98">
        <f>N329*(F329+G329)</f>
        <v>4</v>
      </c>
      <c r="R329" s="98">
        <v>4</v>
      </c>
      <c r="S329" s="80"/>
      <c r="T329" s="81"/>
      <c r="U329" s="80"/>
    </row>
    <row r="330" spans="2:21">
      <c r="B330" s="46" t="s">
        <v>1773</v>
      </c>
      <c r="C330" s="46" t="s">
        <v>28</v>
      </c>
      <c r="D330" s="3" t="s">
        <v>367</v>
      </c>
      <c r="E330" s="80" t="s">
        <v>368</v>
      </c>
      <c r="F330" s="81">
        <v>3</v>
      </c>
      <c r="G330" s="81">
        <v>0</v>
      </c>
      <c r="H330" s="81">
        <v>4</v>
      </c>
      <c r="I330" s="101" t="s">
        <v>73</v>
      </c>
      <c r="J330" s="97" t="s">
        <v>73</v>
      </c>
      <c r="K330" s="80" t="s">
        <v>260</v>
      </c>
      <c r="L330" s="101" t="s">
        <v>1488</v>
      </c>
      <c r="M330" s="97" t="s">
        <v>1562</v>
      </c>
      <c r="N330" s="101">
        <v>1</v>
      </c>
      <c r="O330" s="101">
        <v>60</v>
      </c>
      <c r="P330" s="102">
        <v>60</v>
      </c>
      <c r="Q330" s="98">
        <f>N330*(F330+G330)</f>
        <v>3</v>
      </c>
      <c r="R330" s="98">
        <v>3</v>
      </c>
      <c r="S330" s="80"/>
      <c r="T330" s="81"/>
      <c r="U330" s="80"/>
    </row>
    <row r="331" spans="2:21">
      <c r="B331" s="46" t="s">
        <v>1773</v>
      </c>
      <c r="C331" s="46" t="s">
        <v>28</v>
      </c>
      <c r="D331" s="3" t="s">
        <v>840</v>
      </c>
      <c r="E331" s="80" t="s">
        <v>1513</v>
      </c>
      <c r="F331" s="81">
        <v>4</v>
      </c>
      <c r="G331" s="81">
        <v>0</v>
      </c>
      <c r="H331" s="81">
        <v>4</v>
      </c>
      <c r="I331" s="101" t="s">
        <v>1511</v>
      </c>
      <c r="J331" s="97" t="s">
        <v>71</v>
      </c>
      <c r="K331" s="80" t="s">
        <v>841</v>
      </c>
      <c r="L331" s="101" t="s">
        <v>1491</v>
      </c>
      <c r="M331" s="97" t="s">
        <v>1562</v>
      </c>
      <c r="N331" s="101">
        <v>1</v>
      </c>
      <c r="O331" s="101">
        <v>60</v>
      </c>
      <c r="P331" s="102">
        <v>60</v>
      </c>
      <c r="Q331" s="98">
        <f>N331*(F331+G331)</f>
        <v>4</v>
      </c>
      <c r="R331" s="98">
        <v>4</v>
      </c>
      <c r="S331" s="80"/>
      <c r="T331" s="81"/>
      <c r="U331" s="80"/>
    </row>
    <row r="332" spans="2:21">
      <c r="B332" s="46" t="s">
        <v>1773</v>
      </c>
      <c r="C332" s="46" t="s">
        <v>28</v>
      </c>
      <c r="D332" s="3" t="s">
        <v>1514</v>
      </c>
      <c r="E332" s="80" t="s">
        <v>82</v>
      </c>
      <c r="F332" s="81">
        <v>3</v>
      </c>
      <c r="G332" s="81">
        <v>1</v>
      </c>
      <c r="H332" s="81">
        <v>4</v>
      </c>
      <c r="I332" s="101" t="s">
        <v>71</v>
      </c>
      <c r="J332" s="97" t="s">
        <v>71</v>
      </c>
      <c r="K332" s="80" t="s">
        <v>270</v>
      </c>
      <c r="L332" s="101" t="s">
        <v>1488</v>
      </c>
      <c r="M332" s="97" t="s">
        <v>1562</v>
      </c>
      <c r="N332" s="101">
        <v>1</v>
      </c>
      <c r="O332" s="101">
        <v>60</v>
      </c>
      <c r="P332" s="102">
        <v>60</v>
      </c>
      <c r="Q332" s="98">
        <f>N332*(F332+G332)</f>
        <v>4</v>
      </c>
      <c r="R332" s="98">
        <v>4</v>
      </c>
      <c r="S332" s="80" t="s">
        <v>1515</v>
      </c>
      <c r="T332" s="81"/>
      <c r="U332" s="80"/>
    </row>
    <row r="333" spans="2:21">
      <c r="B333" s="46" t="s">
        <v>1773</v>
      </c>
      <c r="C333" s="46" t="s">
        <v>28</v>
      </c>
      <c r="D333" s="3" t="s">
        <v>80</v>
      </c>
      <c r="E333" s="80" t="s">
        <v>81</v>
      </c>
      <c r="F333" s="81">
        <v>4</v>
      </c>
      <c r="G333" s="81">
        <v>0</v>
      </c>
      <c r="H333" s="81">
        <v>5</v>
      </c>
      <c r="I333" s="101" t="s">
        <v>71</v>
      </c>
      <c r="J333" s="97" t="s">
        <v>71</v>
      </c>
      <c r="K333" s="80" t="s">
        <v>82</v>
      </c>
      <c r="L333" s="101" t="s">
        <v>1491</v>
      </c>
      <c r="M333" s="97" t="s">
        <v>1562</v>
      </c>
      <c r="N333" s="101">
        <v>1</v>
      </c>
      <c r="O333" s="101">
        <v>60</v>
      </c>
      <c r="P333" s="102">
        <v>60</v>
      </c>
      <c r="Q333" s="98">
        <f>N333*(F333+G333)</f>
        <v>4</v>
      </c>
      <c r="R333" s="98">
        <v>4</v>
      </c>
      <c r="S333" s="80"/>
      <c r="T333" s="81"/>
      <c r="U333" s="80"/>
    </row>
    <row r="334" spans="2:21">
      <c r="B334" s="46" t="s">
        <v>1773</v>
      </c>
      <c r="C334" s="46" t="s">
        <v>28</v>
      </c>
      <c r="D334" s="3" t="s">
        <v>1353</v>
      </c>
      <c r="E334" s="80" t="s">
        <v>1352</v>
      </c>
      <c r="F334" s="81">
        <v>3</v>
      </c>
      <c r="G334" s="81">
        <v>1</v>
      </c>
      <c r="H334" s="81">
        <v>4</v>
      </c>
      <c r="I334" s="101" t="s">
        <v>73</v>
      </c>
      <c r="J334" s="97" t="s">
        <v>73</v>
      </c>
      <c r="K334" s="80" t="s">
        <v>1354</v>
      </c>
      <c r="L334" s="101" t="s">
        <v>1491</v>
      </c>
      <c r="M334" s="97" t="s">
        <v>1562</v>
      </c>
      <c r="N334" s="101">
        <v>1</v>
      </c>
      <c r="O334" s="101">
        <v>60</v>
      </c>
      <c r="P334" s="102">
        <v>60</v>
      </c>
      <c r="Q334" s="98">
        <f>N334*(F334+G334)</f>
        <v>4</v>
      </c>
      <c r="R334" s="98">
        <v>4</v>
      </c>
      <c r="S334" s="80" t="s">
        <v>1515</v>
      </c>
      <c r="T334" s="81"/>
      <c r="U334" s="80"/>
    </row>
    <row r="335" spans="2:21">
      <c r="B335" s="46" t="s">
        <v>1773</v>
      </c>
      <c r="C335" s="46" t="s">
        <v>28</v>
      </c>
      <c r="D335" s="3" t="s">
        <v>279</v>
      </c>
      <c r="E335" s="80" t="s">
        <v>280</v>
      </c>
      <c r="F335" s="81">
        <v>3</v>
      </c>
      <c r="G335" s="81">
        <v>1</v>
      </c>
      <c r="H335" s="81">
        <v>4</v>
      </c>
      <c r="I335" s="101" t="s">
        <v>71</v>
      </c>
      <c r="J335" s="97" t="s">
        <v>71</v>
      </c>
      <c r="K335" s="80" t="s">
        <v>281</v>
      </c>
      <c r="L335" s="101" t="s">
        <v>1488</v>
      </c>
      <c r="M335" s="97" t="s">
        <v>1562</v>
      </c>
      <c r="N335" s="101">
        <v>1</v>
      </c>
      <c r="O335" s="101">
        <v>60</v>
      </c>
      <c r="P335" s="102">
        <v>60</v>
      </c>
      <c r="Q335" s="98">
        <f>N335*(F335+G335)</f>
        <v>4</v>
      </c>
      <c r="R335" s="98">
        <v>4</v>
      </c>
      <c r="S335" s="80" t="s">
        <v>1515</v>
      </c>
      <c r="T335" s="81"/>
      <c r="U335" s="80"/>
    </row>
    <row r="336" spans="2:21">
      <c r="B336" s="46" t="s">
        <v>1773</v>
      </c>
      <c r="C336" s="46" t="s">
        <v>28</v>
      </c>
      <c r="D336" s="3" t="s">
        <v>83</v>
      </c>
      <c r="E336" s="80" t="s">
        <v>84</v>
      </c>
      <c r="F336" s="81">
        <v>4</v>
      </c>
      <c r="G336" s="81">
        <v>0</v>
      </c>
      <c r="H336" s="81">
        <v>5</v>
      </c>
      <c r="I336" s="101" t="s">
        <v>73</v>
      </c>
      <c r="J336" s="97" t="s">
        <v>73</v>
      </c>
      <c r="K336" s="80" t="s">
        <v>81</v>
      </c>
      <c r="L336" s="101" t="s">
        <v>1488</v>
      </c>
      <c r="M336" s="97" t="s">
        <v>1562</v>
      </c>
      <c r="N336" s="101">
        <v>1</v>
      </c>
      <c r="O336" s="101">
        <v>60</v>
      </c>
      <c r="P336" s="102">
        <v>60</v>
      </c>
      <c r="Q336" s="98">
        <f>N336*(F336+G336)</f>
        <v>4</v>
      </c>
      <c r="R336" s="98">
        <v>4</v>
      </c>
      <c r="S336" s="80"/>
      <c r="T336" s="81"/>
      <c r="U336" s="80"/>
    </row>
    <row r="337" spans="2:21">
      <c r="B337" s="47" t="s">
        <v>1639</v>
      </c>
      <c r="C337" s="47" t="s">
        <v>29</v>
      </c>
      <c r="D337" s="3" t="s">
        <v>110</v>
      </c>
      <c r="E337" s="80" t="s">
        <v>111</v>
      </c>
      <c r="F337" s="81">
        <v>0</v>
      </c>
      <c r="G337" s="81">
        <v>2</v>
      </c>
      <c r="H337" s="81">
        <v>4</v>
      </c>
      <c r="I337" s="101" t="s">
        <v>71</v>
      </c>
      <c r="J337" s="97" t="s">
        <v>71</v>
      </c>
      <c r="K337" s="80" t="s">
        <v>1487</v>
      </c>
      <c r="L337" s="101" t="s">
        <v>1488</v>
      </c>
      <c r="M337" s="97" t="s">
        <v>1562</v>
      </c>
      <c r="N337" s="101">
        <v>1</v>
      </c>
      <c r="O337" s="101">
        <v>30</v>
      </c>
      <c r="P337" s="102">
        <v>30</v>
      </c>
      <c r="Q337" s="98">
        <f>N337*(F337+G337)</f>
        <v>2</v>
      </c>
      <c r="R337" s="98">
        <v>2</v>
      </c>
      <c r="S337" s="80" t="s">
        <v>1489</v>
      </c>
      <c r="T337" s="81" t="s">
        <v>1490</v>
      </c>
      <c r="U337" s="80"/>
    </row>
    <row r="338" spans="2:21">
      <c r="B338" s="47" t="s">
        <v>1639</v>
      </c>
      <c r="C338" s="47" t="s">
        <v>29</v>
      </c>
      <c r="D338" s="3" t="s">
        <v>110</v>
      </c>
      <c r="E338" s="80" t="s">
        <v>111</v>
      </c>
      <c r="F338" s="81">
        <v>0</v>
      </c>
      <c r="G338" s="81">
        <v>2</v>
      </c>
      <c r="H338" s="81">
        <v>4</v>
      </c>
      <c r="I338" s="101" t="s">
        <v>71</v>
      </c>
      <c r="J338" s="97" t="s">
        <v>71</v>
      </c>
      <c r="K338" s="80" t="s">
        <v>1487</v>
      </c>
      <c r="L338" s="101" t="s">
        <v>1491</v>
      </c>
      <c r="M338" s="97" t="s">
        <v>1562</v>
      </c>
      <c r="N338" s="101">
        <v>1</v>
      </c>
      <c r="O338" s="101">
        <v>30</v>
      </c>
      <c r="P338" s="102">
        <v>30</v>
      </c>
      <c r="Q338" s="98">
        <f>N338*(F338+G338)</f>
        <v>2</v>
      </c>
      <c r="R338" s="98">
        <v>2</v>
      </c>
      <c r="S338" s="80" t="s">
        <v>1489</v>
      </c>
      <c r="T338" s="81" t="s">
        <v>1490</v>
      </c>
      <c r="U338" s="80"/>
    </row>
    <row r="339" spans="2:21">
      <c r="B339" s="47" t="s">
        <v>1639</v>
      </c>
      <c r="C339" s="47" t="s">
        <v>29</v>
      </c>
      <c r="D339" s="3" t="s">
        <v>235</v>
      </c>
      <c r="E339" s="80" t="s">
        <v>236</v>
      </c>
      <c r="F339" s="81">
        <v>1</v>
      </c>
      <c r="G339" s="81">
        <v>3</v>
      </c>
      <c r="H339" s="81">
        <v>3</v>
      </c>
      <c r="I339" s="101" t="s">
        <v>71</v>
      </c>
      <c r="J339" s="97" t="s">
        <v>71</v>
      </c>
      <c r="K339" s="80" t="s">
        <v>76</v>
      </c>
      <c r="L339" s="101" t="s">
        <v>1488</v>
      </c>
      <c r="M339" s="97" t="s">
        <v>1562</v>
      </c>
      <c r="N339" s="101">
        <v>1</v>
      </c>
      <c r="O339" s="101">
        <v>30</v>
      </c>
      <c r="P339" s="102">
        <v>30</v>
      </c>
      <c r="Q339" s="98">
        <f>N339*(F339+G339)</f>
        <v>4</v>
      </c>
      <c r="R339" s="98">
        <v>4</v>
      </c>
      <c r="S339" s="80" t="s">
        <v>1489</v>
      </c>
      <c r="T339" s="81" t="s">
        <v>1490</v>
      </c>
      <c r="U339" s="80"/>
    </row>
    <row r="340" spans="2:21">
      <c r="B340" s="47" t="s">
        <v>1639</v>
      </c>
      <c r="C340" s="47" t="s">
        <v>29</v>
      </c>
      <c r="D340" s="3" t="s">
        <v>235</v>
      </c>
      <c r="E340" s="80" t="s">
        <v>236</v>
      </c>
      <c r="F340" s="81">
        <v>1</v>
      </c>
      <c r="G340" s="81">
        <v>3</v>
      </c>
      <c r="H340" s="81">
        <v>3</v>
      </c>
      <c r="I340" s="101" t="s">
        <v>71</v>
      </c>
      <c r="J340" s="97" t="s">
        <v>71</v>
      </c>
      <c r="K340" s="80" t="s">
        <v>76</v>
      </c>
      <c r="L340" s="101" t="s">
        <v>1491</v>
      </c>
      <c r="M340" s="97" t="s">
        <v>1562</v>
      </c>
      <c r="N340" s="101">
        <v>1</v>
      </c>
      <c r="O340" s="101">
        <v>30</v>
      </c>
      <c r="P340" s="102">
        <v>30</v>
      </c>
      <c r="Q340" s="98">
        <f>N340*(F340+G340)</f>
        <v>4</v>
      </c>
      <c r="R340" s="98">
        <v>4</v>
      </c>
      <c r="S340" s="80" t="s">
        <v>1489</v>
      </c>
      <c r="T340" s="81" t="s">
        <v>1490</v>
      </c>
      <c r="U340" s="80"/>
    </row>
    <row r="341" spans="2:21">
      <c r="B341" s="47" t="s">
        <v>1639</v>
      </c>
      <c r="C341" s="47" t="s">
        <v>29</v>
      </c>
      <c r="D341" s="3" t="s">
        <v>676</v>
      </c>
      <c r="E341" s="80" t="s">
        <v>677</v>
      </c>
      <c r="F341" s="81">
        <v>2</v>
      </c>
      <c r="G341" s="81">
        <v>2</v>
      </c>
      <c r="H341" s="81">
        <v>4</v>
      </c>
      <c r="I341" s="101" t="s">
        <v>71</v>
      </c>
      <c r="J341" s="97" t="s">
        <v>71</v>
      </c>
      <c r="K341" s="80" t="s">
        <v>678</v>
      </c>
      <c r="L341" s="101" t="s">
        <v>1488</v>
      </c>
      <c r="M341" s="97" t="s">
        <v>1562</v>
      </c>
      <c r="N341" s="101">
        <v>1</v>
      </c>
      <c r="O341" s="101">
        <v>30</v>
      </c>
      <c r="P341" s="102">
        <v>30</v>
      </c>
      <c r="Q341" s="98">
        <f>N341*(F341+G341)</f>
        <v>4</v>
      </c>
      <c r="R341" s="98">
        <v>4</v>
      </c>
      <c r="S341" s="80" t="s">
        <v>1493</v>
      </c>
      <c r="T341" s="81" t="s">
        <v>1490</v>
      </c>
      <c r="U341" s="80"/>
    </row>
    <row r="342" spans="2:21">
      <c r="B342" s="47" t="s">
        <v>1639</v>
      </c>
      <c r="C342" s="47" t="s">
        <v>29</v>
      </c>
      <c r="D342" s="3" t="s">
        <v>676</v>
      </c>
      <c r="E342" s="80" t="s">
        <v>677</v>
      </c>
      <c r="F342" s="81">
        <v>2</v>
      </c>
      <c r="G342" s="81">
        <v>2</v>
      </c>
      <c r="H342" s="81">
        <v>4</v>
      </c>
      <c r="I342" s="101" t="s">
        <v>71</v>
      </c>
      <c r="J342" s="97" t="s">
        <v>71</v>
      </c>
      <c r="K342" s="80" t="s">
        <v>678</v>
      </c>
      <c r="L342" s="101" t="s">
        <v>1491</v>
      </c>
      <c r="M342" s="97" t="s">
        <v>1562</v>
      </c>
      <c r="N342" s="101">
        <v>1</v>
      </c>
      <c r="O342" s="101">
        <v>30</v>
      </c>
      <c r="P342" s="102">
        <v>30</v>
      </c>
      <c r="Q342" s="98">
        <f>N342*(F342+G342)</f>
        <v>4</v>
      </c>
      <c r="R342" s="98">
        <v>4</v>
      </c>
      <c r="S342" s="80" t="s">
        <v>1493</v>
      </c>
      <c r="T342" s="81" t="s">
        <v>1490</v>
      </c>
      <c r="U342" s="80"/>
    </row>
    <row r="343" spans="2:21">
      <c r="B343" s="47" t="s">
        <v>1639</v>
      </c>
      <c r="C343" s="47" t="s">
        <v>29</v>
      </c>
      <c r="D343" s="3" t="s">
        <v>702</v>
      </c>
      <c r="E343" s="80" t="s">
        <v>703</v>
      </c>
      <c r="F343" s="81">
        <v>3</v>
      </c>
      <c r="G343" s="81">
        <v>1</v>
      </c>
      <c r="H343" s="81">
        <v>5</v>
      </c>
      <c r="I343" s="101" t="s">
        <v>71</v>
      </c>
      <c r="J343" s="97" t="s">
        <v>71</v>
      </c>
      <c r="K343" s="80" t="s">
        <v>704</v>
      </c>
      <c r="L343" s="101" t="s">
        <v>1488</v>
      </c>
      <c r="M343" s="97" t="s">
        <v>1562</v>
      </c>
      <c r="N343" s="101">
        <v>1</v>
      </c>
      <c r="O343" s="101">
        <v>60</v>
      </c>
      <c r="P343" s="102">
        <v>60</v>
      </c>
      <c r="Q343" s="98">
        <f>N343*(F343+G343)</f>
        <v>4</v>
      </c>
      <c r="R343" s="98">
        <v>4</v>
      </c>
      <c r="S343" s="80"/>
      <c r="T343" s="81"/>
      <c r="U343" s="80"/>
    </row>
    <row r="344" spans="2:21">
      <c r="B344" s="47" t="s">
        <v>1639</v>
      </c>
      <c r="C344" s="47" t="s">
        <v>29</v>
      </c>
      <c r="D344" s="3" t="s">
        <v>702</v>
      </c>
      <c r="E344" s="80" t="s">
        <v>703</v>
      </c>
      <c r="F344" s="81">
        <v>3</v>
      </c>
      <c r="G344" s="81">
        <v>1</v>
      </c>
      <c r="H344" s="81">
        <v>5</v>
      </c>
      <c r="I344" s="101" t="s">
        <v>71</v>
      </c>
      <c r="J344" s="97" t="s">
        <v>71</v>
      </c>
      <c r="K344" s="80" t="s">
        <v>704</v>
      </c>
      <c r="L344" s="101" t="s">
        <v>1491</v>
      </c>
      <c r="M344" s="97" t="s">
        <v>1562</v>
      </c>
      <c r="N344" s="101">
        <v>1</v>
      </c>
      <c r="O344" s="101">
        <v>60</v>
      </c>
      <c r="P344" s="102">
        <v>60</v>
      </c>
      <c r="Q344" s="98">
        <f>N344*(F344+G344)</f>
        <v>4</v>
      </c>
      <c r="R344" s="98">
        <v>4</v>
      </c>
      <c r="S344" s="80"/>
      <c r="T344" s="81"/>
      <c r="U344" s="80"/>
    </row>
    <row r="345" spans="2:21">
      <c r="B345" s="47" t="s">
        <v>1639</v>
      </c>
      <c r="C345" s="47" t="s">
        <v>29</v>
      </c>
      <c r="D345" s="3" t="s">
        <v>705</v>
      </c>
      <c r="E345" s="80" t="s">
        <v>706</v>
      </c>
      <c r="F345" s="81">
        <v>2</v>
      </c>
      <c r="G345" s="81">
        <v>2</v>
      </c>
      <c r="H345" s="81">
        <v>4</v>
      </c>
      <c r="I345" s="101" t="s">
        <v>71</v>
      </c>
      <c r="J345" s="97" t="s">
        <v>71</v>
      </c>
      <c r="K345" s="80" t="s">
        <v>707</v>
      </c>
      <c r="L345" s="101" t="s">
        <v>1488</v>
      </c>
      <c r="M345" s="97" t="s">
        <v>1562</v>
      </c>
      <c r="N345" s="101">
        <v>1</v>
      </c>
      <c r="O345" s="101">
        <v>60</v>
      </c>
      <c r="P345" s="102">
        <v>60</v>
      </c>
      <c r="Q345" s="98">
        <f>N345*(F345+G345)</f>
        <v>4</v>
      </c>
      <c r="R345" s="98">
        <v>4</v>
      </c>
      <c r="S345" s="80" t="s">
        <v>1493</v>
      </c>
      <c r="T345" s="81" t="s">
        <v>1490</v>
      </c>
      <c r="U345" s="80"/>
    </row>
    <row r="346" spans="2:21">
      <c r="B346" s="47" t="s">
        <v>1639</v>
      </c>
      <c r="C346" s="47" t="s">
        <v>29</v>
      </c>
      <c r="D346" s="3" t="s">
        <v>705</v>
      </c>
      <c r="E346" s="80" t="s">
        <v>706</v>
      </c>
      <c r="F346" s="81">
        <v>2</v>
      </c>
      <c r="G346" s="81">
        <v>2</v>
      </c>
      <c r="H346" s="81">
        <v>4</v>
      </c>
      <c r="I346" s="101" t="s">
        <v>71</v>
      </c>
      <c r="J346" s="97" t="s">
        <v>71</v>
      </c>
      <c r="K346" s="80" t="s">
        <v>707</v>
      </c>
      <c r="L346" s="101" t="s">
        <v>1491</v>
      </c>
      <c r="M346" s="97" t="s">
        <v>1562</v>
      </c>
      <c r="N346" s="101">
        <v>1</v>
      </c>
      <c r="O346" s="101">
        <v>60</v>
      </c>
      <c r="P346" s="102">
        <v>60</v>
      </c>
      <c r="Q346" s="98">
        <f>N346*(F346+G346)</f>
        <v>4</v>
      </c>
      <c r="R346" s="98">
        <v>4</v>
      </c>
      <c r="S346" s="80" t="s">
        <v>1493</v>
      </c>
      <c r="T346" s="81" t="s">
        <v>1490</v>
      </c>
      <c r="U346" s="80"/>
    </row>
    <row r="347" spans="2:21">
      <c r="B347" s="47" t="s">
        <v>1639</v>
      </c>
      <c r="C347" s="47" t="s">
        <v>29</v>
      </c>
      <c r="D347" s="3" t="s">
        <v>920</v>
      </c>
      <c r="E347" s="80" t="s">
        <v>921</v>
      </c>
      <c r="F347" s="81">
        <v>3</v>
      </c>
      <c r="G347" s="81">
        <v>1</v>
      </c>
      <c r="H347" s="81">
        <v>4</v>
      </c>
      <c r="I347" s="101" t="s">
        <v>71</v>
      </c>
      <c r="J347" s="97" t="s">
        <v>71</v>
      </c>
      <c r="K347" s="80" t="s">
        <v>922</v>
      </c>
      <c r="L347" s="101" t="s">
        <v>1488</v>
      </c>
      <c r="M347" s="97" t="s">
        <v>1562</v>
      </c>
      <c r="N347" s="101">
        <v>1</v>
      </c>
      <c r="O347" s="101">
        <v>60</v>
      </c>
      <c r="P347" s="102">
        <v>60</v>
      </c>
      <c r="Q347" s="98">
        <f>N347*(F347+G347)</f>
        <v>4</v>
      </c>
      <c r="R347" s="98">
        <v>4</v>
      </c>
      <c r="S347" s="80" t="s">
        <v>1493</v>
      </c>
      <c r="T347" s="81" t="s">
        <v>1490</v>
      </c>
      <c r="U347" s="80"/>
    </row>
    <row r="348" spans="2:21">
      <c r="B348" s="47" t="s">
        <v>1639</v>
      </c>
      <c r="C348" s="47" t="s">
        <v>29</v>
      </c>
      <c r="D348" s="3" t="s">
        <v>920</v>
      </c>
      <c r="E348" s="80" t="s">
        <v>921</v>
      </c>
      <c r="F348" s="81">
        <v>3</v>
      </c>
      <c r="G348" s="81">
        <v>1</v>
      </c>
      <c r="H348" s="81">
        <v>4</v>
      </c>
      <c r="I348" s="101" t="s">
        <v>71</v>
      </c>
      <c r="J348" s="97" t="s">
        <v>71</v>
      </c>
      <c r="K348" s="80" t="s">
        <v>922</v>
      </c>
      <c r="L348" s="101" t="s">
        <v>1491</v>
      </c>
      <c r="M348" s="97" t="s">
        <v>1562</v>
      </c>
      <c r="N348" s="101">
        <v>1</v>
      </c>
      <c r="O348" s="101">
        <v>60</v>
      </c>
      <c r="P348" s="102">
        <v>60</v>
      </c>
      <c r="Q348" s="98">
        <f>N348*(F348+G348)</f>
        <v>4</v>
      </c>
      <c r="R348" s="98">
        <v>4</v>
      </c>
      <c r="S348" s="80" t="s">
        <v>1493</v>
      </c>
      <c r="T348" s="81" t="s">
        <v>1490</v>
      </c>
      <c r="U348" s="80"/>
    </row>
    <row r="349" spans="2:21">
      <c r="B349" s="47" t="s">
        <v>1639</v>
      </c>
      <c r="C349" s="47" t="s">
        <v>29</v>
      </c>
      <c r="D349" s="3" t="s">
        <v>1005</v>
      </c>
      <c r="E349" s="80" t="s">
        <v>1006</v>
      </c>
      <c r="F349" s="81">
        <v>3</v>
      </c>
      <c r="G349" s="81">
        <v>1</v>
      </c>
      <c r="H349" s="81">
        <v>4</v>
      </c>
      <c r="I349" s="101" t="s">
        <v>71</v>
      </c>
      <c r="J349" s="97" t="s">
        <v>71</v>
      </c>
      <c r="K349" s="80" t="s">
        <v>1007</v>
      </c>
      <c r="L349" s="101" t="s">
        <v>1488</v>
      </c>
      <c r="M349" s="97" t="s">
        <v>1562</v>
      </c>
      <c r="N349" s="101">
        <v>1</v>
      </c>
      <c r="O349" s="101">
        <v>60</v>
      </c>
      <c r="P349" s="102">
        <v>60</v>
      </c>
      <c r="Q349" s="98">
        <f>N349*(F349+G349)</f>
        <v>4</v>
      </c>
      <c r="R349" s="98">
        <v>4</v>
      </c>
      <c r="S349" s="80"/>
      <c r="T349" s="81"/>
      <c r="U349" s="80"/>
    </row>
    <row r="350" spans="2:21">
      <c r="B350" s="47" t="s">
        <v>1639</v>
      </c>
      <c r="C350" s="47" t="s">
        <v>29</v>
      </c>
      <c r="D350" s="3" t="s">
        <v>1005</v>
      </c>
      <c r="E350" s="80" t="s">
        <v>1006</v>
      </c>
      <c r="F350" s="81">
        <v>3</v>
      </c>
      <c r="G350" s="81">
        <v>1</v>
      </c>
      <c r="H350" s="81">
        <v>4</v>
      </c>
      <c r="I350" s="101" t="s">
        <v>71</v>
      </c>
      <c r="J350" s="97" t="s">
        <v>71</v>
      </c>
      <c r="K350" s="80" t="s">
        <v>1007</v>
      </c>
      <c r="L350" s="101" t="s">
        <v>1491</v>
      </c>
      <c r="M350" s="97" t="s">
        <v>1562</v>
      </c>
      <c r="N350" s="101">
        <v>1</v>
      </c>
      <c r="O350" s="101">
        <v>60</v>
      </c>
      <c r="P350" s="102">
        <v>60</v>
      </c>
      <c r="Q350" s="98">
        <f>N350*(F350+G350)</f>
        <v>4</v>
      </c>
      <c r="R350" s="98">
        <v>4</v>
      </c>
      <c r="S350" s="80"/>
      <c r="T350" s="81"/>
      <c r="U350" s="80"/>
    </row>
    <row r="351" spans="2:21">
      <c r="B351" s="47" t="s">
        <v>1639</v>
      </c>
      <c r="C351" s="47" t="s">
        <v>29</v>
      </c>
      <c r="D351" s="3" t="s">
        <v>1161</v>
      </c>
      <c r="E351" s="80" t="s">
        <v>1162</v>
      </c>
      <c r="F351" s="81">
        <v>2</v>
      </c>
      <c r="G351" s="81">
        <v>0</v>
      </c>
      <c r="H351" s="81">
        <v>4</v>
      </c>
      <c r="I351" s="101" t="s">
        <v>71</v>
      </c>
      <c r="J351" s="97" t="s">
        <v>71</v>
      </c>
      <c r="K351" s="80" t="s">
        <v>76</v>
      </c>
      <c r="L351" s="101" t="s">
        <v>1488</v>
      </c>
      <c r="M351" s="97" t="s">
        <v>1562</v>
      </c>
      <c r="N351" s="101">
        <v>1</v>
      </c>
      <c r="O351" s="101">
        <v>60</v>
      </c>
      <c r="P351" s="102">
        <v>60</v>
      </c>
      <c r="Q351" s="98">
        <f>N351*(F351+G351)</f>
        <v>2</v>
      </c>
      <c r="R351" s="98">
        <v>2</v>
      </c>
      <c r="S351" s="80"/>
      <c r="T351" s="81"/>
      <c r="U351" s="80"/>
    </row>
    <row r="352" spans="2:21">
      <c r="B352" s="47" t="s">
        <v>1639</v>
      </c>
      <c r="C352" s="47" t="s">
        <v>29</v>
      </c>
      <c r="D352" s="3" t="s">
        <v>1161</v>
      </c>
      <c r="E352" s="80" t="s">
        <v>1162</v>
      </c>
      <c r="F352" s="81">
        <v>2</v>
      </c>
      <c r="G352" s="81">
        <v>0</v>
      </c>
      <c r="H352" s="81">
        <v>4</v>
      </c>
      <c r="I352" s="101" t="s">
        <v>71</v>
      </c>
      <c r="J352" s="97" t="s">
        <v>71</v>
      </c>
      <c r="K352" s="80" t="s">
        <v>76</v>
      </c>
      <c r="L352" s="101" t="s">
        <v>1491</v>
      </c>
      <c r="M352" s="97" t="s">
        <v>1562</v>
      </c>
      <c r="N352" s="101">
        <v>1</v>
      </c>
      <c r="O352" s="101">
        <v>60</v>
      </c>
      <c r="P352" s="102">
        <v>60</v>
      </c>
      <c r="Q352" s="98">
        <f>N352*(F352+G352)</f>
        <v>2</v>
      </c>
      <c r="R352" s="98">
        <v>2</v>
      </c>
      <c r="S352" s="80"/>
      <c r="T352" s="81"/>
      <c r="U352" s="80"/>
    </row>
    <row r="353" spans="2:21">
      <c r="B353" s="47" t="s">
        <v>1639</v>
      </c>
      <c r="C353" s="47" t="s">
        <v>29</v>
      </c>
      <c r="D353" s="3" t="s">
        <v>1168</v>
      </c>
      <c r="E353" s="80" t="s">
        <v>1169</v>
      </c>
      <c r="F353" s="81">
        <v>3</v>
      </c>
      <c r="G353" s="81">
        <v>0</v>
      </c>
      <c r="H353" s="81">
        <v>4</v>
      </c>
      <c r="I353" s="101" t="s">
        <v>71</v>
      </c>
      <c r="J353" s="97" t="s">
        <v>71</v>
      </c>
      <c r="K353" s="80" t="s">
        <v>1170</v>
      </c>
      <c r="L353" s="101" t="s">
        <v>1488</v>
      </c>
      <c r="M353" s="97" t="s">
        <v>1562</v>
      </c>
      <c r="N353" s="101">
        <v>1</v>
      </c>
      <c r="O353" s="101">
        <v>30</v>
      </c>
      <c r="P353" s="102">
        <v>30</v>
      </c>
      <c r="Q353" s="98">
        <f>N353*(F353+G353)</f>
        <v>3</v>
      </c>
      <c r="R353" s="98">
        <v>3</v>
      </c>
      <c r="S353" s="80"/>
      <c r="T353" s="81"/>
      <c r="U353" s="80"/>
    </row>
    <row r="354" spans="2:21">
      <c r="B354" s="47" t="s">
        <v>1639</v>
      </c>
      <c r="C354" s="47" t="s">
        <v>29</v>
      </c>
      <c r="D354" s="3" t="s">
        <v>1168</v>
      </c>
      <c r="E354" s="80" t="s">
        <v>1169</v>
      </c>
      <c r="F354" s="81">
        <v>3</v>
      </c>
      <c r="G354" s="81">
        <v>0</v>
      </c>
      <c r="H354" s="81">
        <v>4</v>
      </c>
      <c r="I354" s="101" t="s">
        <v>71</v>
      </c>
      <c r="J354" s="97" t="s">
        <v>71</v>
      </c>
      <c r="K354" s="80" t="s">
        <v>1170</v>
      </c>
      <c r="L354" s="101" t="s">
        <v>1491</v>
      </c>
      <c r="M354" s="97" t="s">
        <v>1562</v>
      </c>
      <c r="N354" s="101">
        <v>1</v>
      </c>
      <c r="O354" s="101">
        <v>30</v>
      </c>
      <c r="P354" s="102">
        <v>30</v>
      </c>
      <c r="Q354" s="98">
        <f>N354*(F354+G354)</f>
        <v>3</v>
      </c>
      <c r="R354" s="98">
        <v>3</v>
      </c>
      <c r="S354" s="80"/>
      <c r="T354" s="81"/>
      <c r="U354" s="80"/>
    </row>
    <row r="355" spans="2:21">
      <c r="B355" s="47" t="s">
        <v>1639</v>
      </c>
      <c r="C355" s="47" t="s">
        <v>29</v>
      </c>
      <c r="D355" s="3" t="s">
        <v>1221</v>
      </c>
      <c r="E355" s="80" t="s">
        <v>1222</v>
      </c>
      <c r="F355" s="81">
        <v>3</v>
      </c>
      <c r="G355" s="81">
        <v>1</v>
      </c>
      <c r="H355" s="81">
        <v>5</v>
      </c>
      <c r="I355" s="101" t="s">
        <v>71</v>
      </c>
      <c r="J355" s="97" t="s">
        <v>71</v>
      </c>
      <c r="K355" s="80" t="s">
        <v>706</v>
      </c>
      <c r="L355" s="101" t="s">
        <v>1488</v>
      </c>
      <c r="M355" s="97" t="s">
        <v>1562</v>
      </c>
      <c r="N355" s="101">
        <v>1</v>
      </c>
      <c r="O355" s="101">
        <v>60</v>
      </c>
      <c r="P355" s="102">
        <v>60</v>
      </c>
      <c r="Q355" s="98">
        <f>N355*(F355+G355)</f>
        <v>4</v>
      </c>
      <c r="R355" s="98">
        <v>4</v>
      </c>
      <c r="S355" s="80"/>
      <c r="T355" s="81"/>
      <c r="U355" s="80"/>
    </row>
    <row r="356" spans="2:21">
      <c r="B356" s="47" t="s">
        <v>1639</v>
      </c>
      <c r="C356" s="47" t="s">
        <v>29</v>
      </c>
      <c r="D356" s="3" t="s">
        <v>1221</v>
      </c>
      <c r="E356" s="80" t="s">
        <v>1222</v>
      </c>
      <c r="F356" s="81">
        <v>3</v>
      </c>
      <c r="G356" s="81">
        <v>1</v>
      </c>
      <c r="H356" s="81">
        <v>5</v>
      </c>
      <c r="I356" s="101" t="s">
        <v>71</v>
      </c>
      <c r="J356" s="97" t="s">
        <v>71</v>
      </c>
      <c r="K356" s="80" t="s">
        <v>706</v>
      </c>
      <c r="L356" s="101" t="s">
        <v>1491</v>
      </c>
      <c r="M356" s="97" t="s">
        <v>1562</v>
      </c>
      <c r="N356" s="101">
        <v>1</v>
      </c>
      <c r="O356" s="101">
        <v>60</v>
      </c>
      <c r="P356" s="102">
        <v>60</v>
      </c>
      <c r="Q356" s="98">
        <f>N356*(F356+G356)</f>
        <v>4</v>
      </c>
      <c r="R356" s="98">
        <v>4</v>
      </c>
      <c r="S356" s="80"/>
      <c r="T356" s="81"/>
      <c r="U356" s="80"/>
    </row>
    <row r="357" spans="2:21">
      <c r="B357" s="47" t="s">
        <v>1639</v>
      </c>
      <c r="C357" s="47" t="s">
        <v>29</v>
      </c>
      <c r="D357" s="3" t="s">
        <v>1364</v>
      </c>
      <c r="E357" s="80" t="s">
        <v>1365</v>
      </c>
      <c r="F357" s="81">
        <v>2</v>
      </c>
      <c r="G357" s="81">
        <v>0</v>
      </c>
      <c r="H357" s="81">
        <v>4</v>
      </c>
      <c r="I357" s="101" t="s">
        <v>71</v>
      </c>
      <c r="J357" s="97" t="s">
        <v>71</v>
      </c>
      <c r="K357" s="80" t="s">
        <v>76</v>
      </c>
      <c r="L357" s="101" t="s">
        <v>1488</v>
      </c>
      <c r="M357" s="97" t="s">
        <v>1562</v>
      </c>
      <c r="N357" s="101">
        <v>1</v>
      </c>
      <c r="O357" s="101">
        <v>30</v>
      </c>
      <c r="P357" s="102">
        <v>30</v>
      </c>
      <c r="Q357" s="98">
        <f>N357*(F357+G357)</f>
        <v>2</v>
      </c>
      <c r="R357" s="98">
        <v>2</v>
      </c>
      <c r="S357" s="80"/>
      <c r="T357" s="81"/>
      <c r="U357" s="80"/>
    </row>
    <row r="358" spans="2:21">
      <c r="B358" s="47" t="s">
        <v>1639</v>
      </c>
      <c r="C358" s="47" t="s">
        <v>29</v>
      </c>
      <c r="D358" s="3" t="s">
        <v>1364</v>
      </c>
      <c r="E358" s="80" t="s">
        <v>1365</v>
      </c>
      <c r="F358" s="81">
        <v>2</v>
      </c>
      <c r="G358" s="81">
        <v>0</v>
      </c>
      <c r="H358" s="81">
        <v>4</v>
      </c>
      <c r="I358" s="101" t="s">
        <v>71</v>
      </c>
      <c r="J358" s="97" t="s">
        <v>71</v>
      </c>
      <c r="K358" s="80" t="s">
        <v>76</v>
      </c>
      <c r="L358" s="101" t="s">
        <v>1491</v>
      </c>
      <c r="M358" s="97" t="s">
        <v>1562</v>
      </c>
      <c r="N358" s="101">
        <v>1</v>
      </c>
      <c r="O358" s="101">
        <v>30</v>
      </c>
      <c r="P358" s="102">
        <v>30</v>
      </c>
      <c r="Q358" s="98">
        <f>N358*(F358+G358)</f>
        <v>2</v>
      </c>
      <c r="R358" s="98">
        <v>2</v>
      </c>
      <c r="S358" s="80"/>
      <c r="T358" s="81"/>
      <c r="U358" s="80"/>
    </row>
    <row r="359" spans="2:21">
      <c r="B359" s="47" t="s">
        <v>1639</v>
      </c>
      <c r="C359" s="47" t="s">
        <v>29</v>
      </c>
      <c r="D359" s="3" t="s">
        <v>1340</v>
      </c>
      <c r="E359" s="80" t="s">
        <v>1341</v>
      </c>
      <c r="F359" s="81">
        <v>0</v>
      </c>
      <c r="G359" s="81">
        <v>2</v>
      </c>
      <c r="H359" s="81">
        <v>4</v>
      </c>
      <c r="I359" s="101" t="s">
        <v>71</v>
      </c>
      <c r="J359" s="97" t="s">
        <v>71</v>
      </c>
      <c r="K359" s="80" t="s">
        <v>450</v>
      </c>
      <c r="L359" s="101" t="s">
        <v>1488</v>
      </c>
      <c r="M359" s="97" t="s">
        <v>1562</v>
      </c>
      <c r="N359" s="101">
        <v>1</v>
      </c>
      <c r="O359" s="101">
        <v>60</v>
      </c>
      <c r="P359" s="102">
        <v>60</v>
      </c>
      <c r="Q359" s="98">
        <f>N359*(F359+G359)</f>
        <v>2</v>
      </c>
      <c r="R359" s="98">
        <v>2</v>
      </c>
      <c r="S359" s="80"/>
      <c r="T359" s="81"/>
      <c r="U359" s="80"/>
    </row>
    <row r="360" spans="2:21">
      <c r="B360" s="47" t="s">
        <v>1639</v>
      </c>
      <c r="C360" s="47" t="s">
        <v>29</v>
      </c>
      <c r="D360" s="3" t="s">
        <v>1340</v>
      </c>
      <c r="E360" s="80" t="s">
        <v>1341</v>
      </c>
      <c r="F360" s="81">
        <v>0</v>
      </c>
      <c r="G360" s="81">
        <v>2</v>
      </c>
      <c r="H360" s="81">
        <v>4</v>
      </c>
      <c r="I360" s="101" t="s">
        <v>71</v>
      </c>
      <c r="J360" s="97" t="s">
        <v>71</v>
      </c>
      <c r="K360" s="80" t="s">
        <v>450</v>
      </c>
      <c r="L360" s="101" t="s">
        <v>1491</v>
      </c>
      <c r="M360" s="97" t="s">
        <v>1562</v>
      </c>
      <c r="N360" s="101">
        <v>1</v>
      </c>
      <c r="O360" s="101">
        <v>60</v>
      </c>
      <c r="P360" s="102">
        <v>60</v>
      </c>
      <c r="Q360" s="98">
        <f>N360*(F360+G360)</f>
        <v>2</v>
      </c>
      <c r="R360" s="98">
        <v>2</v>
      </c>
      <c r="S360" s="80"/>
      <c r="T360" s="81"/>
      <c r="U360" s="80"/>
    </row>
    <row r="361" spans="2:21">
      <c r="B361" s="47" t="s">
        <v>1639</v>
      </c>
      <c r="C361" s="47" t="s">
        <v>29</v>
      </c>
      <c r="D361" s="3" t="s">
        <v>1344</v>
      </c>
      <c r="E361" s="80" t="s">
        <v>1345</v>
      </c>
      <c r="F361" s="81">
        <v>0</v>
      </c>
      <c r="G361" s="81">
        <v>2</v>
      </c>
      <c r="H361" s="81">
        <v>4</v>
      </c>
      <c r="I361" s="101" t="s">
        <v>71</v>
      </c>
      <c r="J361" s="97" t="s">
        <v>71</v>
      </c>
      <c r="K361" s="80" t="s">
        <v>1494</v>
      </c>
      <c r="L361" s="101" t="s">
        <v>1488</v>
      </c>
      <c r="M361" s="97" t="s">
        <v>1562</v>
      </c>
      <c r="N361" s="101">
        <v>1</v>
      </c>
      <c r="O361" s="101">
        <v>60</v>
      </c>
      <c r="P361" s="102">
        <v>60</v>
      </c>
      <c r="Q361" s="98">
        <f>N361*(F361+G361)</f>
        <v>2</v>
      </c>
      <c r="R361" s="98">
        <v>2</v>
      </c>
      <c r="S361" s="80"/>
      <c r="T361" s="81"/>
      <c r="U361" s="80"/>
    </row>
    <row r="362" spans="2:21">
      <c r="B362" s="47" t="s">
        <v>1639</v>
      </c>
      <c r="C362" s="47" t="s">
        <v>29</v>
      </c>
      <c r="D362" s="3" t="s">
        <v>1344</v>
      </c>
      <c r="E362" s="80" t="s">
        <v>1345</v>
      </c>
      <c r="F362" s="81">
        <v>0</v>
      </c>
      <c r="G362" s="81">
        <v>2</v>
      </c>
      <c r="H362" s="81">
        <v>4</v>
      </c>
      <c r="I362" s="101" t="s">
        <v>71</v>
      </c>
      <c r="J362" s="97" t="s">
        <v>71</v>
      </c>
      <c r="K362" s="80" t="s">
        <v>1494</v>
      </c>
      <c r="L362" s="101" t="s">
        <v>1491</v>
      </c>
      <c r="M362" s="97" t="s">
        <v>1562</v>
      </c>
      <c r="N362" s="101">
        <v>1</v>
      </c>
      <c r="O362" s="101">
        <v>60</v>
      </c>
      <c r="P362" s="102">
        <v>60</v>
      </c>
      <c r="Q362" s="98">
        <f>N362*(F362+G362)</f>
        <v>2</v>
      </c>
      <c r="R362" s="98">
        <v>2</v>
      </c>
      <c r="S362" s="80"/>
      <c r="T362" s="81"/>
      <c r="U362" s="80"/>
    </row>
    <row r="363" spans="2:21">
      <c r="B363" s="47" t="s">
        <v>1639</v>
      </c>
      <c r="C363" s="47" t="s">
        <v>29</v>
      </c>
      <c r="D363" s="3" t="s">
        <v>1348</v>
      </c>
      <c r="E363" s="80" t="s">
        <v>1349</v>
      </c>
      <c r="F363" s="81">
        <v>0</v>
      </c>
      <c r="G363" s="81">
        <v>2</v>
      </c>
      <c r="H363" s="81">
        <v>4</v>
      </c>
      <c r="I363" s="101" t="s">
        <v>71</v>
      </c>
      <c r="J363" s="97" t="s">
        <v>71</v>
      </c>
      <c r="K363" s="80" t="s">
        <v>1495</v>
      </c>
      <c r="L363" s="101" t="s">
        <v>1488</v>
      </c>
      <c r="M363" s="97" t="s">
        <v>1562</v>
      </c>
      <c r="N363" s="101">
        <v>1</v>
      </c>
      <c r="O363" s="101">
        <v>60</v>
      </c>
      <c r="P363" s="102">
        <v>60</v>
      </c>
      <c r="Q363" s="98">
        <f>N363*(F363+G363)</f>
        <v>2</v>
      </c>
      <c r="R363" s="98">
        <v>2</v>
      </c>
      <c r="S363" s="80"/>
      <c r="T363" s="81"/>
      <c r="U363" s="80"/>
    </row>
    <row r="364" spans="2:21">
      <c r="B364" s="47" t="s">
        <v>1639</v>
      </c>
      <c r="C364" s="47" t="s">
        <v>29</v>
      </c>
      <c r="D364" s="3" t="s">
        <v>1348</v>
      </c>
      <c r="E364" s="80" t="s">
        <v>1349</v>
      </c>
      <c r="F364" s="81">
        <v>0</v>
      </c>
      <c r="G364" s="81">
        <v>2</v>
      </c>
      <c r="H364" s="81">
        <v>4</v>
      </c>
      <c r="I364" s="101" t="s">
        <v>71</v>
      </c>
      <c r="J364" s="97" t="s">
        <v>71</v>
      </c>
      <c r="K364" s="80" t="s">
        <v>1495</v>
      </c>
      <c r="L364" s="101" t="s">
        <v>1491</v>
      </c>
      <c r="M364" s="97" t="s">
        <v>1562</v>
      </c>
      <c r="N364" s="101">
        <v>1</v>
      </c>
      <c r="O364" s="101">
        <v>60</v>
      </c>
      <c r="P364" s="102">
        <v>60</v>
      </c>
      <c r="Q364" s="98">
        <f>N364*(F364+G364)</f>
        <v>2</v>
      </c>
      <c r="R364" s="98">
        <v>2</v>
      </c>
      <c r="S364" s="80"/>
      <c r="T364" s="81"/>
      <c r="U364" s="80"/>
    </row>
    <row r="365" spans="2:21">
      <c r="B365" s="47" t="s">
        <v>1639</v>
      </c>
      <c r="C365" s="47" t="s">
        <v>29</v>
      </c>
      <c r="D365" s="3" t="s">
        <v>258</v>
      </c>
      <c r="E365" s="80" t="s">
        <v>259</v>
      </c>
      <c r="F365" s="81">
        <v>4</v>
      </c>
      <c r="G365" s="81">
        <v>0</v>
      </c>
      <c r="H365" s="81">
        <v>4</v>
      </c>
      <c r="I365" s="101" t="s">
        <v>73</v>
      </c>
      <c r="J365" s="97" t="s">
        <v>73</v>
      </c>
      <c r="K365" s="80" t="s">
        <v>76</v>
      </c>
      <c r="L365" s="101" t="s">
        <v>1488</v>
      </c>
      <c r="M365" s="97" t="s">
        <v>1562</v>
      </c>
      <c r="N365" s="101">
        <v>1</v>
      </c>
      <c r="O365" s="101">
        <v>60</v>
      </c>
      <c r="P365" s="102">
        <v>60</v>
      </c>
      <c r="Q365" s="98">
        <f>N365*(F365+G365)</f>
        <v>4</v>
      </c>
      <c r="R365" s="98">
        <v>4</v>
      </c>
      <c r="S365" s="80"/>
      <c r="T365" s="81"/>
      <c r="U365" s="80"/>
    </row>
    <row r="366" spans="2:21">
      <c r="B366" s="47" t="s">
        <v>1639</v>
      </c>
      <c r="C366" s="47" t="s">
        <v>29</v>
      </c>
      <c r="D366" s="3" t="s">
        <v>258</v>
      </c>
      <c r="E366" s="80" t="s">
        <v>259</v>
      </c>
      <c r="F366" s="81">
        <v>4</v>
      </c>
      <c r="G366" s="81">
        <v>0</v>
      </c>
      <c r="H366" s="81">
        <v>4</v>
      </c>
      <c r="I366" s="101" t="s">
        <v>73</v>
      </c>
      <c r="J366" s="97" t="s">
        <v>73</v>
      </c>
      <c r="K366" s="80" t="s">
        <v>76</v>
      </c>
      <c r="L366" s="101" t="s">
        <v>1491</v>
      </c>
      <c r="M366" s="97" t="s">
        <v>1562</v>
      </c>
      <c r="N366" s="101">
        <v>1</v>
      </c>
      <c r="O366" s="101">
        <v>60</v>
      </c>
      <c r="P366" s="102">
        <v>60</v>
      </c>
      <c r="Q366" s="98">
        <f>N366*(F366+G366)</f>
        <v>4</v>
      </c>
      <c r="R366" s="98">
        <v>4</v>
      </c>
      <c r="S366" s="80"/>
      <c r="T366" s="81"/>
      <c r="U366" s="80"/>
    </row>
    <row r="367" spans="2:21">
      <c r="B367" s="47" t="s">
        <v>1639</v>
      </c>
      <c r="C367" s="47" t="s">
        <v>29</v>
      </c>
      <c r="D367" s="3" t="s">
        <v>406</v>
      </c>
      <c r="E367" s="80" t="s">
        <v>407</v>
      </c>
      <c r="F367" s="81">
        <v>3</v>
      </c>
      <c r="G367" s="81">
        <v>0</v>
      </c>
      <c r="H367" s="81">
        <v>4</v>
      </c>
      <c r="I367" s="101" t="s">
        <v>73</v>
      </c>
      <c r="J367" s="97" t="s">
        <v>73</v>
      </c>
      <c r="K367" s="80" t="s">
        <v>76</v>
      </c>
      <c r="L367" s="101" t="s">
        <v>1488</v>
      </c>
      <c r="M367" s="97" t="s">
        <v>1562</v>
      </c>
      <c r="N367" s="101">
        <v>1</v>
      </c>
      <c r="O367" s="101">
        <v>60</v>
      </c>
      <c r="P367" s="102">
        <v>60</v>
      </c>
      <c r="Q367" s="98">
        <f>N367*(F367+G367)</f>
        <v>3</v>
      </c>
      <c r="R367" s="98">
        <v>3</v>
      </c>
      <c r="S367" s="80"/>
      <c r="T367" s="81"/>
      <c r="U367" s="80"/>
    </row>
    <row r="368" spans="2:21">
      <c r="B368" s="47" t="s">
        <v>1639</v>
      </c>
      <c r="C368" s="47" t="s">
        <v>29</v>
      </c>
      <c r="D368" s="3" t="s">
        <v>406</v>
      </c>
      <c r="E368" s="80" t="s">
        <v>407</v>
      </c>
      <c r="F368" s="81">
        <v>3</v>
      </c>
      <c r="G368" s="81">
        <v>0</v>
      </c>
      <c r="H368" s="81">
        <v>4</v>
      </c>
      <c r="I368" s="101" t="s">
        <v>73</v>
      </c>
      <c r="J368" s="97" t="s">
        <v>73</v>
      </c>
      <c r="K368" s="80" t="s">
        <v>76</v>
      </c>
      <c r="L368" s="101" t="s">
        <v>1491</v>
      </c>
      <c r="M368" s="97" t="s">
        <v>1562</v>
      </c>
      <c r="N368" s="101">
        <v>1</v>
      </c>
      <c r="O368" s="101">
        <v>60</v>
      </c>
      <c r="P368" s="102">
        <v>60</v>
      </c>
      <c r="Q368" s="98">
        <f>N368*(F368+G368)</f>
        <v>3</v>
      </c>
      <c r="R368" s="98">
        <v>3</v>
      </c>
      <c r="S368" s="80"/>
      <c r="T368" s="81"/>
      <c r="U368" s="80"/>
    </row>
    <row r="369" spans="2:21">
      <c r="B369" s="47" t="s">
        <v>1639</v>
      </c>
      <c r="C369" s="47" t="s">
        <v>29</v>
      </c>
      <c r="D369" s="3" t="s">
        <v>408</v>
      </c>
      <c r="E369" s="80" t="s">
        <v>409</v>
      </c>
      <c r="F369" s="81">
        <v>2</v>
      </c>
      <c r="G369" s="81">
        <v>2</v>
      </c>
      <c r="H369" s="81">
        <v>4</v>
      </c>
      <c r="I369" s="101" t="s">
        <v>73</v>
      </c>
      <c r="J369" s="97" t="s">
        <v>73</v>
      </c>
      <c r="K369" s="80" t="s">
        <v>76</v>
      </c>
      <c r="L369" s="101" t="s">
        <v>1488</v>
      </c>
      <c r="M369" s="97" t="s">
        <v>1562</v>
      </c>
      <c r="N369" s="101">
        <v>1</v>
      </c>
      <c r="O369" s="101">
        <v>60</v>
      </c>
      <c r="P369" s="102">
        <v>60</v>
      </c>
      <c r="Q369" s="98">
        <f>N369*(F369+G369)</f>
        <v>4</v>
      </c>
      <c r="R369" s="98">
        <v>4</v>
      </c>
      <c r="S369" s="80"/>
      <c r="T369" s="81"/>
      <c r="U369" s="80"/>
    </row>
    <row r="370" spans="2:21">
      <c r="B370" s="47" t="s">
        <v>1639</v>
      </c>
      <c r="C370" s="47" t="s">
        <v>29</v>
      </c>
      <c r="D370" s="3" t="s">
        <v>408</v>
      </c>
      <c r="E370" s="80" t="s">
        <v>409</v>
      </c>
      <c r="F370" s="81">
        <v>2</v>
      </c>
      <c r="G370" s="81">
        <v>2</v>
      </c>
      <c r="H370" s="81">
        <v>4</v>
      </c>
      <c r="I370" s="101" t="s">
        <v>73</v>
      </c>
      <c r="J370" s="97" t="s">
        <v>73</v>
      </c>
      <c r="K370" s="80" t="s">
        <v>76</v>
      </c>
      <c r="L370" s="101" t="s">
        <v>1491</v>
      </c>
      <c r="M370" s="97" t="s">
        <v>1562</v>
      </c>
      <c r="N370" s="101">
        <v>1</v>
      </c>
      <c r="O370" s="101">
        <v>60</v>
      </c>
      <c r="P370" s="102">
        <v>60</v>
      </c>
      <c r="Q370" s="98">
        <f>N370*(F370+G370)</f>
        <v>4</v>
      </c>
      <c r="R370" s="98">
        <v>4</v>
      </c>
      <c r="S370" s="80"/>
      <c r="T370" s="81"/>
      <c r="U370" s="80"/>
    </row>
    <row r="371" spans="2:21">
      <c r="B371" s="47" t="s">
        <v>1639</v>
      </c>
      <c r="C371" s="47" t="s">
        <v>29</v>
      </c>
      <c r="D371" s="3" t="s">
        <v>692</v>
      </c>
      <c r="E371" s="80" t="s">
        <v>693</v>
      </c>
      <c r="F371" s="81">
        <v>3</v>
      </c>
      <c r="G371" s="81">
        <v>1</v>
      </c>
      <c r="H371" s="81">
        <v>4</v>
      </c>
      <c r="I371" s="101" t="s">
        <v>73</v>
      </c>
      <c r="J371" s="97" t="s">
        <v>73</v>
      </c>
      <c r="K371" s="80" t="s">
        <v>694</v>
      </c>
      <c r="L371" s="101" t="s">
        <v>1488</v>
      </c>
      <c r="M371" s="97" t="s">
        <v>1562</v>
      </c>
      <c r="N371" s="101">
        <v>1</v>
      </c>
      <c r="O371" s="101">
        <v>60</v>
      </c>
      <c r="P371" s="102">
        <v>60</v>
      </c>
      <c r="Q371" s="98">
        <f>N371*(F371+G371)</f>
        <v>4</v>
      </c>
      <c r="R371" s="98">
        <v>4</v>
      </c>
      <c r="S371" s="80"/>
      <c r="T371" s="81"/>
      <c r="U371" s="80"/>
    </row>
    <row r="372" spans="2:21">
      <c r="B372" s="47" t="s">
        <v>1639</v>
      </c>
      <c r="C372" s="47" t="s">
        <v>29</v>
      </c>
      <c r="D372" s="3" t="s">
        <v>692</v>
      </c>
      <c r="E372" s="80" t="s">
        <v>693</v>
      </c>
      <c r="F372" s="81">
        <v>3</v>
      </c>
      <c r="G372" s="81">
        <v>1</v>
      </c>
      <c r="H372" s="81">
        <v>4</v>
      </c>
      <c r="I372" s="101" t="s">
        <v>73</v>
      </c>
      <c r="J372" s="97" t="s">
        <v>73</v>
      </c>
      <c r="K372" s="80" t="s">
        <v>694</v>
      </c>
      <c r="L372" s="101" t="s">
        <v>1491</v>
      </c>
      <c r="M372" s="97" t="s">
        <v>1562</v>
      </c>
      <c r="N372" s="101">
        <v>1</v>
      </c>
      <c r="O372" s="101">
        <v>60</v>
      </c>
      <c r="P372" s="102">
        <v>60</v>
      </c>
      <c r="Q372" s="98">
        <f>N372*(F372+G372)</f>
        <v>4</v>
      </c>
      <c r="R372" s="98">
        <v>4</v>
      </c>
      <c r="S372" s="80"/>
      <c r="T372" s="81"/>
      <c r="U372" s="80"/>
    </row>
    <row r="373" spans="2:21">
      <c r="B373" s="47" t="s">
        <v>1639</v>
      </c>
      <c r="C373" s="47" t="s">
        <v>29</v>
      </c>
      <c r="D373" s="3" t="s">
        <v>914</v>
      </c>
      <c r="E373" s="80" t="s">
        <v>907</v>
      </c>
      <c r="F373" s="81">
        <v>1</v>
      </c>
      <c r="G373" s="81">
        <v>1</v>
      </c>
      <c r="H373" s="81">
        <v>4</v>
      </c>
      <c r="I373" s="101" t="s">
        <v>73</v>
      </c>
      <c r="J373" s="97" t="s">
        <v>73</v>
      </c>
      <c r="K373" s="80" t="s">
        <v>915</v>
      </c>
      <c r="L373" s="101" t="s">
        <v>1488</v>
      </c>
      <c r="M373" s="97" t="s">
        <v>1562</v>
      </c>
      <c r="N373" s="101">
        <v>1</v>
      </c>
      <c r="O373" s="101">
        <v>30</v>
      </c>
      <c r="P373" s="102">
        <v>30</v>
      </c>
      <c r="Q373" s="98">
        <f>N373*(F373+G373)</f>
        <v>2</v>
      </c>
      <c r="R373" s="98">
        <v>2</v>
      </c>
      <c r="S373" s="80" t="s">
        <v>1489</v>
      </c>
      <c r="T373" s="81" t="s">
        <v>1490</v>
      </c>
      <c r="U373" s="80" t="s">
        <v>1496</v>
      </c>
    </row>
    <row r="374" spans="2:21">
      <c r="B374" s="47" t="s">
        <v>1639</v>
      </c>
      <c r="C374" s="47" t="s">
        <v>29</v>
      </c>
      <c r="D374" s="3" t="s">
        <v>914</v>
      </c>
      <c r="E374" s="80" t="s">
        <v>907</v>
      </c>
      <c r="F374" s="81">
        <v>1</v>
      </c>
      <c r="G374" s="81">
        <v>1</v>
      </c>
      <c r="H374" s="81">
        <v>4</v>
      </c>
      <c r="I374" s="101" t="s">
        <v>73</v>
      </c>
      <c r="J374" s="97" t="s">
        <v>73</v>
      </c>
      <c r="K374" s="80" t="s">
        <v>915</v>
      </c>
      <c r="L374" s="101" t="s">
        <v>1491</v>
      </c>
      <c r="M374" s="97" t="s">
        <v>1562</v>
      </c>
      <c r="N374" s="101">
        <v>1</v>
      </c>
      <c r="O374" s="101">
        <v>30</v>
      </c>
      <c r="P374" s="102">
        <v>30</v>
      </c>
      <c r="Q374" s="98">
        <f>N374*(F374+G374)</f>
        <v>2</v>
      </c>
      <c r="R374" s="98">
        <v>2</v>
      </c>
      <c r="S374" s="80" t="s">
        <v>1489</v>
      </c>
      <c r="T374" s="81" t="s">
        <v>1490</v>
      </c>
      <c r="U374" s="80" t="s">
        <v>1496</v>
      </c>
    </row>
    <row r="375" spans="2:21">
      <c r="B375" s="47" t="s">
        <v>1639</v>
      </c>
      <c r="C375" s="47" t="s">
        <v>29</v>
      </c>
      <c r="D375" s="3" t="s">
        <v>1497</v>
      </c>
      <c r="E375" s="80" t="s">
        <v>1366</v>
      </c>
      <c r="F375" s="81">
        <v>3</v>
      </c>
      <c r="G375" s="81">
        <v>1</v>
      </c>
      <c r="H375" s="81">
        <v>2</v>
      </c>
      <c r="I375" s="101" t="s">
        <v>73</v>
      </c>
      <c r="J375" s="97" t="s">
        <v>73</v>
      </c>
      <c r="K375" s="80" t="s">
        <v>1367</v>
      </c>
      <c r="L375" s="101" t="s">
        <v>1488</v>
      </c>
      <c r="M375" s="97" t="s">
        <v>1562</v>
      </c>
      <c r="N375" s="101">
        <v>1</v>
      </c>
      <c r="O375" s="101">
        <v>60</v>
      </c>
      <c r="P375" s="102">
        <v>60</v>
      </c>
      <c r="Q375" s="98">
        <f>N375*(F375+G375)</f>
        <v>4</v>
      </c>
      <c r="R375" s="98">
        <v>4</v>
      </c>
      <c r="S375" s="80"/>
      <c r="T375" s="81"/>
      <c r="U375" s="80"/>
    </row>
    <row r="376" spans="2:21">
      <c r="B376" s="47" t="s">
        <v>1639</v>
      </c>
      <c r="C376" s="47" t="s">
        <v>29</v>
      </c>
      <c r="D376" s="3" t="s">
        <v>1497</v>
      </c>
      <c r="E376" s="80" t="s">
        <v>1366</v>
      </c>
      <c r="F376" s="81">
        <v>3</v>
      </c>
      <c r="G376" s="81">
        <v>1</v>
      </c>
      <c r="H376" s="81">
        <v>2</v>
      </c>
      <c r="I376" s="101" t="s">
        <v>73</v>
      </c>
      <c r="J376" s="97" t="s">
        <v>73</v>
      </c>
      <c r="K376" s="80" t="s">
        <v>1367</v>
      </c>
      <c r="L376" s="101" t="s">
        <v>1491</v>
      </c>
      <c r="M376" s="97" t="s">
        <v>1562</v>
      </c>
      <c r="N376" s="101">
        <v>1</v>
      </c>
      <c r="O376" s="101">
        <v>60</v>
      </c>
      <c r="P376" s="102">
        <v>60</v>
      </c>
      <c r="Q376" s="98">
        <f>N376*(F376+G376)</f>
        <v>4</v>
      </c>
      <c r="R376" s="98">
        <v>4</v>
      </c>
      <c r="S376" s="80"/>
      <c r="T376" s="81"/>
      <c r="U376" s="80"/>
    </row>
    <row r="377" spans="2:21">
      <c r="B377" s="42" t="s">
        <v>1774</v>
      </c>
      <c r="C377" s="42" t="s">
        <v>30</v>
      </c>
      <c r="D377" s="3" t="s">
        <v>191</v>
      </c>
      <c r="E377" s="80" t="s">
        <v>163</v>
      </c>
      <c r="F377" s="81">
        <v>3</v>
      </c>
      <c r="G377" s="81">
        <v>2</v>
      </c>
      <c r="H377" s="81">
        <v>4</v>
      </c>
      <c r="I377" s="101" t="s">
        <v>71</v>
      </c>
      <c r="J377" s="97" t="s">
        <v>71</v>
      </c>
      <c r="K377" s="80" t="s">
        <v>192</v>
      </c>
      <c r="L377" s="101" t="s">
        <v>1488</v>
      </c>
      <c r="M377" s="97" t="s">
        <v>1562</v>
      </c>
      <c r="N377" s="101">
        <v>1</v>
      </c>
      <c r="O377" s="101">
        <v>30</v>
      </c>
      <c r="P377" s="102">
        <v>30</v>
      </c>
      <c r="Q377" s="98">
        <f>N377*(F377+G377)</f>
        <v>5</v>
      </c>
      <c r="R377" s="98">
        <v>5</v>
      </c>
      <c r="S377" s="80" t="s">
        <v>1515</v>
      </c>
      <c r="T377" s="81" t="s">
        <v>1518</v>
      </c>
      <c r="U377" s="80"/>
    </row>
    <row r="378" spans="2:21">
      <c r="B378" s="42" t="s">
        <v>1774</v>
      </c>
      <c r="C378" s="42" t="s">
        <v>30</v>
      </c>
      <c r="D378" s="3" t="s">
        <v>191</v>
      </c>
      <c r="E378" s="80" t="s">
        <v>163</v>
      </c>
      <c r="F378" s="81">
        <v>3</v>
      </c>
      <c r="G378" s="81">
        <v>2</v>
      </c>
      <c r="H378" s="81">
        <v>4</v>
      </c>
      <c r="I378" s="101" t="s">
        <v>71</v>
      </c>
      <c r="J378" s="97" t="s">
        <v>71</v>
      </c>
      <c r="K378" s="80" t="s">
        <v>192</v>
      </c>
      <c r="L378" s="101" t="s">
        <v>1491</v>
      </c>
      <c r="M378" s="97" t="s">
        <v>1562</v>
      </c>
      <c r="N378" s="101">
        <v>1</v>
      </c>
      <c r="O378" s="101">
        <v>30</v>
      </c>
      <c r="P378" s="102">
        <v>30</v>
      </c>
      <c r="Q378" s="98">
        <f>N378*(F378+G378)</f>
        <v>5</v>
      </c>
      <c r="R378" s="98">
        <v>5</v>
      </c>
      <c r="S378" s="80" t="s">
        <v>1515</v>
      </c>
      <c r="T378" s="81" t="s">
        <v>1518</v>
      </c>
      <c r="U378" s="80"/>
    </row>
    <row r="379" spans="2:21">
      <c r="B379" s="42" t="s">
        <v>1774</v>
      </c>
      <c r="C379" s="42" t="s">
        <v>30</v>
      </c>
      <c r="D379" s="3" t="s">
        <v>761</v>
      </c>
      <c r="E379" s="80" t="s">
        <v>762</v>
      </c>
      <c r="F379" s="81">
        <v>3</v>
      </c>
      <c r="G379" s="81">
        <v>2</v>
      </c>
      <c r="H379" s="81">
        <v>5</v>
      </c>
      <c r="I379" s="101" t="s">
        <v>71</v>
      </c>
      <c r="J379" s="97" t="s">
        <v>71</v>
      </c>
      <c r="K379" s="80" t="s">
        <v>109</v>
      </c>
      <c r="L379" s="101" t="s">
        <v>1488</v>
      </c>
      <c r="M379" s="97" t="s">
        <v>1562</v>
      </c>
      <c r="N379" s="101">
        <v>1</v>
      </c>
      <c r="O379" s="101">
        <v>30</v>
      </c>
      <c r="P379" s="102">
        <v>30</v>
      </c>
      <c r="Q379" s="98">
        <f>N379*(F379+G379)</f>
        <v>5</v>
      </c>
      <c r="R379" s="98">
        <v>5</v>
      </c>
      <c r="S379" s="80" t="s">
        <v>1504</v>
      </c>
      <c r="T379" s="81"/>
      <c r="U379" s="80"/>
    </row>
    <row r="380" spans="2:21">
      <c r="B380" s="42" t="s">
        <v>1774</v>
      </c>
      <c r="C380" s="42" t="s">
        <v>30</v>
      </c>
      <c r="D380" s="3" t="s">
        <v>761</v>
      </c>
      <c r="E380" s="80" t="s">
        <v>762</v>
      </c>
      <c r="F380" s="81">
        <v>3</v>
      </c>
      <c r="G380" s="81">
        <v>2</v>
      </c>
      <c r="H380" s="81">
        <v>5</v>
      </c>
      <c r="I380" s="101" t="s">
        <v>71</v>
      </c>
      <c r="J380" s="97" t="s">
        <v>71</v>
      </c>
      <c r="K380" s="80" t="s">
        <v>109</v>
      </c>
      <c r="L380" s="101" t="s">
        <v>1491</v>
      </c>
      <c r="M380" s="97" t="s">
        <v>1562</v>
      </c>
      <c r="N380" s="101">
        <v>1</v>
      </c>
      <c r="O380" s="101">
        <v>30</v>
      </c>
      <c r="P380" s="102">
        <v>30</v>
      </c>
      <c r="Q380" s="98">
        <f>N380*(F380+G380)</f>
        <v>5</v>
      </c>
      <c r="R380" s="98">
        <v>5</v>
      </c>
      <c r="S380" s="80" t="s">
        <v>1504</v>
      </c>
      <c r="T380" s="81"/>
      <c r="U380" s="80"/>
    </row>
    <row r="381" spans="2:21">
      <c r="B381" s="42" t="s">
        <v>1774</v>
      </c>
      <c r="C381" s="42" t="s">
        <v>30</v>
      </c>
      <c r="D381" s="3" t="s">
        <v>164</v>
      </c>
      <c r="E381" s="80" t="s">
        <v>1537</v>
      </c>
      <c r="F381" s="81">
        <v>3</v>
      </c>
      <c r="G381" s="81">
        <v>2</v>
      </c>
      <c r="H381" s="81">
        <v>5</v>
      </c>
      <c r="I381" s="101" t="s">
        <v>71</v>
      </c>
      <c r="J381" s="97" t="s">
        <v>71</v>
      </c>
      <c r="K381" s="80" t="s">
        <v>162</v>
      </c>
      <c r="L381" s="101" t="s">
        <v>1488</v>
      </c>
      <c r="M381" s="97" t="s">
        <v>1562</v>
      </c>
      <c r="N381" s="101">
        <v>1</v>
      </c>
      <c r="O381" s="101">
        <v>30</v>
      </c>
      <c r="P381" s="102">
        <v>30</v>
      </c>
      <c r="Q381" s="98">
        <f>N381*(F381+G381)</f>
        <v>5</v>
      </c>
      <c r="R381" s="98">
        <v>5</v>
      </c>
      <c r="S381" s="80" t="s">
        <v>1504</v>
      </c>
      <c r="T381" s="81"/>
      <c r="U381" s="80"/>
    </row>
    <row r="382" spans="2:21">
      <c r="B382" s="42" t="s">
        <v>1774</v>
      </c>
      <c r="C382" s="42" t="s">
        <v>30</v>
      </c>
      <c r="D382" s="3" t="s">
        <v>164</v>
      </c>
      <c r="E382" s="80" t="s">
        <v>1537</v>
      </c>
      <c r="F382" s="81">
        <v>3</v>
      </c>
      <c r="G382" s="81">
        <v>2</v>
      </c>
      <c r="H382" s="81">
        <v>5</v>
      </c>
      <c r="I382" s="101" t="s">
        <v>71</v>
      </c>
      <c r="J382" s="97" t="s">
        <v>71</v>
      </c>
      <c r="K382" s="80" t="s">
        <v>162</v>
      </c>
      <c r="L382" s="101" t="s">
        <v>1491</v>
      </c>
      <c r="M382" s="97" t="s">
        <v>1562</v>
      </c>
      <c r="N382" s="101">
        <v>1</v>
      </c>
      <c r="O382" s="101">
        <v>30</v>
      </c>
      <c r="P382" s="102">
        <v>30</v>
      </c>
      <c r="Q382" s="98">
        <f>N382*(F382+G382)</f>
        <v>5</v>
      </c>
      <c r="R382" s="98">
        <v>5</v>
      </c>
      <c r="S382" s="80" t="s">
        <v>1504</v>
      </c>
      <c r="T382" s="81"/>
      <c r="U382" s="80"/>
    </row>
    <row r="383" spans="2:21">
      <c r="B383" s="42" t="s">
        <v>1774</v>
      </c>
      <c r="C383" s="42" t="s">
        <v>30</v>
      </c>
      <c r="D383" s="3" t="s">
        <v>1064</v>
      </c>
      <c r="E383" s="80" t="s">
        <v>1065</v>
      </c>
      <c r="F383" s="81">
        <v>4</v>
      </c>
      <c r="G383" s="81">
        <v>0</v>
      </c>
      <c r="H383" s="81">
        <v>4</v>
      </c>
      <c r="I383" s="101" t="s">
        <v>71</v>
      </c>
      <c r="J383" s="97" t="s">
        <v>71</v>
      </c>
      <c r="K383" s="80" t="s">
        <v>263</v>
      </c>
      <c r="L383" s="101" t="s">
        <v>1488</v>
      </c>
      <c r="M383" s="97" t="s">
        <v>1562</v>
      </c>
      <c r="N383" s="101">
        <v>1</v>
      </c>
      <c r="O383" s="101">
        <v>60</v>
      </c>
      <c r="P383" s="102">
        <v>60</v>
      </c>
      <c r="Q383" s="98">
        <f>N383*(F383+G383)</f>
        <v>4</v>
      </c>
      <c r="R383" s="98">
        <v>4</v>
      </c>
      <c r="S383" s="80"/>
      <c r="T383" s="81"/>
      <c r="U383" s="80"/>
    </row>
    <row r="384" spans="2:21">
      <c r="B384" s="42" t="s">
        <v>1774</v>
      </c>
      <c r="C384" s="42" t="s">
        <v>30</v>
      </c>
      <c r="D384" s="3" t="s">
        <v>1064</v>
      </c>
      <c r="E384" s="80" t="s">
        <v>1065</v>
      </c>
      <c r="F384" s="81">
        <v>4</v>
      </c>
      <c r="G384" s="81">
        <v>0</v>
      </c>
      <c r="H384" s="81">
        <v>4</v>
      </c>
      <c r="I384" s="101" t="s">
        <v>71</v>
      </c>
      <c r="J384" s="97" t="s">
        <v>71</v>
      </c>
      <c r="K384" s="80" t="s">
        <v>263</v>
      </c>
      <c r="L384" s="101" t="s">
        <v>1491</v>
      </c>
      <c r="M384" s="97" t="s">
        <v>1562</v>
      </c>
      <c r="N384" s="101">
        <v>1</v>
      </c>
      <c r="O384" s="101">
        <v>60</v>
      </c>
      <c r="P384" s="102">
        <v>60</v>
      </c>
      <c r="Q384" s="98">
        <f>N384*(F384+G384)</f>
        <v>4</v>
      </c>
      <c r="R384" s="98">
        <v>4</v>
      </c>
      <c r="S384" s="80"/>
      <c r="T384" s="81"/>
      <c r="U384" s="80"/>
    </row>
    <row r="385" spans="1:21">
      <c r="B385" s="42" t="s">
        <v>1774</v>
      </c>
      <c r="C385" s="42" t="s">
        <v>30</v>
      </c>
      <c r="D385" s="3" t="s">
        <v>1062</v>
      </c>
      <c r="E385" s="80" t="s">
        <v>1063</v>
      </c>
      <c r="F385" s="81">
        <v>2</v>
      </c>
      <c r="G385" s="81">
        <v>0</v>
      </c>
      <c r="H385" s="81">
        <v>2</v>
      </c>
      <c r="I385" s="101" t="s">
        <v>71</v>
      </c>
      <c r="J385" s="97" t="s">
        <v>71</v>
      </c>
      <c r="K385" s="80"/>
      <c r="L385" s="101" t="s">
        <v>1488</v>
      </c>
      <c r="M385" s="97" t="s">
        <v>1562</v>
      </c>
      <c r="N385" s="101">
        <v>1</v>
      </c>
      <c r="O385" s="101">
        <v>60</v>
      </c>
      <c r="P385" s="102">
        <v>60</v>
      </c>
      <c r="Q385" s="98">
        <f>N385*(F385+G385)</f>
        <v>2</v>
      </c>
      <c r="R385" s="98">
        <v>2</v>
      </c>
      <c r="S385" s="80"/>
      <c r="T385" s="81"/>
      <c r="U385" s="80"/>
    </row>
    <row r="386" spans="1:21">
      <c r="B386" s="42" t="s">
        <v>1774</v>
      </c>
      <c r="C386" s="42" t="s">
        <v>30</v>
      </c>
      <c r="D386" s="3" t="s">
        <v>1062</v>
      </c>
      <c r="E386" s="80" t="s">
        <v>1063</v>
      </c>
      <c r="F386" s="81">
        <v>2</v>
      </c>
      <c r="G386" s="81">
        <v>0</v>
      </c>
      <c r="H386" s="81">
        <v>2</v>
      </c>
      <c r="I386" s="101" t="s">
        <v>71</v>
      </c>
      <c r="J386" s="97" t="s">
        <v>71</v>
      </c>
      <c r="K386" s="80"/>
      <c r="L386" s="101" t="s">
        <v>1491</v>
      </c>
      <c r="M386" s="97" t="s">
        <v>1562</v>
      </c>
      <c r="N386" s="101">
        <v>1</v>
      </c>
      <c r="O386" s="101">
        <v>60</v>
      </c>
      <c r="P386" s="102">
        <v>60</v>
      </c>
      <c r="Q386" s="98">
        <f>N386*(F386+G386)</f>
        <v>2</v>
      </c>
      <c r="R386" s="98">
        <v>2</v>
      </c>
      <c r="S386" s="80"/>
      <c r="T386" s="81"/>
      <c r="U386" s="80"/>
    </row>
    <row r="387" spans="1:21">
      <c r="B387" s="42" t="s">
        <v>1774</v>
      </c>
      <c r="C387" s="42" t="s">
        <v>30</v>
      </c>
      <c r="D387" s="3" t="s">
        <v>1062</v>
      </c>
      <c r="E387" s="80" t="s">
        <v>1536</v>
      </c>
      <c r="F387" s="81">
        <v>3</v>
      </c>
      <c r="G387" s="81">
        <v>2</v>
      </c>
      <c r="H387" s="81">
        <v>5</v>
      </c>
      <c r="I387" s="101" t="s">
        <v>71</v>
      </c>
      <c r="J387" s="97" t="s">
        <v>71</v>
      </c>
      <c r="K387" s="80" t="s">
        <v>165</v>
      </c>
      <c r="L387" s="101" t="s">
        <v>1488</v>
      </c>
      <c r="M387" s="97" t="s">
        <v>1562</v>
      </c>
      <c r="N387" s="101">
        <v>1</v>
      </c>
      <c r="O387" s="101">
        <v>60</v>
      </c>
      <c r="P387" s="102">
        <v>60</v>
      </c>
      <c r="Q387" s="98">
        <f>N387*(F387+G387)</f>
        <v>5</v>
      </c>
      <c r="R387" s="98">
        <v>5</v>
      </c>
      <c r="S387" s="80"/>
      <c r="T387" s="81"/>
      <c r="U387" s="80"/>
    </row>
    <row r="388" spans="1:21">
      <c r="B388" s="42" t="s">
        <v>1774</v>
      </c>
      <c r="C388" s="42" t="s">
        <v>30</v>
      </c>
      <c r="D388" s="3" t="s">
        <v>899</v>
      </c>
      <c r="E388" s="80" t="s">
        <v>1536</v>
      </c>
      <c r="F388" s="81">
        <v>3</v>
      </c>
      <c r="G388" s="81">
        <v>2</v>
      </c>
      <c r="H388" s="81">
        <v>5</v>
      </c>
      <c r="I388" s="101" t="s">
        <v>71</v>
      </c>
      <c r="J388" s="97" t="s">
        <v>71</v>
      </c>
      <c r="K388" s="80" t="s">
        <v>165</v>
      </c>
      <c r="L388" s="101" t="s">
        <v>1491</v>
      </c>
      <c r="M388" s="97" t="s">
        <v>1562</v>
      </c>
      <c r="N388" s="101">
        <v>1</v>
      </c>
      <c r="O388" s="101">
        <v>60</v>
      </c>
      <c r="P388" s="102">
        <v>60</v>
      </c>
      <c r="Q388" s="98">
        <f>N388*(F388+G388)</f>
        <v>5</v>
      </c>
      <c r="R388" s="98">
        <v>5</v>
      </c>
      <c r="S388" s="80"/>
      <c r="T388" s="81"/>
      <c r="U388" s="80"/>
    </row>
    <row r="389" spans="1:21">
      <c r="B389" s="42" t="s">
        <v>1774</v>
      </c>
      <c r="C389" s="42" t="s">
        <v>30</v>
      </c>
      <c r="D389" s="3" t="s">
        <v>780</v>
      </c>
      <c r="E389" s="80" t="s">
        <v>1538</v>
      </c>
      <c r="F389" s="81">
        <v>3</v>
      </c>
      <c r="G389" s="81">
        <v>1</v>
      </c>
      <c r="H389" s="81">
        <v>4</v>
      </c>
      <c r="I389" s="101" t="s">
        <v>73</v>
      </c>
      <c r="J389" s="97" t="s">
        <v>73</v>
      </c>
      <c r="K389" s="80"/>
      <c r="L389" s="101" t="s">
        <v>1488</v>
      </c>
      <c r="M389" s="97" t="s">
        <v>1562</v>
      </c>
      <c r="N389" s="101">
        <v>1</v>
      </c>
      <c r="O389" s="101">
        <v>60</v>
      </c>
      <c r="P389" s="102">
        <v>60</v>
      </c>
      <c r="Q389" s="98">
        <f>N389*(F389+G389)</f>
        <v>4</v>
      </c>
      <c r="R389" s="98">
        <v>4</v>
      </c>
      <c r="S389" s="80"/>
      <c r="T389" s="81"/>
      <c r="U389" s="80"/>
    </row>
    <row r="390" spans="1:21">
      <c r="A390" s="1" t="s">
        <v>1669</v>
      </c>
      <c r="B390" s="42" t="s">
        <v>1774</v>
      </c>
      <c r="C390" s="42" t="s">
        <v>30</v>
      </c>
      <c r="D390" s="3" t="s">
        <v>177</v>
      </c>
      <c r="E390" s="80" t="s">
        <v>178</v>
      </c>
      <c r="F390" s="81">
        <v>2</v>
      </c>
      <c r="G390" s="81">
        <v>0</v>
      </c>
      <c r="H390" s="81">
        <v>2</v>
      </c>
      <c r="I390" s="97" t="s">
        <v>71</v>
      </c>
      <c r="J390" s="97" t="s">
        <v>71</v>
      </c>
      <c r="K390" s="80" t="s">
        <v>76</v>
      </c>
      <c r="L390" s="101" t="s">
        <v>1488</v>
      </c>
      <c r="M390" s="97" t="s">
        <v>1562</v>
      </c>
      <c r="N390" s="101">
        <v>1</v>
      </c>
      <c r="O390" s="101">
        <v>60</v>
      </c>
      <c r="P390" s="102">
        <v>60</v>
      </c>
      <c r="Q390" s="98">
        <f>N390*(F390+G390)</f>
        <v>2</v>
      </c>
      <c r="R390" s="98">
        <v>2</v>
      </c>
      <c r="S390" s="80"/>
      <c r="T390" s="81"/>
      <c r="U390" s="80"/>
    </row>
    <row r="391" spans="1:21">
      <c r="A391" s="1" t="s">
        <v>1669</v>
      </c>
      <c r="B391" s="42" t="s">
        <v>1774</v>
      </c>
      <c r="C391" s="42" t="s">
        <v>30</v>
      </c>
      <c r="D391" s="3" t="s">
        <v>177</v>
      </c>
      <c r="E391" s="80" t="s">
        <v>178</v>
      </c>
      <c r="F391" s="81">
        <v>2</v>
      </c>
      <c r="G391" s="81">
        <v>0</v>
      </c>
      <c r="H391" s="81">
        <v>2</v>
      </c>
      <c r="I391" s="97" t="s">
        <v>71</v>
      </c>
      <c r="J391" s="97" t="s">
        <v>71</v>
      </c>
      <c r="K391" s="80" t="s">
        <v>76</v>
      </c>
      <c r="L391" s="101" t="s">
        <v>1491</v>
      </c>
      <c r="M391" s="97" t="s">
        <v>1562</v>
      </c>
      <c r="N391" s="101">
        <v>1</v>
      </c>
      <c r="O391" s="101">
        <v>60</v>
      </c>
      <c r="P391" s="102">
        <v>60</v>
      </c>
      <c r="Q391" s="98">
        <f>N391*(F391+G391)</f>
        <v>2</v>
      </c>
      <c r="R391" s="98">
        <v>2</v>
      </c>
      <c r="S391" s="80"/>
      <c r="T391" s="81"/>
      <c r="U391" s="80"/>
    </row>
    <row r="392" spans="1:21">
      <c r="B392" s="42" t="s">
        <v>1774</v>
      </c>
      <c r="C392" s="42" t="s">
        <v>30</v>
      </c>
      <c r="D392" s="3" t="s">
        <v>228</v>
      </c>
      <c r="E392" s="80" t="s">
        <v>229</v>
      </c>
      <c r="F392" s="81">
        <v>2</v>
      </c>
      <c r="G392" s="81">
        <v>3</v>
      </c>
      <c r="H392" s="81">
        <v>5</v>
      </c>
      <c r="I392" s="101" t="s">
        <v>73</v>
      </c>
      <c r="J392" s="97" t="s">
        <v>73</v>
      </c>
      <c r="K392" s="80" t="s">
        <v>1539</v>
      </c>
      <c r="L392" s="101" t="s">
        <v>1488</v>
      </c>
      <c r="M392" s="97" t="s">
        <v>1562</v>
      </c>
      <c r="N392" s="101">
        <v>1</v>
      </c>
      <c r="O392" s="101">
        <v>30</v>
      </c>
      <c r="P392" s="102">
        <v>30</v>
      </c>
      <c r="Q392" s="98">
        <f>N392*(F392+G392)</f>
        <v>5</v>
      </c>
      <c r="R392" s="98">
        <v>5</v>
      </c>
      <c r="S392" s="80" t="s">
        <v>1515</v>
      </c>
      <c r="T392" s="81"/>
      <c r="U392" s="80"/>
    </row>
    <row r="393" spans="1:21">
      <c r="B393" s="42" t="s">
        <v>1774</v>
      </c>
      <c r="C393" s="42" t="s">
        <v>30</v>
      </c>
      <c r="D393" s="3" t="s">
        <v>228</v>
      </c>
      <c r="E393" s="80" t="s">
        <v>229</v>
      </c>
      <c r="F393" s="81">
        <v>2</v>
      </c>
      <c r="G393" s="81">
        <v>3</v>
      </c>
      <c r="H393" s="81">
        <v>5</v>
      </c>
      <c r="I393" s="101" t="s">
        <v>73</v>
      </c>
      <c r="J393" s="97" t="s">
        <v>73</v>
      </c>
      <c r="K393" s="80" t="s">
        <v>1539</v>
      </c>
      <c r="L393" s="101" t="s">
        <v>1491</v>
      </c>
      <c r="M393" s="97" t="s">
        <v>1562</v>
      </c>
      <c r="N393" s="101">
        <v>1</v>
      </c>
      <c r="O393" s="101">
        <v>30</v>
      </c>
      <c r="P393" s="102">
        <v>30</v>
      </c>
      <c r="Q393" s="98">
        <f>N393*(F393+G393)</f>
        <v>5</v>
      </c>
      <c r="R393" s="98">
        <v>5</v>
      </c>
      <c r="S393" s="80" t="s">
        <v>1515</v>
      </c>
      <c r="T393" s="81"/>
      <c r="U393" s="80"/>
    </row>
    <row r="394" spans="1:21">
      <c r="B394" s="42" t="s">
        <v>1774</v>
      </c>
      <c r="C394" s="42" t="s">
        <v>30</v>
      </c>
      <c r="D394" s="3" t="s">
        <v>484</v>
      </c>
      <c r="E394" s="80" t="s">
        <v>485</v>
      </c>
      <c r="F394" s="81">
        <v>0</v>
      </c>
      <c r="G394" s="81">
        <v>7</v>
      </c>
      <c r="H394" s="81">
        <v>0</v>
      </c>
      <c r="I394" s="101" t="s">
        <v>71</v>
      </c>
      <c r="J394" s="97" t="s">
        <v>71</v>
      </c>
      <c r="K394" s="80" t="s">
        <v>76</v>
      </c>
      <c r="L394" s="101"/>
      <c r="M394" s="97" t="s">
        <v>1562</v>
      </c>
      <c r="N394" s="97">
        <v>1</v>
      </c>
      <c r="O394" s="101">
        <v>70</v>
      </c>
      <c r="P394" s="102">
        <v>70</v>
      </c>
      <c r="Q394" s="98">
        <v>3</v>
      </c>
      <c r="R394" s="98">
        <v>3</v>
      </c>
      <c r="S394" s="80"/>
      <c r="T394" s="81"/>
      <c r="U394" s="80"/>
    </row>
    <row r="395" spans="1:21">
      <c r="B395" s="42" t="s">
        <v>1774</v>
      </c>
      <c r="C395" s="42" t="s">
        <v>30</v>
      </c>
      <c r="D395" s="3" t="s">
        <v>488</v>
      </c>
      <c r="E395" s="80" t="s">
        <v>489</v>
      </c>
      <c r="F395" s="81">
        <v>0</v>
      </c>
      <c r="G395" s="81">
        <v>7</v>
      </c>
      <c r="H395" s="81">
        <v>0</v>
      </c>
      <c r="I395" s="101" t="s">
        <v>71</v>
      </c>
      <c r="J395" s="97" t="s">
        <v>71</v>
      </c>
      <c r="K395" s="80" t="s">
        <v>485</v>
      </c>
      <c r="L395" s="101"/>
      <c r="M395" s="97" t="s">
        <v>1562</v>
      </c>
      <c r="N395" s="97">
        <v>1</v>
      </c>
      <c r="O395" s="101">
        <v>70</v>
      </c>
      <c r="P395" s="102">
        <v>70</v>
      </c>
      <c r="Q395" s="98">
        <v>3</v>
      </c>
      <c r="R395" s="98">
        <v>3</v>
      </c>
      <c r="S395" s="80"/>
      <c r="T395" s="81"/>
      <c r="U395" s="80"/>
    </row>
    <row r="396" spans="1:21">
      <c r="B396" s="42" t="s">
        <v>1774</v>
      </c>
      <c r="C396" s="42" t="s">
        <v>30</v>
      </c>
      <c r="D396" s="3" t="s">
        <v>1342</v>
      </c>
      <c r="E396" s="80" t="s">
        <v>1343</v>
      </c>
      <c r="F396" s="81">
        <v>0</v>
      </c>
      <c r="G396" s="81">
        <v>2</v>
      </c>
      <c r="H396" s="81">
        <v>4</v>
      </c>
      <c r="I396" s="101" t="s">
        <v>71</v>
      </c>
      <c r="J396" s="97" t="s">
        <v>71</v>
      </c>
      <c r="K396" s="80" t="s">
        <v>76</v>
      </c>
      <c r="L396" s="101"/>
      <c r="M396" s="97" t="s">
        <v>1562</v>
      </c>
      <c r="N396" s="97">
        <v>1</v>
      </c>
      <c r="O396" s="101">
        <v>70</v>
      </c>
      <c r="P396" s="102">
        <v>70</v>
      </c>
      <c r="Q396" s="98">
        <f>N396*(F396+G396)</f>
        <v>2</v>
      </c>
      <c r="R396" s="98">
        <v>2</v>
      </c>
      <c r="S396" s="80"/>
      <c r="T396" s="81"/>
      <c r="U396" s="80"/>
    </row>
    <row r="397" spans="1:21">
      <c r="B397" s="42" t="s">
        <v>1774</v>
      </c>
      <c r="C397" s="42" t="s">
        <v>30</v>
      </c>
      <c r="D397" s="3" t="s">
        <v>1346</v>
      </c>
      <c r="E397" s="80" t="s">
        <v>1347</v>
      </c>
      <c r="F397" s="81">
        <v>0</v>
      </c>
      <c r="G397" s="81">
        <v>2</v>
      </c>
      <c r="H397" s="81">
        <v>4</v>
      </c>
      <c r="I397" s="101" t="s">
        <v>71</v>
      </c>
      <c r="J397" s="97" t="s">
        <v>71</v>
      </c>
      <c r="K397" s="80" t="s">
        <v>1343</v>
      </c>
      <c r="L397" s="101"/>
      <c r="M397" s="97" t="s">
        <v>1562</v>
      </c>
      <c r="N397" s="97">
        <v>1</v>
      </c>
      <c r="O397" s="101">
        <v>70</v>
      </c>
      <c r="P397" s="102">
        <v>70</v>
      </c>
      <c r="Q397" s="98">
        <f>N397*(F397+G397)</f>
        <v>2</v>
      </c>
      <c r="R397" s="98">
        <v>2</v>
      </c>
      <c r="S397" s="80"/>
      <c r="T397" s="81"/>
      <c r="U397" s="80"/>
    </row>
    <row r="398" spans="1:21">
      <c r="B398" s="42" t="s">
        <v>1774</v>
      </c>
      <c r="C398" s="42" t="s">
        <v>30</v>
      </c>
      <c r="D398" s="3" t="s">
        <v>1350</v>
      </c>
      <c r="E398" s="80" t="s">
        <v>1351</v>
      </c>
      <c r="F398" s="81">
        <v>0</v>
      </c>
      <c r="G398" s="81">
        <v>2</v>
      </c>
      <c r="H398" s="81">
        <v>4</v>
      </c>
      <c r="I398" s="101" t="s">
        <v>71</v>
      </c>
      <c r="J398" s="97" t="s">
        <v>71</v>
      </c>
      <c r="K398" s="80" t="s">
        <v>1347</v>
      </c>
      <c r="L398" s="101"/>
      <c r="M398" s="97" t="s">
        <v>1562</v>
      </c>
      <c r="N398" s="97">
        <v>1</v>
      </c>
      <c r="O398" s="101">
        <v>70</v>
      </c>
      <c r="P398" s="102">
        <v>70</v>
      </c>
      <c r="Q398" s="98">
        <f>N398*(F398+G398)</f>
        <v>2</v>
      </c>
      <c r="R398" s="98">
        <v>2</v>
      </c>
      <c r="S398" s="80"/>
      <c r="T398" s="81"/>
      <c r="U398" s="80"/>
    </row>
    <row r="399" spans="1:21">
      <c r="B399" s="49" t="s">
        <v>1775</v>
      </c>
      <c r="C399" s="49" t="s">
        <v>31</v>
      </c>
      <c r="D399" s="9" t="s">
        <v>617</v>
      </c>
      <c r="E399" s="85" t="s">
        <v>618</v>
      </c>
      <c r="F399" s="84">
        <v>4</v>
      </c>
      <c r="G399" s="84">
        <v>0</v>
      </c>
      <c r="H399" s="84">
        <v>4</v>
      </c>
      <c r="I399" s="97" t="s">
        <v>71</v>
      </c>
      <c r="J399" s="97" t="s">
        <v>71</v>
      </c>
      <c r="K399" s="85" t="s">
        <v>72</v>
      </c>
      <c r="L399" s="97" t="s">
        <v>1491</v>
      </c>
      <c r="M399" s="97" t="s">
        <v>1562</v>
      </c>
      <c r="N399" s="97">
        <v>1</v>
      </c>
      <c r="O399" s="97">
        <v>60</v>
      </c>
      <c r="P399" s="98">
        <v>60</v>
      </c>
      <c r="Q399" s="98">
        <f>N399*(F399+G399)</f>
        <v>4</v>
      </c>
      <c r="R399" s="98">
        <v>4</v>
      </c>
      <c r="S399" s="85"/>
      <c r="T399" s="84"/>
      <c r="U399" s="85"/>
    </row>
    <row r="400" spans="1:21">
      <c r="B400" s="49" t="s">
        <v>1775</v>
      </c>
      <c r="C400" s="49" t="s">
        <v>31</v>
      </c>
      <c r="D400" s="9" t="s">
        <v>1582</v>
      </c>
      <c r="E400" s="85" t="s">
        <v>941</v>
      </c>
      <c r="F400" s="84">
        <v>3</v>
      </c>
      <c r="G400" s="84">
        <v>1</v>
      </c>
      <c r="H400" s="84">
        <v>5</v>
      </c>
      <c r="I400" s="97" t="s">
        <v>71</v>
      </c>
      <c r="J400" s="97" t="s">
        <v>71</v>
      </c>
      <c r="K400" s="85" t="s">
        <v>1308</v>
      </c>
      <c r="L400" s="97" t="s">
        <v>1491</v>
      </c>
      <c r="M400" s="97" t="s">
        <v>1562</v>
      </c>
      <c r="N400" s="97">
        <v>1</v>
      </c>
      <c r="O400" s="97">
        <v>60</v>
      </c>
      <c r="P400" s="98">
        <v>60</v>
      </c>
      <c r="Q400" s="98">
        <f>N400*(F400+G400)</f>
        <v>4</v>
      </c>
      <c r="R400" s="98">
        <v>4</v>
      </c>
      <c r="S400" s="85"/>
      <c r="T400" s="84"/>
      <c r="U400" s="85"/>
    </row>
    <row r="401" spans="1:21">
      <c r="B401" s="49" t="s">
        <v>1775</v>
      </c>
      <c r="C401" s="49" t="s">
        <v>31</v>
      </c>
      <c r="D401" s="9" t="s">
        <v>264</v>
      </c>
      <c r="E401" s="85" t="s">
        <v>265</v>
      </c>
      <c r="F401" s="84">
        <v>3</v>
      </c>
      <c r="G401" s="84">
        <v>2</v>
      </c>
      <c r="H401" s="84">
        <v>4</v>
      </c>
      <c r="I401" s="97" t="s">
        <v>71</v>
      </c>
      <c r="J401" s="97" t="s">
        <v>71</v>
      </c>
      <c r="K401" s="85" t="s">
        <v>156</v>
      </c>
      <c r="L401" s="97" t="s">
        <v>1488</v>
      </c>
      <c r="M401" s="97" t="s">
        <v>1562</v>
      </c>
      <c r="N401" s="97">
        <v>1</v>
      </c>
      <c r="O401" s="97">
        <v>60</v>
      </c>
      <c r="P401" s="98">
        <v>60</v>
      </c>
      <c r="Q401" s="98">
        <f>N401*(F401+G401)</f>
        <v>5</v>
      </c>
      <c r="R401" s="98">
        <v>5</v>
      </c>
      <c r="S401" s="85" t="s">
        <v>1583</v>
      </c>
      <c r="T401" s="84" t="s">
        <v>1564</v>
      </c>
      <c r="U401" s="85"/>
    </row>
    <row r="402" spans="1:21">
      <c r="B402" s="49" t="s">
        <v>1775</v>
      </c>
      <c r="C402" s="49" t="s">
        <v>31</v>
      </c>
      <c r="D402" s="9" t="s">
        <v>873</v>
      </c>
      <c r="E402" s="85" t="s">
        <v>874</v>
      </c>
      <c r="F402" s="84">
        <v>3</v>
      </c>
      <c r="G402" s="84">
        <v>1</v>
      </c>
      <c r="H402" s="84">
        <v>5</v>
      </c>
      <c r="I402" s="97" t="s">
        <v>71</v>
      </c>
      <c r="J402" s="97" t="s">
        <v>71</v>
      </c>
      <c r="K402" s="85" t="s">
        <v>270</v>
      </c>
      <c r="L402" s="97" t="s">
        <v>1488</v>
      </c>
      <c r="M402" s="97" t="s">
        <v>1562</v>
      </c>
      <c r="N402" s="97">
        <v>1</v>
      </c>
      <c r="O402" s="97">
        <v>60</v>
      </c>
      <c r="P402" s="98">
        <v>60</v>
      </c>
      <c r="Q402" s="98">
        <f>N402*(F402+G402)</f>
        <v>4</v>
      </c>
      <c r="R402" s="98">
        <v>4</v>
      </c>
      <c r="S402" s="85"/>
      <c r="T402" s="84"/>
      <c r="U402" s="85"/>
    </row>
    <row r="403" spans="1:21">
      <c r="B403" s="49" t="s">
        <v>1775</v>
      </c>
      <c r="C403" s="49" t="s">
        <v>31</v>
      </c>
      <c r="D403" s="9" t="s">
        <v>619</v>
      </c>
      <c r="E403" s="85" t="s">
        <v>620</v>
      </c>
      <c r="F403" s="84">
        <v>4</v>
      </c>
      <c r="G403" s="84">
        <v>0</v>
      </c>
      <c r="H403" s="84">
        <v>4</v>
      </c>
      <c r="I403" s="97" t="s">
        <v>71</v>
      </c>
      <c r="J403" s="97" t="s">
        <v>71</v>
      </c>
      <c r="K403" s="85" t="s">
        <v>72</v>
      </c>
      <c r="L403" s="97" t="s">
        <v>1488</v>
      </c>
      <c r="M403" s="97" t="s">
        <v>1562</v>
      </c>
      <c r="N403" s="97">
        <v>1</v>
      </c>
      <c r="O403" s="97">
        <v>60</v>
      </c>
      <c r="P403" s="98">
        <v>60</v>
      </c>
      <c r="Q403" s="98">
        <f>N403*(F403+G403)</f>
        <v>4</v>
      </c>
      <c r="R403" s="98">
        <v>4</v>
      </c>
      <c r="S403" s="85"/>
      <c r="T403" s="84"/>
      <c r="U403" s="85"/>
    </row>
    <row r="404" spans="1:21">
      <c r="B404" s="49" t="s">
        <v>1775</v>
      </c>
      <c r="C404" s="49" t="s">
        <v>31</v>
      </c>
      <c r="D404" s="9" t="s">
        <v>1353</v>
      </c>
      <c r="E404" s="85" t="s">
        <v>1352</v>
      </c>
      <c r="F404" s="84">
        <v>3</v>
      </c>
      <c r="G404" s="84">
        <v>1</v>
      </c>
      <c r="H404" s="84">
        <v>4</v>
      </c>
      <c r="I404" s="97" t="s">
        <v>71</v>
      </c>
      <c r="J404" s="97" t="s">
        <v>71</v>
      </c>
      <c r="K404" s="85" t="s">
        <v>1354</v>
      </c>
      <c r="L404" s="97" t="s">
        <v>1488</v>
      </c>
      <c r="M404" s="97" t="s">
        <v>1562</v>
      </c>
      <c r="N404" s="97">
        <v>1</v>
      </c>
      <c r="O404" s="97">
        <v>60</v>
      </c>
      <c r="P404" s="98">
        <v>60</v>
      </c>
      <c r="Q404" s="98">
        <f>N404*(F404+G404)</f>
        <v>4</v>
      </c>
      <c r="R404" s="98">
        <v>4</v>
      </c>
      <c r="S404" s="85"/>
      <c r="T404" s="84"/>
      <c r="U404" s="85"/>
    </row>
    <row r="405" spans="1:21">
      <c r="B405" s="49" t="s">
        <v>1775</v>
      </c>
      <c r="C405" s="49" t="s">
        <v>31</v>
      </c>
      <c r="D405" s="9" t="s">
        <v>1584</v>
      </c>
      <c r="E405" s="85" t="s">
        <v>116</v>
      </c>
      <c r="F405" s="84">
        <v>4</v>
      </c>
      <c r="G405" s="84">
        <v>0</v>
      </c>
      <c r="H405" s="84">
        <v>5</v>
      </c>
      <c r="I405" s="97" t="s">
        <v>71</v>
      </c>
      <c r="J405" s="97" t="s">
        <v>71</v>
      </c>
      <c r="K405" s="85" t="s">
        <v>329</v>
      </c>
      <c r="L405" s="97" t="s">
        <v>1488</v>
      </c>
      <c r="M405" s="97" t="s">
        <v>1562</v>
      </c>
      <c r="N405" s="97">
        <v>1</v>
      </c>
      <c r="O405" s="97">
        <v>60</v>
      </c>
      <c r="P405" s="98">
        <v>60</v>
      </c>
      <c r="Q405" s="98">
        <f>N405*(F405+G405)</f>
        <v>4</v>
      </c>
      <c r="R405" s="98">
        <v>4</v>
      </c>
      <c r="S405" s="85"/>
      <c r="T405" s="84" t="s">
        <v>1564</v>
      </c>
      <c r="U405" s="85"/>
    </row>
    <row r="406" spans="1:21">
      <c r="B406" s="49" t="s">
        <v>1775</v>
      </c>
      <c r="C406" s="49" t="s">
        <v>31</v>
      </c>
      <c r="D406" s="9" t="s">
        <v>967</v>
      </c>
      <c r="E406" s="85" t="s">
        <v>968</v>
      </c>
      <c r="F406" s="84">
        <v>3</v>
      </c>
      <c r="G406" s="84">
        <v>1</v>
      </c>
      <c r="H406" s="84">
        <v>4</v>
      </c>
      <c r="I406" s="97" t="s">
        <v>71</v>
      </c>
      <c r="J406" s="97" t="s">
        <v>71</v>
      </c>
      <c r="K406" s="85" t="s">
        <v>117</v>
      </c>
      <c r="L406" s="97" t="s">
        <v>1488</v>
      </c>
      <c r="M406" s="97" t="s">
        <v>1562</v>
      </c>
      <c r="N406" s="97">
        <v>1</v>
      </c>
      <c r="O406" s="97">
        <v>60</v>
      </c>
      <c r="P406" s="98">
        <v>60</v>
      </c>
      <c r="Q406" s="98">
        <f>N406*(F406+G406)</f>
        <v>4</v>
      </c>
      <c r="R406" s="98">
        <v>4</v>
      </c>
      <c r="S406" s="85"/>
      <c r="T406" s="84"/>
      <c r="U406" s="85"/>
    </row>
    <row r="407" spans="1:21">
      <c r="B407" s="49" t="s">
        <v>1775</v>
      </c>
      <c r="C407" s="49" t="s">
        <v>31</v>
      </c>
      <c r="D407" s="9" t="s">
        <v>1585</v>
      </c>
      <c r="E407" s="85" t="s">
        <v>1586</v>
      </c>
      <c r="F407" s="84">
        <v>4</v>
      </c>
      <c r="G407" s="84">
        <v>0</v>
      </c>
      <c r="H407" s="84">
        <v>4</v>
      </c>
      <c r="I407" s="97" t="s">
        <v>73</v>
      </c>
      <c r="J407" s="97" t="s">
        <v>73</v>
      </c>
      <c r="K407" s="85"/>
      <c r="L407" s="97" t="s">
        <v>1488</v>
      </c>
      <c r="M407" s="97" t="s">
        <v>1562</v>
      </c>
      <c r="N407" s="97">
        <v>3</v>
      </c>
      <c r="O407" s="97">
        <v>30</v>
      </c>
      <c r="P407" s="98">
        <v>90</v>
      </c>
      <c r="Q407" s="98">
        <f>N407*(F407+G407)</f>
        <v>12</v>
      </c>
      <c r="R407" s="98">
        <v>12</v>
      </c>
      <c r="S407" s="85"/>
      <c r="T407" s="84"/>
      <c r="U407" s="85"/>
    </row>
    <row r="408" spans="1:21">
      <c r="B408" s="49" t="s">
        <v>1775</v>
      </c>
      <c r="C408" s="49" t="s">
        <v>31</v>
      </c>
      <c r="D408" s="9" t="s">
        <v>1585</v>
      </c>
      <c r="E408" s="85" t="s">
        <v>1586</v>
      </c>
      <c r="F408" s="84">
        <v>4</v>
      </c>
      <c r="G408" s="84">
        <v>0</v>
      </c>
      <c r="H408" s="84">
        <v>4</v>
      </c>
      <c r="I408" s="97" t="s">
        <v>73</v>
      </c>
      <c r="J408" s="97" t="s">
        <v>73</v>
      </c>
      <c r="K408" s="85"/>
      <c r="L408" s="97" t="s">
        <v>1491</v>
      </c>
      <c r="M408" s="97" t="s">
        <v>1562</v>
      </c>
      <c r="N408" s="97">
        <v>4</v>
      </c>
      <c r="O408" s="97">
        <v>30</v>
      </c>
      <c r="P408" s="98">
        <v>120</v>
      </c>
      <c r="Q408" s="98">
        <f>N408*(F408+G408)</f>
        <v>16</v>
      </c>
      <c r="R408" s="98">
        <v>16</v>
      </c>
      <c r="S408" s="85"/>
      <c r="T408" s="84"/>
      <c r="U408" s="85"/>
    </row>
    <row r="409" spans="1:21">
      <c r="A409" s="91" t="s">
        <v>1688</v>
      </c>
      <c r="B409" s="92" t="s">
        <v>1776</v>
      </c>
      <c r="C409" s="92" t="s">
        <v>32</v>
      </c>
      <c r="D409" s="73" t="s">
        <v>689</v>
      </c>
      <c r="E409" s="83" t="s">
        <v>1544</v>
      </c>
      <c r="F409" s="81">
        <v>2</v>
      </c>
      <c r="G409" s="81">
        <v>0</v>
      </c>
      <c r="H409" s="81">
        <v>5</v>
      </c>
      <c r="I409" s="101" t="s">
        <v>71</v>
      </c>
      <c r="J409" s="97" t="s">
        <v>71</v>
      </c>
      <c r="K409" s="80" t="s">
        <v>105</v>
      </c>
      <c r="L409" s="101" t="s">
        <v>1491</v>
      </c>
      <c r="M409" s="97" t="s">
        <v>1562</v>
      </c>
      <c r="N409" s="101">
        <v>1</v>
      </c>
      <c r="O409" s="101">
        <v>63</v>
      </c>
      <c r="P409" s="102">
        <v>63</v>
      </c>
      <c r="Q409" s="98">
        <f>N409*(F409+G409)</f>
        <v>2</v>
      </c>
      <c r="R409" s="98">
        <v>2</v>
      </c>
      <c r="S409" s="80"/>
      <c r="T409" s="81"/>
      <c r="U409" s="80" t="s">
        <v>1545</v>
      </c>
    </row>
    <row r="410" spans="1:21">
      <c r="A410" s="91" t="s">
        <v>1688</v>
      </c>
      <c r="B410" s="92" t="s">
        <v>1776</v>
      </c>
      <c r="C410" s="92" t="s">
        <v>32</v>
      </c>
      <c r="D410" s="73" t="s">
        <v>1241</v>
      </c>
      <c r="E410" s="83" t="s">
        <v>1242</v>
      </c>
      <c r="F410" s="81">
        <v>2</v>
      </c>
      <c r="G410" s="81">
        <v>0</v>
      </c>
      <c r="H410" s="81">
        <v>3</v>
      </c>
      <c r="I410" s="101" t="s">
        <v>71</v>
      </c>
      <c r="J410" s="97" t="s">
        <v>71</v>
      </c>
      <c r="K410" s="80" t="s">
        <v>919</v>
      </c>
      <c r="L410" s="101" t="s">
        <v>1491</v>
      </c>
      <c r="M410" s="97" t="s">
        <v>1562</v>
      </c>
      <c r="N410" s="101">
        <v>1</v>
      </c>
      <c r="O410" s="101">
        <v>63</v>
      </c>
      <c r="P410" s="102">
        <v>63</v>
      </c>
      <c r="Q410" s="98">
        <f>N410*(F410+G410)</f>
        <v>2</v>
      </c>
      <c r="R410" s="98">
        <v>2</v>
      </c>
      <c r="S410" s="80"/>
      <c r="T410" s="81"/>
      <c r="U410" s="80" t="s">
        <v>1545</v>
      </c>
    </row>
    <row r="411" spans="1:21">
      <c r="B411" s="48" t="s">
        <v>1776</v>
      </c>
      <c r="C411" s="48" t="s">
        <v>32</v>
      </c>
      <c r="D411" s="3" t="s">
        <v>1220</v>
      </c>
      <c r="E411" s="80" t="s">
        <v>149</v>
      </c>
      <c r="F411" s="81">
        <v>3</v>
      </c>
      <c r="G411" s="81">
        <v>1</v>
      </c>
      <c r="H411" s="81">
        <v>4</v>
      </c>
      <c r="I411" s="101" t="s">
        <v>71</v>
      </c>
      <c r="J411" s="97" t="s">
        <v>71</v>
      </c>
      <c r="K411" s="80" t="s">
        <v>237</v>
      </c>
      <c r="L411" s="101" t="s">
        <v>1491</v>
      </c>
      <c r="M411" s="97" t="s">
        <v>1562</v>
      </c>
      <c r="N411" s="101">
        <v>1</v>
      </c>
      <c r="O411" s="101">
        <v>30</v>
      </c>
      <c r="P411" s="102">
        <v>30</v>
      </c>
      <c r="Q411" s="98">
        <f>N411*(F411+G411)</f>
        <v>4</v>
      </c>
      <c r="R411" s="98">
        <v>4</v>
      </c>
      <c r="S411" s="80" t="s">
        <v>1546</v>
      </c>
      <c r="T411" s="81"/>
      <c r="U411" s="80"/>
    </row>
    <row r="412" spans="1:21">
      <c r="B412" s="48" t="s">
        <v>1776</v>
      </c>
      <c r="C412" s="48" t="s">
        <v>32</v>
      </c>
      <c r="D412" s="3" t="s">
        <v>1275</v>
      </c>
      <c r="E412" s="80" t="s">
        <v>997</v>
      </c>
      <c r="F412" s="81">
        <v>2</v>
      </c>
      <c r="G412" s="81">
        <v>2</v>
      </c>
      <c r="H412" s="81">
        <v>5</v>
      </c>
      <c r="I412" s="101" t="s">
        <v>71</v>
      </c>
      <c r="J412" s="97" t="s">
        <v>71</v>
      </c>
      <c r="K412" s="80" t="s">
        <v>1547</v>
      </c>
      <c r="L412" s="101" t="s">
        <v>1491</v>
      </c>
      <c r="M412" s="97" t="s">
        <v>1562</v>
      </c>
      <c r="N412" s="101">
        <v>1</v>
      </c>
      <c r="O412" s="101">
        <v>63</v>
      </c>
      <c r="P412" s="102">
        <v>63</v>
      </c>
      <c r="Q412" s="98">
        <f>N412*(F412+G412)</f>
        <v>4</v>
      </c>
      <c r="R412" s="98">
        <v>4</v>
      </c>
      <c r="S412" s="80"/>
      <c r="T412" s="81"/>
      <c r="U412" s="80"/>
    </row>
    <row r="413" spans="1:21">
      <c r="B413" s="48" t="s">
        <v>1776</v>
      </c>
      <c r="C413" s="48" t="s">
        <v>32</v>
      </c>
      <c r="D413" s="3" t="s">
        <v>328</v>
      </c>
      <c r="E413" s="80" t="s">
        <v>105</v>
      </c>
      <c r="F413" s="81">
        <v>4</v>
      </c>
      <c r="G413" s="81">
        <v>2</v>
      </c>
      <c r="H413" s="81">
        <v>9</v>
      </c>
      <c r="I413" s="101" t="s">
        <v>71</v>
      </c>
      <c r="J413" s="97" t="s">
        <v>71</v>
      </c>
      <c r="K413" s="80" t="s">
        <v>329</v>
      </c>
      <c r="L413" s="101" t="s">
        <v>1491</v>
      </c>
      <c r="M413" s="97" t="s">
        <v>1562</v>
      </c>
      <c r="N413" s="101">
        <v>1</v>
      </c>
      <c r="O413" s="101">
        <v>63</v>
      </c>
      <c r="P413" s="102">
        <v>63</v>
      </c>
      <c r="Q413" s="98">
        <f>N413*(F413+G413)</f>
        <v>6</v>
      </c>
      <c r="R413" s="98">
        <v>6</v>
      </c>
      <c r="S413" s="80"/>
      <c r="T413" s="81"/>
      <c r="U413" s="80"/>
    </row>
    <row r="414" spans="1:21">
      <c r="B414" s="48" t="s">
        <v>1776</v>
      </c>
      <c r="C414" s="48" t="s">
        <v>32</v>
      </c>
      <c r="D414" s="3" t="s">
        <v>451</v>
      </c>
      <c r="E414" s="80" t="s">
        <v>452</v>
      </c>
      <c r="F414" s="81">
        <v>4</v>
      </c>
      <c r="G414" s="81">
        <v>0</v>
      </c>
      <c r="H414" s="81">
        <v>5</v>
      </c>
      <c r="I414" s="101" t="s">
        <v>71</v>
      </c>
      <c r="J414" s="97" t="s">
        <v>71</v>
      </c>
      <c r="K414" s="80" t="s">
        <v>105</v>
      </c>
      <c r="L414" s="101" t="s">
        <v>1491</v>
      </c>
      <c r="M414" s="97" t="s">
        <v>1562</v>
      </c>
      <c r="N414" s="101">
        <v>1</v>
      </c>
      <c r="O414" s="101">
        <v>63</v>
      </c>
      <c r="P414" s="102">
        <v>63</v>
      </c>
      <c r="Q414" s="98">
        <f>N414*(F414+G414)</f>
        <v>4</v>
      </c>
      <c r="R414" s="98">
        <v>4</v>
      </c>
      <c r="S414" s="80"/>
      <c r="T414" s="81"/>
      <c r="U414" s="80"/>
    </row>
    <row r="415" spans="1:21">
      <c r="B415" s="48" t="s">
        <v>1776</v>
      </c>
      <c r="C415" s="48" t="s">
        <v>32</v>
      </c>
      <c r="D415" s="3" t="s">
        <v>805</v>
      </c>
      <c r="E415" s="80" t="s">
        <v>1548</v>
      </c>
      <c r="F415" s="81">
        <v>4</v>
      </c>
      <c r="G415" s="81">
        <v>2</v>
      </c>
      <c r="H415" s="81">
        <v>4</v>
      </c>
      <c r="I415" s="101" t="s">
        <v>71</v>
      </c>
      <c r="J415" s="97" t="s">
        <v>71</v>
      </c>
      <c r="K415" s="80" t="s">
        <v>149</v>
      </c>
      <c r="L415" s="101" t="s">
        <v>1491</v>
      </c>
      <c r="M415" s="97" t="s">
        <v>1562</v>
      </c>
      <c r="N415" s="101">
        <v>1</v>
      </c>
      <c r="O415" s="101">
        <v>63</v>
      </c>
      <c r="P415" s="102">
        <v>63</v>
      </c>
      <c r="Q415" s="98">
        <f>N415*(F415+G415)</f>
        <v>6</v>
      </c>
      <c r="R415" s="98">
        <v>6</v>
      </c>
      <c r="S415" s="80"/>
      <c r="T415" s="81"/>
      <c r="U415" s="80"/>
    </row>
    <row r="416" spans="1:21">
      <c r="B416" s="48" t="s">
        <v>1776</v>
      </c>
      <c r="C416" s="48" t="s">
        <v>32</v>
      </c>
      <c r="D416" s="3" t="s">
        <v>456</v>
      </c>
      <c r="E416" s="80" t="s">
        <v>455</v>
      </c>
      <c r="F416" s="81">
        <v>4</v>
      </c>
      <c r="G416" s="81">
        <v>0</v>
      </c>
      <c r="H416" s="81">
        <v>4</v>
      </c>
      <c r="I416" s="101" t="s">
        <v>71</v>
      </c>
      <c r="J416" s="97" t="s">
        <v>71</v>
      </c>
      <c r="K416" s="80" t="s">
        <v>76</v>
      </c>
      <c r="L416" s="101" t="s">
        <v>1491</v>
      </c>
      <c r="M416" s="97" t="s">
        <v>1562</v>
      </c>
      <c r="N416" s="101">
        <v>1</v>
      </c>
      <c r="O416" s="101">
        <v>63</v>
      </c>
      <c r="P416" s="102">
        <v>63</v>
      </c>
      <c r="Q416" s="98">
        <f>N416*(F416+G416)</f>
        <v>4</v>
      </c>
      <c r="R416" s="98">
        <v>4</v>
      </c>
      <c r="S416" s="80"/>
      <c r="T416" s="81"/>
      <c r="U416" s="80"/>
    </row>
    <row r="417" spans="2:21">
      <c r="B417" s="48" t="s">
        <v>1776</v>
      </c>
      <c r="C417" s="48" t="s">
        <v>32</v>
      </c>
      <c r="D417" s="3" t="s">
        <v>1253</v>
      </c>
      <c r="E417" s="80" t="s">
        <v>1549</v>
      </c>
      <c r="F417" s="81">
        <v>2</v>
      </c>
      <c r="G417" s="81">
        <v>2</v>
      </c>
      <c r="H417" s="81">
        <v>4</v>
      </c>
      <c r="I417" s="101" t="s">
        <v>73</v>
      </c>
      <c r="J417" s="97" t="s">
        <v>73</v>
      </c>
      <c r="K417" s="80" t="s">
        <v>1550</v>
      </c>
      <c r="L417" s="101" t="s">
        <v>1491</v>
      </c>
      <c r="M417" s="97" t="s">
        <v>1562</v>
      </c>
      <c r="N417" s="101">
        <v>1</v>
      </c>
      <c r="O417" s="101">
        <v>30</v>
      </c>
      <c r="P417" s="102">
        <v>30</v>
      </c>
      <c r="Q417" s="98">
        <f>N417*(F417+G417)</f>
        <v>4</v>
      </c>
      <c r="R417" s="98">
        <v>4</v>
      </c>
      <c r="S417" s="80" t="s">
        <v>1546</v>
      </c>
      <c r="T417" s="81"/>
      <c r="U417" s="80"/>
    </row>
    <row r="418" spans="2:21">
      <c r="B418" s="48" t="s">
        <v>1776</v>
      </c>
      <c r="C418" s="48" t="s">
        <v>32</v>
      </c>
      <c r="D418" s="3" t="s">
        <v>934</v>
      </c>
      <c r="E418" s="80" t="s">
        <v>535</v>
      </c>
      <c r="F418" s="81">
        <v>2</v>
      </c>
      <c r="G418" s="81">
        <v>0</v>
      </c>
      <c r="H418" s="81">
        <v>4</v>
      </c>
      <c r="I418" s="101" t="s">
        <v>73</v>
      </c>
      <c r="J418" s="97" t="s">
        <v>73</v>
      </c>
      <c r="K418" s="80" t="s">
        <v>275</v>
      </c>
      <c r="L418" s="101" t="s">
        <v>1491</v>
      </c>
      <c r="M418" s="97" t="s">
        <v>1562</v>
      </c>
      <c r="N418" s="101">
        <v>1</v>
      </c>
      <c r="O418" s="101">
        <v>63</v>
      </c>
      <c r="P418" s="102">
        <v>63</v>
      </c>
      <c r="Q418" s="98">
        <f>N418*(F418+G418)</f>
        <v>2</v>
      </c>
      <c r="R418" s="98">
        <v>2</v>
      </c>
      <c r="S418" s="80"/>
      <c r="T418" s="81"/>
      <c r="U418" s="80"/>
    </row>
    <row r="419" spans="2:21">
      <c r="B419" s="48" t="s">
        <v>1776</v>
      </c>
      <c r="C419" s="48" t="s">
        <v>32</v>
      </c>
      <c r="D419" s="3" t="s">
        <v>690</v>
      </c>
      <c r="E419" s="80" t="s">
        <v>691</v>
      </c>
      <c r="F419" s="81">
        <v>2</v>
      </c>
      <c r="G419" s="81">
        <v>0</v>
      </c>
      <c r="H419" s="81">
        <v>2</v>
      </c>
      <c r="I419" s="101" t="s">
        <v>73</v>
      </c>
      <c r="J419" s="97" t="s">
        <v>73</v>
      </c>
      <c r="K419" s="80" t="s">
        <v>76</v>
      </c>
      <c r="L419" s="101" t="s">
        <v>1491</v>
      </c>
      <c r="M419" s="97" t="s">
        <v>1562</v>
      </c>
      <c r="N419" s="101">
        <v>1</v>
      </c>
      <c r="O419" s="101">
        <v>63</v>
      </c>
      <c r="P419" s="102">
        <v>63</v>
      </c>
      <c r="Q419" s="98">
        <f>N419*(F419+G419)</f>
        <v>2</v>
      </c>
      <c r="R419" s="98">
        <v>2</v>
      </c>
      <c r="S419" s="80"/>
      <c r="T419" s="81"/>
      <c r="U419" s="80"/>
    </row>
    <row r="420" spans="2:21">
      <c r="B420" s="48" t="s">
        <v>1776</v>
      </c>
      <c r="C420" s="48" t="s">
        <v>32</v>
      </c>
      <c r="D420" s="3" t="s">
        <v>1220</v>
      </c>
      <c r="E420" s="80" t="s">
        <v>149</v>
      </c>
      <c r="F420" s="81">
        <v>3</v>
      </c>
      <c r="G420" s="81">
        <v>1</v>
      </c>
      <c r="H420" s="81">
        <v>4</v>
      </c>
      <c r="I420" s="101" t="s">
        <v>71</v>
      </c>
      <c r="J420" s="97" t="s">
        <v>71</v>
      </c>
      <c r="K420" s="80" t="s">
        <v>237</v>
      </c>
      <c r="L420" s="101" t="s">
        <v>1488</v>
      </c>
      <c r="M420" s="97" t="s">
        <v>1562</v>
      </c>
      <c r="N420" s="101">
        <v>1</v>
      </c>
      <c r="O420" s="101">
        <v>30</v>
      </c>
      <c r="P420" s="102">
        <v>30</v>
      </c>
      <c r="Q420" s="98">
        <f>N420*(F420+G420)</f>
        <v>4</v>
      </c>
      <c r="R420" s="98">
        <v>4</v>
      </c>
      <c r="S420" s="80" t="s">
        <v>1546</v>
      </c>
      <c r="T420" s="81"/>
      <c r="U420" s="80"/>
    </row>
    <row r="421" spans="2:21">
      <c r="B421" s="48" t="s">
        <v>1776</v>
      </c>
      <c r="C421" s="48" t="s">
        <v>32</v>
      </c>
      <c r="D421" s="3" t="s">
        <v>1275</v>
      </c>
      <c r="E421" s="80" t="s">
        <v>997</v>
      </c>
      <c r="F421" s="81">
        <v>2</v>
      </c>
      <c r="G421" s="81">
        <v>2</v>
      </c>
      <c r="H421" s="81">
        <v>5</v>
      </c>
      <c r="I421" s="101" t="s">
        <v>71</v>
      </c>
      <c r="J421" s="97" t="s">
        <v>71</v>
      </c>
      <c r="K421" s="80" t="s">
        <v>1547</v>
      </c>
      <c r="L421" s="101" t="s">
        <v>1488</v>
      </c>
      <c r="M421" s="97" t="s">
        <v>1562</v>
      </c>
      <c r="N421" s="101">
        <v>1</v>
      </c>
      <c r="O421" s="101">
        <v>62</v>
      </c>
      <c r="P421" s="102">
        <v>62</v>
      </c>
      <c r="Q421" s="98">
        <f>N421*(F421+G421)</f>
        <v>4</v>
      </c>
      <c r="R421" s="98">
        <v>4</v>
      </c>
      <c r="S421" s="80"/>
      <c r="T421" s="81"/>
      <c r="U421" s="80"/>
    </row>
    <row r="422" spans="2:21">
      <c r="B422" s="48" t="s">
        <v>1776</v>
      </c>
      <c r="C422" s="48" t="s">
        <v>32</v>
      </c>
      <c r="D422" s="3" t="s">
        <v>996</v>
      </c>
      <c r="E422" s="80" t="s">
        <v>106</v>
      </c>
      <c r="F422" s="81">
        <v>4</v>
      </c>
      <c r="G422" s="81">
        <v>2</v>
      </c>
      <c r="H422" s="81">
        <v>9</v>
      </c>
      <c r="I422" s="101" t="s">
        <v>71</v>
      </c>
      <c r="J422" s="97" t="s">
        <v>71</v>
      </c>
      <c r="K422" s="80" t="s">
        <v>1551</v>
      </c>
      <c r="L422" s="101" t="s">
        <v>1488</v>
      </c>
      <c r="M422" s="97" t="s">
        <v>1562</v>
      </c>
      <c r="N422" s="101">
        <v>1</v>
      </c>
      <c r="O422" s="101">
        <v>62</v>
      </c>
      <c r="P422" s="102">
        <v>62</v>
      </c>
      <c r="Q422" s="98">
        <f>N422*(F422+G422)</f>
        <v>6</v>
      </c>
      <c r="R422" s="98">
        <v>6</v>
      </c>
      <c r="S422" s="80"/>
      <c r="T422" s="81"/>
      <c r="U422" s="80"/>
    </row>
    <row r="423" spans="2:21">
      <c r="B423" s="48" t="s">
        <v>1776</v>
      </c>
      <c r="C423" s="48" t="s">
        <v>32</v>
      </c>
      <c r="D423" s="3" t="s">
        <v>412</v>
      </c>
      <c r="E423" s="80" t="s">
        <v>413</v>
      </c>
      <c r="F423" s="81">
        <v>3</v>
      </c>
      <c r="G423" s="81">
        <v>1</v>
      </c>
      <c r="H423" s="81">
        <v>5</v>
      </c>
      <c r="I423" s="101" t="s">
        <v>71</v>
      </c>
      <c r="J423" s="97" t="s">
        <v>71</v>
      </c>
      <c r="K423" s="80" t="s">
        <v>76</v>
      </c>
      <c r="L423" s="101" t="s">
        <v>1488</v>
      </c>
      <c r="M423" s="97" t="s">
        <v>1562</v>
      </c>
      <c r="N423" s="101">
        <v>1</v>
      </c>
      <c r="O423" s="101">
        <v>62</v>
      </c>
      <c r="P423" s="102">
        <v>62</v>
      </c>
      <c r="Q423" s="98">
        <f>N423*(F423+G423)</f>
        <v>4</v>
      </c>
      <c r="R423" s="98">
        <v>4</v>
      </c>
      <c r="S423" s="80"/>
      <c r="T423" s="81"/>
      <c r="U423" s="80"/>
    </row>
    <row r="424" spans="2:21">
      <c r="B424" s="48" t="s">
        <v>1776</v>
      </c>
      <c r="C424" s="48" t="s">
        <v>32</v>
      </c>
      <c r="D424" s="3" t="s">
        <v>451</v>
      </c>
      <c r="E424" s="80" t="s">
        <v>452</v>
      </c>
      <c r="F424" s="81">
        <v>4</v>
      </c>
      <c r="G424" s="81">
        <v>0</v>
      </c>
      <c r="H424" s="81">
        <v>5</v>
      </c>
      <c r="I424" s="101" t="s">
        <v>71</v>
      </c>
      <c r="J424" s="97" t="s">
        <v>71</v>
      </c>
      <c r="K424" s="80" t="s">
        <v>105</v>
      </c>
      <c r="L424" s="101" t="s">
        <v>1488</v>
      </c>
      <c r="M424" s="97" t="s">
        <v>1562</v>
      </c>
      <c r="N424" s="101">
        <v>1</v>
      </c>
      <c r="O424" s="101">
        <v>62</v>
      </c>
      <c r="P424" s="102">
        <v>62</v>
      </c>
      <c r="Q424" s="98">
        <f>N424*(F424+G424)</f>
        <v>4</v>
      </c>
      <c r="R424" s="98">
        <v>4</v>
      </c>
      <c r="S424" s="80"/>
      <c r="T424" s="81"/>
      <c r="U424" s="80"/>
    </row>
    <row r="425" spans="2:21">
      <c r="B425" s="48" t="s">
        <v>1776</v>
      </c>
      <c r="C425" s="48" t="s">
        <v>32</v>
      </c>
      <c r="D425" s="3" t="s">
        <v>147</v>
      </c>
      <c r="E425" s="80" t="s">
        <v>148</v>
      </c>
      <c r="F425" s="81">
        <v>2</v>
      </c>
      <c r="G425" s="81">
        <v>2</v>
      </c>
      <c r="H425" s="81">
        <v>4</v>
      </c>
      <c r="I425" s="101" t="s">
        <v>73</v>
      </c>
      <c r="J425" s="97" t="s">
        <v>73</v>
      </c>
      <c r="K425" s="80" t="s">
        <v>149</v>
      </c>
      <c r="L425" s="101" t="s">
        <v>1488</v>
      </c>
      <c r="M425" s="97" t="s">
        <v>1562</v>
      </c>
      <c r="N425" s="101">
        <v>1</v>
      </c>
      <c r="O425" s="101">
        <v>30</v>
      </c>
      <c r="P425" s="102">
        <v>30</v>
      </c>
      <c r="Q425" s="98">
        <f>N425*(F425+G425)</f>
        <v>4</v>
      </c>
      <c r="R425" s="98">
        <v>4</v>
      </c>
      <c r="S425" s="80"/>
      <c r="T425" s="81"/>
      <c r="U425" s="80"/>
    </row>
    <row r="426" spans="2:21">
      <c r="B426" s="48" t="s">
        <v>1776</v>
      </c>
      <c r="C426" s="48" t="s">
        <v>32</v>
      </c>
      <c r="D426" s="3" t="s">
        <v>1198</v>
      </c>
      <c r="E426" s="80" t="s">
        <v>1199</v>
      </c>
      <c r="F426" s="81">
        <v>2</v>
      </c>
      <c r="G426" s="81">
        <v>2</v>
      </c>
      <c r="H426" s="81">
        <v>4</v>
      </c>
      <c r="I426" s="101" t="s">
        <v>73</v>
      </c>
      <c r="J426" s="97" t="s">
        <v>73</v>
      </c>
      <c r="K426" s="80" t="s">
        <v>106</v>
      </c>
      <c r="L426" s="101" t="s">
        <v>1488</v>
      </c>
      <c r="M426" s="97" t="s">
        <v>1562</v>
      </c>
      <c r="N426" s="101">
        <v>1</v>
      </c>
      <c r="O426" s="101">
        <v>30</v>
      </c>
      <c r="P426" s="102">
        <v>30</v>
      </c>
      <c r="Q426" s="98">
        <f>N426*(F426+G426)</f>
        <v>4</v>
      </c>
      <c r="R426" s="98">
        <v>4</v>
      </c>
      <c r="S426" s="80" t="s">
        <v>1546</v>
      </c>
      <c r="T426" s="81"/>
      <c r="U426" s="80"/>
    </row>
    <row r="427" spans="2:21">
      <c r="B427" s="48" t="s">
        <v>1776</v>
      </c>
      <c r="C427" s="48" t="s">
        <v>32</v>
      </c>
      <c r="D427" s="3" t="s">
        <v>934</v>
      </c>
      <c r="E427" s="80" t="s">
        <v>535</v>
      </c>
      <c r="F427" s="81">
        <v>2</v>
      </c>
      <c r="G427" s="81">
        <v>0</v>
      </c>
      <c r="H427" s="81">
        <v>4</v>
      </c>
      <c r="I427" s="101" t="s">
        <v>73</v>
      </c>
      <c r="J427" s="97" t="s">
        <v>73</v>
      </c>
      <c r="K427" s="80" t="s">
        <v>275</v>
      </c>
      <c r="L427" s="101" t="s">
        <v>1488</v>
      </c>
      <c r="M427" s="97" t="s">
        <v>1562</v>
      </c>
      <c r="N427" s="101">
        <v>1</v>
      </c>
      <c r="O427" s="101">
        <v>62</v>
      </c>
      <c r="P427" s="102">
        <v>62</v>
      </c>
      <c r="Q427" s="98">
        <f>N427*(F427+G427)</f>
        <v>2</v>
      </c>
      <c r="R427" s="98">
        <v>2</v>
      </c>
      <c r="S427" s="80"/>
      <c r="T427" s="81"/>
      <c r="U427" s="80"/>
    </row>
    <row r="428" spans="2:21">
      <c r="B428" s="48" t="s">
        <v>1776</v>
      </c>
      <c r="C428" s="48" t="s">
        <v>32</v>
      </c>
      <c r="D428" s="3" t="s">
        <v>1750</v>
      </c>
      <c r="E428" s="80" t="s">
        <v>684</v>
      </c>
      <c r="F428" s="81">
        <v>4</v>
      </c>
      <c r="G428" s="81">
        <v>2</v>
      </c>
      <c r="H428" s="81">
        <v>9</v>
      </c>
      <c r="I428" s="101" t="s">
        <v>71</v>
      </c>
      <c r="J428" s="97" t="s">
        <v>71</v>
      </c>
      <c r="K428" s="80"/>
      <c r="L428" s="101" t="s">
        <v>1488</v>
      </c>
      <c r="M428" s="97" t="s">
        <v>1562</v>
      </c>
      <c r="N428" s="101">
        <v>1</v>
      </c>
      <c r="O428" s="101">
        <v>62</v>
      </c>
      <c r="P428" s="102">
        <v>62</v>
      </c>
      <c r="Q428" s="98">
        <f>N428*(F428+G428)</f>
        <v>6</v>
      </c>
      <c r="R428" s="98"/>
      <c r="S428" s="80"/>
      <c r="T428" s="81"/>
      <c r="U428" s="80"/>
    </row>
    <row r="429" spans="2:21">
      <c r="B429" s="48" t="s">
        <v>1776</v>
      </c>
      <c r="C429" s="48" t="s">
        <v>32</v>
      </c>
      <c r="D429" s="3" t="s">
        <v>1750</v>
      </c>
      <c r="E429" s="80" t="s">
        <v>684</v>
      </c>
      <c r="F429" s="81">
        <v>4</v>
      </c>
      <c r="G429" s="81">
        <v>2</v>
      </c>
      <c r="H429" s="81">
        <v>9</v>
      </c>
      <c r="I429" s="101" t="s">
        <v>71</v>
      </c>
      <c r="J429" s="97" t="s">
        <v>71</v>
      </c>
      <c r="K429" s="80"/>
      <c r="L429" s="101" t="s">
        <v>1491</v>
      </c>
      <c r="M429" s="97" t="s">
        <v>1562</v>
      </c>
      <c r="N429" s="101">
        <v>1</v>
      </c>
      <c r="O429" s="101">
        <v>63</v>
      </c>
      <c r="P429" s="102">
        <v>63</v>
      </c>
      <c r="Q429" s="98">
        <f>N429*(F429+G429)</f>
        <v>6</v>
      </c>
      <c r="R429" s="98"/>
      <c r="S429" s="80"/>
      <c r="T429" s="81"/>
      <c r="U429" s="80"/>
    </row>
    <row r="430" spans="2:21">
      <c r="B430" s="52" t="s">
        <v>1777</v>
      </c>
      <c r="C430" s="52" t="s">
        <v>33</v>
      </c>
      <c r="D430" s="3" t="s">
        <v>1160</v>
      </c>
      <c r="E430" s="80" t="s">
        <v>150</v>
      </c>
      <c r="F430" s="81">
        <v>3</v>
      </c>
      <c r="G430" s="81">
        <v>1</v>
      </c>
      <c r="H430" s="81">
        <v>4</v>
      </c>
      <c r="I430" s="101" t="s">
        <v>71</v>
      </c>
      <c r="J430" s="97" t="s">
        <v>71</v>
      </c>
      <c r="K430" s="80" t="s">
        <v>446</v>
      </c>
      <c r="L430" s="101" t="s">
        <v>1488</v>
      </c>
      <c r="M430" s="97" t="s">
        <v>1562</v>
      </c>
      <c r="N430" s="101">
        <v>1</v>
      </c>
      <c r="O430" s="101">
        <v>60</v>
      </c>
      <c r="P430" s="102">
        <v>60</v>
      </c>
      <c r="Q430" s="98">
        <f>N430*(F430+G430)</f>
        <v>4</v>
      </c>
      <c r="R430" s="98">
        <v>4</v>
      </c>
      <c r="S430" s="80" t="s">
        <v>1563</v>
      </c>
      <c r="T430" s="81" t="s">
        <v>1505</v>
      </c>
      <c r="U430" s="80"/>
    </row>
    <row r="431" spans="2:21">
      <c r="B431" s="52" t="s">
        <v>1777</v>
      </c>
      <c r="C431" s="52" t="s">
        <v>33</v>
      </c>
      <c r="D431" s="3" t="s">
        <v>1160</v>
      </c>
      <c r="E431" s="80" t="s">
        <v>150</v>
      </c>
      <c r="F431" s="81">
        <v>3</v>
      </c>
      <c r="G431" s="81">
        <v>1</v>
      </c>
      <c r="H431" s="81">
        <v>4</v>
      </c>
      <c r="I431" s="101" t="s">
        <v>71</v>
      </c>
      <c r="J431" s="97" t="s">
        <v>71</v>
      </c>
      <c r="K431" s="80" t="s">
        <v>446</v>
      </c>
      <c r="L431" s="101" t="s">
        <v>1491</v>
      </c>
      <c r="M431" s="97" t="s">
        <v>1562</v>
      </c>
      <c r="N431" s="101">
        <v>1</v>
      </c>
      <c r="O431" s="101">
        <v>60</v>
      </c>
      <c r="P431" s="102">
        <v>60</v>
      </c>
      <c r="Q431" s="98">
        <f>N431*(F431+G431)</f>
        <v>4</v>
      </c>
      <c r="R431" s="98">
        <v>4</v>
      </c>
      <c r="S431" s="80" t="s">
        <v>1563</v>
      </c>
      <c r="T431" s="81" t="s">
        <v>1505</v>
      </c>
      <c r="U431" s="80"/>
    </row>
    <row r="432" spans="2:21">
      <c r="B432" s="52" t="s">
        <v>1777</v>
      </c>
      <c r="C432" s="52" t="s">
        <v>33</v>
      </c>
      <c r="D432" s="3" t="s">
        <v>1205</v>
      </c>
      <c r="E432" s="80" t="s">
        <v>1206</v>
      </c>
      <c r="F432" s="81">
        <v>4</v>
      </c>
      <c r="G432" s="81">
        <v>0</v>
      </c>
      <c r="H432" s="81">
        <v>4</v>
      </c>
      <c r="I432" s="101" t="s">
        <v>71</v>
      </c>
      <c r="J432" s="97" t="s">
        <v>71</v>
      </c>
      <c r="K432" s="80" t="s">
        <v>308</v>
      </c>
      <c r="L432" s="101" t="s">
        <v>1488</v>
      </c>
      <c r="M432" s="97" t="s">
        <v>1562</v>
      </c>
      <c r="N432" s="101">
        <v>1</v>
      </c>
      <c r="O432" s="101">
        <v>60</v>
      </c>
      <c r="P432" s="102">
        <v>60</v>
      </c>
      <c r="Q432" s="98">
        <f>N432*(F432+G432)</f>
        <v>4</v>
      </c>
      <c r="R432" s="98">
        <v>4</v>
      </c>
      <c r="S432" s="80"/>
      <c r="T432" s="81"/>
      <c r="U432" s="80"/>
    </row>
    <row r="433" spans="1:21">
      <c r="B433" s="52" t="s">
        <v>1777</v>
      </c>
      <c r="C433" s="52" t="s">
        <v>33</v>
      </c>
      <c r="D433" s="3" t="s">
        <v>1205</v>
      </c>
      <c r="E433" s="80" t="s">
        <v>1206</v>
      </c>
      <c r="F433" s="81">
        <v>4</v>
      </c>
      <c r="G433" s="81">
        <v>0</v>
      </c>
      <c r="H433" s="81">
        <v>4</v>
      </c>
      <c r="I433" s="101" t="s">
        <v>71</v>
      </c>
      <c r="J433" s="97" t="s">
        <v>71</v>
      </c>
      <c r="K433" s="80" t="s">
        <v>308</v>
      </c>
      <c r="L433" s="101" t="s">
        <v>1491</v>
      </c>
      <c r="M433" s="97" t="s">
        <v>1562</v>
      </c>
      <c r="N433" s="101">
        <v>1</v>
      </c>
      <c r="O433" s="101">
        <v>60</v>
      </c>
      <c r="P433" s="102">
        <v>60</v>
      </c>
      <c r="Q433" s="98">
        <f>N433*(F433+G433)</f>
        <v>4</v>
      </c>
      <c r="R433" s="98">
        <v>4</v>
      </c>
      <c r="S433" s="80"/>
      <c r="T433" s="81"/>
      <c r="U433" s="80"/>
    </row>
    <row r="434" spans="1:21">
      <c r="B434" s="52" t="s">
        <v>1777</v>
      </c>
      <c r="C434" s="52" t="s">
        <v>33</v>
      </c>
      <c r="D434" s="3" t="s">
        <v>1283</v>
      </c>
      <c r="E434" s="80" t="s">
        <v>1284</v>
      </c>
      <c r="F434" s="81">
        <v>4</v>
      </c>
      <c r="G434" s="81">
        <v>0</v>
      </c>
      <c r="H434" s="81">
        <v>4</v>
      </c>
      <c r="I434" s="101" t="s">
        <v>71</v>
      </c>
      <c r="J434" s="97" t="s">
        <v>71</v>
      </c>
      <c r="K434" s="80" t="s">
        <v>294</v>
      </c>
      <c r="L434" s="101" t="s">
        <v>1488</v>
      </c>
      <c r="M434" s="97" t="s">
        <v>1562</v>
      </c>
      <c r="N434" s="101">
        <v>1</v>
      </c>
      <c r="O434" s="101">
        <v>60</v>
      </c>
      <c r="P434" s="102">
        <v>60</v>
      </c>
      <c r="Q434" s="98">
        <f>N434*(F434+G434)</f>
        <v>4</v>
      </c>
      <c r="R434" s="98">
        <v>4</v>
      </c>
      <c r="S434" s="80"/>
      <c r="T434" s="81"/>
      <c r="U434" s="80"/>
    </row>
    <row r="435" spans="1:21">
      <c r="B435" s="52" t="s">
        <v>1777</v>
      </c>
      <c r="C435" s="52" t="s">
        <v>33</v>
      </c>
      <c r="D435" s="3" t="s">
        <v>1283</v>
      </c>
      <c r="E435" s="80" t="s">
        <v>1284</v>
      </c>
      <c r="F435" s="81">
        <v>4</v>
      </c>
      <c r="G435" s="81">
        <v>0</v>
      </c>
      <c r="H435" s="81">
        <v>4</v>
      </c>
      <c r="I435" s="101" t="s">
        <v>71</v>
      </c>
      <c r="J435" s="97" t="s">
        <v>71</v>
      </c>
      <c r="K435" s="80" t="s">
        <v>294</v>
      </c>
      <c r="L435" s="101" t="s">
        <v>1491</v>
      </c>
      <c r="M435" s="97" t="s">
        <v>1562</v>
      </c>
      <c r="N435" s="101">
        <v>1</v>
      </c>
      <c r="O435" s="101">
        <v>60</v>
      </c>
      <c r="P435" s="102">
        <v>60</v>
      </c>
      <c r="Q435" s="98">
        <f>N435*(F435+G435)</f>
        <v>4</v>
      </c>
      <c r="R435" s="98">
        <v>4</v>
      </c>
      <c r="S435" s="80"/>
      <c r="T435" s="81"/>
      <c r="U435" s="80"/>
    </row>
    <row r="436" spans="1:21">
      <c r="B436" s="52" t="s">
        <v>1777</v>
      </c>
      <c r="C436" s="52" t="s">
        <v>33</v>
      </c>
      <c r="D436" s="3" t="s">
        <v>304</v>
      </c>
      <c r="E436" s="80" t="s">
        <v>305</v>
      </c>
      <c r="F436" s="81">
        <v>3</v>
      </c>
      <c r="G436" s="81">
        <v>1</v>
      </c>
      <c r="H436" s="81">
        <v>4</v>
      </c>
      <c r="I436" s="101" t="s">
        <v>71</v>
      </c>
      <c r="J436" s="97" t="s">
        <v>71</v>
      </c>
      <c r="K436" s="80" t="s">
        <v>156</v>
      </c>
      <c r="L436" s="101" t="s">
        <v>1488</v>
      </c>
      <c r="M436" s="97" t="s">
        <v>1562</v>
      </c>
      <c r="N436" s="101">
        <v>1</v>
      </c>
      <c r="O436" s="101">
        <v>30</v>
      </c>
      <c r="P436" s="102">
        <v>30</v>
      </c>
      <c r="Q436" s="98">
        <f>N436*(F436+G436)</f>
        <v>4</v>
      </c>
      <c r="R436" s="98">
        <v>4</v>
      </c>
      <c r="S436" s="80" t="s">
        <v>1504</v>
      </c>
      <c r="T436" s="81" t="s">
        <v>1505</v>
      </c>
      <c r="U436" s="80"/>
    </row>
    <row r="437" spans="1:21">
      <c r="B437" s="52" t="s">
        <v>1777</v>
      </c>
      <c r="C437" s="52" t="s">
        <v>33</v>
      </c>
      <c r="D437" s="3" t="s">
        <v>304</v>
      </c>
      <c r="E437" s="80" t="s">
        <v>305</v>
      </c>
      <c r="F437" s="81">
        <v>3</v>
      </c>
      <c r="G437" s="81">
        <v>1</v>
      </c>
      <c r="H437" s="81">
        <v>4</v>
      </c>
      <c r="I437" s="101" t="s">
        <v>71</v>
      </c>
      <c r="J437" s="97" t="s">
        <v>71</v>
      </c>
      <c r="K437" s="80" t="s">
        <v>156</v>
      </c>
      <c r="L437" s="101" t="s">
        <v>1491</v>
      </c>
      <c r="M437" s="97" t="s">
        <v>1562</v>
      </c>
      <c r="N437" s="101">
        <v>1</v>
      </c>
      <c r="O437" s="101">
        <v>30</v>
      </c>
      <c r="P437" s="102">
        <v>30</v>
      </c>
      <c r="Q437" s="98">
        <f>N437*(F437+G437)</f>
        <v>4</v>
      </c>
      <c r="R437" s="98">
        <v>4</v>
      </c>
      <c r="S437" s="80" t="s">
        <v>1504</v>
      </c>
      <c r="T437" s="81" t="s">
        <v>1505</v>
      </c>
      <c r="U437" s="80"/>
    </row>
    <row r="438" spans="1:21">
      <c r="B438" s="52" t="s">
        <v>1777</v>
      </c>
      <c r="C438" s="52" t="s">
        <v>33</v>
      </c>
      <c r="D438" s="3" t="s">
        <v>1123</v>
      </c>
      <c r="E438" s="80" t="s">
        <v>1124</v>
      </c>
      <c r="F438" s="81">
        <v>3</v>
      </c>
      <c r="G438" s="81">
        <v>1</v>
      </c>
      <c r="H438" s="81">
        <v>4</v>
      </c>
      <c r="I438" s="101" t="s">
        <v>71</v>
      </c>
      <c r="J438" s="97" t="s">
        <v>71</v>
      </c>
      <c r="K438" s="80" t="s">
        <v>966</v>
      </c>
      <c r="L438" s="101" t="s">
        <v>1488</v>
      </c>
      <c r="M438" s="97" t="s">
        <v>1562</v>
      </c>
      <c r="N438" s="101">
        <v>1</v>
      </c>
      <c r="O438" s="101">
        <v>30</v>
      </c>
      <c r="P438" s="102">
        <v>30</v>
      </c>
      <c r="Q438" s="98">
        <f>N438*(F438+G438)</f>
        <v>4</v>
      </c>
      <c r="R438" s="98">
        <v>4</v>
      </c>
      <c r="S438" s="80" t="s">
        <v>1504</v>
      </c>
      <c r="T438" s="81" t="s">
        <v>1505</v>
      </c>
      <c r="U438" s="80"/>
    </row>
    <row r="439" spans="1:21">
      <c r="B439" s="52" t="s">
        <v>1777</v>
      </c>
      <c r="C439" s="52" t="s">
        <v>33</v>
      </c>
      <c r="D439" s="3" t="s">
        <v>1123</v>
      </c>
      <c r="E439" s="80" t="s">
        <v>1124</v>
      </c>
      <c r="F439" s="81">
        <v>3</v>
      </c>
      <c r="G439" s="81">
        <v>1</v>
      </c>
      <c r="H439" s="81">
        <v>4</v>
      </c>
      <c r="I439" s="101" t="s">
        <v>71</v>
      </c>
      <c r="J439" s="97" t="s">
        <v>71</v>
      </c>
      <c r="K439" s="80" t="s">
        <v>966</v>
      </c>
      <c r="L439" s="101" t="s">
        <v>1491</v>
      </c>
      <c r="M439" s="97" t="s">
        <v>1562</v>
      </c>
      <c r="N439" s="101">
        <v>1</v>
      </c>
      <c r="O439" s="101">
        <v>30</v>
      </c>
      <c r="P439" s="102">
        <v>30</v>
      </c>
      <c r="Q439" s="98">
        <f>N439*(F439+G439)</f>
        <v>4</v>
      </c>
      <c r="R439" s="98">
        <v>4</v>
      </c>
      <c r="S439" s="80" t="s">
        <v>1504</v>
      </c>
      <c r="T439" s="81" t="s">
        <v>1505</v>
      </c>
      <c r="U439" s="80"/>
    </row>
    <row r="440" spans="1:21">
      <c r="B440" s="52" t="s">
        <v>1777</v>
      </c>
      <c r="C440" s="52" t="s">
        <v>33</v>
      </c>
      <c r="D440" s="3" t="s">
        <v>1243</v>
      </c>
      <c r="E440" s="80" t="s">
        <v>1244</v>
      </c>
      <c r="F440" s="81">
        <v>2</v>
      </c>
      <c r="G440" s="81">
        <v>2</v>
      </c>
      <c r="H440" s="81">
        <v>4</v>
      </c>
      <c r="I440" s="101" t="s">
        <v>71</v>
      </c>
      <c r="J440" s="97" t="s">
        <v>71</v>
      </c>
      <c r="K440" s="80" t="s">
        <v>424</v>
      </c>
      <c r="L440" s="101" t="s">
        <v>1491</v>
      </c>
      <c r="M440" s="97" t="s">
        <v>1562</v>
      </c>
      <c r="N440" s="101">
        <v>1</v>
      </c>
      <c r="O440" s="101">
        <v>30</v>
      </c>
      <c r="P440" s="102">
        <v>30</v>
      </c>
      <c r="Q440" s="98">
        <f>N440*(F440+G440)</f>
        <v>4</v>
      </c>
      <c r="R440" s="98">
        <v>4</v>
      </c>
      <c r="S440" s="80" t="s">
        <v>1504</v>
      </c>
      <c r="T440" s="81" t="s">
        <v>1564</v>
      </c>
      <c r="U440" s="80"/>
    </row>
    <row r="441" spans="1:21">
      <c r="B441" s="52" t="s">
        <v>1777</v>
      </c>
      <c r="C441" s="52" t="s">
        <v>33</v>
      </c>
      <c r="D441" s="3" t="s">
        <v>372</v>
      </c>
      <c r="E441" s="80" t="s">
        <v>373</v>
      </c>
      <c r="F441" s="81">
        <v>3</v>
      </c>
      <c r="G441" s="81">
        <v>2</v>
      </c>
      <c r="H441" s="81">
        <v>4</v>
      </c>
      <c r="I441" s="101" t="s">
        <v>71</v>
      </c>
      <c r="J441" s="97" t="s">
        <v>71</v>
      </c>
      <c r="K441" s="80" t="s">
        <v>156</v>
      </c>
      <c r="L441" s="101" t="s">
        <v>1491</v>
      </c>
      <c r="M441" s="97" t="s">
        <v>1562</v>
      </c>
      <c r="N441" s="101">
        <v>1</v>
      </c>
      <c r="O441" s="101">
        <v>60</v>
      </c>
      <c r="P441" s="102">
        <v>60</v>
      </c>
      <c r="Q441" s="98">
        <f>N441*(F441+G441)</f>
        <v>5</v>
      </c>
      <c r="R441" s="98">
        <v>5</v>
      </c>
      <c r="S441" s="80" t="s">
        <v>1504</v>
      </c>
      <c r="T441" s="81" t="s">
        <v>1518</v>
      </c>
      <c r="U441" s="80"/>
    </row>
    <row r="442" spans="1:21">
      <c r="B442" s="52" t="s">
        <v>1777</v>
      </c>
      <c r="C442" s="52" t="s">
        <v>33</v>
      </c>
      <c r="D442" s="3" t="s">
        <v>750</v>
      </c>
      <c r="E442" s="80" t="s">
        <v>751</v>
      </c>
      <c r="F442" s="81">
        <v>2</v>
      </c>
      <c r="G442" s="81">
        <v>0</v>
      </c>
      <c r="H442" s="81">
        <v>3</v>
      </c>
      <c r="I442" s="101" t="s">
        <v>73</v>
      </c>
      <c r="J442" s="97" t="s">
        <v>73</v>
      </c>
      <c r="K442" s="80" t="s">
        <v>76</v>
      </c>
      <c r="L442" s="101" t="s">
        <v>1488</v>
      </c>
      <c r="M442" s="97" t="s">
        <v>1562</v>
      </c>
      <c r="N442" s="101">
        <v>1</v>
      </c>
      <c r="O442" s="101">
        <v>30</v>
      </c>
      <c r="P442" s="102">
        <v>30</v>
      </c>
      <c r="Q442" s="98">
        <f>N442*(F442+G442)</f>
        <v>2</v>
      </c>
      <c r="R442" s="98">
        <v>2</v>
      </c>
      <c r="S442" s="80"/>
      <c r="T442" s="81"/>
      <c r="U442" s="80"/>
    </row>
    <row r="443" spans="1:21">
      <c r="B443" s="52" t="s">
        <v>1777</v>
      </c>
      <c r="C443" s="52" t="s">
        <v>33</v>
      </c>
      <c r="D443" s="3" t="s">
        <v>750</v>
      </c>
      <c r="E443" s="80" t="s">
        <v>751</v>
      </c>
      <c r="F443" s="81">
        <v>2</v>
      </c>
      <c r="G443" s="81">
        <v>0</v>
      </c>
      <c r="H443" s="81">
        <v>3</v>
      </c>
      <c r="I443" s="101" t="s">
        <v>73</v>
      </c>
      <c r="J443" s="97" t="s">
        <v>73</v>
      </c>
      <c r="K443" s="80" t="s">
        <v>76</v>
      </c>
      <c r="L443" s="101" t="s">
        <v>1491</v>
      </c>
      <c r="M443" s="97" t="s">
        <v>1562</v>
      </c>
      <c r="N443" s="101">
        <v>1</v>
      </c>
      <c r="O443" s="101">
        <v>30</v>
      </c>
      <c r="P443" s="102">
        <v>30</v>
      </c>
      <c r="Q443" s="98">
        <f>N443*(F443+G443)</f>
        <v>2</v>
      </c>
      <c r="R443" s="98">
        <v>2</v>
      </c>
      <c r="S443" s="80"/>
      <c r="T443" s="81"/>
      <c r="U443" s="80"/>
    </row>
    <row r="444" spans="1:21">
      <c r="A444" s="1" t="s">
        <v>1669</v>
      </c>
      <c r="B444" s="52" t="s">
        <v>1777</v>
      </c>
      <c r="C444" s="52" t="s">
        <v>33</v>
      </c>
      <c r="D444" s="3" t="s">
        <v>1200</v>
      </c>
      <c r="E444" s="80" t="s">
        <v>1201</v>
      </c>
      <c r="F444" s="81">
        <v>2</v>
      </c>
      <c r="G444" s="81">
        <v>2</v>
      </c>
      <c r="H444" s="81">
        <v>4</v>
      </c>
      <c r="I444" s="101" t="s">
        <v>73</v>
      </c>
      <c r="J444" s="97" t="s">
        <v>73</v>
      </c>
      <c r="K444" s="80" t="s">
        <v>1120</v>
      </c>
      <c r="L444" s="101" t="s">
        <v>1488</v>
      </c>
      <c r="M444" s="97" t="s">
        <v>1562</v>
      </c>
      <c r="N444" s="101">
        <v>1</v>
      </c>
      <c r="O444" s="101">
        <v>30</v>
      </c>
      <c r="P444" s="102">
        <v>30</v>
      </c>
      <c r="Q444" s="98">
        <f>N444*(F444+G444)</f>
        <v>4</v>
      </c>
      <c r="R444" s="98">
        <v>4</v>
      </c>
      <c r="S444" s="80" t="s">
        <v>1563</v>
      </c>
      <c r="T444" s="81" t="s">
        <v>1564</v>
      </c>
      <c r="U444" s="80"/>
    </row>
    <row r="445" spans="1:21">
      <c r="A445" s="1" t="s">
        <v>1669</v>
      </c>
      <c r="B445" s="52" t="s">
        <v>1777</v>
      </c>
      <c r="C445" s="52" t="s">
        <v>33</v>
      </c>
      <c r="D445" s="3" t="s">
        <v>1200</v>
      </c>
      <c r="E445" s="80" t="s">
        <v>1201</v>
      </c>
      <c r="F445" s="81">
        <v>2</v>
      </c>
      <c r="G445" s="81">
        <v>2</v>
      </c>
      <c r="H445" s="81">
        <v>4</v>
      </c>
      <c r="I445" s="101" t="s">
        <v>73</v>
      </c>
      <c r="J445" s="97" t="s">
        <v>73</v>
      </c>
      <c r="K445" s="80" t="s">
        <v>1120</v>
      </c>
      <c r="L445" s="101" t="s">
        <v>1491</v>
      </c>
      <c r="M445" s="97" t="s">
        <v>1562</v>
      </c>
      <c r="N445" s="101">
        <v>1</v>
      </c>
      <c r="O445" s="101">
        <v>30</v>
      </c>
      <c r="P445" s="102">
        <v>30</v>
      </c>
      <c r="Q445" s="98">
        <f>N445*(F445+G445)</f>
        <v>4</v>
      </c>
      <c r="R445" s="98">
        <v>4</v>
      </c>
      <c r="S445" s="80" t="s">
        <v>1563</v>
      </c>
      <c r="T445" s="81" t="s">
        <v>1564</v>
      </c>
      <c r="U445" s="80"/>
    </row>
    <row r="446" spans="1:21">
      <c r="A446" s="1" t="s">
        <v>1669</v>
      </c>
      <c r="B446" s="52" t="s">
        <v>1777</v>
      </c>
      <c r="C446" s="52" t="s">
        <v>33</v>
      </c>
      <c r="D446" s="3" t="s">
        <v>1565</v>
      </c>
      <c r="E446" s="80" t="s">
        <v>1494</v>
      </c>
      <c r="F446" s="81">
        <v>0</v>
      </c>
      <c r="G446" s="81">
        <v>2</v>
      </c>
      <c r="H446" s="81">
        <v>4</v>
      </c>
      <c r="I446" s="97" t="s">
        <v>71</v>
      </c>
      <c r="J446" s="97" t="s">
        <v>71</v>
      </c>
      <c r="K446" s="80" t="s">
        <v>76</v>
      </c>
      <c r="L446" s="101" t="s">
        <v>1488</v>
      </c>
      <c r="M446" s="97" t="s">
        <v>1562</v>
      </c>
      <c r="N446" s="101">
        <v>1</v>
      </c>
      <c r="O446" s="101">
        <v>30</v>
      </c>
      <c r="P446" s="102">
        <v>30</v>
      </c>
      <c r="Q446" s="98">
        <f>N446*(F446+G446)</f>
        <v>2</v>
      </c>
      <c r="R446" s="98">
        <v>2</v>
      </c>
      <c r="S446" s="80"/>
      <c r="T446" s="81"/>
      <c r="U446" s="80"/>
    </row>
    <row r="447" spans="1:21">
      <c r="A447" s="1" t="s">
        <v>1669</v>
      </c>
      <c r="B447" s="52" t="s">
        <v>1777</v>
      </c>
      <c r="C447" s="52" t="s">
        <v>33</v>
      </c>
      <c r="D447" s="3" t="s">
        <v>1565</v>
      </c>
      <c r="E447" s="80" t="s">
        <v>1494</v>
      </c>
      <c r="F447" s="81">
        <v>0</v>
      </c>
      <c r="G447" s="81">
        <v>2</v>
      </c>
      <c r="H447" s="81">
        <v>4</v>
      </c>
      <c r="I447" s="97" t="s">
        <v>71</v>
      </c>
      <c r="J447" s="97" t="s">
        <v>71</v>
      </c>
      <c r="K447" s="80" t="s">
        <v>76</v>
      </c>
      <c r="L447" s="101" t="s">
        <v>1491</v>
      </c>
      <c r="M447" s="97" t="s">
        <v>1562</v>
      </c>
      <c r="N447" s="101">
        <v>1</v>
      </c>
      <c r="O447" s="101">
        <v>30</v>
      </c>
      <c r="P447" s="102">
        <v>30</v>
      </c>
      <c r="Q447" s="98">
        <f>N447*(F447+G447)</f>
        <v>2</v>
      </c>
      <c r="R447" s="98">
        <v>2</v>
      </c>
      <c r="S447" s="80"/>
      <c r="T447" s="81"/>
      <c r="U447" s="80"/>
    </row>
    <row r="448" spans="1:21">
      <c r="B448" s="52" t="s">
        <v>1777</v>
      </c>
      <c r="C448" s="52" t="s">
        <v>33</v>
      </c>
      <c r="D448" s="3" t="s">
        <v>486</v>
      </c>
      <c r="E448" s="80" t="s">
        <v>487</v>
      </c>
      <c r="F448" s="81">
        <v>0</v>
      </c>
      <c r="G448" s="81">
        <v>7</v>
      </c>
      <c r="H448" s="81">
        <v>0</v>
      </c>
      <c r="I448" s="101" t="s">
        <v>71</v>
      </c>
      <c r="J448" s="97" t="s">
        <v>71</v>
      </c>
      <c r="K448" s="80" t="s">
        <v>76</v>
      </c>
      <c r="L448" s="101" t="s">
        <v>1488</v>
      </c>
      <c r="M448" s="97" t="s">
        <v>1562</v>
      </c>
      <c r="N448" s="101">
        <v>1</v>
      </c>
      <c r="O448" s="101">
        <v>30</v>
      </c>
      <c r="P448" s="102">
        <v>30</v>
      </c>
      <c r="Q448" s="98">
        <v>3</v>
      </c>
      <c r="R448" s="98">
        <v>3</v>
      </c>
      <c r="S448" s="80"/>
      <c r="T448" s="81"/>
      <c r="U448" s="80"/>
    </row>
    <row r="449" spans="1:21">
      <c r="B449" s="52" t="s">
        <v>1777</v>
      </c>
      <c r="C449" s="52" t="s">
        <v>33</v>
      </c>
      <c r="D449" s="3" t="s">
        <v>486</v>
      </c>
      <c r="E449" s="80" t="s">
        <v>487</v>
      </c>
      <c r="F449" s="81">
        <v>0</v>
      </c>
      <c r="G449" s="81">
        <v>7</v>
      </c>
      <c r="H449" s="81">
        <v>0</v>
      </c>
      <c r="I449" s="101" t="s">
        <v>71</v>
      </c>
      <c r="J449" s="97" t="s">
        <v>71</v>
      </c>
      <c r="K449" s="80" t="s">
        <v>76</v>
      </c>
      <c r="L449" s="101" t="s">
        <v>1491</v>
      </c>
      <c r="M449" s="97" t="s">
        <v>1562</v>
      </c>
      <c r="N449" s="101">
        <v>1</v>
      </c>
      <c r="O449" s="101">
        <v>30</v>
      </c>
      <c r="P449" s="102">
        <v>30</v>
      </c>
      <c r="Q449" s="98">
        <v>3</v>
      </c>
      <c r="R449" s="98">
        <v>3</v>
      </c>
      <c r="S449" s="80"/>
      <c r="T449" s="81"/>
      <c r="U449" s="80"/>
    </row>
    <row r="450" spans="1:21">
      <c r="A450" s="1" t="s">
        <v>1669</v>
      </c>
      <c r="B450" s="52" t="s">
        <v>1777</v>
      </c>
      <c r="C450" s="52" t="s">
        <v>33</v>
      </c>
      <c r="D450" s="3" t="s">
        <v>1566</v>
      </c>
      <c r="E450" s="80" t="s">
        <v>1495</v>
      </c>
      <c r="F450" s="81">
        <v>0</v>
      </c>
      <c r="G450" s="81">
        <v>2</v>
      </c>
      <c r="H450" s="81">
        <v>4</v>
      </c>
      <c r="I450" s="97" t="s">
        <v>71</v>
      </c>
      <c r="J450" s="97" t="s">
        <v>71</v>
      </c>
      <c r="K450" s="80" t="s">
        <v>1494</v>
      </c>
      <c r="L450" s="101" t="s">
        <v>1488</v>
      </c>
      <c r="M450" s="97" t="s">
        <v>1562</v>
      </c>
      <c r="N450" s="101">
        <v>1</v>
      </c>
      <c r="O450" s="101">
        <v>30</v>
      </c>
      <c r="P450" s="102">
        <v>30</v>
      </c>
      <c r="Q450" s="98">
        <f>N450*(F450+G450)</f>
        <v>2</v>
      </c>
      <c r="R450" s="98">
        <v>2</v>
      </c>
      <c r="S450" s="80"/>
      <c r="T450" s="81"/>
      <c r="U450" s="80"/>
    </row>
    <row r="451" spans="1:21">
      <c r="A451" s="1" t="s">
        <v>1669</v>
      </c>
      <c r="B451" s="52" t="s">
        <v>1777</v>
      </c>
      <c r="C451" s="52" t="s">
        <v>33</v>
      </c>
      <c r="D451" s="3" t="s">
        <v>1566</v>
      </c>
      <c r="E451" s="80" t="s">
        <v>1495</v>
      </c>
      <c r="F451" s="81">
        <v>0</v>
      </c>
      <c r="G451" s="81">
        <v>2</v>
      </c>
      <c r="H451" s="81">
        <v>4</v>
      </c>
      <c r="I451" s="97" t="s">
        <v>71</v>
      </c>
      <c r="J451" s="97" t="s">
        <v>71</v>
      </c>
      <c r="K451" s="80" t="s">
        <v>1494</v>
      </c>
      <c r="L451" s="101" t="s">
        <v>1491</v>
      </c>
      <c r="M451" s="97" t="s">
        <v>1562</v>
      </c>
      <c r="N451" s="101">
        <v>1</v>
      </c>
      <c r="O451" s="101">
        <v>30</v>
      </c>
      <c r="P451" s="102">
        <v>30</v>
      </c>
      <c r="Q451" s="98">
        <f>N451*(F451+G451)</f>
        <v>2</v>
      </c>
      <c r="R451" s="98">
        <v>2</v>
      </c>
      <c r="S451" s="80"/>
      <c r="T451" s="81"/>
      <c r="U451" s="80"/>
    </row>
    <row r="452" spans="1:21">
      <c r="B452" s="52" t="s">
        <v>1777</v>
      </c>
      <c r="C452" s="52" t="s">
        <v>33</v>
      </c>
      <c r="D452" s="3" t="s">
        <v>490</v>
      </c>
      <c r="E452" s="80" t="s">
        <v>491</v>
      </c>
      <c r="F452" s="81">
        <v>0</v>
      </c>
      <c r="G452" s="81">
        <v>7</v>
      </c>
      <c r="H452" s="81">
        <v>0</v>
      </c>
      <c r="I452" s="101" t="s">
        <v>71</v>
      </c>
      <c r="J452" s="97" t="s">
        <v>71</v>
      </c>
      <c r="K452" s="80" t="s">
        <v>487</v>
      </c>
      <c r="L452" s="101" t="s">
        <v>1488</v>
      </c>
      <c r="M452" s="97" t="s">
        <v>1562</v>
      </c>
      <c r="N452" s="101">
        <v>1</v>
      </c>
      <c r="O452" s="101">
        <v>30</v>
      </c>
      <c r="P452" s="102">
        <v>30</v>
      </c>
      <c r="Q452" s="98">
        <v>3</v>
      </c>
      <c r="R452" s="98">
        <v>3</v>
      </c>
      <c r="S452" s="80"/>
      <c r="T452" s="81"/>
      <c r="U452" s="80"/>
    </row>
    <row r="453" spans="1:21">
      <c r="B453" s="52" t="s">
        <v>1777</v>
      </c>
      <c r="C453" s="52" t="s">
        <v>33</v>
      </c>
      <c r="D453" s="3" t="s">
        <v>490</v>
      </c>
      <c r="E453" s="80" t="s">
        <v>491</v>
      </c>
      <c r="F453" s="81">
        <v>0</v>
      </c>
      <c r="G453" s="81">
        <v>7</v>
      </c>
      <c r="H453" s="81">
        <v>0</v>
      </c>
      <c r="I453" s="101" t="s">
        <v>71</v>
      </c>
      <c r="J453" s="97" t="s">
        <v>71</v>
      </c>
      <c r="K453" s="80" t="s">
        <v>487</v>
      </c>
      <c r="L453" s="101" t="s">
        <v>1491</v>
      </c>
      <c r="M453" s="97" t="s">
        <v>1562</v>
      </c>
      <c r="N453" s="101">
        <v>1</v>
      </c>
      <c r="O453" s="101">
        <v>30</v>
      </c>
      <c r="P453" s="102">
        <v>30</v>
      </c>
      <c r="Q453" s="98">
        <v>3</v>
      </c>
      <c r="R453" s="98">
        <v>3</v>
      </c>
      <c r="S453" s="80"/>
      <c r="T453" s="81"/>
      <c r="U453" s="80"/>
    </row>
    <row r="454" spans="1:21">
      <c r="A454" s="1" t="s">
        <v>1669</v>
      </c>
      <c r="B454" s="52" t="s">
        <v>1777</v>
      </c>
      <c r="C454" s="52" t="s">
        <v>33</v>
      </c>
      <c r="D454" s="3" t="s">
        <v>1567</v>
      </c>
      <c r="E454" s="80" t="s">
        <v>1568</v>
      </c>
      <c r="F454" s="81">
        <v>0</v>
      </c>
      <c r="G454" s="81">
        <v>2</v>
      </c>
      <c r="H454" s="81">
        <v>4</v>
      </c>
      <c r="I454" s="97" t="s">
        <v>71</v>
      </c>
      <c r="J454" s="97" t="s">
        <v>71</v>
      </c>
      <c r="K454" s="80" t="s">
        <v>1495</v>
      </c>
      <c r="L454" s="101" t="s">
        <v>1488</v>
      </c>
      <c r="M454" s="97" t="s">
        <v>1562</v>
      </c>
      <c r="N454" s="101">
        <v>1</v>
      </c>
      <c r="O454" s="101">
        <v>30</v>
      </c>
      <c r="P454" s="102">
        <v>30</v>
      </c>
      <c r="Q454" s="98">
        <f>N454*(F454+G454)</f>
        <v>2</v>
      </c>
      <c r="R454" s="98">
        <v>2</v>
      </c>
      <c r="S454" s="80"/>
      <c r="T454" s="81"/>
      <c r="U454" s="80"/>
    </row>
    <row r="455" spans="1:21">
      <c r="A455" s="1" t="s">
        <v>1669</v>
      </c>
      <c r="B455" s="52" t="s">
        <v>1777</v>
      </c>
      <c r="C455" s="52" t="s">
        <v>33</v>
      </c>
      <c r="D455" s="3" t="s">
        <v>1567</v>
      </c>
      <c r="E455" s="80" t="s">
        <v>1568</v>
      </c>
      <c r="F455" s="81">
        <v>0</v>
      </c>
      <c r="G455" s="81">
        <v>2</v>
      </c>
      <c r="H455" s="81">
        <v>4</v>
      </c>
      <c r="I455" s="97" t="s">
        <v>71</v>
      </c>
      <c r="J455" s="97" t="s">
        <v>71</v>
      </c>
      <c r="K455" s="80" t="s">
        <v>1495</v>
      </c>
      <c r="L455" s="101" t="s">
        <v>1491</v>
      </c>
      <c r="M455" s="97" t="s">
        <v>1562</v>
      </c>
      <c r="N455" s="101">
        <v>1</v>
      </c>
      <c r="O455" s="101">
        <v>30</v>
      </c>
      <c r="P455" s="102">
        <v>30</v>
      </c>
      <c r="Q455" s="98">
        <f>N455*(F455+G455)</f>
        <v>2</v>
      </c>
      <c r="R455" s="98">
        <v>2</v>
      </c>
      <c r="S455" s="80"/>
      <c r="T455" s="81"/>
      <c r="U455" s="80"/>
    </row>
    <row r="456" spans="1:21">
      <c r="B456" s="54" t="s">
        <v>1644</v>
      </c>
      <c r="C456" s="54" t="s">
        <v>34</v>
      </c>
      <c r="D456" s="3" t="s">
        <v>266</v>
      </c>
      <c r="E456" s="80" t="s">
        <v>267</v>
      </c>
      <c r="F456" s="81">
        <v>3</v>
      </c>
      <c r="G456" s="81">
        <v>2</v>
      </c>
      <c r="H456" s="81">
        <v>4</v>
      </c>
      <c r="I456" s="101" t="s">
        <v>71</v>
      </c>
      <c r="J456" s="97" t="s">
        <v>71</v>
      </c>
      <c r="K456" s="80" t="s">
        <v>265</v>
      </c>
      <c r="L456" s="101" t="s">
        <v>1488</v>
      </c>
      <c r="M456" s="97" t="s">
        <v>1562</v>
      </c>
      <c r="N456" s="101">
        <v>1</v>
      </c>
      <c r="O456" s="101">
        <v>30</v>
      </c>
      <c r="P456" s="102">
        <v>30</v>
      </c>
      <c r="Q456" s="98">
        <f>N456*(F456+G456)</f>
        <v>5</v>
      </c>
      <c r="R456" s="98">
        <v>5</v>
      </c>
      <c r="S456" s="80" t="s">
        <v>1504</v>
      </c>
      <c r="T456" s="81" t="s">
        <v>1518</v>
      </c>
      <c r="U456" s="80"/>
    </row>
    <row r="457" spans="1:21">
      <c r="B457" s="54" t="s">
        <v>1644</v>
      </c>
      <c r="C457" s="54" t="s">
        <v>34</v>
      </c>
      <c r="D457" s="3" t="s">
        <v>266</v>
      </c>
      <c r="E457" s="80" t="s">
        <v>267</v>
      </c>
      <c r="F457" s="81">
        <v>3</v>
      </c>
      <c r="G457" s="81">
        <v>2</v>
      </c>
      <c r="H457" s="81">
        <v>4</v>
      </c>
      <c r="I457" s="101" t="s">
        <v>71</v>
      </c>
      <c r="J457" s="97" t="s">
        <v>71</v>
      </c>
      <c r="K457" s="80" t="s">
        <v>265</v>
      </c>
      <c r="L457" s="101" t="s">
        <v>1491</v>
      </c>
      <c r="M457" s="97" t="s">
        <v>1562</v>
      </c>
      <c r="N457" s="101">
        <v>1</v>
      </c>
      <c r="O457" s="101">
        <v>30</v>
      </c>
      <c r="P457" s="102">
        <v>30</v>
      </c>
      <c r="Q457" s="98">
        <f>N457*(F457+G457)</f>
        <v>5</v>
      </c>
      <c r="R457" s="98">
        <v>5</v>
      </c>
      <c r="S457" s="80" t="s">
        <v>1504</v>
      </c>
      <c r="T457" s="81" t="s">
        <v>1518</v>
      </c>
      <c r="U457" s="80"/>
    </row>
    <row r="458" spans="1:21">
      <c r="B458" s="54" t="s">
        <v>1644</v>
      </c>
      <c r="C458" s="54" t="s">
        <v>34</v>
      </c>
      <c r="D458" s="3" t="s">
        <v>372</v>
      </c>
      <c r="E458" s="80" t="s">
        <v>373</v>
      </c>
      <c r="F458" s="81">
        <v>3</v>
      </c>
      <c r="G458" s="81">
        <v>2</v>
      </c>
      <c r="H458" s="81">
        <v>4</v>
      </c>
      <c r="I458" s="101" t="s">
        <v>71</v>
      </c>
      <c r="J458" s="97" t="s">
        <v>71</v>
      </c>
      <c r="K458" s="80" t="s">
        <v>156</v>
      </c>
      <c r="L458" s="101" t="s">
        <v>1488</v>
      </c>
      <c r="M458" s="97" t="s">
        <v>1562</v>
      </c>
      <c r="N458" s="101">
        <v>2</v>
      </c>
      <c r="O458" s="101">
        <v>30</v>
      </c>
      <c r="P458" s="102">
        <v>60</v>
      </c>
      <c r="Q458" s="98">
        <f>N458*(F458+G458)</f>
        <v>10</v>
      </c>
      <c r="R458" s="98">
        <v>10</v>
      </c>
      <c r="S458" s="80" t="s">
        <v>1504</v>
      </c>
      <c r="T458" s="81" t="s">
        <v>1518</v>
      </c>
      <c r="U458" s="80" t="s">
        <v>1556</v>
      </c>
    </row>
    <row r="459" spans="1:21">
      <c r="B459" s="54" t="s">
        <v>1644</v>
      </c>
      <c r="C459" s="54" t="s">
        <v>34</v>
      </c>
      <c r="D459" s="3" t="s">
        <v>372</v>
      </c>
      <c r="E459" s="80" t="s">
        <v>373</v>
      </c>
      <c r="F459" s="81">
        <v>3</v>
      </c>
      <c r="G459" s="81">
        <v>2</v>
      </c>
      <c r="H459" s="81">
        <v>4</v>
      </c>
      <c r="I459" s="101" t="s">
        <v>71</v>
      </c>
      <c r="J459" s="97" t="s">
        <v>71</v>
      </c>
      <c r="K459" s="80" t="s">
        <v>156</v>
      </c>
      <c r="L459" s="101" t="s">
        <v>1491</v>
      </c>
      <c r="M459" s="97" t="s">
        <v>1562</v>
      </c>
      <c r="N459" s="101">
        <v>1</v>
      </c>
      <c r="O459" s="101">
        <v>30</v>
      </c>
      <c r="P459" s="102">
        <v>30</v>
      </c>
      <c r="Q459" s="98">
        <f>N459*(F459+G459)</f>
        <v>5</v>
      </c>
      <c r="R459" s="98">
        <v>5</v>
      </c>
      <c r="S459" s="80" t="s">
        <v>1504</v>
      </c>
      <c r="T459" s="81" t="s">
        <v>1518</v>
      </c>
      <c r="U459" s="80"/>
    </row>
    <row r="460" spans="1:21">
      <c r="A460" s="1" t="s">
        <v>1669</v>
      </c>
      <c r="B460" s="54" t="s">
        <v>1644</v>
      </c>
      <c r="C460" s="54" t="s">
        <v>34</v>
      </c>
      <c r="D460" s="3" t="s">
        <v>656</v>
      </c>
      <c r="E460" s="80" t="s">
        <v>321</v>
      </c>
      <c r="F460" s="81">
        <v>3</v>
      </c>
      <c r="G460" s="81">
        <v>1</v>
      </c>
      <c r="H460" s="81">
        <v>4</v>
      </c>
      <c r="I460" s="97" t="s">
        <v>71</v>
      </c>
      <c r="J460" s="97" t="s">
        <v>71</v>
      </c>
      <c r="K460" s="80" t="s">
        <v>657</v>
      </c>
      <c r="L460" s="101" t="s">
        <v>1488</v>
      </c>
      <c r="M460" s="97" t="s">
        <v>1562</v>
      </c>
      <c r="N460" s="101">
        <v>1</v>
      </c>
      <c r="O460" s="101">
        <v>20</v>
      </c>
      <c r="P460" s="102">
        <v>20</v>
      </c>
      <c r="Q460" s="98">
        <f>N460*(F460+G460)</f>
        <v>4</v>
      </c>
      <c r="R460" s="98">
        <v>4</v>
      </c>
      <c r="S460" s="80" t="s">
        <v>1504</v>
      </c>
      <c r="T460" s="81" t="s">
        <v>1505</v>
      </c>
      <c r="U460" s="80"/>
    </row>
    <row r="461" spans="1:21">
      <c r="A461" s="1" t="s">
        <v>1669</v>
      </c>
      <c r="B461" s="54" t="s">
        <v>1644</v>
      </c>
      <c r="C461" s="54" t="s">
        <v>34</v>
      </c>
      <c r="D461" s="3" t="s">
        <v>656</v>
      </c>
      <c r="E461" s="80" t="s">
        <v>321</v>
      </c>
      <c r="F461" s="81">
        <v>3</v>
      </c>
      <c r="G461" s="81">
        <v>1</v>
      </c>
      <c r="H461" s="81">
        <v>4</v>
      </c>
      <c r="I461" s="97" t="s">
        <v>71</v>
      </c>
      <c r="J461" s="97" t="s">
        <v>71</v>
      </c>
      <c r="K461" s="80" t="s">
        <v>657</v>
      </c>
      <c r="L461" s="101" t="s">
        <v>1491</v>
      </c>
      <c r="M461" s="97" t="s">
        <v>1562</v>
      </c>
      <c r="N461" s="101">
        <v>1</v>
      </c>
      <c r="O461" s="101">
        <v>20</v>
      </c>
      <c r="P461" s="102">
        <v>20</v>
      </c>
      <c r="Q461" s="98">
        <f>N461*(F461+G461)</f>
        <v>4</v>
      </c>
      <c r="R461" s="98">
        <v>4</v>
      </c>
      <c r="S461" s="80" t="s">
        <v>1504</v>
      </c>
      <c r="T461" s="81" t="s">
        <v>1505</v>
      </c>
      <c r="U461" s="80" t="s">
        <v>1557</v>
      </c>
    </row>
    <row r="462" spans="1:21">
      <c r="B462" s="54" t="s">
        <v>1644</v>
      </c>
      <c r="C462" s="54" t="s">
        <v>34</v>
      </c>
      <c r="D462" s="3" t="s">
        <v>625</v>
      </c>
      <c r="E462" s="80" t="s">
        <v>626</v>
      </c>
      <c r="F462" s="81">
        <v>3</v>
      </c>
      <c r="G462" s="81">
        <v>1</v>
      </c>
      <c r="H462" s="81">
        <v>4</v>
      </c>
      <c r="I462" s="101" t="s">
        <v>71</v>
      </c>
      <c r="J462" s="97" t="s">
        <v>71</v>
      </c>
      <c r="K462" s="80" t="s">
        <v>156</v>
      </c>
      <c r="L462" s="101" t="s">
        <v>1488</v>
      </c>
      <c r="M462" s="97" t="s">
        <v>1562</v>
      </c>
      <c r="N462" s="101">
        <v>1</v>
      </c>
      <c r="O462" s="101">
        <v>30</v>
      </c>
      <c r="P462" s="102">
        <v>30</v>
      </c>
      <c r="Q462" s="98">
        <f>N462*(F462+G462)</f>
        <v>4</v>
      </c>
      <c r="R462" s="98">
        <v>4</v>
      </c>
      <c r="S462" s="80" t="s">
        <v>1504</v>
      </c>
      <c r="T462" s="81" t="s">
        <v>1505</v>
      </c>
      <c r="U462" s="80"/>
    </row>
    <row r="463" spans="1:21">
      <c r="B463" s="54" t="s">
        <v>1644</v>
      </c>
      <c r="C463" s="54" t="s">
        <v>34</v>
      </c>
      <c r="D463" s="3" t="s">
        <v>625</v>
      </c>
      <c r="E463" s="80" t="s">
        <v>626</v>
      </c>
      <c r="F463" s="81">
        <v>3</v>
      </c>
      <c r="G463" s="81">
        <v>1</v>
      </c>
      <c r="H463" s="81">
        <v>4</v>
      </c>
      <c r="I463" s="101" t="s">
        <v>71</v>
      </c>
      <c r="J463" s="97" t="s">
        <v>71</v>
      </c>
      <c r="K463" s="80" t="s">
        <v>156</v>
      </c>
      <c r="L463" s="101" t="s">
        <v>1491</v>
      </c>
      <c r="M463" s="97" t="s">
        <v>1562</v>
      </c>
      <c r="N463" s="101">
        <v>1</v>
      </c>
      <c r="O463" s="101">
        <v>30</v>
      </c>
      <c r="P463" s="102">
        <v>30</v>
      </c>
      <c r="Q463" s="98">
        <f>N463*(F463+G463)</f>
        <v>4</v>
      </c>
      <c r="R463" s="98">
        <v>4</v>
      </c>
      <c r="S463" s="80" t="s">
        <v>1504</v>
      </c>
      <c r="T463" s="81" t="s">
        <v>1505</v>
      </c>
      <c r="U463" s="80"/>
    </row>
    <row r="464" spans="1:21">
      <c r="B464" s="54" t="s">
        <v>1644</v>
      </c>
      <c r="C464" s="54" t="s">
        <v>34</v>
      </c>
      <c r="D464" s="3" t="s">
        <v>66</v>
      </c>
      <c r="E464" s="80" t="s">
        <v>67</v>
      </c>
      <c r="F464" s="81">
        <v>3</v>
      </c>
      <c r="G464" s="81">
        <v>2</v>
      </c>
      <c r="H464" s="81">
        <v>4</v>
      </c>
      <c r="I464" s="101" t="s">
        <v>71</v>
      </c>
      <c r="J464" s="97" t="s">
        <v>71</v>
      </c>
      <c r="K464" s="80" t="s">
        <v>68</v>
      </c>
      <c r="L464" s="101" t="s">
        <v>1488</v>
      </c>
      <c r="M464" s="97" t="s">
        <v>1562</v>
      </c>
      <c r="N464" s="101">
        <v>1</v>
      </c>
      <c r="O464" s="101">
        <v>30</v>
      </c>
      <c r="P464" s="102">
        <v>30</v>
      </c>
      <c r="Q464" s="98">
        <f>N464*(F464+G464)</f>
        <v>5</v>
      </c>
      <c r="R464" s="98">
        <v>5</v>
      </c>
      <c r="S464" s="80" t="s">
        <v>1504</v>
      </c>
      <c r="T464" s="81" t="s">
        <v>1518</v>
      </c>
      <c r="U464" s="80"/>
    </row>
    <row r="465" spans="2:21">
      <c r="B465" s="54" t="s">
        <v>1644</v>
      </c>
      <c r="C465" s="54" t="s">
        <v>34</v>
      </c>
      <c r="D465" s="3" t="s">
        <v>66</v>
      </c>
      <c r="E465" s="80" t="s">
        <v>67</v>
      </c>
      <c r="F465" s="81">
        <v>3</v>
      </c>
      <c r="G465" s="81">
        <v>2</v>
      </c>
      <c r="H465" s="81">
        <v>4</v>
      </c>
      <c r="I465" s="101" t="s">
        <v>71</v>
      </c>
      <c r="J465" s="97" t="s">
        <v>71</v>
      </c>
      <c r="K465" s="80" t="s">
        <v>68</v>
      </c>
      <c r="L465" s="101" t="s">
        <v>1491</v>
      </c>
      <c r="M465" s="97" t="s">
        <v>1562</v>
      </c>
      <c r="N465" s="101">
        <v>1</v>
      </c>
      <c r="O465" s="101">
        <v>30</v>
      </c>
      <c r="P465" s="102">
        <v>30</v>
      </c>
      <c r="Q465" s="98">
        <f>N465*(F465+G465)</f>
        <v>5</v>
      </c>
      <c r="R465" s="98">
        <v>5</v>
      </c>
      <c r="S465" s="80" t="s">
        <v>1504</v>
      </c>
      <c r="T465" s="81" t="s">
        <v>1518</v>
      </c>
      <c r="U465" s="80"/>
    </row>
    <row r="466" spans="2:21">
      <c r="B466" s="54" t="s">
        <v>1644</v>
      </c>
      <c r="C466" s="54" t="s">
        <v>34</v>
      </c>
      <c r="D466" s="3" t="s">
        <v>419</v>
      </c>
      <c r="E466" s="80" t="s">
        <v>420</v>
      </c>
      <c r="F466" s="81">
        <v>3</v>
      </c>
      <c r="G466" s="81">
        <v>2</v>
      </c>
      <c r="H466" s="81">
        <v>4</v>
      </c>
      <c r="I466" s="101" t="s">
        <v>71</v>
      </c>
      <c r="J466" s="97" t="s">
        <v>71</v>
      </c>
      <c r="K466" s="80" t="s">
        <v>373</v>
      </c>
      <c r="L466" s="101" t="s">
        <v>1491</v>
      </c>
      <c r="M466" s="97" t="s">
        <v>1562</v>
      </c>
      <c r="N466" s="101">
        <v>1</v>
      </c>
      <c r="O466" s="101">
        <v>30</v>
      </c>
      <c r="P466" s="102">
        <v>30</v>
      </c>
      <c r="Q466" s="98">
        <f>N466*(F466+G466)</f>
        <v>5</v>
      </c>
      <c r="R466" s="98">
        <v>5</v>
      </c>
      <c r="S466" s="80" t="s">
        <v>1504</v>
      </c>
      <c r="T466" s="81" t="s">
        <v>1518</v>
      </c>
      <c r="U466" s="80"/>
    </row>
    <row r="467" spans="2:21">
      <c r="B467" s="54" t="s">
        <v>1644</v>
      </c>
      <c r="C467" s="54" t="s">
        <v>34</v>
      </c>
      <c r="D467" s="3" t="s">
        <v>144</v>
      </c>
      <c r="E467" s="80" t="s">
        <v>145</v>
      </c>
      <c r="F467" s="81">
        <v>1</v>
      </c>
      <c r="G467" s="81">
        <v>3</v>
      </c>
      <c r="H467" s="81">
        <v>4</v>
      </c>
      <c r="I467" s="101" t="s">
        <v>71</v>
      </c>
      <c r="J467" s="97" t="s">
        <v>71</v>
      </c>
      <c r="K467" s="80" t="s">
        <v>146</v>
      </c>
      <c r="L467" s="101" t="s">
        <v>1488</v>
      </c>
      <c r="M467" s="97" t="s">
        <v>1562</v>
      </c>
      <c r="N467" s="101">
        <v>1</v>
      </c>
      <c r="O467" s="101">
        <v>30</v>
      </c>
      <c r="P467" s="102">
        <v>30</v>
      </c>
      <c r="Q467" s="98">
        <f>N467*(F467+G467)</f>
        <v>4</v>
      </c>
      <c r="R467" s="98">
        <v>4</v>
      </c>
      <c r="S467" s="80" t="s">
        <v>1504</v>
      </c>
      <c r="T467" s="81" t="s">
        <v>1518</v>
      </c>
      <c r="U467" s="80"/>
    </row>
    <row r="468" spans="2:21">
      <c r="B468" s="54" t="s">
        <v>1644</v>
      </c>
      <c r="C468" s="54" t="s">
        <v>34</v>
      </c>
      <c r="D468" s="3" t="s">
        <v>144</v>
      </c>
      <c r="E468" s="80" t="s">
        <v>145</v>
      </c>
      <c r="F468" s="81">
        <v>1</v>
      </c>
      <c r="G468" s="81">
        <v>3</v>
      </c>
      <c r="H468" s="81">
        <v>4</v>
      </c>
      <c r="I468" s="101" t="s">
        <v>71</v>
      </c>
      <c r="J468" s="97" t="s">
        <v>71</v>
      </c>
      <c r="K468" s="80" t="s">
        <v>146</v>
      </c>
      <c r="L468" s="101" t="s">
        <v>1491</v>
      </c>
      <c r="M468" s="97" t="s">
        <v>1562</v>
      </c>
      <c r="N468" s="101">
        <v>1</v>
      </c>
      <c r="O468" s="101">
        <v>30</v>
      </c>
      <c r="P468" s="102">
        <v>30</v>
      </c>
      <c r="Q468" s="98">
        <f>N468*(F468+G468)</f>
        <v>4</v>
      </c>
      <c r="R468" s="98">
        <v>4</v>
      </c>
      <c r="S468" s="80" t="s">
        <v>1504</v>
      </c>
      <c r="T468" s="81" t="s">
        <v>1518</v>
      </c>
      <c r="U468" s="80"/>
    </row>
    <row r="469" spans="2:21">
      <c r="B469" s="54" t="s">
        <v>1644</v>
      </c>
      <c r="C469" s="54" t="s">
        <v>34</v>
      </c>
      <c r="D469" s="3" t="s">
        <v>107</v>
      </c>
      <c r="E469" s="80" t="s">
        <v>108</v>
      </c>
      <c r="F469" s="81">
        <v>3</v>
      </c>
      <c r="G469" s="81">
        <v>0</v>
      </c>
      <c r="H469" s="81">
        <v>4</v>
      </c>
      <c r="I469" s="101" t="s">
        <v>71</v>
      </c>
      <c r="J469" s="97" t="s">
        <v>71</v>
      </c>
      <c r="K469" s="80" t="s">
        <v>109</v>
      </c>
      <c r="L469" s="101" t="s">
        <v>1488</v>
      </c>
      <c r="M469" s="97" t="s">
        <v>1562</v>
      </c>
      <c r="N469" s="101">
        <v>1</v>
      </c>
      <c r="O469" s="101">
        <v>60</v>
      </c>
      <c r="P469" s="102">
        <v>60</v>
      </c>
      <c r="Q469" s="98">
        <f>N469*(F469+G469)</f>
        <v>3</v>
      </c>
      <c r="R469" s="98">
        <v>3</v>
      </c>
      <c r="S469" s="80" t="s">
        <v>1558</v>
      </c>
      <c r="T469" s="81"/>
      <c r="U469" s="80"/>
    </row>
    <row r="470" spans="2:21">
      <c r="B470" s="54" t="s">
        <v>1644</v>
      </c>
      <c r="C470" s="54" t="s">
        <v>34</v>
      </c>
      <c r="D470" s="3" t="s">
        <v>107</v>
      </c>
      <c r="E470" s="80" t="s">
        <v>108</v>
      </c>
      <c r="F470" s="81">
        <v>3</v>
      </c>
      <c r="G470" s="81">
        <v>0</v>
      </c>
      <c r="H470" s="81">
        <v>4</v>
      </c>
      <c r="I470" s="101" t="s">
        <v>71</v>
      </c>
      <c r="J470" s="97" t="s">
        <v>71</v>
      </c>
      <c r="K470" s="80" t="s">
        <v>109</v>
      </c>
      <c r="L470" s="101" t="s">
        <v>1491</v>
      </c>
      <c r="M470" s="97" t="s">
        <v>1562</v>
      </c>
      <c r="N470" s="101">
        <v>1</v>
      </c>
      <c r="O470" s="101">
        <v>60</v>
      </c>
      <c r="P470" s="102">
        <v>60</v>
      </c>
      <c r="Q470" s="98">
        <f>N470*(F470+G470)</f>
        <v>3</v>
      </c>
      <c r="R470" s="98">
        <v>3</v>
      </c>
      <c r="S470" s="80" t="s">
        <v>1558</v>
      </c>
      <c r="T470" s="81"/>
      <c r="U470" s="80"/>
    </row>
    <row r="471" spans="2:21">
      <c r="B471" s="54" t="s">
        <v>1644</v>
      </c>
      <c r="C471" s="54" t="s">
        <v>34</v>
      </c>
      <c r="D471" s="3" t="s">
        <v>803</v>
      </c>
      <c r="E471" s="80" t="s">
        <v>804</v>
      </c>
      <c r="F471" s="81">
        <v>3</v>
      </c>
      <c r="G471" s="81">
        <v>1</v>
      </c>
      <c r="H471" s="81">
        <v>4</v>
      </c>
      <c r="I471" s="101" t="s">
        <v>71</v>
      </c>
      <c r="J471" s="97" t="s">
        <v>71</v>
      </c>
      <c r="K471" s="80" t="s">
        <v>149</v>
      </c>
      <c r="L471" s="101" t="s">
        <v>1488</v>
      </c>
      <c r="M471" s="97" t="s">
        <v>1562</v>
      </c>
      <c r="N471" s="101">
        <v>1</v>
      </c>
      <c r="O471" s="101">
        <v>30</v>
      </c>
      <c r="P471" s="102">
        <v>30</v>
      </c>
      <c r="Q471" s="98">
        <f>N471*(F471+G471)</f>
        <v>4</v>
      </c>
      <c r="R471" s="98">
        <v>4</v>
      </c>
      <c r="S471" s="80" t="s">
        <v>1504</v>
      </c>
      <c r="T471" s="81" t="s">
        <v>1505</v>
      </c>
      <c r="U471" s="80"/>
    </row>
    <row r="472" spans="2:21">
      <c r="B472" s="54" t="s">
        <v>1644</v>
      </c>
      <c r="C472" s="54" t="s">
        <v>34</v>
      </c>
      <c r="D472" s="3" t="s">
        <v>803</v>
      </c>
      <c r="E472" s="80" t="s">
        <v>804</v>
      </c>
      <c r="F472" s="81">
        <v>3</v>
      </c>
      <c r="G472" s="81">
        <v>1</v>
      </c>
      <c r="H472" s="81">
        <v>4</v>
      </c>
      <c r="I472" s="101" t="s">
        <v>71</v>
      </c>
      <c r="J472" s="97" t="s">
        <v>71</v>
      </c>
      <c r="K472" s="80" t="s">
        <v>149</v>
      </c>
      <c r="L472" s="101" t="s">
        <v>1491</v>
      </c>
      <c r="M472" s="97" t="s">
        <v>1562</v>
      </c>
      <c r="N472" s="101">
        <v>1</v>
      </c>
      <c r="O472" s="101">
        <v>30</v>
      </c>
      <c r="P472" s="102">
        <v>30</v>
      </c>
      <c r="Q472" s="98">
        <f>N472*(F472+G472)</f>
        <v>4</v>
      </c>
      <c r="R472" s="98">
        <v>4</v>
      </c>
      <c r="S472" s="80" t="s">
        <v>1504</v>
      </c>
      <c r="T472" s="81" t="s">
        <v>1505</v>
      </c>
      <c r="U472" s="80"/>
    </row>
    <row r="473" spans="2:21">
      <c r="B473" s="54" t="s">
        <v>1644</v>
      </c>
      <c r="C473" s="54" t="s">
        <v>34</v>
      </c>
      <c r="D473" s="3" t="s">
        <v>1171</v>
      </c>
      <c r="E473" s="80" t="s">
        <v>1172</v>
      </c>
      <c r="F473" s="81">
        <v>3</v>
      </c>
      <c r="G473" s="81">
        <v>1</v>
      </c>
      <c r="H473" s="81">
        <v>4</v>
      </c>
      <c r="I473" s="101" t="s">
        <v>73</v>
      </c>
      <c r="J473" s="97" t="s">
        <v>73</v>
      </c>
      <c r="K473" s="80" t="s">
        <v>321</v>
      </c>
      <c r="L473" s="101" t="s">
        <v>1491</v>
      </c>
      <c r="M473" s="97" t="s">
        <v>1562</v>
      </c>
      <c r="N473" s="101">
        <v>1</v>
      </c>
      <c r="O473" s="101">
        <v>30</v>
      </c>
      <c r="P473" s="102">
        <v>30</v>
      </c>
      <c r="Q473" s="98">
        <f>N473*(F473+G473)</f>
        <v>4</v>
      </c>
      <c r="R473" s="98">
        <v>4</v>
      </c>
      <c r="S473" s="80" t="s">
        <v>1504</v>
      </c>
      <c r="T473" s="81" t="s">
        <v>1505</v>
      </c>
      <c r="U473" s="80"/>
    </row>
    <row r="474" spans="2:21">
      <c r="B474" s="54" t="s">
        <v>1644</v>
      </c>
      <c r="C474" s="54" t="s">
        <v>34</v>
      </c>
      <c r="D474" s="3" t="s">
        <v>319</v>
      </c>
      <c r="E474" s="80" t="s">
        <v>320</v>
      </c>
      <c r="F474" s="81">
        <v>3</v>
      </c>
      <c r="G474" s="81">
        <v>0</v>
      </c>
      <c r="H474" s="81">
        <v>4</v>
      </c>
      <c r="I474" s="101" t="s">
        <v>73</v>
      </c>
      <c r="J474" s="97" t="s">
        <v>73</v>
      </c>
      <c r="K474" s="80" t="s">
        <v>321</v>
      </c>
      <c r="L474" s="101" t="s">
        <v>1491</v>
      </c>
      <c r="M474" s="97" t="s">
        <v>1562</v>
      </c>
      <c r="N474" s="101">
        <v>1</v>
      </c>
      <c r="O474" s="101">
        <v>30</v>
      </c>
      <c r="P474" s="102">
        <v>30</v>
      </c>
      <c r="Q474" s="98">
        <f>N474*(F474+G474)</f>
        <v>3</v>
      </c>
      <c r="R474" s="98">
        <v>3</v>
      </c>
      <c r="S474" s="80" t="s">
        <v>1504</v>
      </c>
      <c r="T474" s="81" t="s">
        <v>1518</v>
      </c>
      <c r="U474" s="80"/>
    </row>
    <row r="475" spans="2:21" s="4" customFormat="1">
      <c r="B475" s="54" t="s">
        <v>1644</v>
      </c>
      <c r="C475" s="54" t="s">
        <v>34</v>
      </c>
      <c r="D475" s="3" t="s">
        <v>976</v>
      </c>
      <c r="E475" s="80" t="s">
        <v>977</v>
      </c>
      <c r="F475" s="81">
        <v>3</v>
      </c>
      <c r="G475" s="81">
        <v>1</v>
      </c>
      <c r="H475" s="81">
        <v>4</v>
      </c>
      <c r="I475" s="101" t="s">
        <v>73</v>
      </c>
      <c r="J475" s="97" t="s">
        <v>73</v>
      </c>
      <c r="K475" s="80" t="s">
        <v>626</v>
      </c>
      <c r="L475" s="101" t="s">
        <v>1488</v>
      </c>
      <c r="M475" s="97" t="s">
        <v>1562</v>
      </c>
      <c r="N475" s="101">
        <v>1</v>
      </c>
      <c r="O475" s="101">
        <v>30</v>
      </c>
      <c r="P475" s="102">
        <v>30</v>
      </c>
      <c r="Q475" s="98">
        <f>N475*(F475+G475)</f>
        <v>4</v>
      </c>
      <c r="R475" s="98">
        <v>4</v>
      </c>
      <c r="S475" s="80" t="s">
        <v>1504</v>
      </c>
      <c r="T475" s="81" t="s">
        <v>1505</v>
      </c>
      <c r="U475" s="80" t="s">
        <v>1559</v>
      </c>
    </row>
    <row r="476" spans="2:21" s="4" customFormat="1">
      <c r="B476" s="54" t="s">
        <v>1644</v>
      </c>
      <c r="C476" s="54" t="s">
        <v>34</v>
      </c>
      <c r="D476" s="3" t="s">
        <v>976</v>
      </c>
      <c r="E476" s="80" t="s">
        <v>977</v>
      </c>
      <c r="F476" s="81">
        <v>3</v>
      </c>
      <c r="G476" s="81">
        <v>1</v>
      </c>
      <c r="H476" s="81">
        <v>4</v>
      </c>
      <c r="I476" s="101" t="s">
        <v>73</v>
      </c>
      <c r="J476" s="97" t="s">
        <v>73</v>
      </c>
      <c r="K476" s="80" t="s">
        <v>626</v>
      </c>
      <c r="L476" s="101" t="s">
        <v>1491</v>
      </c>
      <c r="M476" s="97" t="s">
        <v>1562</v>
      </c>
      <c r="N476" s="101">
        <v>1</v>
      </c>
      <c r="O476" s="101">
        <v>30</v>
      </c>
      <c r="P476" s="102">
        <v>30</v>
      </c>
      <c r="Q476" s="98">
        <f>N476*(F476+G476)</f>
        <v>4</v>
      </c>
      <c r="R476" s="98">
        <v>4</v>
      </c>
      <c r="S476" s="80" t="s">
        <v>1504</v>
      </c>
      <c r="T476" s="81" t="s">
        <v>1505</v>
      </c>
      <c r="U476" s="80" t="s">
        <v>1559</v>
      </c>
    </row>
    <row r="477" spans="2:21" s="4" customFormat="1">
      <c r="B477" s="54" t="s">
        <v>1644</v>
      </c>
      <c r="C477" s="54" t="s">
        <v>34</v>
      </c>
      <c r="D477" s="3" t="s">
        <v>421</v>
      </c>
      <c r="E477" s="80" t="s">
        <v>422</v>
      </c>
      <c r="F477" s="81">
        <v>3</v>
      </c>
      <c r="G477" s="81">
        <v>2</v>
      </c>
      <c r="H477" s="81">
        <v>4</v>
      </c>
      <c r="I477" s="101" t="s">
        <v>73</v>
      </c>
      <c r="J477" s="97" t="s">
        <v>73</v>
      </c>
      <c r="K477" s="80" t="s">
        <v>265</v>
      </c>
      <c r="L477" s="101" t="s">
        <v>1488</v>
      </c>
      <c r="M477" s="97" t="s">
        <v>1562</v>
      </c>
      <c r="N477" s="101">
        <v>1</v>
      </c>
      <c r="O477" s="101">
        <v>30</v>
      </c>
      <c r="P477" s="102">
        <v>30</v>
      </c>
      <c r="Q477" s="98">
        <f>N477*(F477+G477)</f>
        <v>5</v>
      </c>
      <c r="R477" s="98">
        <v>5</v>
      </c>
      <c r="S477" s="80" t="s">
        <v>1504</v>
      </c>
      <c r="T477" s="81" t="s">
        <v>1518</v>
      </c>
      <c r="U477" s="80"/>
    </row>
    <row r="478" spans="2:21" s="4" customFormat="1">
      <c r="B478" s="54" t="s">
        <v>1644</v>
      </c>
      <c r="C478" s="54" t="s">
        <v>34</v>
      </c>
      <c r="D478" s="3" t="s">
        <v>421</v>
      </c>
      <c r="E478" s="80" t="s">
        <v>422</v>
      </c>
      <c r="F478" s="81">
        <v>3</v>
      </c>
      <c r="G478" s="81">
        <v>2</v>
      </c>
      <c r="H478" s="81">
        <v>4</v>
      </c>
      <c r="I478" s="101" t="s">
        <v>73</v>
      </c>
      <c r="J478" s="97" t="s">
        <v>73</v>
      </c>
      <c r="K478" s="80" t="s">
        <v>265</v>
      </c>
      <c r="L478" s="101" t="s">
        <v>1491</v>
      </c>
      <c r="M478" s="97" t="s">
        <v>1562</v>
      </c>
      <c r="N478" s="101">
        <v>1</v>
      </c>
      <c r="O478" s="101">
        <v>30</v>
      </c>
      <c r="P478" s="102">
        <v>30</v>
      </c>
      <c r="Q478" s="98">
        <f>N478*(F478+G478)</f>
        <v>5</v>
      </c>
      <c r="R478" s="98">
        <v>5</v>
      </c>
      <c r="S478" s="80" t="s">
        <v>1504</v>
      </c>
      <c r="T478" s="81" t="s">
        <v>1518</v>
      </c>
      <c r="U478" s="80"/>
    </row>
    <row r="479" spans="2:21" s="4" customFormat="1">
      <c r="B479" s="54" t="s">
        <v>1644</v>
      </c>
      <c r="C479" s="54" t="s">
        <v>34</v>
      </c>
      <c r="D479" s="3" t="s">
        <v>1117</v>
      </c>
      <c r="E479" s="80" t="s">
        <v>1118</v>
      </c>
      <c r="F479" s="81">
        <v>3</v>
      </c>
      <c r="G479" s="81">
        <v>1</v>
      </c>
      <c r="H479" s="81">
        <v>4</v>
      </c>
      <c r="I479" s="101" t="s">
        <v>73</v>
      </c>
      <c r="J479" s="97" t="s">
        <v>73</v>
      </c>
      <c r="K479" s="80" t="s">
        <v>1119</v>
      </c>
      <c r="L479" s="101" t="s">
        <v>1491</v>
      </c>
      <c r="M479" s="97" t="s">
        <v>1562</v>
      </c>
      <c r="N479" s="101">
        <v>1</v>
      </c>
      <c r="O479" s="101">
        <v>30</v>
      </c>
      <c r="P479" s="102">
        <v>30</v>
      </c>
      <c r="Q479" s="98">
        <f>N479*(F479+G479)</f>
        <v>4</v>
      </c>
      <c r="R479" s="98">
        <v>4</v>
      </c>
      <c r="S479" s="80" t="s">
        <v>1504</v>
      </c>
      <c r="T479" s="81" t="s">
        <v>1505</v>
      </c>
      <c r="U479" s="80"/>
    </row>
    <row r="480" spans="2:21" s="4" customFormat="1">
      <c r="B480" s="54" t="s">
        <v>1644</v>
      </c>
      <c r="C480" s="54" t="s">
        <v>34</v>
      </c>
      <c r="D480" s="3" t="s">
        <v>1225</v>
      </c>
      <c r="E480" s="80" t="s">
        <v>1226</v>
      </c>
      <c r="F480" s="81">
        <v>3</v>
      </c>
      <c r="G480" s="81">
        <v>2</v>
      </c>
      <c r="H480" s="81">
        <v>4</v>
      </c>
      <c r="I480" s="101" t="s">
        <v>73</v>
      </c>
      <c r="J480" s="97" t="s">
        <v>73</v>
      </c>
      <c r="K480" s="80" t="s">
        <v>146</v>
      </c>
      <c r="L480" s="101" t="s">
        <v>1491</v>
      </c>
      <c r="M480" s="97" t="s">
        <v>1562</v>
      </c>
      <c r="N480" s="101">
        <v>1</v>
      </c>
      <c r="O480" s="101">
        <v>30</v>
      </c>
      <c r="P480" s="102">
        <v>30</v>
      </c>
      <c r="Q480" s="98">
        <f>N480*(F480+G480)</f>
        <v>5</v>
      </c>
      <c r="R480" s="98">
        <v>5</v>
      </c>
      <c r="S480" s="80" t="s">
        <v>1504</v>
      </c>
      <c r="T480" s="81" t="s">
        <v>1518</v>
      </c>
      <c r="U480" s="80"/>
    </row>
    <row r="481" spans="1:21" s="4" customFormat="1">
      <c r="A481" s="1" t="s">
        <v>1669</v>
      </c>
      <c r="B481" s="54" t="s">
        <v>1644</v>
      </c>
      <c r="C481" s="54" t="s">
        <v>34</v>
      </c>
      <c r="D481" s="3" t="s">
        <v>656</v>
      </c>
      <c r="E481" s="80" t="s">
        <v>321</v>
      </c>
      <c r="F481" s="81">
        <v>3</v>
      </c>
      <c r="G481" s="81">
        <v>1</v>
      </c>
      <c r="H481" s="81">
        <v>4</v>
      </c>
      <c r="I481" s="97" t="s">
        <v>71</v>
      </c>
      <c r="J481" s="97" t="s">
        <v>71</v>
      </c>
      <c r="K481" s="80" t="s">
        <v>657</v>
      </c>
      <c r="L481" s="101" t="s">
        <v>1491</v>
      </c>
      <c r="M481" s="97" t="s">
        <v>1562</v>
      </c>
      <c r="N481" s="101">
        <v>1</v>
      </c>
      <c r="O481" s="101">
        <v>20</v>
      </c>
      <c r="P481" s="102">
        <v>20</v>
      </c>
      <c r="Q481" s="98">
        <f>N481*(F481+G481)</f>
        <v>4</v>
      </c>
      <c r="R481" s="98">
        <v>4</v>
      </c>
      <c r="S481" s="80" t="s">
        <v>1504</v>
      </c>
      <c r="T481" s="81" t="s">
        <v>1505</v>
      </c>
      <c r="U481" s="80" t="s">
        <v>1557</v>
      </c>
    </row>
    <row r="482" spans="1:21" s="4" customFormat="1">
      <c r="B482" s="55" t="s">
        <v>55</v>
      </c>
      <c r="C482" s="55" t="s">
        <v>35</v>
      </c>
      <c r="D482" s="3" t="s">
        <v>1144</v>
      </c>
      <c r="E482" s="80" t="s">
        <v>1145</v>
      </c>
      <c r="F482" s="81">
        <v>4</v>
      </c>
      <c r="G482" s="81">
        <v>2</v>
      </c>
      <c r="H482" s="81">
        <v>6</v>
      </c>
      <c r="I482" s="101" t="s">
        <v>71</v>
      </c>
      <c r="J482" s="97" t="s">
        <v>71</v>
      </c>
      <c r="K482" s="80" t="s">
        <v>76</v>
      </c>
      <c r="L482" s="101" t="s">
        <v>1488</v>
      </c>
      <c r="M482" s="97" t="s">
        <v>1562</v>
      </c>
      <c r="N482" s="101">
        <v>1</v>
      </c>
      <c r="O482" s="101">
        <v>30</v>
      </c>
      <c r="P482" s="102">
        <v>30</v>
      </c>
      <c r="Q482" s="98">
        <f>N482*(F482+G482)</f>
        <v>6</v>
      </c>
      <c r="R482" s="98">
        <v>6</v>
      </c>
      <c r="S482" s="80" t="s">
        <v>1515</v>
      </c>
      <c r="T482" s="81" t="s">
        <v>1518</v>
      </c>
      <c r="U482" s="80"/>
    </row>
    <row r="483" spans="1:21" s="4" customFormat="1">
      <c r="B483" s="55" t="s">
        <v>55</v>
      </c>
      <c r="C483" s="55" t="s">
        <v>35</v>
      </c>
      <c r="D483" s="3" t="s">
        <v>1144</v>
      </c>
      <c r="E483" s="80" t="s">
        <v>1145</v>
      </c>
      <c r="F483" s="81">
        <v>4</v>
      </c>
      <c r="G483" s="81">
        <v>2</v>
      </c>
      <c r="H483" s="81">
        <v>6</v>
      </c>
      <c r="I483" s="101" t="s">
        <v>71</v>
      </c>
      <c r="J483" s="97" t="s">
        <v>71</v>
      </c>
      <c r="K483" s="80" t="s">
        <v>76</v>
      </c>
      <c r="L483" s="101" t="s">
        <v>1491</v>
      </c>
      <c r="M483" s="97" t="s">
        <v>1562</v>
      </c>
      <c r="N483" s="101">
        <v>1</v>
      </c>
      <c r="O483" s="101">
        <v>30</v>
      </c>
      <c r="P483" s="102">
        <v>30</v>
      </c>
      <c r="Q483" s="98">
        <f>N483*(F483+G483)</f>
        <v>6</v>
      </c>
      <c r="R483" s="98">
        <v>6</v>
      </c>
      <c r="S483" s="80" t="s">
        <v>1515</v>
      </c>
      <c r="T483" s="81" t="s">
        <v>1518</v>
      </c>
      <c r="U483" s="80"/>
    </row>
    <row r="484" spans="1:21" s="4" customFormat="1">
      <c r="B484" s="55" t="s">
        <v>55</v>
      </c>
      <c r="C484" s="55" t="s">
        <v>35</v>
      </c>
      <c r="D484" s="3" t="s">
        <v>481</v>
      </c>
      <c r="E484" s="80" t="s">
        <v>482</v>
      </c>
      <c r="F484" s="81">
        <v>4</v>
      </c>
      <c r="G484" s="81">
        <v>0</v>
      </c>
      <c r="H484" s="81">
        <v>4</v>
      </c>
      <c r="I484" s="101" t="s">
        <v>71</v>
      </c>
      <c r="J484" s="97" t="s">
        <v>71</v>
      </c>
      <c r="K484" s="80" t="s">
        <v>483</v>
      </c>
      <c r="L484" s="101" t="s">
        <v>1488</v>
      </c>
      <c r="M484" s="97" t="s">
        <v>1562</v>
      </c>
      <c r="N484" s="101">
        <v>1</v>
      </c>
      <c r="O484" s="101">
        <v>60</v>
      </c>
      <c r="P484" s="102">
        <v>60</v>
      </c>
      <c r="Q484" s="98">
        <f>N484*(F484+G484)</f>
        <v>4</v>
      </c>
      <c r="R484" s="98">
        <v>4</v>
      </c>
      <c r="S484" s="80"/>
      <c r="T484" s="81"/>
      <c r="U484" s="80"/>
    </row>
    <row r="485" spans="1:21" s="4" customFormat="1">
      <c r="B485" s="55" t="s">
        <v>55</v>
      </c>
      <c r="C485" s="55" t="s">
        <v>35</v>
      </c>
      <c r="D485" s="3" t="s">
        <v>481</v>
      </c>
      <c r="E485" s="80" t="s">
        <v>482</v>
      </c>
      <c r="F485" s="81">
        <v>4</v>
      </c>
      <c r="G485" s="81">
        <v>0</v>
      </c>
      <c r="H485" s="81">
        <v>4</v>
      </c>
      <c r="I485" s="101" t="s">
        <v>71</v>
      </c>
      <c r="J485" s="97" t="s">
        <v>71</v>
      </c>
      <c r="K485" s="80" t="s">
        <v>483</v>
      </c>
      <c r="L485" s="101" t="s">
        <v>1491</v>
      </c>
      <c r="M485" s="97" t="s">
        <v>1562</v>
      </c>
      <c r="N485" s="101">
        <v>1</v>
      </c>
      <c r="O485" s="101">
        <v>60</v>
      </c>
      <c r="P485" s="102">
        <v>60</v>
      </c>
      <c r="Q485" s="98">
        <f>N485*(F485+G485)</f>
        <v>4</v>
      </c>
      <c r="R485" s="98">
        <v>4</v>
      </c>
      <c r="S485" s="80"/>
      <c r="T485" s="81"/>
      <c r="U485" s="80"/>
    </row>
    <row r="486" spans="1:21" s="4" customFormat="1">
      <c r="B486" s="55" t="s">
        <v>55</v>
      </c>
      <c r="C486" s="55" t="s">
        <v>35</v>
      </c>
      <c r="D486" s="3" t="s">
        <v>1318</v>
      </c>
      <c r="E486" s="80" t="s">
        <v>1319</v>
      </c>
      <c r="F486" s="81">
        <v>0</v>
      </c>
      <c r="G486" s="81">
        <v>4</v>
      </c>
      <c r="H486" s="81">
        <v>4</v>
      </c>
      <c r="I486" s="101" t="s">
        <v>71</v>
      </c>
      <c r="J486" s="97" t="s">
        <v>71</v>
      </c>
      <c r="K486" s="80" t="s">
        <v>1577</v>
      </c>
      <c r="L486" s="101" t="s">
        <v>1488</v>
      </c>
      <c r="M486" s="97" t="s">
        <v>1562</v>
      </c>
      <c r="N486" s="101">
        <v>1</v>
      </c>
      <c r="O486" s="101">
        <v>30</v>
      </c>
      <c r="P486" s="102">
        <v>30</v>
      </c>
      <c r="Q486" s="98">
        <f>N486*(F486+G486)</f>
        <v>4</v>
      </c>
      <c r="R486" s="98">
        <v>4</v>
      </c>
      <c r="S486" s="80" t="s">
        <v>1578</v>
      </c>
      <c r="T486" s="81" t="s">
        <v>1518</v>
      </c>
      <c r="U486" s="80"/>
    </row>
    <row r="487" spans="1:21" s="4" customFormat="1">
      <c r="B487" s="55" t="s">
        <v>55</v>
      </c>
      <c r="C487" s="55" t="s">
        <v>35</v>
      </c>
      <c r="D487" s="3" t="s">
        <v>1318</v>
      </c>
      <c r="E487" s="80" t="s">
        <v>1319</v>
      </c>
      <c r="F487" s="81">
        <v>0</v>
      </c>
      <c r="G487" s="81">
        <v>4</v>
      </c>
      <c r="H487" s="81">
        <v>4</v>
      </c>
      <c r="I487" s="101" t="s">
        <v>71</v>
      </c>
      <c r="J487" s="97" t="s">
        <v>71</v>
      </c>
      <c r="K487" s="80" t="s">
        <v>1577</v>
      </c>
      <c r="L487" s="101" t="s">
        <v>1491</v>
      </c>
      <c r="M487" s="97" t="s">
        <v>1562</v>
      </c>
      <c r="N487" s="101">
        <v>1</v>
      </c>
      <c r="O487" s="101">
        <v>30</v>
      </c>
      <c r="P487" s="102">
        <v>30</v>
      </c>
      <c r="Q487" s="98">
        <f>N487*(F487+G487)</f>
        <v>4</v>
      </c>
      <c r="R487" s="98">
        <v>4</v>
      </c>
      <c r="S487" s="80" t="s">
        <v>1578</v>
      </c>
      <c r="T487" s="81" t="s">
        <v>1518</v>
      </c>
      <c r="U487" s="80"/>
    </row>
    <row r="488" spans="1:21" s="4" customFormat="1">
      <c r="B488" s="55" t="s">
        <v>55</v>
      </c>
      <c r="C488" s="55" t="s">
        <v>35</v>
      </c>
      <c r="D488" s="3" t="s">
        <v>1309</v>
      </c>
      <c r="E488" s="80" t="s">
        <v>1310</v>
      </c>
      <c r="F488" s="81">
        <v>4</v>
      </c>
      <c r="G488" s="81">
        <v>0</v>
      </c>
      <c r="H488" s="81">
        <v>4</v>
      </c>
      <c r="I488" s="101" t="s">
        <v>71</v>
      </c>
      <c r="J488" s="97" t="s">
        <v>71</v>
      </c>
      <c r="K488" s="80" t="s">
        <v>1311</v>
      </c>
      <c r="L488" s="101" t="s">
        <v>1488</v>
      </c>
      <c r="M488" s="97" t="s">
        <v>1562</v>
      </c>
      <c r="N488" s="101">
        <v>1</v>
      </c>
      <c r="O488" s="101">
        <v>60</v>
      </c>
      <c r="P488" s="102">
        <v>60</v>
      </c>
      <c r="Q488" s="98">
        <f>N488*(F488+G488)</f>
        <v>4</v>
      </c>
      <c r="R488" s="98">
        <v>4</v>
      </c>
      <c r="S488" s="80"/>
      <c r="T488" s="81"/>
      <c r="U488" s="80"/>
    </row>
    <row r="489" spans="1:21" s="4" customFormat="1">
      <c r="B489" s="55" t="s">
        <v>55</v>
      </c>
      <c r="C489" s="55" t="s">
        <v>35</v>
      </c>
      <c r="D489" s="3" t="s">
        <v>1309</v>
      </c>
      <c r="E489" s="80" t="s">
        <v>1310</v>
      </c>
      <c r="F489" s="81">
        <v>4</v>
      </c>
      <c r="G489" s="81">
        <v>0</v>
      </c>
      <c r="H489" s="81">
        <v>4</v>
      </c>
      <c r="I489" s="101" t="s">
        <v>71</v>
      </c>
      <c r="J489" s="97" t="s">
        <v>71</v>
      </c>
      <c r="K489" s="80" t="s">
        <v>1311</v>
      </c>
      <c r="L489" s="101" t="s">
        <v>1491</v>
      </c>
      <c r="M489" s="97" t="s">
        <v>1562</v>
      </c>
      <c r="N489" s="101">
        <v>1</v>
      </c>
      <c r="O489" s="101">
        <v>60</v>
      </c>
      <c r="P489" s="102">
        <v>60</v>
      </c>
      <c r="Q489" s="98">
        <f>N489*(F489+G489)</f>
        <v>4</v>
      </c>
      <c r="R489" s="98">
        <v>4</v>
      </c>
      <c r="S489" s="80"/>
      <c r="T489" s="81"/>
      <c r="U489" s="80"/>
    </row>
    <row r="490" spans="1:21" s="4" customFormat="1">
      <c r="B490" s="55" t="s">
        <v>55</v>
      </c>
      <c r="C490" s="55" t="s">
        <v>35</v>
      </c>
      <c r="D490" s="3" t="s">
        <v>1127</v>
      </c>
      <c r="E490" s="80" t="s">
        <v>1128</v>
      </c>
      <c r="F490" s="81">
        <v>3</v>
      </c>
      <c r="G490" s="81">
        <v>1</v>
      </c>
      <c r="H490" s="81">
        <v>4</v>
      </c>
      <c r="I490" s="101" t="s">
        <v>71</v>
      </c>
      <c r="J490" s="97" t="s">
        <v>71</v>
      </c>
      <c r="K490" s="80" t="s">
        <v>1129</v>
      </c>
      <c r="L490" s="101" t="s">
        <v>1491</v>
      </c>
      <c r="M490" s="97" t="s">
        <v>1562</v>
      </c>
      <c r="N490" s="101">
        <v>1</v>
      </c>
      <c r="O490" s="101">
        <v>30</v>
      </c>
      <c r="P490" s="102">
        <v>30</v>
      </c>
      <c r="Q490" s="98">
        <f>N490*(F490+G490)</f>
        <v>4</v>
      </c>
      <c r="R490" s="98">
        <v>4</v>
      </c>
      <c r="S490" s="80" t="s">
        <v>1504</v>
      </c>
      <c r="T490" s="81" t="s">
        <v>1505</v>
      </c>
      <c r="U490" s="80"/>
    </row>
    <row r="491" spans="1:21" s="4" customFormat="1">
      <c r="B491" s="55" t="s">
        <v>55</v>
      </c>
      <c r="C491" s="55" t="s">
        <v>35</v>
      </c>
      <c r="D491" s="3" t="s">
        <v>1166</v>
      </c>
      <c r="E491" s="80" t="s">
        <v>1167</v>
      </c>
      <c r="F491" s="81">
        <v>2</v>
      </c>
      <c r="G491" s="81">
        <v>0</v>
      </c>
      <c r="H491" s="81">
        <v>3</v>
      </c>
      <c r="I491" s="101" t="s">
        <v>71</v>
      </c>
      <c r="J491" s="97" t="s">
        <v>71</v>
      </c>
      <c r="K491" s="80" t="s">
        <v>1579</v>
      </c>
      <c r="L491" s="101" t="s">
        <v>1488</v>
      </c>
      <c r="M491" s="97" t="s">
        <v>1562</v>
      </c>
      <c r="N491" s="101">
        <v>1</v>
      </c>
      <c r="O491" s="101">
        <v>60</v>
      </c>
      <c r="P491" s="102">
        <v>60</v>
      </c>
      <c r="Q491" s="98">
        <f>N491*(F491+G491)</f>
        <v>2</v>
      </c>
      <c r="R491" s="98">
        <v>2</v>
      </c>
      <c r="S491" s="80"/>
      <c r="T491" s="81"/>
      <c r="U491" s="80"/>
    </row>
    <row r="492" spans="1:21" s="4" customFormat="1">
      <c r="B492" s="55" t="s">
        <v>55</v>
      </c>
      <c r="C492" s="55" t="s">
        <v>35</v>
      </c>
      <c r="D492" s="3" t="s">
        <v>1166</v>
      </c>
      <c r="E492" s="80" t="s">
        <v>1167</v>
      </c>
      <c r="F492" s="81">
        <v>2</v>
      </c>
      <c r="G492" s="81">
        <v>0</v>
      </c>
      <c r="H492" s="81">
        <v>3</v>
      </c>
      <c r="I492" s="101" t="s">
        <v>71</v>
      </c>
      <c r="J492" s="97" t="s">
        <v>71</v>
      </c>
      <c r="K492" s="80" t="s">
        <v>1579</v>
      </c>
      <c r="L492" s="101" t="s">
        <v>1491</v>
      </c>
      <c r="M492" s="97" t="s">
        <v>1562</v>
      </c>
      <c r="N492" s="101">
        <v>1</v>
      </c>
      <c r="O492" s="101">
        <v>60</v>
      </c>
      <c r="P492" s="102">
        <v>60</v>
      </c>
      <c r="Q492" s="98">
        <f>N492*(F492+G492)</f>
        <v>2</v>
      </c>
      <c r="R492" s="98">
        <v>2</v>
      </c>
      <c r="S492" s="80"/>
      <c r="T492" s="81"/>
      <c r="U492" s="80"/>
    </row>
    <row r="493" spans="1:21" s="4" customFormat="1">
      <c r="B493" s="55" t="s">
        <v>55</v>
      </c>
      <c r="C493" s="55" t="s">
        <v>35</v>
      </c>
      <c r="D493" s="3" t="s">
        <v>230</v>
      </c>
      <c r="E493" s="80" t="s">
        <v>231</v>
      </c>
      <c r="F493" s="81">
        <v>2</v>
      </c>
      <c r="G493" s="81">
        <v>2</v>
      </c>
      <c r="H493" s="81">
        <v>4</v>
      </c>
      <c r="I493" s="101" t="s">
        <v>71</v>
      </c>
      <c r="J493" s="97" t="s">
        <v>71</v>
      </c>
      <c r="K493" s="80" t="s">
        <v>232</v>
      </c>
      <c r="L493" s="101" t="s">
        <v>1488</v>
      </c>
      <c r="M493" s="97" t="s">
        <v>1562</v>
      </c>
      <c r="N493" s="101">
        <v>1</v>
      </c>
      <c r="O493" s="101">
        <v>30</v>
      </c>
      <c r="P493" s="102">
        <v>30</v>
      </c>
      <c r="Q493" s="98">
        <f>N493*(F493+G493)</f>
        <v>4</v>
      </c>
      <c r="R493" s="98">
        <v>4</v>
      </c>
      <c r="S493" s="80" t="s">
        <v>1515</v>
      </c>
      <c r="T493" s="81" t="s">
        <v>1518</v>
      </c>
      <c r="U493" s="80"/>
    </row>
    <row r="494" spans="1:21" s="4" customFormat="1">
      <c r="B494" s="55" t="s">
        <v>55</v>
      </c>
      <c r="C494" s="55" t="s">
        <v>35</v>
      </c>
      <c r="D494" s="3" t="s">
        <v>230</v>
      </c>
      <c r="E494" s="80" t="s">
        <v>231</v>
      </c>
      <c r="F494" s="81">
        <v>2</v>
      </c>
      <c r="G494" s="81">
        <v>2</v>
      </c>
      <c r="H494" s="81">
        <v>4</v>
      </c>
      <c r="I494" s="101" t="s">
        <v>71</v>
      </c>
      <c r="J494" s="97" t="s">
        <v>71</v>
      </c>
      <c r="K494" s="80" t="s">
        <v>232</v>
      </c>
      <c r="L494" s="101" t="s">
        <v>1491</v>
      </c>
      <c r="M494" s="97" t="s">
        <v>1562</v>
      </c>
      <c r="N494" s="101">
        <v>1</v>
      </c>
      <c r="O494" s="101">
        <v>30</v>
      </c>
      <c r="P494" s="102">
        <v>30</v>
      </c>
      <c r="Q494" s="98">
        <f>N494*(F494+G494)</f>
        <v>4</v>
      </c>
      <c r="R494" s="98">
        <v>4</v>
      </c>
      <c r="S494" s="80" t="s">
        <v>1515</v>
      </c>
      <c r="T494" s="81" t="s">
        <v>1518</v>
      </c>
      <c r="U494" s="80"/>
    </row>
    <row r="495" spans="1:21" s="4" customFormat="1">
      <c r="B495" s="55" t="s">
        <v>55</v>
      </c>
      <c r="C495" s="55" t="s">
        <v>35</v>
      </c>
      <c r="D495" s="3" t="s">
        <v>942</v>
      </c>
      <c r="E495" s="80" t="s">
        <v>943</v>
      </c>
      <c r="F495" s="81">
        <v>2</v>
      </c>
      <c r="G495" s="81">
        <v>0</v>
      </c>
      <c r="H495" s="81">
        <v>2</v>
      </c>
      <c r="I495" s="101" t="s">
        <v>73</v>
      </c>
      <c r="J495" s="97" t="s">
        <v>73</v>
      </c>
      <c r="K495" s="80" t="s">
        <v>944</v>
      </c>
      <c r="L495" s="101" t="s">
        <v>1491</v>
      </c>
      <c r="M495" s="97" t="s">
        <v>1562</v>
      </c>
      <c r="N495" s="101">
        <v>1</v>
      </c>
      <c r="O495" s="101">
        <v>60</v>
      </c>
      <c r="P495" s="102">
        <v>60</v>
      </c>
      <c r="Q495" s="98">
        <f>N495*(F495+G495)</f>
        <v>2</v>
      </c>
      <c r="R495" s="98">
        <v>2</v>
      </c>
      <c r="S495" s="80"/>
      <c r="T495" s="81"/>
      <c r="U495" s="80"/>
    </row>
    <row r="496" spans="1:21" s="4" customFormat="1">
      <c r="B496" s="55" t="s">
        <v>55</v>
      </c>
      <c r="C496" s="55" t="s">
        <v>35</v>
      </c>
      <c r="D496" s="3" t="s">
        <v>349</v>
      </c>
      <c r="E496" s="80" t="s">
        <v>350</v>
      </c>
      <c r="F496" s="81">
        <v>3</v>
      </c>
      <c r="G496" s="81">
        <v>1</v>
      </c>
      <c r="H496" s="81">
        <v>4</v>
      </c>
      <c r="I496" s="101" t="s">
        <v>73</v>
      </c>
      <c r="J496" s="97" t="s">
        <v>73</v>
      </c>
      <c r="K496" s="80" t="s">
        <v>351</v>
      </c>
      <c r="L496" s="101" t="s">
        <v>1491</v>
      </c>
      <c r="M496" s="97" t="s">
        <v>1562</v>
      </c>
      <c r="N496" s="101">
        <v>1</v>
      </c>
      <c r="O496" s="101">
        <v>30</v>
      </c>
      <c r="P496" s="102">
        <v>30</v>
      </c>
      <c r="Q496" s="98">
        <f>N496*(F496+G496)</f>
        <v>4</v>
      </c>
      <c r="R496" s="98">
        <v>4</v>
      </c>
      <c r="S496" s="80" t="s">
        <v>1504</v>
      </c>
      <c r="T496" s="81" t="s">
        <v>1505</v>
      </c>
      <c r="U496" s="80"/>
    </row>
    <row r="497" spans="2:21" s="4" customFormat="1">
      <c r="B497" s="55" t="s">
        <v>55</v>
      </c>
      <c r="C497" s="55" t="s">
        <v>35</v>
      </c>
      <c r="D497" s="3" t="s">
        <v>220</v>
      </c>
      <c r="E497" s="80" t="s">
        <v>221</v>
      </c>
      <c r="F497" s="81">
        <v>4</v>
      </c>
      <c r="G497" s="81">
        <v>0</v>
      </c>
      <c r="H497" s="81">
        <v>4</v>
      </c>
      <c r="I497" s="101" t="s">
        <v>73</v>
      </c>
      <c r="J497" s="97" t="s">
        <v>73</v>
      </c>
      <c r="K497" s="80" t="s">
        <v>222</v>
      </c>
      <c r="L497" s="101" t="s">
        <v>1491</v>
      </c>
      <c r="M497" s="97" t="s">
        <v>1562</v>
      </c>
      <c r="N497" s="101">
        <v>1</v>
      </c>
      <c r="O497" s="101">
        <v>60</v>
      </c>
      <c r="P497" s="102">
        <v>60</v>
      </c>
      <c r="Q497" s="98">
        <f>N497*(F497+G497)</f>
        <v>4</v>
      </c>
      <c r="R497" s="98">
        <v>4</v>
      </c>
      <c r="S497" s="80"/>
      <c r="T497" s="81"/>
      <c r="U497" s="80"/>
    </row>
    <row r="498" spans="2:21" s="4" customFormat="1">
      <c r="B498" s="55" t="s">
        <v>55</v>
      </c>
      <c r="C498" s="55" t="s">
        <v>35</v>
      </c>
      <c r="D498" s="3" t="s">
        <v>1202</v>
      </c>
      <c r="E498" s="80" t="s">
        <v>1203</v>
      </c>
      <c r="F498" s="81">
        <v>3</v>
      </c>
      <c r="G498" s="81">
        <v>1</v>
      </c>
      <c r="H498" s="81">
        <v>4</v>
      </c>
      <c r="I498" s="101" t="s">
        <v>73</v>
      </c>
      <c r="J498" s="97" t="s">
        <v>73</v>
      </c>
      <c r="K498" s="80" t="s">
        <v>1204</v>
      </c>
      <c r="L498" s="101" t="s">
        <v>1491</v>
      </c>
      <c r="M498" s="97" t="s">
        <v>1562</v>
      </c>
      <c r="N498" s="101">
        <v>1</v>
      </c>
      <c r="O498" s="101">
        <v>30</v>
      </c>
      <c r="P498" s="102">
        <v>30</v>
      </c>
      <c r="Q498" s="98">
        <f>N498*(F498+G498)</f>
        <v>4</v>
      </c>
      <c r="R498" s="98">
        <v>4</v>
      </c>
      <c r="S498" s="80" t="s">
        <v>1578</v>
      </c>
      <c r="T498" s="81" t="s">
        <v>1505</v>
      </c>
      <c r="U498" s="80"/>
    </row>
    <row r="499" spans="2:21" s="4" customFormat="1">
      <c r="B499" s="55" t="s">
        <v>55</v>
      </c>
      <c r="C499" s="55" t="s">
        <v>35</v>
      </c>
      <c r="D499" s="3" t="s">
        <v>432</v>
      </c>
      <c r="E499" s="80" t="s">
        <v>433</v>
      </c>
      <c r="F499" s="81">
        <v>3</v>
      </c>
      <c r="G499" s="81">
        <v>1</v>
      </c>
      <c r="H499" s="81">
        <v>4</v>
      </c>
      <c r="I499" s="101" t="s">
        <v>73</v>
      </c>
      <c r="J499" s="97" t="s">
        <v>73</v>
      </c>
      <c r="K499" s="80" t="s">
        <v>243</v>
      </c>
      <c r="L499" s="101" t="s">
        <v>1491</v>
      </c>
      <c r="M499" s="97" t="s">
        <v>1562</v>
      </c>
      <c r="N499" s="101">
        <v>1</v>
      </c>
      <c r="O499" s="101">
        <v>30</v>
      </c>
      <c r="P499" s="102">
        <v>30</v>
      </c>
      <c r="Q499" s="98">
        <f>N499*(F499+G499)</f>
        <v>4</v>
      </c>
      <c r="R499" s="98">
        <v>4</v>
      </c>
      <c r="S499" s="80" t="s">
        <v>1578</v>
      </c>
      <c r="T499" s="81" t="s">
        <v>1505</v>
      </c>
      <c r="U499" s="80"/>
    </row>
    <row r="500" spans="2:21" s="4" customFormat="1">
      <c r="B500" s="55" t="s">
        <v>55</v>
      </c>
      <c r="C500" s="55" t="s">
        <v>35</v>
      </c>
      <c r="D500" s="3" t="s">
        <v>437</v>
      </c>
      <c r="E500" s="80" t="s">
        <v>438</v>
      </c>
      <c r="F500" s="81">
        <v>3</v>
      </c>
      <c r="G500" s="81">
        <v>1</v>
      </c>
      <c r="H500" s="81">
        <v>4</v>
      </c>
      <c r="I500" s="101" t="s">
        <v>73</v>
      </c>
      <c r="J500" s="97" t="s">
        <v>73</v>
      </c>
      <c r="K500" s="80" t="s">
        <v>439</v>
      </c>
      <c r="L500" s="101" t="s">
        <v>1491</v>
      </c>
      <c r="M500" s="97" t="s">
        <v>1562</v>
      </c>
      <c r="N500" s="101">
        <v>1</v>
      </c>
      <c r="O500" s="101">
        <v>30</v>
      </c>
      <c r="P500" s="102">
        <v>30</v>
      </c>
      <c r="Q500" s="98">
        <f>N500*(F500+G500)</f>
        <v>4</v>
      </c>
      <c r="R500" s="98">
        <v>4</v>
      </c>
      <c r="S500" s="80" t="s">
        <v>1504</v>
      </c>
      <c r="T500" s="81" t="s">
        <v>1505</v>
      </c>
      <c r="U500" s="80"/>
    </row>
    <row r="501" spans="2:21" s="4" customFormat="1">
      <c r="B501" s="55" t="s">
        <v>55</v>
      </c>
      <c r="C501" s="55" t="s">
        <v>35</v>
      </c>
      <c r="D501" s="3" t="s">
        <v>1196</v>
      </c>
      <c r="E501" s="80" t="s">
        <v>1197</v>
      </c>
      <c r="F501" s="81">
        <v>4</v>
      </c>
      <c r="G501" s="81">
        <v>0</v>
      </c>
      <c r="H501" s="81">
        <v>4</v>
      </c>
      <c r="I501" s="101" t="s">
        <v>73</v>
      </c>
      <c r="J501" s="97" t="s">
        <v>73</v>
      </c>
      <c r="K501" s="80" t="s">
        <v>439</v>
      </c>
      <c r="L501" s="101" t="s">
        <v>1491</v>
      </c>
      <c r="M501" s="97" t="s">
        <v>1562</v>
      </c>
      <c r="N501" s="101">
        <v>1</v>
      </c>
      <c r="O501" s="101">
        <v>60</v>
      </c>
      <c r="P501" s="102">
        <v>60</v>
      </c>
      <c r="Q501" s="98">
        <f>N501*(F501+G501)</f>
        <v>4</v>
      </c>
      <c r="R501" s="98">
        <v>4</v>
      </c>
      <c r="S501" s="80"/>
      <c r="T501" s="81"/>
      <c r="U501" s="80"/>
    </row>
    <row r="502" spans="2:21" s="4" customFormat="1">
      <c r="B502" s="55" t="s">
        <v>55</v>
      </c>
      <c r="C502" s="55" t="s">
        <v>35</v>
      </c>
      <c r="D502" s="3" t="s">
        <v>856</v>
      </c>
      <c r="E502" s="80" t="s">
        <v>857</v>
      </c>
      <c r="F502" s="81">
        <v>4</v>
      </c>
      <c r="G502" s="81">
        <v>0</v>
      </c>
      <c r="H502" s="81">
        <v>4</v>
      </c>
      <c r="I502" s="101" t="s">
        <v>73</v>
      </c>
      <c r="J502" s="97" t="s">
        <v>73</v>
      </c>
      <c r="K502" s="80" t="s">
        <v>858</v>
      </c>
      <c r="L502" s="101" t="s">
        <v>1491</v>
      </c>
      <c r="M502" s="97" t="s">
        <v>1562</v>
      </c>
      <c r="N502" s="101">
        <v>1</v>
      </c>
      <c r="O502" s="101">
        <v>60</v>
      </c>
      <c r="P502" s="102">
        <v>60</v>
      </c>
      <c r="Q502" s="98">
        <f>N502*(F502+G502)</f>
        <v>4</v>
      </c>
      <c r="R502" s="98">
        <v>4</v>
      </c>
      <c r="S502" s="80"/>
      <c r="T502" s="81"/>
      <c r="U502" s="80"/>
    </row>
    <row r="503" spans="2:21" s="4" customFormat="1">
      <c r="B503" s="55" t="s">
        <v>55</v>
      </c>
      <c r="C503" s="55" t="s">
        <v>35</v>
      </c>
      <c r="D503" s="3" t="s">
        <v>434</v>
      </c>
      <c r="E503" s="80" t="s">
        <v>435</v>
      </c>
      <c r="F503" s="81">
        <v>3</v>
      </c>
      <c r="G503" s="81">
        <v>1</v>
      </c>
      <c r="H503" s="81">
        <v>4</v>
      </c>
      <c r="I503" s="101" t="s">
        <v>73</v>
      </c>
      <c r="J503" s="97" t="s">
        <v>73</v>
      </c>
      <c r="K503" s="80" t="s">
        <v>436</v>
      </c>
      <c r="L503" s="101" t="s">
        <v>1491</v>
      </c>
      <c r="M503" s="97" t="s">
        <v>1562</v>
      </c>
      <c r="N503" s="101">
        <v>1</v>
      </c>
      <c r="O503" s="101">
        <v>30</v>
      </c>
      <c r="P503" s="102">
        <v>30</v>
      </c>
      <c r="Q503" s="98">
        <f>N503*(F503+G503)</f>
        <v>4</v>
      </c>
      <c r="R503" s="98">
        <v>4</v>
      </c>
      <c r="S503" s="80" t="s">
        <v>1578</v>
      </c>
      <c r="T503" s="81" t="s">
        <v>1505</v>
      </c>
      <c r="U503" s="80"/>
    </row>
    <row r="504" spans="2:21" s="4" customFormat="1">
      <c r="B504" s="44" t="s">
        <v>1646</v>
      </c>
      <c r="C504" s="44" t="s">
        <v>1485</v>
      </c>
      <c r="D504" s="3" t="s">
        <v>262</v>
      </c>
      <c r="E504" s="80" t="s">
        <v>156</v>
      </c>
      <c r="F504" s="81">
        <v>3</v>
      </c>
      <c r="G504" s="81">
        <v>1</v>
      </c>
      <c r="H504" s="81">
        <v>5</v>
      </c>
      <c r="I504" s="101" t="s">
        <v>71</v>
      </c>
      <c r="J504" s="97" t="s">
        <v>71</v>
      </c>
      <c r="K504" s="80" t="s">
        <v>263</v>
      </c>
      <c r="L504" s="101" t="s">
        <v>1488</v>
      </c>
      <c r="M504" s="97" t="s">
        <v>1562</v>
      </c>
      <c r="N504" s="101">
        <v>2</v>
      </c>
      <c r="O504" s="101">
        <v>60</v>
      </c>
      <c r="P504" s="102">
        <v>120</v>
      </c>
      <c r="Q504" s="98">
        <f>N504*(F504+G504)</f>
        <v>8</v>
      </c>
      <c r="R504" s="98">
        <v>10</v>
      </c>
      <c r="S504" s="80" t="s">
        <v>1498</v>
      </c>
      <c r="T504" s="81" t="s">
        <v>1580</v>
      </c>
      <c r="U504" s="80"/>
    </row>
    <row r="505" spans="2:21" s="4" customFormat="1">
      <c r="B505" s="44" t="s">
        <v>1646</v>
      </c>
      <c r="C505" s="44" t="s">
        <v>1485</v>
      </c>
      <c r="D505" s="3" t="s">
        <v>262</v>
      </c>
      <c r="E505" s="80" t="s">
        <v>156</v>
      </c>
      <c r="F505" s="81">
        <v>3</v>
      </c>
      <c r="G505" s="81">
        <v>1</v>
      </c>
      <c r="H505" s="81">
        <v>5</v>
      </c>
      <c r="I505" s="101" t="s">
        <v>71</v>
      </c>
      <c r="J505" s="97" t="s">
        <v>71</v>
      </c>
      <c r="K505" s="80" t="s">
        <v>263</v>
      </c>
      <c r="L505" s="101" t="s">
        <v>1491</v>
      </c>
      <c r="M505" s="97" t="s">
        <v>1562</v>
      </c>
      <c r="N505" s="101">
        <v>2</v>
      </c>
      <c r="O505" s="101">
        <v>60</v>
      </c>
      <c r="P505" s="102">
        <v>120</v>
      </c>
      <c r="Q505" s="98">
        <f>N505*(F505+G505)</f>
        <v>8</v>
      </c>
      <c r="R505" s="98">
        <v>10</v>
      </c>
      <c r="S505" s="80" t="s">
        <v>1498</v>
      </c>
      <c r="T505" s="81" t="s">
        <v>1580</v>
      </c>
      <c r="U505" s="80"/>
    </row>
    <row r="506" spans="2:21" s="4" customFormat="1">
      <c r="B506" s="44" t="s">
        <v>1646</v>
      </c>
      <c r="C506" s="44" t="s">
        <v>1485</v>
      </c>
      <c r="D506" s="3" t="s">
        <v>262</v>
      </c>
      <c r="E506" s="80" t="s">
        <v>156</v>
      </c>
      <c r="F506" s="81">
        <v>3</v>
      </c>
      <c r="G506" s="81">
        <v>1</v>
      </c>
      <c r="H506" s="81">
        <v>5</v>
      </c>
      <c r="I506" s="101" t="s">
        <v>71</v>
      </c>
      <c r="J506" s="97" t="s">
        <v>71</v>
      </c>
      <c r="K506" s="80" t="s">
        <v>263</v>
      </c>
      <c r="L506" s="101" t="s">
        <v>1488</v>
      </c>
      <c r="M506" s="97" t="s">
        <v>1528</v>
      </c>
      <c r="N506" s="101">
        <v>1</v>
      </c>
      <c r="O506" s="101">
        <v>60</v>
      </c>
      <c r="P506" s="102">
        <v>60</v>
      </c>
      <c r="Q506" s="98">
        <f>N506*(F506+G506)</f>
        <v>4</v>
      </c>
      <c r="R506" s="98">
        <v>5</v>
      </c>
      <c r="S506" s="80" t="s">
        <v>1498</v>
      </c>
      <c r="T506" s="81" t="s">
        <v>1580</v>
      </c>
      <c r="U506" s="80"/>
    </row>
    <row r="507" spans="2:21" s="4" customFormat="1">
      <c r="B507" s="44" t="s">
        <v>1646</v>
      </c>
      <c r="C507" s="44" t="s">
        <v>1485</v>
      </c>
      <c r="D507" s="3" t="s">
        <v>262</v>
      </c>
      <c r="E507" s="80" t="s">
        <v>156</v>
      </c>
      <c r="F507" s="81">
        <v>3</v>
      </c>
      <c r="G507" s="81">
        <v>1</v>
      </c>
      <c r="H507" s="81">
        <v>5</v>
      </c>
      <c r="I507" s="101" t="s">
        <v>71</v>
      </c>
      <c r="J507" s="97" t="s">
        <v>71</v>
      </c>
      <c r="K507" s="80" t="s">
        <v>263</v>
      </c>
      <c r="L507" s="101" t="s">
        <v>1491</v>
      </c>
      <c r="M507" s="97" t="s">
        <v>1528</v>
      </c>
      <c r="N507" s="101">
        <v>1</v>
      </c>
      <c r="O507" s="101">
        <v>60</v>
      </c>
      <c r="P507" s="102">
        <v>60</v>
      </c>
      <c r="Q507" s="98">
        <f>N507*(F507+G507)</f>
        <v>4</v>
      </c>
      <c r="R507" s="98">
        <v>5</v>
      </c>
      <c r="S507" s="80" t="s">
        <v>1498</v>
      </c>
      <c r="T507" s="81" t="s">
        <v>1580</v>
      </c>
      <c r="U507" s="80"/>
    </row>
    <row r="508" spans="2:21" s="4" customFormat="1">
      <c r="B508" s="44" t="s">
        <v>1646</v>
      </c>
      <c r="C508" s="44" t="s">
        <v>1485</v>
      </c>
      <c r="D508" s="3" t="s">
        <v>449</v>
      </c>
      <c r="E508" s="80" t="s">
        <v>329</v>
      </c>
      <c r="F508" s="81">
        <v>2</v>
      </c>
      <c r="G508" s="81">
        <v>1</v>
      </c>
      <c r="H508" s="81">
        <v>3</v>
      </c>
      <c r="I508" s="101" t="s">
        <v>71</v>
      </c>
      <c r="J508" s="97" t="s">
        <v>71</v>
      </c>
      <c r="K508" s="80" t="s">
        <v>450</v>
      </c>
      <c r="L508" s="101" t="s">
        <v>1488</v>
      </c>
      <c r="M508" s="97" t="s">
        <v>1562</v>
      </c>
      <c r="N508" s="101">
        <v>2</v>
      </c>
      <c r="O508" s="101">
        <v>90</v>
      </c>
      <c r="P508" s="102">
        <v>180</v>
      </c>
      <c r="Q508" s="98">
        <f>N508*(F508+G508)</f>
        <v>6</v>
      </c>
      <c r="R508" s="98">
        <v>6</v>
      </c>
      <c r="S508" s="80"/>
      <c r="T508" s="81"/>
      <c r="U508" s="80"/>
    </row>
    <row r="509" spans="2:21" s="4" customFormat="1">
      <c r="B509" s="44" t="s">
        <v>1646</v>
      </c>
      <c r="C509" s="44" t="s">
        <v>1485</v>
      </c>
      <c r="D509" s="3" t="s">
        <v>449</v>
      </c>
      <c r="E509" s="80" t="s">
        <v>329</v>
      </c>
      <c r="F509" s="81">
        <v>2</v>
      </c>
      <c r="G509" s="81">
        <v>1</v>
      </c>
      <c r="H509" s="81">
        <v>3</v>
      </c>
      <c r="I509" s="101" t="s">
        <v>71</v>
      </c>
      <c r="J509" s="97" t="s">
        <v>71</v>
      </c>
      <c r="K509" s="80" t="s">
        <v>450</v>
      </c>
      <c r="L509" s="101" t="s">
        <v>1491</v>
      </c>
      <c r="M509" s="97" t="s">
        <v>1562</v>
      </c>
      <c r="N509" s="101">
        <v>2</v>
      </c>
      <c r="O509" s="101">
        <v>90</v>
      </c>
      <c r="P509" s="102">
        <v>180</v>
      </c>
      <c r="Q509" s="98">
        <f>N509*(F509+G509)</f>
        <v>6</v>
      </c>
      <c r="R509" s="98">
        <v>6</v>
      </c>
      <c r="S509" s="80"/>
      <c r="T509" s="81"/>
      <c r="U509" s="80"/>
    </row>
    <row r="510" spans="2:21" s="4" customFormat="1">
      <c r="B510" s="44" t="s">
        <v>1646</v>
      </c>
      <c r="C510" s="44" t="s">
        <v>1485</v>
      </c>
      <c r="D510" s="3" t="s">
        <v>449</v>
      </c>
      <c r="E510" s="80" t="s">
        <v>329</v>
      </c>
      <c r="F510" s="81">
        <v>2</v>
      </c>
      <c r="G510" s="81">
        <v>1</v>
      </c>
      <c r="H510" s="81">
        <v>3</v>
      </c>
      <c r="I510" s="101" t="s">
        <v>71</v>
      </c>
      <c r="J510" s="97" t="s">
        <v>71</v>
      </c>
      <c r="K510" s="80" t="s">
        <v>450</v>
      </c>
      <c r="L510" s="101" t="s">
        <v>1488</v>
      </c>
      <c r="M510" s="97" t="s">
        <v>1528</v>
      </c>
      <c r="N510" s="101">
        <v>1</v>
      </c>
      <c r="O510" s="101">
        <v>90</v>
      </c>
      <c r="P510" s="102">
        <v>90</v>
      </c>
      <c r="Q510" s="98">
        <f>N510*(F510+G510)</f>
        <v>3</v>
      </c>
      <c r="R510" s="98">
        <v>3</v>
      </c>
      <c r="S510" s="80"/>
      <c r="T510" s="81"/>
      <c r="U510" s="80"/>
    </row>
    <row r="511" spans="2:21" s="4" customFormat="1">
      <c r="B511" s="44" t="s">
        <v>1646</v>
      </c>
      <c r="C511" s="44" t="s">
        <v>1485</v>
      </c>
      <c r="D511" s="3" t="s">
        <v>449</v>
      </c>
      <c r="E511" s="80" t="s">
        <v>329</v>
      </c>
      <c r="F511" s="81">
        <v>2</v>
      </c>
      <c r="G511" s="81">
        <v>1</v>
      </c>
      <c r="H511" s="81">
        <v>3</v>
      </c>
      <c r="I511" s="101" t="s">
        <v>71</v>
      </c>
      <c r="J511" s="97" t="s">
        <v>71</v>
      </c>
      <c r="K511" s="80" t="s">
        <v>450</v>
      </c>
      <c r="L511" s="101" t="s">
        <v>1491</v>
      </c>
      <c r="M511" s="97" t="s">
        <v>1528</v>
      </c>
      <c r="N511" s="101">
        <v>1</v>
      </c>
      <c r="O511" s="101">
        <v>60</v>
      </c>
      <c r="P511" s="102">
        <v>60</v>
      </c>
      <c r="Q511" s="98">
        <f>N511*(F511+G511)</f>
        <v>3</v>
      </c>
      <c r="R511" s="98">
        <v>3</v>
      </c>
      <c r="S511" s="80"/>
      <c r="T511" s="81"/>
      <c r="U511" s="80"/>
    </row>
    <row r="512" spans="2:21" s="4" customFormat="1">
      <c r="B512" s="44" t="s">
        <v>1646</v>
      </c>
      <c r="C512" s="44" t="s">
        <v>1485</v>
      </c>
      <c r="D512" s="3" t="s">
        <v>462</v>
      </c>
      <c r="E512" s="80" t="s">
        <v>463</v>
      </c>
      <c r="F512" s="81">
        <v>0</v>
      </c>
      <c r="G512" s="81">
        <v>3</v>
      </c>
      <c r="H512" s="81">
        <v>5</v>
      </c>
      <c r="I512" s="101" t="s">
        <v>71</v>
      </c>
      <c r="J512" s="97" t="s">
        <v>71</v>
      </c>
      <c r="K512" s="80" t="s">
        <v>450</v>
      </c>
      <c r="L512" s="101" t="s">
        <v>1488</v>
      </c>
      <c r="M512" s="97" t="s">
        <v>1562</v>
      </c>
      <c r="N512" s="101">
        <v>2</v>
      </c>
      <c r="O512" s="101">
        <v>30</v>
      </c>
      <c r="P512" s="102">
        <v>60</v>
      </c>
      <c r="Q512" s="98">
        <f>N512*(F512+G512)</f>
        <v>6</v>
      </c>
      <c r="R512" s="98">
        <v>6</v>
      </c>
      <c r="S512" s="80" t="s">
        <v>1498</v>
      </c>
      <c r="T512" s="81" t="s">
        <v>1490</v>
      </c>
      <c r="U512" s="80"/>
    </row>
    <row r="513" spans="2:21" s="4" customFormat="1">
      <c r="B513" s="44" t="s">
        <v>1646</v>
      </c>
      <c r="C513" s="44" t="s">
        <v>1485</v>
      </c>
      <c r="D513" s="3" t="s">
        <v>462</v>
      </c>
      <c r="E513" s="80" t="s">
        <v>463</v>
      </c>
      <c r="F513" s="81">
        <v>0</v>
      </c>
      <c r="G513" s="81">
        <v>3</v>
      </c>
      <c r="H513" s="81">
        <v>5</v>
      </c>
      <c r="I513" s="101" t="s">
        <v>71</v>
      </c>
      <c r="J513" s="97" t="s">
        <v>71</v>
      </c>
      <c r="K513" s="80" t="s">
        <v>450</v>
      </c>
      <c r="L513" s="101" t="s">
        <v>1491</v>
      </c>
      <c r="M513" s="97" t="s">
        <v>1562</v>
      </c>
      <c r="N513" s="101">
        <v>3</v>
      </c>
      <c r="O513" s="101">
        <v>30</v>
      </c>
      <c r="P513" s="102">
        <v>90</v>
      </c>
      <c r="Q513" s="98">
        <f>N513*(F513+G513)</f>
        <v>9</v>
      </c>
      <c r="R513" s="98">
        <v>9</v>
      </c>
      <c r="S513" s="80" t="s">
        <v>1498</v>
      </c>
      <c r="T513" s="81" t="s">
        <v>1490</v>
      </c>
      <c r="U513" s="80"/>
    </row>
    <row r="514" spans="2:21" s="4" customFormat="1">
      <c r="B514" s="44" t="s">
        <v>1646</v>
      </c>
      <c r="C514" s="44" t="s">
        <v>1485</v>
      </c>
      <c r="D514" s="3" t="s">
        <v>464</v>
      </c>
      <c r="E514" s="80" t="s">
        <v>465</v>
      </c>
      <c r="F514" s="81">
        <v>0</v>
      </c>
      <c r="G514" s="81">
        <v>3</v>
      </c>
      <c r="H514" s="81">
        <v>5</v>
      </c>
      <c r="I514" s="101" t="s">
        <v>71</v>
      </c>
      <c r="J514" s="97" t="s">
        <v>71</v>
      </c>
      <c r="K514" s="80" t="s">
        <v>450</v>
      </c>
      <c r="L514" s="101" t="s">
        <v>1488</v>
      </c>
      <c r="M514" s="97" t="s">
        <v>1562</v>
      </c>
      <c r="N514" s="101">
        <v>2</v>
      </c>
      <c r="O514" s="101">
        <v>30</v>
      </c>
      <c r="P514" s="102">
        <v>60</v>
      </c>
      <c r="Q514" s="98">
        <f>N514*(F514+G514)</f>
        <v>6</v>
      </c>
      <c r="R514" s="98">
        <v>6</v>
      </c>
      <c r="S514" s="80" t="s">
        <v>1498</v>
      </c>
      <c r="T514" s="81" t="s">
        <v>1490</v>
      </c>
      <c r="U514" s="80"/>
    </row>
    <row r="515" spans="2:21" s="4" customFormat="1">
      <c r="B515" s="44" t="s">
        <v>1646</v>
      </c>
      <c r="C515" s="44" t="s">
        <v>1485</v>
      </c>
      <c r="D515" s="3" t="s">
        <v>464</v>
      </c>
      <c r="E515" s="80" t="s">
        <v>465</v>
      </c>
      <c r="F515" s="81">
        <v>0</v>
      </c>
      <c r="G515" s="81">
        <v>3</v>
      </c>
      <c r="H515" s="81">
        <v>5</v>
      </c>
      <c r="I515" s="101" t="s">
        <v>71</v>
      </c>
      <c r="J515" s="97" t="s">
        <v>71</v>
      </c>
      <c r="K515" s="80" t="s">
        <v>450</v>
      </c>
      <c r="L515" s="101" t="s">
        <v>1491</v>
      </c>
      <c r="M515" s="97" t="s">
        <v>1562</v>
      </c>
      <c r="N515" s="101">
        <v>3</v>
      </c>
      <c r="O515" s="101">
        <v>30</v>
      </c>
      <c r="P515" s="102">
        <v>90</v>
      </c>
      <c r="Q515" s="98">
        <f>N515*(F515+G515)</f>
        <v>9</v>
      </c>
      <c r="R515" s="98">
        <v>9</v>
      </c>
      <c r="S515" s="80" t="s">
        <v>1498</v>
      </c>
      <c r="T515" s="81" t="s">
        <v>1490</v>
      </c>
      <c r="U515" s="80"/>
    </row>
    <row r="516" spans="2:21" s="4" customFormat="1">
      <c r="B516" s="44" t="s">
        <v>1646</v>
      </c>
      <c r="C516" s="44" t="s">
        <v>1485</v>
      </c>
      <c r="D516" s="3" t="s">
        <v>648</v>
      </c>
      <c r="E516" s="80" t="s">
        <v>237</v>
      </c>
      <c r="F516" s="81">
        <v>1</v>
      </c>
      <c r="G516" s="81">
        <v>3</v>
      </c>
      <c r="H516" s="81">
        <v>4</v>
      </c>
      <c r="I516" s="101" t="s">
        <v>71</v>
      </c>
      <c r="J516" s="97" t="s">
        <v>71</v>
      </c>
      <c r="K516" s="80" t="s">
        <v>76</v>
      </c>
      <c r="L516" s="101" t="s">
        <v>1488</v>
      </c>
      <c r="M516" s="97" t="s">
        <v>1562</v>
      </c>
      <c r="N516" s="101">
        <v>3</v>
      </c>
      <c r="O516" s="101">
        <v>30</v>
      </c>
      <c r="P516" s="102">
        <v>90</v>
      </c>
      <c r="Q516" s="98">
        <f>N516*(F516+G516)</f>
        <v>12</v>
      </c>
      <c r="R516" s="98">
        <v>12</v>
      </c>
      <c r="S516" s="80" t="s">
        <v>1581</v>
      </c>
      <c r="T516" s="81" t="s">
        <v>1490</v>
      </c>
      <c r="U516" s="80"/>
    </row>
    <row r="517" spans="2:21" s="4" customFormat="1">
      <c r="B517" s="44" t="s">
        <v>1646</v>
      </c>
      <c r="C517" s="44" t="s">
        <v>1485</v>
      </c>
      <c r="D517" s="3" t="s">
        <v>648</v>
      </c>
      <c r="E517" s="80" t="s">
        <v>237</v>
      </c>
      <c r="F517" s="81">
        <v>1</v>
      </c>
      <c r="G517" s="81">
        <v>3</v>
      </c>
      <c r="H517" s="81">
        <v>4</v>
      </c>
      <c r="I517" s="101" t="s">
        <v>71</v>
      </c>
      <c r="J517" s="97" t="s">
        <v>71</v>
      </c>
      <c r="K517" s="80" t="s">
        <v>76</v>
      </c>
      <c r="L517" s="101" t="s">
        <v>1491</v>
      </c>
      <c r="M517" s="97" t="s">
        <v>1562</v>
      </c>
      <c r="N517" s="101">
        <v>3</v>
      </c>
      <c r="O517" s="101">
        <v>30</v>
      </c>
      <c r="P517" s="102">
        <v>90</v>
      </c>
      <c r="Q517" s="98">
        <f>N517*(F517+G517)</f>
        <v>12</v>
      </c>
      <c r="R517" s="98">
        <v>12</v>
      </c>
      <c r="S517" s="80" t="s">
        <v>1581</v>
      </c>
      <c r="T517" s="81" t="s">
        <v>1490</v>
      </c>
      <c r="U517" s="80"/>
    </row>
    <row r="518" spans="2:21" s="4" customFormat="1">
      <c r="B518" s="44" t="s">
        <v>1646</v>
      </c>
      <c r="C518" s="44" t="s">
        <v>1485</v>
      </c>
      <c r="D518" s="3" t="s">
        <v>648</v>
      </c>
      <c r="E518" s="80" t="s">
        <v>237</v>
      </c>
      <c r="F518" s="81">
        <v>1</v>
      </c>
      <c r="G518" s="81">
        <v>3</v>
      </c>
      <c r="H518" s="81">
        <v>4</v>
      </c>
      <c r="I518" s="101" t="s">
        <v>71</v>
      </c>
      <c r="J518" s="97" t="s">
        <v>71</v>
      </c>
      <c r="K518" s="80" t="s">
        <v>76</v>
      </c>
      <c r="L518" s="101" t="s">
        <v>1488</v>
      </c>
      <c r="M518" s="97" t="s">
        <v>1528</v>
      </c>
      <c r="N518" s="101">
        <v>1</v>
      </c>
      <c r="O518" s="101">
        <v>30</v>
      </c>
      <c r="P518" s="102">
        <v>30</v>
      </c>
      <c r="Q518" s="98">
        <f>N518*(F518+G518)</f>
        <v>4</v>
      </c>
      <c r="R518" s="98">
        <v>4</v>
      </c>
      <c r="S518" s="80" t="s">
        <v>1581</v>
      </c>
      <c r="T518" s="81" t="s">
        <v>1490</v>
      </c>
      <c r="U518" s="80"/>
    </row>
    <row r="519" spans="2:21" s="4" customFormat="1">
      <c r="B519" s="44" t="s">
        <v>1646</v>
      </c>
      <c r="C519" s="44" t="s">
        <v>1485</v>
      </c>
      <c r="D519" s="3" t="s">
        <v>648</v>
      </c>
      <c r="E519" s="80" t="s">
        <v>237</v>
      </c>
      <c r="F519" s="81">
        <v>1</v>
      </c>
      <c r="G519" s="81">
        <v>3</v>
      </c>
      <c r="H519" s="81">
        <v>4</v>
      </c>
      <c r="I519" s="101" t="s">
        <v>71</v>
      </c>
      <c r="J519" s="97" t="s">
        <v>71</v>
      </c>
      <c r="K519" s="80" t="s">
        <v>76</v>
      </c>
      <c r="L519" s="101" t="s">
        <v>1491</v>
      </c>
      <c r="M519" s="97" t="s">
        <v>1528</v>
      </c>
      <c r="N519" s="101">
        <v>1</v>
      </c>
      <c r="O519" s="101">
        <v>30</v>
      </c>
      <c r="P519" s="102">
        <v>30</v>
      </c>
      <c r="Q519" s="98">
        <f>N519*(F519+G519)</f>
        <v>4</v>
      </c>
      <c r="R519" s="98">
        <v>4</v>
      </c>
      <c r="S519" s="80" t="s">
        <v>1581</v>
      </c>
      <c r="T519" s="81" t="s">
        <v>1490</v>
      </c>
      <c r="U519" s="80"/>
    </row>
    <row r="520" spans="2:21" s="4" customFormat="1">
      <c r="B520" s="44" t="s">
        <v>1646</v>
      </c>
      <c r="C520" s="44" t="s">
        <v>1485</v>
      </c>
      <c r="D520" s="3" t="s">
        <v>765</v>
      </c>
      <c r="E520" s="80" t="s">
        <v>109</v>
      </c>
      <c r="F520" s="81">
        <v>3</v>
      </c>
      <c r="G520" s="81">
        <v>1</v>
      </c>
      <c r="H520" s="81">
        <v>5</v>
      </c>
      <c r="I520" s="101" t="s">
        <v>71</v>
      </c>
      <c r="J520" s="97" t="s">
        <v>71</v>
      </c>
      <c r="K520" s="80" t="s">
        <v>766</v>
      </c>
      <c r="L520" s="101" t="s">
        <v>1488</v>
      </c>
      <c r="M520" s="97" t="s">
        <v>1562</v>
      </c>
      <c r="N520" s="101">
        <v>2</v>
      </c>
      <c r="O520" s="101">
        <v>30</v>
      </c>
      <c r="P520" s="102">
        <v>60</v>
      </c>
      <c r="Q520" s="98">
        <f>N520*(F520+G520)</f>
        <v>8</v>
      </c>
      <c r="R520" s="98">
        <v>10</v>
      </c>
      <c r="S520" s="80" t="s">
        <v>1498</v>
      </c>
      <c r="T520" s="81" t="s">
        <v>1580</v>
      </c>
      <c r="U520" s="80"/>
    </row>
    <row r="521" spans="2:21" s="4" customFormat="1">
      <c r="B521" s="44" t="s">
        <v>1646</v>
      </c>
      <c r="C521" s="44" t="s">
        <v>1485</v>
      </c>
      <c r="D521" s="3" t="s">
        <v>765</v>
      </c>
      <c r="E521" s="80" t="s">
        <v>109</v>
      </c>
      <c r="F521" s="81">
        <v>3</v>
      </c>
      <c r="G521" s="81">
        <v>1</v>
      </c>
      <c r="H521" s="81">
        <v>5</v>
      </c>
      <c r="I521" s="101" t="s">
        <v>71</v>
      </c>
      <c r="J521" s="97" t="s">
        <v>71</v>
      </c>
      <c r="K521" s="80" t="s">
        <v>766</v>
      </c>
      <c r="L521" s="101" t="s">
        <v>1491</v>
      </c>
      <c r="M521" s="97" t="s">
        <v>1562</v>
      </c>
      <c r="N521" s="101">
        <v>2</v>
      </c>
      <c r="O521" s="101">
        <v>30</v>
      </c>
      <c r="P521" s="102">
        <v>60</v>
      </c>
      <c r="Q521" s="98">
        <f>N521*(F521+G521)</f>
        <v>8</v>
      </c>
      <c r="R521" s="98">
        <v>10</v>
      </c>
      <c r="S521" s="80" t="s">
        <v>1498</v>
      </c>
      <c r="T521" s="81" t="s">
        <v>1580</v>
      </c>
      <c r="U521" s="80"/>
    </row>
    <row r="522" spans="2:21" s="4" customFormat="1">
      <c r="B522" s="44" t="s">
        <v>1646</v>
      </c>
      <c r="C522" s="44" t="s">
        <v>1485</v>
      </c>
      <c r="D522" s="3" t="s">
        <v>765</v>
      </c>
      <c r="E522" s="80" t="s">
        <v>109</v>
      </c>
      <c r="F522" s="81">
        <v>3</v>
      </c>
      <c r="G522" s="81">
        <v>1</v>
      </c>
      <c r="H522" s="81">
        <v>5</v>
      </c>
      <c r="I522" s="101" t="s">
        <v>71</v>
      </c>
      <c r="J522" s="97" t="s">
        <v>71</v>
      </c>
      <c r="K522" s="80" t="s">
        <v>766</v>
      </c>
      <c r="L522" s="101" t="s">
        <v>1491</v>
      </c>
      <c r="M522" s="97" t="s">
        <v>1528</v>
      </c>
      <c r="N522" s="101">
        <v>1</v>
      </c>
      <c r="O522" s="101">
        <v>30</v>
      </c>
      <c r="P522" s="102">
        <v>30</v>
      </c>
      <c r="Q522" s="98">
        <f>N522*(F522+G522)</f>
        <v>4</v>
      </c>
      <c r="R522" s="98">
        <v>4</v>
      </c>
      <c r="S522" s="80" t="s">
        <v>1498</v>
      </c>
      <c r="T522" s="81" t="s">
        <v>1580</v>
      </c>
      <c r="U522" s="80"/>
    </row>
    <row r="523" spans="2:21" s="4" customFormat="1">
      <c r="B523" s="44" t="s">
        <v>1646</v>
      </c>
      <c r="C523" s="44" t="s">
        <v>1485</v>
      </c>
      <c r="D523" s="3" t="s">
        <v>806</v>
      </c>
      <c r="E523" s="80" t="s">
        <v>807</v>
      </c>
      <c r="F523" s="81">
        <v>2</v>
      </c>
      <c r="G523" s="81">
        <v>0</v>
      </c>
      <c r="H523" s="81">
        <v>4</v>
      </c>
      <c r="I523" s="101" t="s">
        <v>71</v>
      </c>
      <c r="J523" s="97" t="s">
        <v>71</v>
      </c>
      <c r="K523" s="80" t="s">
        <v>76</v>
      </c>
      <c r="L523" s="101" t="s">
        <v>1488</v>
      </c>
      <c r="M523" s="97" t="s">
        <v>1562</v>
      </c>
      <c r="N523" s="101">
        <v>2</v>
      </c>
      <c r="O523" s="101">
        <v>90</v>
      </c>
      <c r="P523" s="102">
        <v>180</v>
      </c>
      <c r="Q523" s="98">
        <f>N523*(F523+G523)</f>
        <v>4</v>
      </c>
      <c r="R523" s="98">
        <v>4</v>
      </c>
      <c r="S523" s="80"/>
      <c r="T523" s="81"/>
      <c r="U523" s="80"/>
    </row>
    <row r="524" spans="2:21" s="4" customFormat="1">
      <c r="B524" s="44" t="s">
        <v>1646</v>
      </c>
      <c r="C524" s="44" t="s">
        <v>1485</v>
      </c>
      <c r="D524" s="3" t="s">
        <v>806</v>
      </c>
      <c r="E524" s="80" t="s">
        <v>807</v>
      </c>
      <c r="F524" s="81">
        <v>2</v>
      </c>
      <c r="G524" s="81">
        <v>0</v>
      </c>
      <c r="H524" s="81">
        <v>4</v>
      </c>
      <c r="I524" s="101" t="s">
        <v>71</v>
      </c>
      <c r="J524" s="97" t="s">
        <v>71</v>
      </c>
      <c r="K524" s="80" t="s">
        <v>76</v>
      </c>
      <c r="L524" s="101" t="s">
        <v>1491</v>
      </c>
      <c r="M524" s="97" t="s">
        <v>1562</v>
      </c>
      <c r="N524" s="101">
        <v>2</v>
      </c>
      <c r="O524" s="101">
        <v>90</v>
      </c>
      <c r="P524" s="102">
        <v>180</v>
      </c>
      <c r="Q524" s="98">
        <f>N524*(F524+G524)</f>
        <v>4</v>
      </c>
      <c r="R524" s="98">
        <v>4</v>
      </c>
      <c r="S524" s="80"/>
      <c r="T524" s="81"/>
      <c r="U524" s="80"/>
    </row>
    <row r="525" spans="2:21">
      <c r="B525" s="44" t="s">
        <v>1646</v>
      </c>
      <c r="C525" s="44" t="s">
        <v>1485</v>
      </c>
      <c r="D525" s="3" t="s">
        <v>806</v>
      </c>
      <c r="E525" s="80" t="s">
        <v>807</v>
      </c>
      <c r="F525" s="81">
        <v>2</v>
      </c>
      <c r="G525" s="81">
        <v>0</v>
      </c>
      <c r="H525" s="81">
        <v>4</v>
      </c>
      <c r="I525" s="101" t="s">
        <v>71</v>
      </c>
      <c r="J525" s="97" t="s">
        <v>71</v>
      </c>
      <c r="K525" s="80" t="s">
        <v>76</v>
      </c>
      <c r="L525" s="101" t="s">
        <v>1488</v>
      </c>
      <c r="M525" s="97" t="s">
        <v>1528</v>
      </c>
      <c r="N525" s="101">
        <v>1</v>
      </c>
      <c r="O525" s="101">
        <v>90</v>
      </c>
      <c r="P525" s="102">
        <v>90</v>
      </c>
      <c r="Q525" s="98">
        <f>N525*(F525+G525)</f>
        <v>2</v>
      </c>
      <c r="R525" s="98">
        <v>2</v>
      </c>
      <c r="S525" s="80"/>
      <c r="T525" s="81"/>
      <c r="U525" s="80"/>
    </row>
    <row r="526" spans="2:21">
      <c r="B526" s="44" t="s">
        <v>1646</v>
      </c>
      <c r="C526" s="44" t="s">
        <v>1485</v>
      </c>
      <c r="D526" s="3" t="s">
        <v>806</v>
      </c>
      <c r="E526" s="80" t="s">
        <v>807</v>
      </c>
      <c r="F526" s="81">
        <v>2</v>
      </c>
      <c r="G526" s="81">
        <v>0</v>
      </c>
      <c r="H526" s="81">
        <v>4</v>
      </c>
      <c r="I526" s="101" t="s">
        <v>71</v>
      </c>
      <c r="J526" s="97" t="s">
        <v>71</v>
      </c>
      <c r="K526" s="80" t="s">
        <v>76</v>
      </c>
      <c r="L526" s="101" t="s">
        <v>1491</v>
      </c>
      <c r="M526" s="97" t="s">
        <v>1528</v>
      </c>
      <c r="N526" s="101">
        <v>1</v>
      </c>
      <c r="O526" s="101">
        <v>90</v>
      </c>
      <c r="P526" s="102">
        <v>90</v>
      </c>
      <c r="Q526" s="98">
        <f>N526*(F526+G526)</f>
        <v>2</v>
      </c>
      <c r="R526" s="98">
        <v>2</v>
      </c>
      <c r="S526" s="80"/>
      <c r="T526" s="81"/>
      <c r="U526" s="80"/>
    </row>
    <row r="527" spans="2:21">
      <c r="B527" s="44" t="s">
        <v>1646</v>
      </c>
      <c r="C527" s="44" t="s">
        <v>1485</v>
      </c>
      <c r="D527" s="3" t="s">
        <v>850</v>
      </c>
      <c r="E527" s="80" t="s">
        <v>851</v>
      </c>
      <c r="F527" s="81">
        <v>3</v>
      </c>
      <c r="G527" s="81">
        <v>1</v>
      </c>
      <c r="H527" s="81">
        <v>5</v>
      </c>
      <c r="I527" s="101" t="s">
        <v>71</v>
      </c>
      <c r="J527" s="97" t="s">
        <v>71</v>
      </c>
      <c r="K527" s="80" t="s">
        <v>76</v>
      </c>
      <c r="L527" s="101" t="s">
        <v>1488</v>
      </c>
      <c r="M527" s="97" t="s">
        <v>1562</v>
      </c>
      <c r="N527" s="101">
        <v>4</v>
      </c>
      <c r="O527" s="101">
        <v>60</v>
      </c>
      <c r="P527" s="102">
        <v>240</v>
      </c>
      <c r="Q527" s="98">
        <f>N527*(F527+G527)</f>
        <v>16</v>
      </c>
      <c r="R527" s="98">
        <v>20</v>
      </c>
      <c r="S527" s="80" t="s">
        <v>1498</v>
      </c>
      <c r="T527" s="81" t="s">
        <v>1580</v>
      </c>
      <c r="U527" s="80"/>
    </row>
    <row r="528" spans="2:21">
      <c r="B528" s="44" t="s">
        <v>1646</v>
      </c>
      <c r="C528" s="44" t="s">
        <v>1485</v>
      </c>
      <c r="D528" s="3" t="s">
        <v>850</v>
      </c>
      <c r="E528" s="80" t="s">
        <v>851</v>
      </c>
      <c r="F528" s="81">
        <v>3</v>
      </c>
      <c r="G528" s="81">
        <v>1</v>
      </c>
      <c r="H528" s="81">
        <v>5</v>
      </c>
      <c r="I528" s="101" t="s">
        <v>71</v>
      </c>
      <c r="J528" s="97" t="s">
        <v>71</v>
      </c>
      <c r="K528" s="80" t="s">
        <v>76</v>
      </c>
      <c r="L528" s="101" t="s">
        <v>1491</v>
      </c>
      <c r="M528" s="97" t="s">
        <v>1562</v>
      </c>
      <c r="N528" s="101">
        <v>2</v>
      </c>
      <c r="O528" s="101">
        <v>60</v>
      </c>
      <c r="P528" s="102">
        <v>120</v>
      </c>
      <c r="Q528" s="98">
        <f>N528*(F528+G528)</f>
        <v>8</v>
      </c>
      <c r="R528" s="98">
        <v>10</v>
      </c>
      <c r="S528" s="80" t="s">
        <v>1498</v>
      </c>
      <c r="T528" s="81" t="s">
        <v>1580</v>
      </c>
      <c r="U528" s="80"/>
    </row>
    <row r="529" spans="2:23">
      <c r="B529" s="44" t="s">
        <v>1646</v>
      </c>
      <c r="C529" s="44" t="s">
        <v>1485</v>
      </c>
      <c r="D529" s="3" t="s">
        <v>872</v>
      </c>
      <c r="E529" s="80" t="s">
        <v>270</v>
      </c>
      <c r="F529" s="81">
        <v>3</v>
      </c>
      <c r="G529" s="81">
        <v>1</v>
      </c>
      <c r="H529" s="81">
        <v>5</v>
      </c>
      <c r="I529" s="101" t="s">
        <v>71</v>
      </c>
      <c r="J529" s="97" t="s">
        <v>71</v>
      </c>
      <c r="K529" s="80" t="s">
        <v>584</v>
      </c>
      <c r="L529" s="101" t="s">
        <v>1488</v>
      </c>
      <c r="M529" s="97" t="s">
        <v>1562</v>
      </c>
      <c r="N529" s="101">
        <v>2</v>
      </c>
      <c r="O529" s="101">
        <v>90</v>
      </c>
      <c r="P529" s="102">
        <v>180</v>
      </c>
      <c r="Q529" s="98">
        <f>N529*(F529+G529)</f>
        <v>8</v>
      </c>
      <c r="R529" s="98">
        <v>8</v>
      </c>
      <c r="S529" s="80"/>
      <c r="T529" s="81"/>
      <c r="U529" s="80"/>
    </row>
    <row r="530" spans="2:23">
      <c r="B530" s="44" t="s">
        <v>1646</v>
      </c>
      <c r="C530" s="44" t="s">
        <v>1485</v>
      </c>
      <c r="D530" s="3" t="s">
        <v>872</v>
      </c>
      <c r="E530" s="80" t="s">
        <v>270</v>
      </c>
      <c r="F530" s="81">
        <v>3</v>
      </c>
      <c r="G530" s="81">
        <v>1</v>
      </c>
      <c r="H530" s="81">
        <v>5</v>
      </c>
      <c r="I530" s="101" t="s">
        <v>71</v>
      </c>
      <c r="J530" s="97" t="s">
        <v>71</v>
      </c>
      <c r="K530" s="80" t="s">
        <v>584</v>
      </c>
      <c r="L530" s="101" t="s">
        <v>1491</v>
      </c>
      <c r="M530" s="97" t="s">
        <v>1562</v>
      </c>
      <c r="N530" s="101">
        <v>2</v>
      </c>
      <c r="O530" s="101">
        <v>90</v>
      </c>
      <c r="P530" s="102">
        <v>180</v>
      </c>
      <c r="Q530" s="98">
        <f>N530*(F530+G530)</f>
        <v>8</v>
      </c>
      <c r="R530" s="98">
        <v>8</v>
      </c>
      <c r="S530" s="80"/>
      <c r="T530" s="81"/>
      <c r="U530" s="80"/>
    </row>
    <row r="531" spans="2:23">
      <c r="B531" s="44" t="s">
        <v>1646</v>
      </c>
      <c r="C531" s="44" t="s">
        <v>1485</v>
      </c>
      <c r="D531" s="3" t="s">
        <v>872</v>
      </c>
      <c r="E531" s="80" t="s">
        <v>270</v>
      </c>
      <c r="F531" s="81">
        <v>3</v>
      </c>
      <c r="G531" s="81">
        <v>1</v>
      </c>
      <c r="H531" s="81">
        <v>5</v>
      </c>
      <c r="I531" s="101" t="s">
        <v>71</v>
      </c>
      <c r="J531" s="97" t="s">
        <v>71</v>
      </c>
      <c r="K531" s="80" t="s">
        <v>584</v>
      </c>
      <c r="L531" s="101" t="s">
        <v>1491</v>
      </c>
      <c r="M531" s="97" t="s">
        <v>1528</v>
      </c>
      <c r="N531" s="101">
        <v>1</v>
      </c>
      <c r="O531" s="101">
        <v>90</v>
      </c>
      <c r="P531" s="102">
        <v>90</v>
      </c>
      <c r="Q531" s="98">
        <f>N531*(F531+G531)</f>
        <v>4</v>
      </c>
      <c r="R531" s="98">
        <v>4</v>
      </c>
      <c r="S531" s="80"/>
      <c r="T531" s="81"/>
      <c r="U531" s="80"/>
    </row>
    <row r="532" spans="2:23">
      <c r="B532" s="44" t="s">
        <v>1646</v>
      </c>
      <c r="C532" s="44" t="s">
        <v>1485</v>
      </c>
      <c r="D532" s="3" t="s">
        <v>875</v>
      </c>
      <c r="E532" s="80" t="s">
        <v>87</v>
      </c>
      <c r="F532" s="81">
        <v>3</v>
      </c>
      <c r="G532" s="81">
        <v>1</v>
      </c>
      <c r="H532" s="81">
        <v>5</v>
      </c>
      <c r="I532" s="101" t="s">
        <v>71</v>
      </c>
      <c r="J532" s="97" t="s">
        <v>71</v>
      </c>
      <c r="K532" s="80" t="s">
        <v>876</v>
      </c>
      <c r="L532" s="101" t="s">
        <v>1488</v>
      </c>
      <c r="M532" s="97" t="s">
        <v>1562</v>
      </c>
      <c r="N532" s="101">
        <v>2</v>
      </c>
      <c r="O532" s="101">
        <v>90</v>
      </c>
      <c r="P532" s="102">
        <v>180</v>
      </c>
      <c r="Q532" s="98">
        <f>N532*(F532+G532)</f>
        <v>8</v>
      </c>
      <c r="R532" s="98">
        <v>8</v>
      </c>
      <c r="S532" s="80"/>
      <c r="T532" s="81"/>
      <c r="U532" s="80"/>
    </row>
    <row r="533" spans="2:23">
      <c r="B533" s="44" t="s">
        <v>1646</v>
      </c>
      <c r="C533" s="44" t="s">
        <v>1485</v>
      </c>
      <c r="D533" s="3" t="s">
        <v>875</v>
      </c>
      <c r="E533" s="80" t="s">
        <v>87</v>
      </c>
      <c r="F533" s="81">
        <v>3</v>
      </c>
      <c r="G533" s="81">
        <v>1</v>
      </c>
      <c r="H533" s="81">
        <v>5</v>
      </c>
      <c r="I533" s="101" t="s">
        <v>71</v>
      </c>
      <c r="J533" s="97" t="s">
        <v>71</v>
      </c>
      <c r="K533" s="80" t="s">
        <v>876</v>
      </c>
      <c r="L533" s="101" t="s">
        <v>1491</v>
      </c>
      <c r="M533" s="97" t="s">
        <v>1562</v>
      </c>
      <c r="N533" s="101">
        <v>2</v>
      </c>
      <c r="O533" s="101">
        <v>90</v>
      </c>
      <c r="P533" s="102">
        <v>180</v>
      </c>
      <c r="Q533" s="98">
        <f>N533*(F533+G533)</f>
        <v>8</v>
      </c>
      <c r="R533" s="98">
        <v>8</v>
      </c>
      <c r="S533" s="80"/>
      <c r="T533" s="81"/>
      <c r="U533" s="80"/>
    </row>
    <row r="534" spans="2:23" s="4" customFormat="1">
      <c r="B534" s="44" t="s">
        <v>1646</v>
      </c>
      <c r="C534" s="44" t="s">
        <v>1485</v>
      </c>
      <c r="D534" s="3" t="s">
        <v>875</v>
      </c>
      <c r="E534" s="80" t="s">
        <v>87</v>
      </c>
      <c r="F534" s="81">
        <v>3</v>
      </c>
      <c r="G534" s="81">
        <v>1</v>
      </c>
      <c r="H534" s="81">
        <v>5</v>
      </c>
      <c r="I534" s="101" t="s">
        <v>71</v>
      </c>
      <c r="J534" s="97" t="s">
        <v>71</v>
      </c>
      <c r="K534" s="80" t="s">
        <v>876</v>
      </c>
      <c r="L534" s="101" t="s">
        <v>1491</v>
      </c>
      <c r="M534" s="97" t="s">
        <v>1528</v>
      </c>
      <c r="N534" s="101">
        <v>1</v>
      </c>
      <c r="O534" s="101">
        <v>90</v>
      </c>
      <c r="P534" s="102">
        <v>90</v>
      </c>
      <c r="Q534" s="98">
        <f>N534*(F534+G534)</f>
        <v>4</v>
      </c>
      <c r="R534" s="98">
        <v>4</v>
      </c>
      <c r="S534" s="80"/>
      <c r="T534" s="81"/>
      <c r="U534" s="80"/>
    </row>
    <row r="535" spans="2:23" s="4" customFormat="1">
      <c r="B535" s="44" t="s">
        <v>1646</v>
      </c>
      <c r="C535" s="44" t="s">
        <v>1485</v>
      </c>
      <c r="D535" s="3" t="s">
        <v>910</v>
      </c>
      <c r="E535" s="80" t="s">
        <v>911</v>
      </c>
      <c r="F535" s="81">
        <v>0</v>
      </c>
      <c r="G535" s="81">
        <v>3</v>
      </c>
      <c r="H535" s="81">
        <v>2</v>
      </c>
      <c r="I535" s="101" t="s">
        <v>71</v>
      </c>
      <c r="J535" s="97" t="s">
        <v>71</v>
      </c>
      <c r="K535" s="80" t="s">
        <v>912</v>
      </c>
      <c r="L535" s="101" t="s">
        <v>1488</v>
      </c>
      <c r="M535" s="97" t="s">
        <v>1562</v>
      </c>
      <c r="N535" s="101">
        <v>4</v>
      </c>
      <c r="O535" s="101">
        <v>30</v>
      </c>
      <c r="P535" s="102">
        <v>120</v>
      </c>
      <c r="Q535" s="98">
        <f>N535*(F535+G535)</f>
        <v>12</v>
      </c>
      <c r="R535" s="98">
        <v>12</v>
      </c>
      <c r="S535" s="80" t="s">
        <v>1498</v>
      </c>
      <c r="T535" s="81" t="s">
        <v>1490</v>
      </c>
      <c r="U535" s="80"/>
    </row>
    <row r="536" spans="2:23" s="4" customFormat="1">
      <c r="B536" s="44" t="s">
        <v>1646</v>
      </c>
      <c r="C536" s="44" t="s">
        <v>1485</v>
      </c>
      <c r="D536" s="3" t="s">
        <v>910</v>
      </c>
      <c r="E536" s="80" t="s">
        <v>911</v>
      </c>
      <c r="F536" s="81">
        <v>0</v>
      </c>
      <c r="G536" s="81">
        <v>3</v>
      </c>
      <c r="H536" s="81">
        <v>2</v>
      </c>
      <c r="I536" s="101" t="s">
        <v>71</v>
      </c>
      <c r="J536" s="97" t="s">
        <v>71</v>
      </c>
      <c r="K536" s="80" t="s">
        <v>912</v>
      </c>
      <c r="L536" s="101" t="s">
        <v>1491</v>
      </c>
      <c r="M536" s="97" t="s">
        <v>1562</v>
      </c>
      <c r="N536" s="101">
        <v>4</v>
      </c>
      <c r="O536" s="101">
        <v>30</v>
      </c>
      <c r="P536" s="102">
        <v>120</v>
      </c>
      <c r="Q536" s="98">
        <f>N536*(F536+G536)</f>
        <v>12</v>
      </c>
      <c r="R536" s="98">
        <v>12</v>
      </c>
      <c r="S536" s="80" t="s">
        <v>1498</v>
      </c>
      <c r="T536" s="81" t="s">
        <v>1490</v>
      </c>
      <c r="U536" s="80"/>
    </row>
    <row r="537" spans="2:23" s="4" customFormat="1">
      <c r="B537" s="44" t="s">
        <v>1646</v>
      </c>
      <c r="C537" s="44" t="s">
        <v>1485</v>
      </c>
      <c r="D537" s="3" t="s">
        <v>910</v>
      </c>
      <c r="E537" s="80" t="s">
        <v>911</v>
      </c>
      <c r="F537" s="81">
        <v>0</v>
      </c>
      <c r="G537" s="81">
        <v>3</v>
      </c>
      <c r="H537" s="81">
        <v>2</v>
      </c>
      <c r="I537" s="101" t="s">
        <v>71</v>
      </c>
      <c r="J537" s="97" t="s">
        <v>71</v>
      </c>
      <c r="K537" s="80" t="s">
        <v>912</v>
      </c>
      <c r="L537" s="101" t="s">
        <v>1488</v>
      </c>
      <c r="M537" s="97" t="s">
        <v>1528</v>
      </c>
      <c r="N537" s="101">
        <v>1</v>
      </c>
      <c r="O537" s="101">
        <v>30</v>
      </c>
      <c r="P537" s="102">
        <v>30</v>
      </c>
      <c r="Q537" s="98">
        <f>N537*(F537+G537)</f>
        <v>3</v>
      </c>
      <c r="R537" s="98">
        <v>3</v>
      </c>
      <c r="S537" s="80" t="s">
        <v>1498</v>
      </c>
      <c r="T537" s="81" t="s">
        <v>1490</v>
      </c>
      <c r="U537" s="80"/>
    </row>
    <row r="538" spans="2:23" s="4" customFormat="1">
      <c r="B538" s="44" t="s">
        <v>1646</v>
      </c>
      <c r="C538" s="44" t="s">
        <v>1485</v>
      </c>
      <c r="D538" s="3" t="s">
        <v>910</v>
      </c>
      <c r="E538" s="80" t="s">
        <v>911</v>
      </c>
      <c r="F538" s="81">
        <v>0</v>
      </c>
      <c r="G538" s="81">
        <v>3</v>
      </c>
      <c r="H538" s="81">
        <v>2</v>
      </c>
      <c r="I538" s="101" t="s">
        <v>71</v>
      </c>
      <c r="J538" s="97" t="s">
        <v>71</v>
      </c>
      <c r="K538" s="80" t="s">
        <v>912</v>
      </c>
      <c r="L538" s="101" t="s">
        <v>1491</v>
      </c>
      <c r="M538" s="97" t="s">
        <v>1528</v>
      </c>
      <c r="N538" s="101">
        <v>1</v>
      </c>
      <c r="O538" s="101">
        <v>30</v>
      </c>
      <c r="P538" s="102">
        <v>30</v>
      </c>
      <c r="Q538" s="98">
        <f>N538*(F538+G538)</f>
        <v>3</v>
      </c>
      <c r="R538" s="98">
        <v>3</v>
      </c>
      <c r="S538" s="80" t="s">
        <v>1498</v>
      </c>
      <c r="T538" s="81" t="s">
        <v>1490</v>
      </c>
      <c r="U538" s="80"/>
    </row>
    <row r="539" spans="2:23" s="4" customFormat="1">
      <c r="B539" s="44" t="s">
        <v>1646</v>
      </c>
      <c r="C539" s="44" t="s">
        <v>1485</v>
      </c>
      <c r="D539" s="3" t="s">
        <v>1306</v>
      </c>
      <c r="E539" s="80" t="s">
        <v>1307</v>
      </c>
      <c r="F539" s="81">
        <v>3</v>
      </c>
      <c r="G539" s="81">
        <v>1</v>
      </c>
      <c r="H539" s="81">
        <v>5</v>
      </c>
      <c r="I539" s="101" t="s">
        <v>71</v>
      </c>
      <c r="J539" s="97" t="s">
        <v>71</v>
      </c>
      <c r="K539" s="80" t="s">
        <v>584</v>
      </c>
      <c r="L539" s="101" t="s">
        <v>1488</v>
      </c>
      <c r="M539" s="97" t="s">
        <v>1562</v>
      </c>
      <c r="N539" s="101">
        <v>2</v>
      </c>
      <c r="O539" s="101">
        <v>90</v>
      </c>
      <c r="P539" s="102">
        <v>180</v>
      </c>
      <c r="Q539" s="98">
        <f>N539*(F539+G539)</f>
        <v>8</v>
      </c>
      <c r="R539" s="98">
        <v>8</v>
      </c>
      <c r="S539" s="80"/>
      <c r="T539" s="81"/>
      <c r="U539" s="80"/>
    </row>
    <row r="540" spans="2:23" s="4" customFormat="1">
      <c r="B540" s="44" t="s">
        <v>1646</v>
      </c>
      <c r="C540" s="44" t="s">
        <v>1485</v>
      </c>
      <c r="D540" s="3" t="s">
        <v>1306</v>
      </c>
      <c r="E540" s="80" t="s">
        <v>1307</v>
      </c>
      <c r="F540" s="81">
        <v>3</v>
      </c>
      <c r="G540" s="81">
        <v>1</v>
      </c>
      <c r="H540" s="81">
        <v>5</v>
      </c>
      <c r="I540" s="101" t="s">
        <v>71</v>
      </c>
      <c r="J540" s="97" t="s">
        <v>71</v>
      </c>
      <c r="K540" s="80" t="s">
        <v>584</v>
      </c>
      <c r="L540" s="101" t="s">
        <v>1491</v>
      </c>
      <c r="M540" s="97" t="s">
        <v>1562</v>
      </c>
      <c r="N540" s="101">
        <v>2</v>
      </c>
      <c r="O540" s="101">
        <v>90</v>
      </c>
      <c r="P540" s="102">
        <v>180</v>
      </c>
      <c r="Q540" s="98">
        <f>N540*(F540+G540)</f>
        <v>8</v>
      </c>
      <c r="R540" s="98">
        <v>8</v>
      </c>
      <c r="S540" s="80"/>
      <c r="T540" s="81"/>
      <c r="U540" s="80"/>
    </row>
    <row r="541" spans="2:23" s="4" customFormat="1">
      <c r="B541" s="44" t="s">
        <v>1646</v>
      </c>
      <c r="C541" s="44" t="s">
        <v>1485</v>
      </c>
      <c r="D541" s="3" t="s">
        <v>1306</v>
      </c>
      <c r="E541" s="80" t="s">
        <v>1307</v>
      </c>
      <c r="F541" s="81">
        <v>3</v>
      </c>
      <c r="G541" s="81">
        <v>1</v>
      </c>
      <c r="H541" s="81">
        <v>5</v>
      </c>
      <c r="I541" s="101" t="s">
        <v>71</v>
      </c>
      <c r="J541" s="97" t="s">
        <v>71</v>
      </c>
      <c r="K541" s="80" t="s">
        <v>584</v>
      </c>
      <c r="L541" s="101" t="s">
        <v>1488</v>
      </c>
      <c r="M541" s="97" t="s">
        <v>1528</v>
      </c>
      <c r="N541" s="101">
        <v>1</v>
      </c>
      <c r="O541" s="101">
        <v>90</v>
      </c>
      <c r="P541" s="102">
        <v>90</v>
      </c>
      <c r="Q541" s="98">
        <f>N541*(F541+G541)</f>
        <v>4</v>
      </c>
      <c r="R541" s="98">
        <v>4</v>
      </c>
      <c r="S541" s="80"/>
      <c r="T541" s="81"/>
      <c r="U541" s="80"/>
    </row>
    <row r="542" spans="2:23" s="4" customFormat="1">
      <c r="B542" s="43" t="s">
        <v>60</v>
      </c>
      <c r="C542" s="43" t="s">
        <v>36</v>
      </c>
      <c r="D542" s="3" t="s">
        <v>1033</v>
      </c>
      <c r="E542" s="80" t="s">
        <v>1034</v>
      </c>
      <c r="F542" s="81">
        <v>3</v>
      </c>
      <c r="G542" s="81">
        <v>0</v>
      </c>
      <c r="H542" s="81">
        <v>4</v>
      </c>
      <c r="I542" s="101" t="s">
        <v>71</v>
      </c>
      <c r="J542" s="97" t="s">
        <v>71</v>
      </c>
      <c r="K542" s="101" t="s">
        <v>76</v>
      </c>
      <c r="L542" s="80" t="s">
        <v>1488</v>
      </c>
      <c r="M542" s="97" t="s">
        <v>1562</v>
      </c>
      <c r="N542" s="97">
        <v>1</v>
      </c>
      <c r="O542" s="101">
        <v>20</v>
      </c>
      <c r="P542" s="101">
        <v>20</v>
      </c>
      <c r="Q542" s="98">
        <f>N542*(F542+G542)</f>
        <v>3</v>
      </c>
      <c r="R542" s="98">
        <v>3</v>
      </c>
      <c r="S542" s="98"/>
      <c r="T542" s="98"/>
      <c r="U542" s="80"/>
      <c r="V542" s="78"/>
      <c r="W542" s="78"/>
    </row>
    <row r="543" spans="2:23" s="4" customFormat="1">
      <c r="B543" s="43" t="s">
        <v>60</v>
      </c>
      <c r="C543" s="43" t="s">
        <v>36</v>
      </c>
      <c r="D543" s="3" t="s">
        <v>1033</v>
      </c>
      <c r="E543" s="80" t="s">
        <v>1034</v>
      </c>
      <c r="F543" s="81">
        <v>3</v>
      </c>
      <c r="G543" s="81">
        <v>0</v>
      </c>
      <c r="H543" s="81">
        <v>4</v>
      </c>
      <c r="I543" s="101" t="s">
        <v>71</v>
      </c>
      <c r="J543" s="97" t="s">
        <v>71</v>
      </c>
      <c r="K543" s="101" t="s">
        <v>76</v>
      </c>
      <c r="L543" s="80" t="s">
        <v>1491</v>
      </c>
      <c r="M543" s="97" t="s">
        <v>1562</v>
      </c>
      <c r="N543" s="97">
        <v>1</v>
      </c>
      <c r="O543" s="101">
        <v>20</v>
      </c>
      <c r="P543" s="101">
        <v>20</v>
      </c>
      <c r="Q543" s="98">
        <f>N543*(F543+G543)</f>
        <v>3</v>
      </c>
      <c r="R543" s="98">
        <v>3</v>
      </c>
      <c r="S543" s="98"/>
      <c r="T543" s="98"/>
      <c r="U543" s="80"/>
      <c r="V543" s="78"/>
      <c r="W543" s="78"/>
    </row>
    <row r="544" spans="2:23" s="4" customFormat="1">
      <c r="B544" s="43" t="s">
        <v>60</v>
      </c>
      <c r="C544" s="43" t="s">
        <v>36</v>
      </c>
      <c r="D544" s="3" t="s">
        <v>1025</v>
      </c>
      <c r="E544" s="80" t="s">
        <v>1026</v>
      </c>
      <c r="F544" s="81">
        <v>4</v>
      </c>
      <c r="G544" s="81">
        <v>0</v>
      </c>
      <c r="H544" s="81">
        <v>4</v>
      </c>
      <c r="I544" s="101" t="s">
        <v>71</v>
      </c>
      <c r="J544" s="97" t="s">
        <v>71</v>
      </c>
      <c r="K544" s="101" t="s">
        <v>76</v>
      </c>
      <c r="L544" s="80" t="s">
        <v>1488</v>
      </c>
      <c r="M544" s="97" t="s">
        <v>1562</v>
      </c>
      <c r="N544" s="97">
        <v>1</v>
      </c>
      <c r="O544" s="101">
        <v>20</v>
      </c>
      <c r="P544" s="101">
        <v>20</v>
      </c>
      <c r="Q544" s="98">
        <f>N544*(F544+G544)</f>
        <v>4</v>
      </c>
      <c r="R544" s="98">
        <v>4</v>
      </c>
      <c r="S544" s="98"/>
      <c r="T544" s="98"/>
      <c r="U544" s="80"/>
      <c r="V544" s="78"/>
      <c r="W544" s="78"/>
    </row>
    <row r="545" spans="2:23" s="4" customFormat="1">
      <c r="B545" s="43" t="s">
        <v>60</v>
      </c>
      <c r="C545" s="43" t="s">
        <v>36</v>
      </c>
      <c r="D545" s="3" t="s">
        <v>1726</v>
      </c>
      <c r="E545" s="80" t="s">
        <v>409</v>
      </c>
      <c r="F545" s="81">
        <v>2</v>
      </c>
      <c r="G545" s="81">
        <v>0</v>
      </c>
      <c r="H545" s="81">
        <v>4</v>
      </c>
      <c r="I545" s="101" t="s">
        <v>73</v>
      </c>
      <c r="J545" s="97" t="s">
        <v>73</v>
      </c>
      <c r="K545" s="101" t="s">
        <v>76</v>
      </c>
      <c r="L545" s="80" t="s">
        <v>1488</v>
      </c>
      <c r="M545" s="97" t="s">
        <v>1528</v>
      </c>
      <c r="N545" s="97">
        <v>2</v>
      </c>
      <c r="O545" s="101">
        <v>40</v>
      </c>
      <c r="P545" s="101">
        <v>80</v>
      </c>
      <c r="Q545" s="98">
        <f>N545*(F545+G545)</f>
        <v>4</v>
      </c>
      <c r="R545" s="98">
        <v>4</v>
      </c>
      <c r="S545" s="98"/>
      <c r="T545" s="98"/>
      <c r="U545" s="80"/>
      <c r="V545" s="78"/>
      <c r="W545" s="78"/>
    </row>
    <row r="546" spans="2:23" s="4" customFormat="1">
      <c r="B546" s="117" t="s">
        <v>1727</v>
      </c>
      <c r="C546" s="117" t="s">
        <v>1728</v>
      </c>
      <c r="D546" s="3" t="s">
        <v>531</v>
      </c>
      <c r="E546" s="80" t="s">
        <v>532</v>
      </c>
      <c r="F546" s="81">
        <v>4</v>
      </c>
      <c r="G546" s="81">
        <v>0</v>
      </c>
      <c r="H546" s="81">
        <v>4</v>
      </c>
      <c r="I546" s="101" t="s">
        <v>71</v>
      </c>
      <c r="J546" s="97" t="s">
        <v>71</v>
      </c>
      <c r="K546" s="101" t="s">
        <v>76</v>
      </c>
      <c r="L546" s="80" t="s">
        <v>1488</v>
      </c>
      <c r="M546" s="97" t="s">
        <v>1528</v>
      </c>
      <c r="N546" s="97">
        <v>1</v>
      </c>
      <c r="O546" s="101">
        <v>20</v>
      </c>
      <c r="P546" s="101">
        <v>20</v>
      </c>
      <c r="Q546" s="98">
        <f>N546*(F546+G546)</f>
        <v>4</v>
      </c>
      <c r="R546" s="98">
        <v>4</v>
      </c>
      <c r="S546" s="98"/>
      <c r="T546" s="98"/>
      <c r="U546" s="80"/>
      <c r="V546" s="78"/>
      <c r="W546" s="78"/>
    </row>
    <row r="547" spans="2:23" s="4" customFormat="1">
      <c r="B547" s="117" t="s">
        <v>1727</v>
      </c>
      <c r="C547" s="117" t="s">
        <v>1728</v>
      </c>
      <c r="D547" s="3" t="s">
        <v>531</v>
      </c>
      <c r="E547" s="80" t="s">
        <v>532</v>
      </c>
      <c r="F547" s="81">
        <v>4</v>
      </c>
      <c r="G547" s="81">
        <v>0</v>
      </c>
      <c r="H547" s="81">
        <v>4</v>
      </c>
      <c r="I547" s="101" t="s">
        <v>71</v>
      </c>
      <c r="J547" s="97" t="s">
        <v>71</v>
      </c>
      <c r="K547" s="101" t="s">
        <v>76</v>
      </c>
      <c r="L547" s="80" t="s">
        <v>1491</v>
      </c>
      <c r="M547" s="97" t="s">
        <v>1528</v>
      </c>
      <c r="N547" s="97">
        <v>1</v>
      </c>
      <c r="O547" s="101">
        <v>20</v>
      </c>
      <c r="P547" s="101">
        <v>20</v>
      </c>
      <c r="Q547" s="98">
        <f>N547*(F547+G547)</f>
        <v>4</v>
      </c>
      <c r="R547" s="98">
        <v>4</v>
      </c>
      <c r="S547" s="98"/>
      <c r="T547" s="98"/>
      <c r="U547" s="80"/>
      <c r="V547" s="78"/>
      <c r="W547" s="78"/>
    </row>
    <row r="548" spans="2:23" s="4" customFormat="1">
      <c r="B548" s="117" t="s">
        <v>1727</v>
      </c>
      <c r="C548" s="117" t="s">
        <v>1728</v>
      </c>
      <c r="D548" s="3" t="s">
        <v>1297</v>
      </c>
      <c r="E548" s="80" t="s">
        <v>1298</v>
      </c>
      <c r="F548" s="81">
        <v>4</v>
      </c>
      <c r="G548" s="81">
        <v>0</v>
      </c>
      <c r="H548" s="81">
        <v>4</v>
      </c>
      <c r="I548" s="101" t="s">
        <v>71</v>
      </c>
      <c r="J548" s="97" t="s">
        <v>71</v>
      </c>
      <c r="K548" s="101" t="s">
        <v>76</v>
      </c>
      <c r="L548" s="80" t="s">
        <v>1488</v>
      </c>
      <c r="M548" s="97" t="s">
        <v>1528</v>
      </c>
      <c r="N548" s="97">
        <v>1</v>
      </c>
      <c r="O548" s="101">
        <v>20</v>
      </c>
      <c r="P548" s="101">
        <v>20</v>
      </c>
      <c r="Q548" s="98">
        <f>N548*(F548+G548)</f>
        <v>4</v>
      </c>
      <c r="R548" s="98">
        <v>4</v>
      </c>
      <c r="S548" s="98"/>
      <c r="T548" s="98"/>
      <c r="U548" s="80"/>
      <c r="V548" s="78"/>
      <c r="W548" s="78"/>
    </row>
    <row r="549" spans="2:23" s="4" customFormat="1">
      <c r="B549" s="117" t="s">
        <v>1727</v>
      </c>
      <c r="C549" s="117" t="s">
        <v>1728</v>
      </c>
      <c r="D549" s="3" t="s">
        <v>1297</v>
      </c>
      <c r="E549" s="80" t="s">
        <v>1298</v>
      </c>
      <c r="F549" s="81">
        <v>4</v>
      </c>
      <c r="G549" s="81">
        <v>0</v>
      </c>
      <c r="H549" s="81">
        <v>4</v>
      </c>
      <c r="I549" s="101" t="s">
        <v>71</v>
      </c>
      <c r="J549" s="97" t="s">
        <v>71</v>
      </c>
      <c r="K549" s="101" t="s">
        <v>76</v>
      </c>
      <c r="L549" s="80" t="s">
        <v>1491</v>
      </c>
      <c r="M549" s="97" t="s">
        <v>1528</v>
      </c>
      <c r="N549" s="97">
        <v>1</v>
      </c>
      <c r="O549" s="101">
        <v>20</v>
      </c>
      <c r="P549" s="101">
        <v>20</v>
      </c>
      <c r="Q549" s="98">
        <f>N549*(F549+G549)</f>
        <v>4</v>
      </c>
      <c r="R549" s="98">
        <v>4</v>
      </c>
      <c r="S549" s="98"/>
      <c r="T549" s="98"/>
      <c r="U549" s="80"/>
      <c r="V549" s="78"/>
      <c r="W549" s="78"/>
    </row>
    <row r="550" spans="2:23" s="4" customFormat="1">
      <c r="B550" s="117" t="s">
        <v>1727</v>
      </c>
      <c r="C550" s="117" t="s">
        <v>1728</v>
      </c>
      <c r="D550" s="3" t="s">
        <v>720</v>
      </c>
      <c r="E550" s="80" t="s">
        <v>721</v>
      </c>
      <c r="F550" s="81">
        <v>4</v>
      </c>
      <c r="G550" s="81">
        <v>0</v>
      </c>
      <c r="H550" s="81">
        <v>4</v>
      </c>
      <c r="I550" s="101" t="s">
        <v>71</v>
      </c>
      <c r="J550" s="97" t="s">
        <v>71</v>
      </c>
      <c r="K550" s="101" t="s">
        <v>76</v>
      </c>
      <c r="L550" s="80" t="s">
        <v>1488</v>
      </c>
      <c r="M550" s="97" t="s">
        <v>1528</v>
      </c>
      <c r="N550" s="97">
        <v>1</v>
      </c>
      <c r="O550" s="101">
        <v>20</v>
      </c>
      <c r="P550" s="101">
        <v>20</v>
      </c>
      <c r="Q550" s="98">
        <f>N550*(F550+G550)</f>
        <v>4</v>
      </c>
      <c r="R550" s="98">
        <v>4</v>
      </c>
      <c r="S550" s="98"/>
      <c r="T550" s="98"/>
      <c r="U550" s="80"/>
      <c r="V550" s="78"/>
      <c r="W550" s="78"/>
    </row>
    <row r="551" spans="2:23" s="4" customFormat="1">
      <c r="B551" s="117" t="s">
        <v>1727</v>
      </c>
      <c r="C551" s="117" t="s">
        <v>1728</v>
      </c>
      <c r="D551" s="3" t="s">
        <v>720</v>
      </c>
      <c r="E551" s="80" t="s">
        <v>721</v>
      </c>
      <c r="F551" s="81">
        <v>4</v>
      </c>
      <c r="G551" s="81">
        <v>0</v>
      </c>
      <c r="H551" s="81">
        <v>4</v>
      </c>
      <c r="I551" s="101" t="s">
        <v>71</v>
      </c>
      <c r="J551" s="97" t="s">
        <v>71</v>
      </c>
      <c r="K551" s="101" t="s">
        <v>76</v>
      </c>
      <c r="L551" s="80" t="s">
        <v>1491</v>
      </c>
      <c r="M551" s="97" t="s">
        <v>1528</v>
      </c>
      <c r="N551" s="97">
        <v>1</v>
      </c>
      <c r="O551" s="101">
        <v>20</v>
      </c>
      <c r="P551" s="101">
        <v>20</v>
      </c>
      <c r="Q551" s="98">
        <f>N551*(F551+G551)</f>
        <v>4</v>
      </c>
      <c r="R551" s="98">
        <v>4</v>
      </c>
      <c r="S551" s="98"/>
      <c r="T551" s="98"/>
      <c r="U551" s="80"/>
      <c r="V551" s="78"/>
      <c r="W551" s="78"/>
    </row>
    <row r="552" spans="2:23" s="4" customFormat="1">
      <c r="B552" s="117" t="s">
        <v>1727</v>
      </c>
      <c r="C552" s="117" t="s">
        <v>1728</v>
      </c>
      <c r="D552" s="3" t="s">
        <v>718</v>
      </c>
      <c r="E552" s="80" t="s">
        <v>719</v>
      </c>
      <c r="F552" s="81">
        <v>4</v>
      </c>
      <c r="G552" s="81">
        <v>0</v>
      </c>
      <c r="H552" s="81">
        <v>4</v>
      </c>
      <c r="I552" s="101" t="s">
        <v>71</v>
      </c>
      <c r="J552" s="97" t="s">
        <v>71</v>
      </c>
      <c r="K552" s="101" t="s">
        <v>76</v>
      </c>
      <c r="L552" s="80" t="s">
        <v>1488</v>
      </c>
      <c r="M552" s="97" t="s">
        <v>1528</v>
      </c>
      <c r="N552" s="97">
        <v>1</v>
      </c>
      <c r="O552" s="101">
        <v>20</v>
      </c>
      <c r="P552" s="101">
        <v>20</v>
      </c>
      <c r="Q552" s="98">
        <f>N552*(F552+G552)</f>
        <v>4</v>
      </c>
      <c r="R552" s="98">
        <v>4</v>
      </c>
      <c r="S552" s="98"/>
      <c r="T552" s="98"/>
      <c r="U552" s="80"/>
      <c r="V552" s="78"/>
      <c r="W552" s="78"/>
    </row>
    <row r="553" spans="2:23" s="4" customFormat="1">
      <c r="B553" s="117" t="s">
        <v>1727</v>
      </c>
      <c r="C553" s="117" t="s">
        <v>1728</v>
      </c>
      <c r="D553" s="3" t="s">
        <v>718</v>
      </c>
      <c r="E553" s="80" t="s">
        <v>1677</v>
      </c>
      <c r="F553" s="81">
        <v>4</v>
      </c>
      <c r="G553" s="81">
        <v>0</v>
      </c>
      <c r="H553" s="81">
        <v>4</v>
      </c>
      <c r="I553" s="101" t="s">
        <v>71</v>
      </c>
      <c r="J553" s="97" t="s">
        <v>71</v>
      </c>
      <c r="K553" s="101" t="s">
        <v>76</v>
      </c>
      <c r="L553" s="80" t="s">
        <v>1491</v>
      </c>
      <c r="M553" s="97" t="s">
        <v>1528</v>
      </c>
      <c r="N553" s="97">
        <v>1</v>
      </c>
      <c r="O553" s="101">
        <v>20</v>
      </c>
      <c r="P553" s="101">
        <v>20</v>
      </c>
      <c r="Q553" s="98">
        <f>N553*(F553+G553)</f>
        <v>4</v>
      </c>
      <c r="R553" s="98">
        <v>4</v>
      </c>
      <c r="S553" s="98"/>
      <c r="T553" s="98"/>
      <c r="U553" s="80"/>
      <c r="V553" s="78"/>
      <c r="W553" s="78"/>
    </row>
    <row r="554" spans="2:23" s="4" customFormat="1">
      <c r="B554" s="117" t="s">
        <v>1727</v>
      </c>
      <c r="C554" s="117" t="s">
        <v>1728</v>
      </c>
      <c r="D554" s="3" t="s">
        <v>1390</v>
      </c>
      <c r="E554" s="80" t="s">
        <v>1391</v>
      </c>
      <c r="F554" s="81">
        <v>4</v>
      </c>
      <c r="G554" s="81">
        <v>0</v>
      </c>
      <c r="H554" s="81">
        <v>4</v>
      </c>
      <c r="I554" s="101" t="s">
        <v>73</v>
      </c>
      <c r="J554" s="97" t="s">
        <v>73</v>
      </c>
      <c r="K554" s="101" t="s">
        <v>1392</v>
      </c>
      <c r="L554" s="80" t="s">
        <v>1488</v>
      </c>
      <c r="M554" s="97" t="s">
        <v>1528</v>
      </c>
      <c r="N554" s="97">
        <v>1</v>
      </c>
      <c r="O554" s="101">
        <v>20</v>
      </c>
      <c r="P554" s="101">
        <v>20</v>
      </c>
      <c r="Q554" s="98">
        <f>N554*(F554+G554)</f>
        <v>4</v>
      </c>
      <c r="R554" s="98">
        <v>4</v>
      </c>
      <c r="S554" s="98"/>
      <c r="T554" s="98"/>
      <c r="U554" s="80"/>
      <c r="V554" s="78"/>
      <c r="W554" s="78"/>
    </row>
    <row r="555" spans="2:23" s="4" customFormat="1">
      <c r="B555" s="117" t="s">
        <v>1727</v>
      </c>
      <c r="C555" s="117" t="s">
        <v>1728</v>
      </c>
      <c r="D555" s="3" t="s">
        <v>1390</v>
      </c>
      <c r="E555" s="80" t="s">
        <v>1391</v>
      </c>
      <c r="F555" s="81">
        <v>4</v>
      </c>
      <c r="G555" s="81">
        <v>0</v>
      </c>
      <c r="H555" s="81">
        <v>4</v>
      </c>
      <c r="I555" s="101" t="s">
        <v>73</v>
      </c>
      <c r="J555" s="97" t="s">
        <v>73</v>
      </c>
      <c r="K555" s="101" t="s">
        <v>1392</v>
      </c>
      <c r="L555" s="80" t="s">
        <v>1491</v>
      </c>
      <c r="M555" s="97" t="s">
        <v>1528</v>
      </c>
      <c r="N555" s="97">
        <v>1</v>
      </c>
      <c r="O555" s="101">
        <v>20</v>
      </c>
      <c r="P555" s="101">
        <v>20</v>
      </c>
      <c r="Q555" s="98">
        <f>N555*(F555+G555)</f>
        <v>4</v>
      </c>
      <c r="R555" s="98">
        <v>4</v>
      </c>
      <c r="S555" s="98"/>
      <c r="T555" s="98"/>
      <c r="U555" s="80"/>
      <c r="V555" s="78"/>
      <c r="W555" s="78"/>
    </row>
    <row r="556" spans="2:23" s="4" customFormat="1">
      <c r="B556" s="117" t="s">
        <v>1727</v>
      </c>
      <c r="C556" s="117" t="s">
        <v>1728</v>
      </c>
      <c r="D556" s="3" t="s">
        <v>1074</v>
      </c>
      <c r="E556" s="80" t="s">
        <v>1678</v>
      </c>
      <c r="F556" s="81">
        <v>4</v>
      </c>
      <c r="G556" s="81">
        <v>0</v>
      </c>
      <c r="H556" s="81">
        <v>4</v>
      </c>
      <c r="I556" s="101" t="s">
        <v>73</v>
      </c>
      <c r="J556" s="97" t="s">
        <v>73</v>
      </c>
      <c r="K556" s="101" t="s">
        <v>76</v>
      </c>
      <c r="L556" s="80" t="s">
        <v>1488</v>
      </c>
      <c r="M556" s="97" t="s">
        <v>1528</v>
      </c>
      <c r="N556" s="97">
        <v>1</v>
      </c>
      <c r="O556" s="101">
        <v>20</v>
      </c>
      <c r="P556" s="101">
        <v>20</v>
      </c>
      <c r="Q556" s="98">
        <f>N556*(F556+G556)</f>
        <v>4</v>
      </c>
      <c r="R556" s="98">
        <v>4</v>
      </c>
      <c r="S556" s="98"/>
      <c r="T556" s="98"/>
      <c r="U556" s="80"/>
      <c r="V556" s="78"/>
      <c r="W556" s="78"/>
    </row>
    <row r="557" spans="2:23" s="4" customFormat="1">
      <c r="B557" s="117" t="s">
        <v>1727</v>
      </c>
      <c r="C557" s="117" t="s">
        <v>1728</v>
      </c>
      <c r="D557" s="3" t="s">
        <v>1074</v>
      </c>
      <c r="E557" s="80" t="s">
        <v>1678</v>
      </c>
      <c r="F557" s="81">
        <v>4</v>
      </c>
      <c r="G557" s="81">
        <v>0</v>
      </c>
      <c r="H557" s="81">
        <v>4</v>
      </c>
      <c r="I557" s="101" t="s">
        <v>73</v>
      </c>
      <c r="J557" s="97" t="s">
        <v>73</v>
      </c>
      <c r="K557" s="101" t="s">
        <v>76</v>
      </c>
      <c r="L557" s="80" t="s">
        <v>1491</v>
      </c>
      <c r="M557" s="97" t="s">
        <v>1528</v>
      </c>
      <c r="N557" s="97">
        <v>1</v>
      </c>
      <c r="O557" s="101">
        <v>20</v>
      </c>
      <c r="P557" s="101">
        <v>20</v>
      </c>
      <c r="Q557" s="98">
        <f>N557*(F557+G557)</f>
        <v>4</v>
      </c>
      <c r="R557" s="98">
        <v>4</v>
      </c>
      <c r="S557" s="98"/>
      <c r="T557" s="98"/>
      <c r="U557" s="80"/>
      <c r="V557" s="78"/>
      <c r="W557" s="78"/>
    </row>
    <row r="558" spans="2:23" s="4" customFormat="1">
      <c r="B558" s="117" t="s">
        <v>1727</v>
      </c>
      <c r="C558" s="117" t="s">
        <v>1728</v>
      </c>
      <c r="D558" s="3" t="s">
        <v>1423</v>
      </c>
      <c r="E558" s="80" t="s">
        <v>1269</v>
      </c>
      <c r="F558" s="81">
        <v>4</v>
      </c>
      <c r="G558" s="81">
        <v>0</v>
      </c>
      <c r="H558" s="81">
        <v>4</v>
      </c>
      <c r="I558" s="101" t="s">
        <v>73</v>
      </c>
      <c r="J558" s="97" t="s">
        <v>73</v>
      </c>
      <c r="K558" s="101" t="s">
        <v>76</v>
      </c>
      <c r="L558" s="80" t="s">
        <v>1488</v>
      </c>
      <c r="M558" s="97" t="s">
        <v>1528</v>
      </c>
      <c r="N558" s="97">
        <v>1</v>
      </c>
      <c r="O558" s="101">
        <v>20</v>
      </c>
      <c r="P558" s="101">
        <v>20</v>
      </c>
      <c r="Q558" s="98">
        <f>N558*(F558+G558)</f>
        <v>4</v>
      </c>
      <c r="R558" s="98">
        <v>4</v>
      </c>
      <c r="S558" s="98"/>
      <c r="T558" s="98"/>
      <c r="U558" s="80"/>
      <c r="V558" s="78"/>
      <c r="W558" s="78"/>
    </row>
    <row r="559" spans="2:23" s="4" customFormat="1">
      <c r="B559" s="117" t="s">
        <v>1727</v>
      </c>
      <c r="C559" s="117" t="s">
        <v>1728</v>
      </c>
      <c r="D559" s="3" t="s">
        <v>1423</v>
      </c>
      <c r="E559" s="80" t="s">
        <v>1269</v>
      </c>
      <c r="F559" s="81">
        <v>4</v>
      </c>
      <c r="G559" s="81">
        <v>0</v>
      </c>
      <c r="H559" s="81">
        <v>4</v>
      </c>
      <c r="I559" s="101" t="s">
        <v>73</v>
      </c>
      <c r="J559" s="97" t="s">
        <v>73</v>
      </c>
      <c r="K559" s="101" t="s">
        <v>76</v>
      </c>
      <c r="L559" s="80" t="s">
        <v>1491</v>
      </c>
      <c r="M559" s="97" t="s">
        <v>1528</v>
      </c>
      <c r="N559" s="97">
        <v>1</v>
      </c>
      <c r="O559" s="101">
        <v>20</v>
      </c>
      <c r="P559" s="101">
        <v>20</v>
      </c>
      <c r="Q559" s="98">
        <f>N559*(F559+G559)</f>
        <v>4</v>
      </c>
      <c r="R559" s="98">
        <v>4</v>
      </c>
      <c r="S559" s="98"/>
      <c r="T559" s="98"/>
      <c r="U559" s="80"/>
      <c r="V559" s="78"/>
      <c r="W559" s="78"/>
    </row>
    <row r="560" spans="2:23" s="4" customFormat="1">
      <c r="B560" s="117" t="s">
        <v>1727</v>
      </c>
      <c r="C560" s="117" t="s">
        <v>1728</v>
      </c>
      <c r="D560" s="3" t="s">
        <v>589</v>
      </c>
      <c r="E560" s="80" t="s">
        <v>590</v>
      </c>
      <c r="F560" s="81">
        <v>4</v>
      </c>
      <c r="G560" s="81">
        <v>0</v>
      </c>
      <c r="H560" s="81">
        <v>4</v>
      </c>
      <c r="I560" s="101" t="s">
        <v>71</v>
      </c>
      <c r="J560" s="97" t="s">
        <v>71</v>
      </c>
      <c r="K560" s="101" t="s">
        <v>76</v>
      </c>
      <c r="L560" s="80" t="s">
        <v>1488</v>
      </c>
      <c r="M560" s="97" t="s">
        <v>1528</v>
      </c>
      <c r="N560" s="97">
        <v>1</v>
      </c>
      <c r="O560" s="101">
        <v>40</v>
      </c>
      <c r="P560" s="101">
        <v>40</v>
      </c>
      <c r="Q560" s="98">
        <f>N560*(F560+G560)</f>
        <v>4</v>
      </c>
      <c r="R560" s="98">
        <v>4</v>
      </c>
      <c r="S560" s="98"/>
      <c r="T560" s="98"/>
      <c r="U560" s="80"/>
      <c r="V560" s="78"/>
      <c r="W560" s="78"/>
    </row>
    <row r="561" spans="2:23" s="4" customFormat="1">
      <c r="B561" s="117" t="s">
        <v>1727</v>
      </c>
      <c r="C561" s="117" t="s">
        <v>1728</v>
      </c>
      <c r="D561" s="3" t="s">
        <v>1729</v>
      </c>
      <c r="E561" s="80" t="s">
        <v>590</v>
      </c>
      <c r="F561" s="81">
        <v>4</v>
      </c>
      <c r="G561" s="81">
        <v>0</v>
      </c>
      <c r="H561" s="81">
        <v>4</v>
      </c>
      <c r="I561" s="101" t="s">
        <v>71</v>
      </c>
      <c r="J561" s="97" t="s">
        <v>71</v>
      </c>
      <c r="K561" s="101" t="s">
        <v>76</v>
      </c>
      <c r="L561" s="80" t="s">
        <v>1491</v>
      </c>
      <c r="M561" s="97" t="s">
        <v>1528</v>
      </c>
      <c r="N561" s="97">
        <v>1</v>
      </c>
      <c r="O561" s="101">
        <v>40</v>
      </c>
      <c r="P561" s="101">
        <v>40</v>
      </c>
      <c r="Q561" s="98">
        <f>N561*(F561+G561)</f>
        <v>4</v>
      </c>
      <c r="R561" s="98">
        <v>4</v>
      </c>
      <c r="S561" s="98"/>
      <c r="T561" s="98"/>
      <c r="U561" s="80"/>
      <c r="V561" s="78"/>
      <c r="W561" s="78"/>
    </row>
    <row r="562" spans="2:23" s="4" customFormat="1">
      <c r="B562" s="117" t="s">
        <v>1727</v>
      </c>
      <c r="C562" s="117" t="s">
        <v>1728</v>
      </c>
      <c r="D562" s="3" t="s">
        <v>500</v>
      </c>
      <c r="E562" s="80" t="s">
        <v>501</v>
      </c>
      <c r="F562" s="81">
        <v>2</v>
      </c>
      <c r="G562" s="81">
        <v>6</v>
      </c>
      <c r="H562" s="81">
        <v>4</v>
      </c>
      <c r="I562" s="101" t="s">
        <v>71</v>
      </c>
      <c r="J562" s="97" t="s">
        <v>71</v>
      </c>
      <c r="K562" s="101" t="s">
        <v>76</v>
      </c>
      <c r="L562" s="80" t="s">
        <v>1488</v>
      </c>
      <c r="M562" s="97" t="s">
        <v>1528</v>
      </c>
      <c r="N562" s="97">
        <v>1</v>
      </c>
      <c r="O562" s="101">
        <v>40</v>
      </c>
      <c r="P562" s="101">
        <v>40</v>
      </c>
      <c r="Q562" s="98">
        <v>3</v>
      </c>
      <c r="R562" s="98">
        <v>3</v>
      </c>
      <c r="S562" s="98"/>
      <c r="T562" s="98"/>
      <c r="U562" s="80"/>
      <c r="V562" s="78"/>
      <c r="W562" s="78"/>
    </row>
    <row r="563" spans="2:23" s="4" customFormat="1">
      <c r="B563" s="117" t="s">
        <v>1727</v>
      </c>
      <c r="C563" s="117" t="s">
        <v>1728</v>
      </c>
      <c r="D563" s="3" t="s">
        <v>500</v>
      </c>
      <c r="E563" s="80" t="s">
        <v>501</v>
      </c>
      <c r="F563" s="81">
        <v>2</v>
      </c>
      <c r="G563" s="81">
        <v>6</v>
      </c>
      <c r="H563" s="81">
        <v>4</v>
      </c>
      <c r="I563" s="101" t="s">
        <v>71</v>
      </c>
      <c r="J563" s="97" t="s">
        <v>71</v>
      </c>
      <c r="K563" s="101" t="s">
        <v>76</v>
      </c>
      <c r="L563" s="80" t="s">
        <v>1491</v>
      </c>
      <c r="M563" s="97" t="s">
        <v>1528</v>
      </c>
      <c r="N563" s="97">
        <v>1</v>
      </c>
      <c r="O563" s="101">
        <v>40</v>
      </c>
      <c r="P563" s="101">
        <v>40</v>
      </c>
      <c r="Q563" s="98">
        <v>3</v>
      </c>
      <c r="R563" s="98">
        <v>3</v>
      </c>
      <c r="S563" s="98"/>
      <c r="T563" s="98"/>
      <c r="U563" s="80"/>
      <c r="V563" s="78"/>
      <c r="W563" s="78"/>
    </row>
    <row r="564" spans="2:23" s="4" customFormat="1">
      <c r="B564" s="117" t="s">
        <v>1727</v>
      </c>
      <c r="C564" s="117" t="s">
        <v>1728</v>
      </c>
      <c r="D564" s="3" t="s">
        <v>174</v>
      </c>
      <c r="E564" s="80" t="s">
        <v>1730</v>
      </c>
      <c r="F564" s="81">
        <v>3</v>
      </c>
      <c r="G564" s="81">
        <v>0</v>
      </c>
      <c r="H564" s="81">
        <v>4</v>
      </c>
      <c r="I564" s="101" t="s">
        <v>71</v>
      </c>
      <c r="J564" s="97" t="s">
        <v>71</v>
      </c>
      <c r="K564" s="101" t="s">
        <v>175</v>
      </c>
      <c r="L564" s="80" t="s">
        <v>1488</v>
      </c>
      <c r="M564" s="97" t="s">
        <v>1528</v>
      </c>
      <c r="N564" s="97">
        <v>1</v>
      </c>
      <c r="O564" s="101">
        <v>40</v>
      </c>
      <c r="P564" s="101">
        <v>40</v>
      </c>
      <c r="Q564" s="98">
        <f>N564*(F564+G564)</f>
        <v>3</v>
      </c>
      <c r="R564" s="98">
        <v>3</v>
      </c>
      <c r="S564" s="98"/>
      <c r="T564" s="98"/>
      <c r="U564" s="80"/>
      <c r="V564" s="78"/>
      <c r="W564" s="78"/>
    </row>
    <row r="565" spans="2:23" s="4" customFormat="1">
      <c r="B565" s="117" t="s">
        <v>1727</v>
      </c>
      <c r="C565" s="117" t="s">
        <v>1728</v>
      </c>
      <c r="D565" s="3" t="s">
        <v>174</v>
      </c>
      <c r="E565" s="80" t="s">
        <v>1730</v>
      </c>
      <c r="F565" s="81">
        <v>3</v>
      </c>
      <c r="G565" s="81">
        <v>0</v>
      </c>
      <c r="H565" s="81">
        <v>4</v>
      </c>
      <c r="I565" s="101" t="s">
        <v>71</v>
      </c>
      <c r="J565" s="97" t="s">
        <v>71</v>
      </c>
      <c r="K565" s="101" t="s">
        <v>175</v>
      </c>
      <c r="L565" s="80" t="s">
        <v>1491</v>
      </c>
      <c r="M565" s="97" t="s">
        <v>1528</v>
      </c>
      <c r="N565" s="97">
        <v>1</v>
      </c>
      <c r="O565" s="101">
        <v>40</v>
      </c>
      <c r="P565" s="101">
        <v>40</v>
      </c>
      <c r="Q565" s="98">
        <f>N565*(F565+G565)</f>
        <v>3</v>
      </c>
      <c r="R565" s="98">
        <v>3</v>
      </c>
      <c r="S565" s="98"/>
      <c r="T565" s="98"/>
      <c r="U565" s="80"/>
      <c r="V565" s="78"/>
      <c r="W565" s="78"/>
    </row>
    <row r="566" spans="2:23" s="4" customFormat="1">
      <c r="B566" s="117" t="s">
        <v>1727</v>
      </c>
      <c r="C566" s="117" t="s">
        <v>1728</v>
      </c>
      <c r="D566" s="3" t="s">
        <v>1022</v>
      </c>
      <c r="E566" s="80" t="s">
        <v>1023</v>
      </c>
      <c r="F566" s="81">
        <v>3</v>
      </c>
      <c r="G566" s="81">
        <v>0</v>
      </c>
      <c r="H566" s="81">
        <v>4</v>
      </c>
      <c r="I566" s="101" t="s">
        <v>71</v>
      </c>
      <c r="J566" s="97" t="s">
        <v>71</v>
      </c>
      <c r="K566" s="101" t="s">
        <v>1024</v>
      </c>
      <c r="L566" s="80" t="s">
        <v>1488</v>
      </c>
      <c r="M566" s="97" t="s">
        <v>1528</v>
      </c>
      <c r="N566" s="97">
        <v>1</v>
      </c>
      <c r="O566" s="101">
        <v>40</v>
      </c>
      <c r="P566" s="101">
        <v>40</v>
      </c>
      <c r="Q566" s="98">
        <f>N566*(F566+G566)</f>
        <v>3</v>
      </c>
      <c r="R566" s="98">
        <v>3</v>
      </c>
      <c r="S566" s="98"/>
      <c r="T566" s="98"/>
      <c r="U566" s="80"/>
      <c r="V566" s="78"/>
      <c r="W566" s="78"/>
    </row>
    <row r="567" spans="2:23" s="4" customFormat="1">
      <c r="B567" s="117" t="s">
        <v>1727</v>
      </c>
      <c r="C567" s="117" t="s">
        <v>1728</v>
      </c>
      <c r="D567" s="3" t="s">
        <v>1022</v>
      </c>
      <c r="E567" s="80" t="s">
        <v>1023</v>
      </c>
      <c r="F567" s="81">
        <v>3</v>
      </c>
      <c r="G567" s="81">
        <v>0</v>
      </c>
      <c r="H567" s="81">
        <v>4</v>
      </c>
      <c r="I567" s="101" t="s">
        <v>71</v>
      </c>
      <c r="J567" s="97" t="s">
        <v>71</v>
      </c>
      <c r="K567" s="101" t="s">
        <v>1024</v>
      </c>
      <c r="L567" s="80" t="s">
        <v>1491</v>
      </c>
      <c r="M567" s="97" t="s">
        <v>1528</v>
      </c>
      <c r="N567" s="97">
        <v>1</v>
      </c>
      <c r="O567" s="101">
        <v>40</v>
      </c>
      <c r="P567" s="101">
        <v>40</v>
      </c>
      <c r="Q567" s="98">
        <f>N567*(F567+G567)</f>
        <v>3</v>
      </c>
      <c r="R567" s="98">
        <v>3</v>
      </c>
      <c r="S567" s="98"/>
      <c r="T567" s="98"/>
      <c r="U567" s="80"/>
      <c r="V567" s="78"/>
      <c r="W567" s="78"/>
    </row>
    <row r="568" spans="2:23" s="4" customFormat="1">
      <c r="B568" s="117" t="s">
        <v>1727</v>
      </c>
      <c r="C568" s="117" t="s">
        <v>1728</v>
      </c>
      <c r="D568" s="3" t="s">
        <v>506</v>
      </c>
      <c r="E568" s="80" t="s">
        <v>507</v>
      </c>
      <c r="F568" s="81">
        <v>2</v>
      </c>
      <c r="G568" s="81">
        <v>6</v>
      </c>
      <c r="H568" s="81">
        <v>4</v>
      </c>
      <c r="I568" s="101" t="s">
        <v>71</v>
      </c>
      <c r="J568" s="97" t="s">
        <v>71</v>
      </c>
      <c r="K568" s="101" t="s">
        <v>76</v>
      </c>
      <c r="L568" s="80" t="s">
        <v>1488</v>
      </c>
      <c r="M568" s="97" t="s">
        <v>1528</v>
      </c>
      <c r="N568" s="97">
        <v>1</v>
      </c>
      <c r="O568" s="101">
        <v>40</v>
      </c>
      <c r="P568" s="101">
        <v>40</v>
      </c>
      <c r="Q568" s="98">
        <v>3</v>
      </c>
      <c r="R568" s="98">
        <v>3</v>
      </c>
      <c r="S568" s="98"/>
      <c r="T568" s="98"/>
      <c r="U568" s="80"/>
      <c r="V568" s="78"/>
      <c r="W568" s="78"/>
    </row>
    <row r="569" spans="2:23" s="4" customFormat="1">
      <c r="B569" s="117" t="s">
        <v>1727</v>
      </c>
      <c r="C569" s="117" t="s">
        <v>1728</v>
      </c>
      <c r="D569" s="3" t="s">
        <v>506</v>
      </c>
      <c r="E569" s="80" t="s">
        <v>507</v>
      </c>
      <c r="F569" s="81">
        <v>2</v>
      </c>
      <c r="G569" s="81">
        <v>6</v>
      </c>
      <c r="H569" s="81">
        <v>4</v>
      </c>
      <c r="I569" s="101" t="s">
        <v>71</v>
      </c>
      <c r="J569" s="97" t="s">
        <v>71</v>
      </c>
      <c r="K569" s="101" t="s">
        <v>76</v>
      </c>
      <c r="L569" s="80" t="s">
        <v>1491</v>
      </c>
      <c r="M569" s="97" t="s">
        <v>1528</v>
      </c>
      <c r="N569" s="97">
        <v>1</v>
      </c>
      <c r="O569" s="101">
        <v>40</v>
      </c>
      <c r="P569" s="101">
        <v>40</v>
      </c>
      <c r="Q569" s="98">
        <v>3</v>
      </c>
      <c r="R569" s="98">
        <v>3</v>
      </c>
      <c r="S569" s="98"/>
      <c r="T569" s="98"/>
      <c r="U569" s="80"/>
      <c r="V569" s="78"/>
      <c r="W569" s="78"/>
    </row>
    <row r="570" spans="2:23" s="4" customFormat="1">
      <c r="B570" s="50" t="s">
        <v>62</v>
      </c>
      <c r="C570" s="50" t="s">
        <v>37</v>
      </c>
      <c r="D570" s="3" t="s">
        <v>1041</v>
      </c>
      <c r="E570" s="80" t="s">
        <v>1042</v>
      </c>
      <c r="F570" s="81">
        <v>3</v>
      </c>
      <c r="G570" s="81">
        <v>0</v>
      </c>
      <c r="H570" s="81">
        <v>4</v>
      </c>
      <c r="I570" s="101" t="s">
        <v>71</v>
      </c>
      <c r="J570" s="97" t="s">
        <v>71</v>
      </c>
      <c r="K570" s="101" t="s">
        <v>76</v>
      </c>
      <c r="L570" s="80" t="s">
        <v>1488</v>
      </c>
      <c r="M570" s="97" t="s">
        <v>1562</v>
      </c>
      <c r="N570" s="97">
        <v>1</v>
      </c>
      <c r="O570" s="101">
        <v>20</v>
      </c>
      <c r="P570" s="101">
        <v>20</v>
      </c>
      <c r="Q570" s="98">
        <f>N570*(F570+G570)</f>
        <v>3</v>
      </c>
      <c r="R570" s="98">
        <v>3</v>
      </c>
      <c r="S570" s="98"/>
      <c r="T570" s="98"/>
      <c r="U570" s="80"/>
      <c r="V570" s="78"/>
      <c r="W570" s="78"/>
    </row>
    <row r="571" spans="2:23" s="4" customFormat="1">
      <c r="B571" s="50" t="s">
        <v>62</v>
      </c>
      <c r="C571" s="50" t="s">
        <v>37</v>
      </c>
      <c r="D571" s="3" t="s">
        <v>1407</v>
      </c>
      <c r="E571" s="80" t="s">
        <v>1732</v>
      </c>
      <c r="F571" s="81">
        <v>4</v>
      </c>
      <c r="G571" s="81">
        <v>2</v>
      </c>
      <c r="H571" s="81">
        <v>6</v>
      </c>
      <c r="I571" s="101" t="s">
        <v>71</v>
      </c>
      <c r="J571" s="97" t="s">
        <v>71</v>
      </c>
      <c r="K571" s="101" t="s">
        <v>1748</v>
      </c>
      <c r="L571" s="80" t="s">
        <v>1488</v>
      </c>
      <c r="M571" s="97" t="s">
        <v>1562</v>
      </c>
      <c r="N571" s="97">
        <v>1</v>
      </c>
      <c r="O571" s="101">
        <v>70</v>
      </c>
      <c r="P571" s="101"/>
      <c r="Q571" s="98">
        <f>N571*(F571+G571)</f>
        <v>6</v>
      </c>
      <c r="R571" s="98"/>
      <c r="S571" s="98"/>
      <c r="T571" s="98"/>
      <c r="U571" s="80"/>
      <c r="V571" s="78"/>
      <c r="W571" s="78"/>
    </row>
    <row r="572" spans="2:23" s="4" customFormat="1">
      <c r="B572" s="50" t="s">
        <v>62</v>
      </c>
      <c r="C572" s="50" t="s">
        <v>37</v>
      </c>
      <c r="D572" s="3" t="s">
        <v>1041</v>
      </c>
      <c r="E572" s="80" t="s">
        <v>1042</v>
      </c>
      <c r="F572" s="81">
        <v>3</v>
      </c>
      <c r="G572" s="81">
        <v>0</v>
      </c>
      <c r="H572" s="81">
        <v>4</v>
      </c>
      <c r="I572" s="101" t="s">
        <v>71</v>
      </c>
      <c r="J572" s="97" t="s">
        <v>71</v>
      </c>
      <c r="K572" s="101" t="s">
        <v>76</v>
      </c>
      <c r="L572" s="80" t="s">
        <v>1491</v>
      </c>
      <c r="M572" s="97" t="s">
        <v>1562</v>
      </c>
      <c r="N572" s="97">
        <v>1</v>
      </c>
      <c r="O572" s="101">
        <v>20</v>
      </c>
      <c r="P572" s="101">
        <v>20</v>
      </c>
      <c r="Q572" s="98">
        <f>N572*(F572+G572)</f>
        <v>3</v>
      </c>
      <c r="R572" s="98">
        <v>3</v>
      </c>
      <c r="S572" s="98"/>
      <c r="T572" s="98"/>
      <c r="U572" s="80"/>
      <c r="V572" s="78"/>
      <c r="W572" s="78"/>
    </row>
    <row r="573" spans="2:23" s="4" customFormat="1">
      <c r="B573" s="50" t="s">
        <v>62</v>
      </c>
      <c r="C573" s="50" t="s">
        <v>37</v>
      </c>
      <c r="D573" s="3" t="s">
        <v>512</v>
      </c>
      <c r="E573" s="80" t="s">
        <v>513</v>
      </c>
      <c r="F573" s="81">
        <v>0</v>
      </c>
      <c r="G573" s="81">
        <v>0</v>
      </c>
      <c r="H573" s="81">
        <v>0</v>
      </c>
      <c r="I573" s="101" t="s">
        <v>71</v>
      </c>
      <c r="J573" s="97" t="s">
        <v>71</v>
      </c>
      <c r="K573" s="101" t="s">
        <v>76</v>
      </c>
      <c r="L573" s="80" t="s">
        <v>1488</v>
      </c>
      <c r="M573" s="97" t="s">
        <v>1562</v>
      </c>
      <c r="N573" s="97">
        <v>1</v>
      </c>
      <c r="O573" s="101">
        <v>20</v>
      </c>
      <c r="P573" s="101">
        <v>20</v>
      </c>
      <c r="Q573" s="98">
        <v>3</v>
      </c>
      <c r="R573" s="98">
        <v>3</v>
      </c>
      <c r="S573" s="98"/>
      <c r="T573" s="98"/>
      <c r="U573" s="80"/>
      <c r="V573" s="78"/>
      <c r="W573" s="78"/>
    </row>
    <row r="574" spans="2:23" s="4" customFormat="1">
      <c r="B574" s="50" t="s">
        <v>62</v>
      </c>
      <c r="C574" s="50" t="s">
        <v>37</v>
      </c>
      <c r="D574" s="3" t="s">
        <v>512</v>
      </c>
      <c r="E574" s="80" t="s">
        <v>513</v>
      </c>
      <c r="F574" s="81">
        <v>0</v>
      </c>
      <c r="G574" s="81">
        <v>0</v>
      </c>
      <c r="H574" s="81">
        <v>0</v>
      </c>
      <c r="I574" s="101" t="s">
        <v>71</v>
      </c>
      <c r="J574" s="97" t="s">
        <v>71</v>
      </c>
      <c r="K574" s="101" t="s">
        <v>76</v>
      </c>
      <c r="L574" s="80" t="s">
        <v>1491</v>
      </c>
      <c r="M574" s="97" t="s">
        <v>1562</v>
      </c>
      <c r="N574" s="97">
        <v>1</v>
      </c>
      <c r="O574" s="101">
        <v>20</v>
      </c>
      <c r="P574" s="101">
        <v>20</v>
      </c>
      <c r="Q574" s="98">
        <v>3</v>
      </c>
      <c r="R574" s="98">
        <v>3</v>
      </c>
      <c r="S574" s="98"/>
      <c r="T574" s="98"/>
      <c r="U574" s="80"/>
      <c r="V574" s="78"/>
      <c r="W574" s="78"/>
    </row>
    <row r="575" spans="2:23" s="4" customFormat="1">
      <c r="B575" s="50" t="s">
        <v>62</v>
      </c>
      <c r="C575" s="50" t="s">
        <v>37</v>
      </c>
      <c r="D575" s="3" t="s">
        <v>1066</v>
      </c>
      <c r="E575" s="80" t="s">
        <v>1067</v>
      </c>
      <c r="F575" s="81">
        <v>4</v>
      </c>
      <c r="G575" s="81">
        <v>0</v>
      </c>
      <c r="H575" s="81">
        <v>4</v>
      </c>
      <c r="I575" s="101" t="s">
        <v>71</v>
      </c>
      <c r="J575" s="97" t="s">
        <v>71</v>
      </c>
      <c r="K575" s="101" t="s">
        <v>76</v>
      </c>
      <c r="L575" s="80" t="s">
        <v>1488</v>
      </c>
      <c r="M575" s="97" t="s">
        <v>1562</v>
      </c>
      <c r="N575" s="97">
        <v>1</v>
      </c>
      <c r="O575" s="101">
        <v>35</v>
      </c>
      <c r="P575" s="101">
        <v>35</v>
      </c>
      <c r="Q575" s="98">
        <f>N575*(F575+G575)</f>
        <v>4</v>
      </c>
      <c r="R575" s="98">
        <v>4</v>
      </c>
      <c r="S575" s="98"/>
      <c r="T575" s="98"/>
      <c r="U575" s="80"/>
      <c r="V575" s="78"/>
      <c r="W575" s="78"/>
    </row>
    <row r="576" spans="2:23" s="4" customFormat="1">
      <c r="B576" s="50" t="s">
        <v>62</v>
      </c>
      <c r="C576" s="50" t="s">
        <v>37</v>
      </c>
      <c r="D576" s="3" t="s">
        <v>1066</v>
      </c>
      <c r="E576" s="80" t="s">
        <v>1067</v>
      </c>
      <c r="F576" s="81">
        <v>4</v>
      </c>
      <c r="G576" s="81">
        <v>0</v>
      </c>
      <c r="H576" s="81">
        <v>4</v>
      </c>
      <c r="I576" s="101" t="s">
        <v>71</v>
      </c>
      <c r="J576" s="97" t="s">
        <v>71</v>
      </c>
      <c r="K576" s="101" t="s">
        <v>76</v>
      </c>
      <c r="L576" s="80" t="s">
        <v>1491</v>
      </c>
      <c r="M576" s="97" t="s">
        <v>1562</v>
      </c>
      <c r="N576" s="97">
        <v>1</v>
      </c>
      <c r="O576" s="101">
        <v>35</v>
      </c>
      <c r="P576" s="101">
        <v>70</v>
      </c>
      <c r="Q576" s="98">
        <f>N576*(F576+G576)</f>
        <v>4</v>
      </c>
      <c r="R576" s="98">
        <v>4</v>
      </c>
      <c r="S576" s="98"/>
      <c r="T576" s="98"/>
      <c r="U576" s="80"/>
      <c r="V576" s="78"/>
      <c r="W576" s="78"/>
    </row>
    <row r="577" spans="2:23" s="4" customFormat="1">
      <c r="B577" s="51" t="s">
        <v>63</v>
      </c>
      <c r="C577" s="51" t="s">
        <v>38</v>
      </c>
      <c r="D577" s="3" t="s">
        <v>675</v>
      </c>
      <c r="E577" s="80" t="s">
        <v>653</v>
      </c>
      <c r="F577" s="81">
        <v>4</v>
      </c>
      <c r="G577" s="81">
        <v>0</v>
      </c>
      <c r="H577" s="81">
        <v>4</v>
      </c>
      <c r="I577" s="101" t="s">
        <v>71</v>
      </c>
      <c r="J577" s="97" t="s">
        <v>71</v>
      </c>
      <c r="K577" s="101" t="s">
        <v>76</v>
      </c>
      <c r="L577" s="80" t="s">
        <v>1488</v>
      </c>
      <c r="M577" s="97" t="s">
        <v>1562</v>
      </c>
      <c r="N577" s="97">
        <v>1</v>
      </c>
      <c r="O577" s="101">
        <v>20</v>
      </c>
      <c r="P577" s="101">
        <v>20</v>
      </c>
      <c r="Q577" s="98">
        <f>N577*(F577+G577)</f>
        <v>4</v>
      </c>
      <c r="R577" s="98">
        <v>4</v>
      </c>
      <c r="S577" s="98" t="s">
        <v>1512</v>
      </c>
      <c r="T577" s="98" t="s">
        <v>1512</v>
      </c>
      <c r="U577" s="80"/>
      <c r="V577" s="78"/>
      <c r="W577" s="78"/>
    </row>
    <row r="578" spans="2:23" s="4" customFormat="1">
      <c r="B578" s="51" t="s">
        <v>63</v>
      </c>
      <c r="C578" s="51" t="s">
        <v>38</v>
      </c>
      <c r="D578" s="3" t="s">
        <v>675</v>
      </c>
      <c r="E578" s="80" t="s">
        <v>653</v>
      </c>
      <c r="F578" s="81">
        <v>4</v>
      </c>
      <c r="G578" s="81">
        <v>0</v>
      </c>
      <c r="H578" s="81">
        <v>4</v>
      </c>
      <c r="I578" s="101" t="s">
        <v>71</v>
      </c>
      <c r="J578" s="97" t="s">
        <v>71</v>
      </c>
      <c r="K578" s="101" t="s">
        <v>76</v>
      </c>
      <c r="L578" s="80" t="s">
        <v>1491</v>
      </c>
      <c r="M578" s="97" t="s">
        <v>1562</v>
      </c>
      <c r="N578" s="97">
        <v>1</v>
      </c>
      <c r="O578" s="101">
        <v>20</v>
      </c>
      <c r="P578" s="101">
        <v>20</v>
      </c>
      <c r="Q578" s="98">
        <f>N578*(F578+G578)</f>
        <v>4</v>
      </c>
      <c r="R578" s="98">
        <v>4</v>
      </c>
      <c r="S578" s="98" t="s">
        <v>1512</v>
      </c>
      <c r="T578" s="98" t="s">
        <v>1512</v>
      </c>
      <c r="U578" s="80"/>
      <c r="V578" s="78"/>
      <c r="W578" s="78"/>
    </row>
    <row r="579" spans="2:23" s="4" customFormat="1">
      <c r="B579" s="51" t="s">
        <v>63</v>
      </c>
      <c r="C579" s="51" t="s">
        <v>38</v>
      </c>
      <c r="D579" s="3" t="s">
        <v>651</v>
      </c>
      <c r="E579" s="80" t="s">
        <v>652</v>
      </c>
      <c r="F579" s="81">
        <v>4</v>
      </c>
      <c r="G579" s="81">
        <v>0</v>
      </c>
      <c r="H579" s="81">
        <v>4</v>
      </c>
      <c r="I579" s="101" t="s">
        <v>71</v>
      </c>
      <c r="J579" s="97" t="s">
        <v>71</v>
      </c>
      <c r="K579" s="101" t="s">
        <v>653</v>
      </c>
      <c r="L579" s="80" t="s">
        <v>1488</v>
      </c>
      <c r="M579" s="97" t="s">
        <v>1562</v>
      </c>
      <c r="N579" s="97">
        <v>1</v>
      </c>
      <c r="O579" s="101">
        <v>20</v>
      </c>
      <c r="P579" s="101">
        <v>20</v>
      </c>
      <c r="Q579" s="98">
        <f>N579*(F579+G579)</f>
        <v>4</v>
      </c>
      <c r="R579" s="98">
        <v>4</v>
      </c>
      <c r="S579" s="98" t="s">
        <v>1512</v>
      </c>
      <c r="T579" s="98" t="s">
        <v>1512</v>
      </c>
      <c r="U579" s="80"/>
      <c r="V579" s="78"/>
      <c r="W579" s="78"/>
    </row>
    <row r="580" spans="2:23" s="4" customFormat="1">
      <c r="B580" s="51" t="s">
        <v>63</v>
      </c>
      <c r="C580" s="51" t="s">
        <v>38</v>
      </c>
      <c r="D580" s="3" t="s">
        <v>651</v>
      </c>
      <c r="E580" s="80" t="s">
        <v>652</v>
      </c>
      <c r="F580" s="81">
        <v>4</v>
      </c>
      <c r="G580" s="81">
        <v>0</v>
      </c>
      <c r="H580" s="81">
        <v>4</v>
      </c>
      <c r="I580" s="101" t="s">
        <v>71</v>
      </c>
      <c r="J580" s="97" t="s">
        <v>71</v>
      </c>
      <c r="K580" s="101" t="s">
        <v>653</v>
      </c>
      <c r="L580" s="80" t="s">
        <v>1491</v>
      </c>
      <c r="M580" s="97" t="s">
        <v>1562</v>
      </c>
      <c r="N580" s="97">
        <v>1</v>
      </c>
      <c r="O580" s="101">
        <v>20</v>
      </c>
      <c r="P580" s="101">
        <v>20</v>
      </c>
      <c r="Q580" s="98">
        <f>N580*(F580+G580)</f>
        <v>4</v>
      </c>
      <c r="R580" s="98">
        <v>4</v>
      </c>
      <c r="S580" s="98" t="s">
        <v>1512</v>
      </c>
      <c r="T580" s="98" t="s">
        <v>1512</v>
      </c>
      <c r="U580" s="80"/>
      <c r="V580" s="78"/>
      <c r="W580" s="78"/>
    </row>
    <row r="581" spans="2:23" s="4" customFormat="1">
      <c r="B581" s="51" t="s">
        <v>63</v>
      </c>
      <c r="C581" s="51" t="s">
        <v>38</v>
      </c>
      <c r="D581" s="3" t="s">
        <v>645</v>
      </c>
      <c r="E581" s="80" t="s">
        <v>646</v>
      </c>
      <c r="F581" s="81">
        <v>4</v>
      </c>
      <c r="G581" s="81">
        <v>0</v>
      </c>
      <c r="H581" s="81">
        <v>4</v>
      </c>
      <c r="I581" s="101" t="s">
        <v>71</v>
      </c>
      <c r="J581" s="97" t="s">
        <v>71</v>
      </c>
      <c r="K581" s="101" t="s">
        <v>647</v>
      </c>
      <c r="L581" s="80" t="s">
        <v>1488</v>
      </c>
      <c r="M581" s="97" t="s">
        <v>1562</v>
      </c>
      <c r="N581" s="97">
        <v>1</v>
      </c>
      <c r="O581" s="101">
        <v>20</v>
      </c>
      <c r="P581" s="101">
        <v>20</v>
      </c>
      <c r="Q581" s="98">
        <f>N581*(F581+G581)</f>
        <v>4</v>
      </c>
      <c r="R581" s="98">
        <v>4</v>
      </c>
      <c r="S581" s="98" t="s">
        <v>1512</v>
      </c>
      <c r="T581" s="98" t="s">
        <v>1512</v>
      </c>
      <c r="U581" s="80"/>
      <c r="V581" s="78"/>
      <c r="W581" s="78"/>
    </row>
    <row r="582" spans="2:23" s="4" customFormat="1">
      <c r="B582" s="51" t="s">
        <v>63</v>
      </c>
      <c r="C582" s="51" t="s">
        <v>38</v>
      </c>
      <c r="D582" s="3" t="s">
        <v>645</v>
      </c>
      <c r="E582" s="80" t="s">
        <v>646</v>
      </c>
      <c r="F582" s="81">
        <v>4</v>
      </c>
      <c r="G582" s="81">
        <v>0</v>
      </c>
      <c r="H582" s="81">
        <v>4</v>
      </c>
      <c r="I582" s="101" t="s">
        <v>71</v>
      </c>
      <c r="J582" s="97" t="s">
        <v>71</v>
      </c>
      <c r="K582" s="101" t="s">
        <v>647</v>
      </c>
      <c r="L582" s="80" t="s">
        <v>1491</v>
      </c>
      <c r="M582" s="97" t="s">
        <v>1562</v>
      </c>
      <c r="N582" s="97">
        <v>1</v>
      </c>
      <c r="O582" s="101">
        <v>20</v>
      </c>
      <c r="P582" s="101">
        <v>20</v>
      </c>
      <c r="Q582" s="98">
        <f>N582*(F582+G582)</f>
        <v>4</v>
      </c>
      <c r="R582" s="98">
        <v>4</v>
      </c>
      <c r="S582" s="98" t="s">
        <v>1512</v>
      </c>
      <c r="T582" s="98" t="s">
        <v>1512</v>
      </c>
      <c r="U582" s="80"/>
      <c r="V582" s="78"/>
      <c r="W582" s="78"/>
    </row>
    <row r="583" spans="2:23" s="4" customFormat="1">
      <c r="B583" s="51" t="s">
        <v>63</v>
      </c>
      <c r="C583" s="51" t="s">
        <v>38</v>
      </c>
      <c r="D583" s="3" t="s">
        <v>89</v>
      </c>
      <c r="E583" s="80" t="s">
        <v>90</v>
      </c>
      <c r="F583" s="81">
        <v>6</v>
      </c>
      <c r="G583" s="81">
        <v>0</v>
      </c>
      <c r="H583" s="81">
        <v>5</v>
      </c>
      <c r="I583" s="101" t="s">
        <v>71</v>
      </c>
      <c r="J583" s="97" t="s">
        <v>71</v>
      </c>
      <c r="K583" s="101" t="s">
        <v>91</v>
      </c>
      <c r="L583" s="80" t="s">
        <v>1488</v>
      </c>
      <c r="M583" s="97" t="s">
        <v>1562</v>
      </c>
      <c r="N583" s="97">
        <v>1</v>
      </c>
      <c r="O583" s="101">
        <v>20</v>
      </c>
      <c r="P583" s="101">
        <v>20</v>
      </c>
      <c r="Q583" s="98">
        <f>N583*(F583+G583)</f>
        <v>6</v>
      </c>
      <c r="R583" s="98">
        <v>6</v>
      </c>
      <c r="S583" s="98" t="s">
        <v>1512</v>
      </c>
      <c r="T583" s="98" t="s">
        <v>1512</v>
      </c>
      <c r="U583" s="80"/>
      <c r="V583" s="78"/>
      <c r="W583" s="78"/>
    </row>
    <row r="584" spans="2:23" s="4" customFormat="1">
      <c r="B584" s="51" t="s">
        <v>63</v>
      </c>
      <c r="C584" s="51" t="s">
        <v>38</v>
      </c>
      <c r="D584" s="3" t="s">
        <v>89</v>
      </c>
      <c r="E584" s="80" t="s">
        <v>90</v>
      </c>
      <c r="F584" s="81">
        <v>6</v>
      </c>
      <c r="G584" s="81">
        <v>0</v>
      </c>
      <c r="H584" s="81">
        <v>5</v>
      </c>
      <c r="I584" s="101" t="s">
        <v>71</v>
      </c>
      <c r="J584" s="97" t="s">
        <v>71</v>
      </c>
      <c r="K584" s="101" t="s">
        <v>91</v>
      </c>
      <c r="L584" s="80" t="s">
        <v>1491</v>
      </c>
      <c r="M584" s="97" t="s">
        <v>1562</v>
      </c>
      <c r="N584" s="97">
        <v>1</v>
      </c>
      <c r="O584" s="101">
        <v>20</v>
      </c>
      <c r="P584" s="101">
        <v>20</v>
      </c>
      <c r="Q584" s="98">
        <f>N584*(F584+G584)</f>
        <v>6</v>
      </c>
      <c r="R584" s="98">
        <v>6</v>
      </c>
      <c r="S584" s="98" t="s">
        <v>1512</v>
      </c>
      <c r="T584" s="98" t="s">
        <v>1512</v>
      </c>
      <c r="U584" s="80"/>
      <c r="V584" s="78"/>
      <c r="W584" s="78"/>
    </row>
    <row r="585" spans="2:23" s="4" customFormat="1">
      <c r="B585" s="51" t="s">
        <v>63</v>
      </c>
      <c r="C585" s="51" t="s">
        <v>38</v>
      </c>
      <c r="D585" s="3" t="s">
        <v>1049</v>
      </c>
      <c r="E585" s="80" t="s">
        <v>1050</v>
      </c>
      <c r="F585" s="81">
        <v>4</v>
      </c>
      <c r="G585" s="81">
        <v>0</v>
      </c>
      <c r="H585" s="81">
        <v>4</v>
      </c>
      <c r="I585" s="101" t="s">
        <v>71</v>
      </c>
      <c r="J585" s="97" t="s">
        <v>71</v>
      </c>
      <c r="K585" s="101" t="s">
        <v>76</v>
      </c>
      <c r="L585" s="80" t="s">
        <v>1488</v>
      </c>
      <c r="M585" s="97" t="s">
        <v>1562</v>
      </c>
      <c r="N585" s="97">
        <v>1</v>
      </c>
      <c r="O585" s="101">
        <v>20</v>
      </c>
      <c r="P585" s="101">
        <v>20</v>
      </c>
      <c r="Q585" s="98">
        <f>N585*(F585+G585)</f>
        <v>4</v>
      </c>
      <c r="R585" s="98">
        <v>4</v>
      </c>
      <c r="S585" s="98" t="s">
        <v>1733</v>
      </c>
      <c r="T585" s="98" t="s">
        <v>1564</v>
      </c>
      <c r="U585" s="80"/>
      <c r="V585" s="78"/>
      <c r="W585" s="78"/>
    </row>
    <row r="586" spans="2:23" s="4" customFormat="1">
      <c r="B586" s="51" t="s">
        <v>63</v>
      </c>
      <c r="C586" s="51" t="s">
        <v>38</v>
      </c>
      <c r="D586" s="3" t="s">
        <v>1049</v>
      </c>
      <c r="E586" s="80" t="s">
        <v>1050</v>
      </c>
      <c r="F586" s="81">
        <v>4</v>
      </c>
      <c r="G586" s="81">
        <v>0</v>
      </c>
      <c r="H586" s="81">
        <v>4</v>
      </c>
      <c r="I586" s="101" t="s">
        <v>71</v>
      </c>
      <c r="J586" s="97" t="s">
        <v>71</v>
      </c>
      <c r="K586" s="101" t="s">
        <v>76</v>
      </c>
      <c r="L586" s="80" t="s">
        <v>1491</v>
      </c>
      <c r="M586" s="97" t="s">
        <v>1562</v>
      </c>
      <c r="N586" s="97">
        <v>1</v>
      </c>
      <c r="O586" s="101">
        <v>20</v>
      </c>
      <c r="P586" s="101">
        <v>20</v>
      </c>
      <c r="Q586" s="98">
        <f>N586*(F586+G586)</f>
        <v>4</v>
      </c>
      <c r="R586" s="98">
        <v>4</v>
      </c>
      <c r="S586" s="98" t="s">
        <v>1733</v>
      </c>
      <c r="T586" s="98" t="s">
        <v>1564</v>
      </c>
      <c r="U586" s="80"/>
      <c r="V586" s="78"/>
      <c r="W586" s="78"/>
    </row>
    <row r="587" spans="2:23" s="4" customFormat="1">
      <c r="B587" s="51" t="s">
        <v>63</v>
      </c>
      <c r="C587" s="51" t="s">
        <v>38</v>
      </c>
      <c r="D587" s="3" t="s">
        <v>1047</v>
      </c>
      <c r="E587" s="80" t="s">
        <v>1048</v>
      </c>
      <c r="F587" s="81">
        <v>3</v>
      </c>
      <c r="G587" s="81">
        <v>0</v>
      </c>
      <c r="H587" s="81">
        <v>4</v>
      </c>
      <c r="I587" s="101" t="s">
        <v>71</v>
      </c>
      <c r="J587" s="97" t="s">
        <v>71</v>
      </c>
      <c r="K587" s="101" t="s">
        <v>1046</v>
      </c>
      <c r="L587" s="80" t="s">
        <v>1488</v>
      </c>
      <c r="M587" s="97" t="s">
        <v>1562</v>
      </c>
      <c r="N587" s="97">
        <v>1</v>
      </c>
      <c r="O587" s="101">
        <v>20</v>
      </c>
      <c r="P587" s="101">
        <v>20</v>
      </c>
      <c r="Q587" s="98">
        <f>N587*(F587+G587)</f>
        <v>3</v>
      </c>
      <c r="R587" s="98">
        <v>3</v>
      </c>
      <c r="S587" s="98" t="s">
        <v>1733</v>
      </c>
      <c r="T587" s="98" t="s">
        <v>1564</v>
      </c>
      <c r="U587" s="80"/>
      <c r="V587" s="78"/>
      <c r="W587" s="78"/>
    </row>
    <row r="588" spans="2:23" s="4" customFormat="1">
      <c r="B588" s="51" t="s">
        <v>63</v>
      </c>
      <c r="C588" s="51" t="s">
        <v>38</v>
      </c>
      <c r="D588" s="3" t="s">
        <v>1047</v>
      </c>
      <c r="E588" s="80" t="s">
        <v>1048</v>
      </c>
      <c r="F588" s="81">
        <v>3</v>
      </c>
      <c r="G588" s="81">
        <v>0</v>
      </c>
      <c r="H588" s="81">
        <v>4</v>
      </c>
      <c r="I588" s="101" t="s">
        <v>71</v>
      </c>
      <c r="J588" s="97" t="s">
        <v>71</v>
      </c>
      <c r="K588" s="101" t="s">
        <v>1046</v>
      </c>
      <c r="L588" s="80" t="s">
        <v>1491</v>
      </c>
      <c r="M588" s="97" t="s">
        <v>1562</v>
      </c>
      <c r="N588" s="97">
        <v>1</v>
      </c>
      <c r="O588" s="101">
        <v>20</v>
      </c>
      <c r="P588" s="101">
        <v>20</v>
      </c>
      <c r="Q588" s="98">
        <f>N588*(F588+G588)</f>
        <v>3</v>
      </c>
      <c r="R588" s="98">
        <v>3</v>
      </c>
      <c r="S588" s="98" t="s">
        <v>1733</v>
      </c>
      <c r="T588" s="98" t="s">
        <v>1564</v>
      </c>
      <c r="U588" s="80"/>
      <c r="V588" s="78"/>
      <c r="W588" s="78"/>
    </row>
    <row r="589" spans="2:23" s="4" customFormat="1">
      <c r="B589" s="51" t="s">
        <v>63</v>
      </c>
      <c r="C589" s="51" t="s">
        <v>38</v>
      </c>
      <c r="D589" s="3" t="s">
        <v>526</v>
      </c>
      <c r="E589" s="80" t="s">
        <v>527</v>
      </c>
      <c r="F589" s="81">
        <v>0</v>
      </c>
      <c r="G589" s="81">
        <v>0</v>
      </c>
      <c r="H589" s="81">
        <v>0</v>
      </c>
      <c r="I589" s="101" t="s">
        <v>71</v>
      </c>
      <c r="J589" s="97" t="s">
        <v>71</v>
      </c>
      <c r="K589" s="101" t="s">
        <v>76</v>
      </c>
      <c r="L589" s="80" t="s">
        <v>1488</v>
      </c>
      <c r="M589" s="97" t="s">
        <v>1562</v>
      </c>
      <c r="N589" s="97">
        <v>1</v>
      </c>
      <c r="O589" s="101">
        <v>15</v>
      </c>
      <c r="P589" s="101">
        <v>15</v>
      </c>
      <c r="Q589" s="98">
        <v>3</v>
      </c>
      <c r="R589" s="98">
        <v>3</v>
      </c>
      <c r="S589" s="98" t="s">
        <v>1733</v>
      </c>
      <c r="T589" s="98" t="s">
        <v>1720</v>
      </c>
      <c r="U589" s="80"/>
      <c r="V589" s="78"/>
      <c r="W589" s="78"/>
    </row>
    <row r="590" spans="2:23" s="4" customFormat="1">
      <c r="B590" s="51" t="s">
        <v>63</v>
      </c>
      <c r="C590" s="51" t="s">
        <v>38</v>
      </c>
      <c r="D590" s="3" t="s">
        <v>526</v>
      </c>
      <c r="E590" s="80" t="s">
        <v>527</v>
      </c>
      <c r="F590" s="81">
        <v>0</v>
      </c>
      <c r="G590" s="81">
        <v>0</v>
      </c>
      <c r="H590" s="81">
        <v>0</v>
      </c>
      <c r="I590" s="101" t="s">
        <v>71</v>
      </c>
      <c r="J590" s="97" t="s">
        <v>71</v>
      </c>
      <c r="K590" s="101" t="s">
        <v>76</v>
      </c>
      <c r="L590" s="80" t="s">
        <v>1491</v>
      </c>
      <c r="M590" s="97" t="s">
        <v>1562</v>
      </c>
      <c r="N590" s="97">
        <v>1</v>
      </c>
      <c r="O590" s="101">
        <v>15</v>
      </c>
      <c r="P590" s="101">
        <v>15</v>
      </c>
      <c r="Q590" s="98">
        <v>3</v>
      </c>
      <c r="R590" s="98">
        <v>3</v>
      </c>
      <c r="S590" s="98" t="s">
        <v>1733</v>
      </c>
      <c r="T590" s="98" t="s">
        <v>1720</v>
      </c>
      <c r="U590" s="80"/>
      <c r="V590" s="78"/>
      <c r="W590" s="78"/>
    </row>
    <row r="591" spans="2:23" s="4" customFormat="1">
      <c r="B591" s="51" t="s">
        <v>63</v>
      </c>
      <c r="C591" s="51" t="s">
        <v>38</v>
      </c>
      <c r="D591" s="3" t="s">
        <v>528</v>
      </c>
      <c r="E591" s="80" t="s">
        <v>529</v>
      </c>
      <c r="F591" s="81">
        <v>0</v>
      </c>
      <c r="G591" s="81">
        <v>0</v>
      </c>
      <c r="H591" s="81">
        <v>0</v>
      </c>
      <c r="I591" s="101" t="s">
        <v>71</v>
      </c>
      <c r="J591" s="97" t="s">
        <v>71</v>
      </c>
      <c r="K591" s="101" t="s">
        <v>76</v>
      </c>
      <c r="L591" s="80" t="s">
        <v>1488</v>
      </c>
      <c r="M591" s="97" t="s">
        <v>1562</v>
      </c>
      <c r="N591" s="97">
        <v>1</v>
      </c>
      <c r="O591" s="101">
        <v>15</v>
      </c>
      <c r="P591" s="101">
        <v>15</v>
      </c>
      <c r="Q591" s="98">
        <v>3</v>
      </c>
      <c r="R591" s="98">
        <v>3</v>
      </c>
      <c r="S591" s="98" t="s">
        <v>1733</v>
      </c>
      <c r="T591" s="98" t="s">
        <v>1720</v>
      </c>
      <c r="U591" s="80"/>
      <c r="V591" s="78"/>
      <c r="W591" s="78"/>
    </row>
    <row r="592" spans="2:23" s="4" customFormat="1">
      <c r="B592" s="51" t="s">
        <v>63</v>
      </c>
      <c r="C592" s="51" t="s">
        <v>38</v>
      </c>
      <c r="D592" s="3" t="s">
        <v>528</v>
      </c>
      <c r="E592" s="80" t="s">
        <v>529</v>
      </c>
      <c r="F592" s="81">
        <v>0</v>
      </c>
      <c r="G592" s="81">
        <v>0</v>
      </c>
      <c r="H592" s="81">
        <v>0</v>
      </c>
      <c r="I592" s="101" t="s">
        <v>71</v>
      </c>
      <c r="J592" s="97" t="s">
        <v>71</v>
      </c>
      <c r="K592" s="101" t="s">
        <v>76</v>
      </c>
      <c r="L592" s="80" t="s">
        <v>1491</v>
      </c>
      <c r="M592" s="97" t="s">
        <v>1562</v>
      </c>
      <c r="N592" s="97">
        <v>1</v>
      </c>
      <c r="O592" s="101">
        <v>15</v>
      </c>
      <c r="P592" s="101">
        <v>15</v>
      </c>
      <c r="Q592" s="98">
        <v>3</v>
      </c>
      <c r="R592" s="98">
        <v>3</v>
      </c>
      <c r="S592" s="98" t="s">
        <v>1733</v>
      </c>
      <c r="T592" s="98" t="s">
        <v>1720</v>
      </c>
      <c r="U592" s="80"/>
      <c r="V592" s="78"/>
      <c r="W592" s="78"/>
    </row>
    <row r="593" spans="2:23" s="4" customFormat="1">
      <c r="B593" s="51" t="s">
        <v>63</v>
      </c>
      <c r="C593" s="51" t="s">
        <v>38</v>
      </c>
      <c r="D593" s="3" t="s">
        <v>514</v>
      </c>
      <c r="E593" s="80" t="s">
        <v>515</v>
      </c>
      <c r="F593" s="81">
        <v>0</v>
      </c>
      <c r="G593" s="81">
        <v>0</v>
      </c>
      <c r="H593" s="81">
        <v>0</v>
      </c>
      <c r="I593" s="101" t="s">
        <v>71</v>
      </c>
      <c r="J593" s="97" t="s">
        <v>71</v>
      </c>
      <c r="K593" s="101" t="s">
        <v>76</v>
      </c>
      <c r="L593" s="80" t="s">
        <v>1488</v>
      </c>
      <c r="M593" s="97" t="s">
        <v>1562</v>
      </c>
      <c r="N593" s="97">
        <v>1</v>
      </c>
      <c r="O593" s="101">
        <v>15</v>
      </c>
      <c r="P593" s="101">
        <v>15</v>
      </c>
      <c r="Q593" s="98">
        <v>3</v>
      </c>
      <c r="R593" s="98">
        <v>3</v>
      </c>
      <c r="S593" s="98" t="s">
        <v>1733</v>
      </c>
      <c r="T593" s="98" t="s">
        <v>1720</v>
      </c>
      <c r="U593" s="80"/>
      <c r="V593" s="78"/>
      <c r="W593" s="78"/>
    </row>
    <row r="594" spans="2:23" s="4" customFormat="1">
      <c r="B594" s="51" t="s">
        <v>63</v>
      </c>
      <c r="C594" s="51" t="s">
        <v>38</v>
      </c>
      <c r="D594" s="3" t="s">
        <v>514</v>
      </c>
      <c r="E594" s="80" t="s">
        <v>515</v>
      </c>
      <c r="F594" s="81">
        <v>0</v>
      </c>
      <c r="G594" s="81">
        <v>0</v>
      </c>
      <c r="H594" s="81">
        <v>0</v>
      </c>
      <c r="I594" s="101" t="s">
        <v>71</v>
      </c>
      <c r="J594" s="97" t="s">
        <v>71</v>
      </c>
      <c r="K594" s="101" t="s">
        <v>76</v>
      </c>
      <c r="L594" s="80" t="s">
        <v>1491</v>
      </c>
      <c r="M594" s="97" t="s">
        <v>1562</v>
      </c>
      <c r="N594" s="97">
        <v>1</v>
      </c>
      <c r="O594" s="101">
        <v>15</v>
      </c>
      <c r="P594" s="101">
        <v>15</v>
      </c>
      <c r="Q594" s="98">
        <v>3</v>
      </c>
      <c r="R594" s="98">
        <v>3</v>
      </c>
      <c r="S594" s="98" t="s">
        <v>1733</v>
      </c>
      <c r="T594" s="98" t="s">
        <v>1720</v>
      </c>
      <c r="U594" s="80"/>
      <c r="V594" s="78"/>
      <c r="W594" s="78"/>
    </row>
    <row r="595" spans="2:23" s="4" customFormat="1">
      <c r="B595" s="51" t="s">
        <v>63</v>
      </c>
      <c r="C595" s="51" t="s">
        <v>38</v>
      </c>
      <c r="D595" s="3" t="s">
        <v>516</v>
      </c>
      <c r="E595" s="80" t="s">
        <v>517</v>
      </c>
      <c r="F595" s="81">
        <v>0</v>
      </c>
      <c r="G595" s="81">
        <v>0</v>
      </c>
      <c r="H595" s="81">
        <v>0</v>
      </c>
      <c r="I595" s="101" t="s">
        <v>71</v>
      </c>
      <c r="J595" s="97" t="s">
        <v>71</v>
      </c>
      <c r="K595" s="101" t="s">
        <v>76</v>
      </c>
      <c r="L595" s="80" t="s">
        <v>1488</v>
      </c>
      <c r="M595" s="97" t="s">
        <v>1562</v>
      </c>
      <c r="N595" s="97">
        <v>1</v>
      </c>
      <c r="O595" s="101">
        <v>15</v>
      </c>
      <c r="P595" s="101">
        <v>15</v>
      </c>
      <c r="Q595" s="98">
        <v>3</v>
      </c>
      <c r="R595" s="98">
        <v>3</v>
      </c>
      <c r="S595" s="98" t="s">
        <v>1733</v>
      </c>
      <c r="T595" s="98" t="s">
        <v>1720</v>
      </c>
      <c r="U595" s="80"/>
      <c r="V595" s="78"/>
      <c r="W595" s="78"/>
    </row>
    <row r="596" spans="2:23" s="4" customFormat="1">
      <c r="B596" s="51" t="s">
        <v>63</v>
      </c>
      <c r="C596" s="51" t="s">
        <v>38</v>
      </c>
      <c r="D596" s="3" t="s">
        <v>516</v>
      </c>
      <c r="E596" s="80" t="s">
        <v>517</v>
      </c>
      <c r="F596" s="81">
        <v>0</v>
      </c>
      <c r="G596" s="81">
        <v>0</v>
      </c>
      <c r="H596" s="81">
        <v>0</v>
      </c>
      <c r="I596" s="101" t="s">
        <v>71</v>
      </c>
      <c r="J596" s="97" t="s">
        <v>71</v>
      </c>
      <c r="K596" s="101" t="s">
        <v>76</v>
      </c>
      <c r="L596" s="80" t="s">
        <v>1491</v>
      </c>
      <c r="M596" s="97" t="s">
        <v>1562</v>
      </c>
      <c r="N596" s="97">
        <v>1</v>
      </c>
      <c r="O596" s="101">
        <v>15</v>
      </c>
      <c r="P596" s="101">
        <v>15</v>
      </c>
      <c r="Q596" s="98">
        <v>3</v>
      </c>
      <c r="R596" s="98">
        <v>3</v>
      </c>
      <c r="S596" s="98" t="s">
        <v>1733</v>
      </c>
      <c r="T596" s="98" t="s">
        <v>1720</v>
      </c>
      <c r="U596" s="80"/>
      <c r="V596" s="78"/>
      <c r="W596" s="78"/>
    </row>
    <row r="597" spans="2:23" s="4" customFormat="1">
      <c r="B597" s="51" t="s">
        <v>63</v>
      </c>
      <c r="C597" s="51" t="s">
        <v>38</v>
      </c>
      <c r="D597" s="3" t="s">
        <v>518</v>
      </c>
      <c r="E597" s="80" t="s">
        <v>519</v>
      </c>
      <c r="F597" s="81">
        <v>0</v>
      </c>
      <c r="G597" s="81">
        <v>0</v>
      </c>
      <c r="H597" s="81">
        <v>0</v>
      </c>
      <c r="I597" s="101" t="s">
        <v>71</v>
      </c>
      <c r="J597" s="97" t="s">
        <v>71</v>
      </c>
      <c r="K597" s="101" t="s">
        <v>76</v>
      </c>
      <c r="L597" s="80" t="s">
        <v>1488</v>
      </c>
      <c r="M597" s="97" t="s">
        <v>1562</v>
      </c>
      <c r="N597" s="97">
        <v>1</v>
      </c>
      <c r="O597" s="101">
        <v>15</v>
      </c>
      <c r="P597" s="101">
        <v>15</v>
      </c>
      <c r="Q597" s="98">
        <v>3</v>
      </c>
      <c r="R597" s="98">
        <v>3</v>
      </c>
      <c r="S597" s="98" t="s">
        <v>1733</v>
      </c>
      <c r="T597" s="98" t="s">
        <v>1720</v>
      </c>
      <c r="U597" s="80"/>
      <c r="V597" s="78"/>
      <c r="W597" s="78"/>
    </row>
    <row r="598" spans="2:23" s="4" customFormat="1">
      <c r="B598" s="51" t="s">
        <v>63</v>
      </c>
      <c r="C598" s="51" t="s">
        <v>38</v>
      </c>
      <c r="D598" s="3" t="s">
        <v>518</v>
      </c>
      <c r="E598" s="80" t="s">
        <v>519</v>
      </c>
      <c r="F598" s="81">
        <v>0</v>
      </c>
      <c r="G598" s="81">
        <v>0</v>
      </c>
      <c r="H598" s="81">
        <v>0</v>
      </c>
      <c r="I598" s="101" t="s">
        <v>71</v>
      </c>
      <c r="J598" s="97" t="s">
        <v>71</v>
      </c>
      <c r="K598" s="101" t="s">
        <v>76</v>
      </c>
      <c r="L598" s="80" t="s">
        <v>1491</v>
      </c>
      <c r="M598" s="97" t="s">
        <v>1562</v>
      </c>
      <c r="N598" s="97">
        <v>1</v>
      </c>
      <c r="O598" s="101">
        <v>15</v>
      </c>
      <c r="P598" s="101">
        <v>15</v>
      </c>
      <c r="Q598" s="98">
        <v>3</v>
      </c>
      <c r="R598" s="98">
        <v>3</v>
      </c>
      <c r="S598" s="98" t="s">
        <v>1733</v>
      </c>
      <c r="T598" s="98" t="s">
        <v>1720</v>
      </c>
      <c r="U598" s="80"/>
      <c r="V598" s="78"/>
      <c r="W598" s="78"/>
    </row>
    <row r="599" spans="2:23" s="4" customFormat="1">
      <c r="B599" s="51" t="s">
        <v>63</v>
      </c>
      <c r="C599" s="51" t="s">
        <v>38</v>
      </c>
      <c r="D599" s="3" t="s">
        <v>338</v>
      </c>
      <c r="E599" s="80" t="s">
        <v>339</v>
      </c>
      <c r="F599" s="81">
        <v>4</v>
      </c>
      <c r="G599" s="81">
        <v>0</v>
      </c>
      <c r="H599" s="81">
        <v>4</v>
      </c>
      <c r="I599" s="101" t="s">
        <v>71</v>
      </c>
      <c r="J599" s="97" t="s">
        <v>71</v>
      </c>
      <c r="K599" s="101" t="s">
        <v>76</v>
      </c>
      <c r="L599" s="80" t="s">
        <v>1488</v>
      </c>
      <c r="M599" s="97" t="s">
        <v>1562</v>
      </c>
      <c r="N599" s="97">
        <v>1</v>
      </c>
      <c r="O599" s="101">
        <v>50</v>
      </c>
      <c r="P599" s="101">
        <v>50</v>
      </c>
      <c r="Q599" s="98">
        <f>N599*(F599+G599)</f>
        <v>4</v>
      </c>
      <c r="R599" s="98">
        <v>4</v>
      </c>
      <c r="S599" s="98" t="s">
        <v>1512</v>
      </c>
      <c r="T599" s="98" t="s">
        <v>1512</v>
      </c>
      <c r="U599" s="80"/>
      <c r="V599" s="78"/>
      <c r="W599" s="78"/>
    </row>
    <row r="600" spans="2:23" s="4" customFormat="1">
      <c r="B600" s="51" t="s">
        <v>63</v>
      </c>
      <c r="C600" s="51" t="s">
        <v>38</v>
      </c>
      <c r="D600" s="3" t="s">
        <v>338</v>
      </c>
      <c r="E600" s="80" t="s">
        <v>339</v>
      </c>
      <c r="F600" s="81">
        <v>4</v>
      </c>
      <c r="G600" s="81">
        <v>0</v>
      </c>
      <c r="H600" s="81">
        <v>4</v>
      </c>
      <c r="I600" s="101" t="s">
        <v>71</v>
      </c>
      <c r="J600" s="97" t="s">
        <v>71</v>
      </c>
      <c r="K600" s="101" t="s">
        <v>76</v>
      </c>
      <c r="L600" s="80" t="s">
        <v>1491</v>
      </c>
      <c r="M600" s="97" t="s">
        <v>1562</v>
      </c>
      <c r="N600" s="97">
        <v>1</v>
      </c>
      <c r="O600" s="101">
        <v>50</v>
      </c>
      <c r="P600" s="101">
        <v>50</v>
      </c>
      <c r="Q600" s="98">
        <f>N600*(F600+G600)</f>
        <v>4</v>
      </c>
      <c r="R600" s="98">
        <v>4</v>
      </c>
      <c r="S600" s="98" t="s">
        <v>1512</v>
      </c>
      <c r="T600" s="98" t="s">
        <v>1512</v>
      </c>
      <c r="U600" s="80"/>
      <c r="V600" s="78"/>
      <c r="W600" s="78"/>
    </row>
    <row r="601" spans="2:23" s="4" customFormat="1">
      <c r="B601" s="118" t="s">
        <v>1747</v>
      </c>
      <c r="C601" s="118" t="s">
        <v>1735</v>
      </c>
      <c r="D601" s="3" t="s">
        <v>338</v>
      </c>
      <c r="E601" s="80" t="s">
        <v>339</v>
      </c>
      <c r="F601" s="81">
        <v>4</v>
      </c>
      <c r="G601" s="81">
        <v>0</v>
      </c>
      <c r="H601" s="81">
        <v>4</v>
      </c>
      <c r="I601" s="101" t="s">
        <v>71</v>
      </c>
      <c r="J601" s="97" t="s">
        <v>71</v>
      </c>
      <c r="K601" s="101" t="s">
        <v>76</v>
      </c>
      <c r="L601" s="80" t="s">
        <v>1488</v>
      </c>
      <c r="M601" s="97" t="s">
        <v>1562</v>
      </c>
      <c r="N601" s="97">
        <v>1</v>
      </c>
      <c r="O601" s="101">
        <v>35</v>
      </c>
      <c r="P601" s="101">
        <v>35</v>
      </c>
      <c r="Q601" s="98">
        <f>N601*(F601+G601)</f>
        <v>4</v>
      </c>
      <c r="R601" s="98">
        <v>4</v>
      </c>
      <c r="S601" s="98"/>
      <c r="T601" s="98"/>
      <c r="U601" s="80" t="s">
        <v>1736</v>
      </c>
      <c r="V601" s="78"/>
      <c r="W601" s="78"/>
    </row>
    <row r="602" spans="2:23" s="4" customFormat="1">
      <c r="B602" s="118" t="s">
        <v>1747</v>
      </c>
      <c r="C602" s="118" t="s">
        <v>1735</v>
      </c>
      <c r="D602" s="3" t="s">
        <v>338</v>
      </c>
      <c r="E602" s="80" t="s">
        <v>339</v>
      </c>
      <c r="F602" s="81">
        <v>4</v>
      </c>
      <c r="G602" s="81">
        <v>0</v>
      </c>
      <c r="H602" s="81">
        <v>4</v>
      </c>
      <c r="I602" s="101" t="s">
        <v>71</v>
      </c>
      <c r="J602" s="97" t="s">
        <v>71</v>
      </c>
      <c r="K602" s="101" t="s">
        <v>76</v>
      </c>
      <c r="L602" s="80" t="s">
        <v>1491</v>
      </c>
      <c r="M602" s="97" t="s">
        <v>1562</v>
      </c>
      <c r="N602" s="97">
        <v>2</v>
      </c>
      <c r="O602" s="101">
        <v>35</v>
      </c>
      <c r="P602" s="101">
        <v>70</v>
      </c>
      <c r="Q602" s="98">
        <f>N602*(F602+G602)</f>
        <v>8</v>
      </c>
      <c r="R602" s="98">
        <v>8</v>
      </c>
      <c r="S602" s="98"/>
      <c r="T602" s="98"/>
      <c r="U602" s="80" t="s">
        <v>1737</v>
      </c>
      <c r="V602" s="78"/>
      <c r="W602" s="78"/>
    </row>
    <row r="603" spans="2:23" s="4" customFormat="1">
      <c r="B603" s="118" t="s">
        <v>1747</v>
      </c>
      <c r="C603" s="118" t="s">
        <v>1735</v>
      </c>
      <c r="D603" s="3" t="s">
        <v>338</v>
      </c>
      <c r="E603" s="80" t="s">
        <v>1738</v>
      </c>
      <c r="F603" s="81">
        <v>4</v>
      </c>
      <c r="G603" s="81">
        <v>0</v>
      </c>
      <c r="H603" s="81">
        <v>4</v>
      </c>
      <c r="I603" s="101" t="s">
        <v>71</v>
      </c>
      <c r="J603" s="97" t="s">
        <v>71</v>
      </c>
      <c r="K603" s="101" t="s">
        <v>76</v>
      </c>
      <c r="L603" s="80" t="s">
        <v>1491</v>
      </c>
      <c r="M603" s="97" t="s">
        <v>1528</v>
      </c>
      <c r="N603" s="97">
        <v>1</v>
      </c>
      <c r="O603" s="101">
        <v>35</v>
      </c>
      <c r="P603" s="101">
        <v>35</v>
      </c>
      <c r="Q603" s="98">
        <f>N603*(F603+G603)</f>
        <v>4</v>
      </c>
      <c r="R603" s="98">
        <v>4</v>
      </c>
      <c r="S603" s="98"/>
      <c r="T603" s="98"/>
      <c r="U603" s="80" t="s">
        <v>1739</v>
      </c>
      <c r="V603" s="78"/>
      <c r="W603" s="78"/>
    </row>
    <row r="604" spans="2:23" s="4" customFormat="1">
      <c r="B604" s="118" t="s">
        <v>1747</v>
      </c>
      <c r="C604" s="118" t="s">
        <v>1735</v>
      </c>
      <c r="D604" s="3" t="s">
        <v>338</v>
      </c>
      <c r="E604" s="80" t="s">
        <v>339</v>
      </c>
      <c r="F604" s="81">
        <v>4</v>
      </c>
      <c r="G604" s="81">
        <v>0</v>
      </c>
      <c r="H604" s="81">
        <v>4</v>
      </c>
      <c r="I604" s="101" t="s">
        <v>71</v>
      </c>
      <c r="J604" s="97" t="s">
        <v>71</v>
      </c>
      <c r="K604" s="101" t="s">
        <v>76</v>
      </c>
      <c r="L604" s="80" t="s">
        <v>1488</v>
      </c>
      <c r="M604" s="97" t="s">
        <v>1528</v>
      </c>
      <c r="N604" s="97">
        <v>1</v>
      </c>
      <c r="O604" s="101">
        <v>35</v>
      </c>
      <c r="P604" s="101">
        <v>35</v>
      </c>
      <c r="Q604" s="98">
        <f>N604*(F604+G604)</f>
        <v>4</v>
      </c>
      <c r="R604" s="98">
        <v>4</v>
      </c>
      <c r="S604" s="98"/>
      <c r="T604" s="98"/>
      <c r="U604" s="80" t="s">
        <v>1739</v>
      </c>
      <c r="V604" s="78"/>
      <c r="W604" s="78"/>
    </row>
    <row r="605" spans="2:23" s="4" customFormat="1">
      <c r="B605" s="118" t="s">
        <v>1747</v>
      </c>
      <c r="C605" s="118" t="s">
        <v>1735</v>
      </c>
      <c r="D605" s="3" t="s">
        <v>1025</v>
      </c>
      <c r="E605" s="80" t="s">
        <v>1026</v>
      </c>
      <c r="F605" s="81">
        <v>4</v>
      </c>
      <c r="G605" s="81">
        <v>0</v>
      </c>
      <c r="H605" s="81">
        <v>4</v>
      </c>
      <c r="I605" s="101" t="s">
        <v>71</v>
      </c>
      <c r="J605" s="97" t="s">
        <v>71</v>
      </c>
      <c r="K605" s="101" t="s">
        <v>76</v>
      </c>
      <c r="L605" s="80" t="s">
        <v>1491</v>
      </c>
      <c r="M605" s="97" t="s">
        <v>1562</v>
      </c>
      <c r="N605" s="97">
        <v>1</v>
      </c>
      <c r="O605" s="101">
        <v>35</v>
      </c>
      <c r="P605" s="101">
        <v>35</v>
      </c>
      <c r="Q605" s="98">
        <f>N605*(F605+G605)</f>
        <v>4</v>
      </c>
      <c r="R605" s="98">
        <v>4</v>
      </c>
      <c r="S605" s="98"/>
      <c r="T605" s="98"/>
      <c r="U605" s="80" t="s">
        <v>1740</v>
      </c>
      <c r="V605" s="78"/>
      <c r="W605" s="78"/>
    </row>
    <row r="606" spans="2:23" s="4" customFormat="1">
      <c r="B606" s="118" t="s">
        <v>1747</v>
      </c>
      <c r="C606" s="118" t="s">
        <v>1735</v>
      </c>
      <c r="D606" s="3" t="s">
        <v>1025</v>
      </c>
      <c r="E606" s="80" t="s">
        <v>1026</v>
      </c>
      <c r="F606" s="81">
        <v>4</v>
      </c>
      <c r="G606" s="81">
        <v>0</v>
      </c>
      <c r="H606" s="81">
        <v>4</v>
      </c>
      <c r="I606" s="101" t="s">
        <v>71</v>
      </c>
      <c r="J606" s="97" t="s">
        <v>71</v>
      </c>
      <c r="K606" s="101" t="s">
        <v>76</v>
      </c>
      <c r="L606" s="80" t="s">
        <v>1488</v>
      </c>
      <c r="M606" s="97" t="s">
        <v>1562</v>
      </c>
      <c r="N606" s="97">
        <v>1</v>
      </c>
      <c r="O606" s="101">
        <v>35</v>
      </c>
      <c r="P606" s="101">
        <v>35</v>
      </c>
      <c r="Q606" s="98">
        <f>N606*(F606+G606)</f>
        <v>4</v>
      </c>
      <c r="R606" s="98">
        <v>4</v>
      </c>
      <c r="S606" s="98"/>
      <c r="T606" s="98"/>
      <c r="U606" s="80" t="s">
        <v>1741</v>
      </c>
      <c r="V606" s="78"/>
      <c r="W606" s="78"/>
    </row>
    <row r="607" spans="2:23" s="4" customFormat="1">
      <c r="B607" s="118" t="s">
        <v>1747</v>
      </c>
      <c r="C607" s="118" t="s">
        <v>1735</v>
      </c>
      <c r="D607" s="3" t="s">
        <v>526</v>
      </c>
      <c r="E607" s="80" t="s">
        <v>527</v>
      </c>
      <c r="F607" s="81">
        <v>0</v>
      </c>
      <c r="G607" s="81">
        <v>0</v>
      </c>
      <c r="H607" s="81">
        <v>0</v>
      </c>
      <c r="I607" s="101" t="s">
        <v>71</v>
      </c>
      <c r="J607" s="97" t="s">
        <v>71</v>
      </c>
      <c r="K607" s="101" t="s">
        <v>76</v>
      </c>
      <c r="L607" s="80" t="s">
        <v>1488</v>
      </c>
      <c r="M607" s="97" t="s">
        <v>1562</v>
      </c>
      <c r="N607" s="97">
        <v>1</v>
      </c>
      <c r="O607" s="101">
        <v>20</v>
      </c>
      <c r="P607" s="101">
        <v>20</v>
      </c>
      <c r="Q607" s="98">
        <v>3</v>
      </c>
      <c r="R607" s="98">
        <v>3</v>
      </c>
      <c r="S607" s="98"/>
      <c r="T607" s="98"/>
      <c r="U607" s="80" t="s">
        <v>1740</v>
      </c>
      <c r="V607" s="78"/>
      <c r="W607" s="78"/>
    </row>
    <row r="608" spans="2:23" s="4" customFormat="1">
      <c r="B608" s="118" t="s">
        <v>1747</v>
      </c>
      <c r="C608" s="118" t="s">
        <v>1735</v>
      </c>
      <c r="D608" s="3" t="s">
        <v>526</v>
      </c>
      <c r="E608" s="80" t="s">
        <v>527</v>
      </c>
      <c r="F608" s="81">
        <v>0</v>
      </c>
      <c r="G608" s="81">
        <v>0</v>
      </c>
      <c r="H608" s="81">
        <v>0</v>
      </c>
      <c r="I608" s="101" t="s">
        <v>71</v>
      </c>
      <c r="J608" s="97" t="s">
        <v>71</v>
      </c>
      <c r="K608" s="101" t="s">
        <v>76</v>
      </c>
      <c r="L608" s="80" t="s">
        <v>1491</v>
      </c>
      <c r="M608" s="97" t="s">
        <v>1562</v>
      </c>
      <c r="N608" s="97">
        <v>1</v>
      </c>
      <c r="O608" s="101">
        <v>20</v>
      </c>
      <c r="P608" s="101">
        <v>20</v>
      </c>
      <c r="Q608" s="98">
        <v>3</v>
      </c>
      <c r="R608" s="98">
        <v>3</v>
      </c>
      <c r="S608" s="98"/>
      <c r="T608" s="98"/>
      <c r="U608" s="80" t="s">
        <v>1741</v>
      </c>
      <c r="V608" s="78"/>
      <c r="W608" s="78"/>
    </row>
    <row r="609" spans="2:23" s="4" customFormat="1">
      <c r="B609" s="118" t="s">
        <v>1747</v>
      </c>
      <c r="C609" s="118" t="s">
        <v>1735</v>
      </c>
      <c r="D609" s="3" t="s">
        <v>528</v>
      </c>
      <c r="E609" s="80" t="s">
        <v>529</v>
      </c>
      <c r="F609" s="81">
        <v>0</v>
      </c>
      <c r="G609" s="81">
        <v>0</v>
      </c>
      <c r="H609" s="81">
        <v>0</v>
      </c>
      <c r="I609" s="101" t="s">
        <v>71</v>
      </c>
      <c r="J609" s="97" t="s">
        <v>71</v>
      </c>
      <c r="K609" s="101" t="s">
        <v>76</v>
      </c>
      <c r="L609" s="80" t="s">
        <v>1488</v>
      </c>
      <c r="M609" s="97" t="s">
        <v>1562</v>
      </c>
      <c r="N609" s="97">
        <v>1</v>
      </c>
      <c r="O609" s="101">
        <v>20</v>
      </c>
      <c r="P609" s="101">
        <v>20</v>
      </c>
      <c r="Q609" s="98">
        <v>3</v>
      </c>
      <c r="R609" s="98">
        <v>3</v>
      </c>
      <c r="S609" s="98"/>
      <c r="T609" s="98"/>
      <c r="U609" s="80" t="s">
        <v>1740</v>
      </c>
      <c r="V609" s="78"/>
      <c r="W609" s="78"/>
    </row>
    <row r="610" spans="2:23" s="4" customFormat="1">
      <c r="B610" s="118" t="s">
        <v>1747</v>
      </c>
      <c r="C610" s="118" t="s">
        <v>1735</v>
      </c>
      <c r="D610" s="3" t="s">
        <v>528</v>
      </c>
      <c r="E610" s="80" t="s">
        <v>529</v>
      </c>
      <c r="F610" s="81">
        <v>0</v>
      </c>
      <c r="G610" s="81">
        <v>0</v>
      </c>
      <c r="H610" s="81">
        <v>0</v>
      </c>
      <c r="I610" s="101" t="s">
        <v>71</v>
      </c>
      <c r="J610" s="97" t="s">
        <v>71</v>
      </c>
      <c r="K610" s="101" t="s">
        <v>76</v>
      </c>
      <c r="L610" s="80" t="s">
        <v>1491</v>
      </c>
      <c r="M610" s="97" t="s">
        <v>1562</v>
      </c>
      <c r="N610" s="97">
        <v>1</v>
      </c>
      <c r="O610" s="101">
        <v>20</v>
      </c>
      <c r="P610" s="101">
        <v>20</v>
      </c>
      <c r="Q610" s="98">
        <v>3</v>
      </c>
      <c r="R610" s="98">
        <v>3</v>
      </c>
      <c r="S610" s="98"/>
      <c r="T610" s="98"/>
      <c r="U610" s="80" t="s">
        <v>1741</v>
      </c>
      <c r="V610" s="78"/>
      <c r="W610" s="78"/>
    </row>
    <row r="611" spans="2:23" s="4" customFormat="1">
      <c r="B611" s="118" t="s">
        <v>1747</v>
      </c>
      <c r="C611" s="118" t="s">
        <v>1735</v>
      </c>
      <c r="D611" s="3" t="s">
        <v>948</v>
      </c>
      <c r="E611" s="80" t="s">
        <v>949</v>
      </c>
      <c r="F611" s="81">
        <v>4</v>
      </c>
      <c r="G611" s="81">
        <v>0</v>
      </c>
      <c r="H611" s="81">
        <v>4</v>
      </c>
      <c r="I611" s="101" t="s">
        <v>1742</v>
      </c>
      <c r="J611" s="97" t="s">
        <v>73</v>
      </c>
      <c r="K611" s="101" t="s">
        <v>76</v>
      </c>
      <c r="L611" s="80" t="s">
        <v>1488</v>
      </c>
      <c r="M611" s="97" t="s">
        <v>1562</v>
      </c>
      <c r="N611" s="97">
        <v>1</v>
      </c>
      <c r="O611" s="101">
        <v>35</v>
      </c>
      <c r="P611" s="101">
        <v>35</v>
      </c>
      <c r="Q611" s="98">
        <f>N611*(F611+G611)</f>
        <v>4</v>
      </c>
      <c r="R611" s="98">
        <v>4</v>
      </c>
      <c r="S611" s="98"/>
      <c r="T611" s="98"/>
      <c r="U611" s="80" t="s">
        <v>1741</v>
      </c>
      <c r="V611" s="78"/>
      <c r="W611" s="78"/>
    </row>
    <row r="612" spans="2:23" s="4" customFormat="1">
      <c r="B612" s="118" t="s">
        <v>1747</v>
      </c>
      <c r="C612" s="118" t="s">
        <v>1735</v>
      </c>
      <c r="D612" s="3" t="s">
        <v>948</v>
      </c>
      <c r="E612" s="80" t="s">
        <v>949</v>
      </c>
      <c r="F612" s="81">
        <v>4</v>
      </c>
      <c r="G612" s="81">
        <v>0</v>
      </c>
      <c r="H612" s="81">
        <v>4</v>
      </c>
      <c r="I612" s="101" t="s">
        <v>1742</v>
      </c>
      <c r="J612" s="97" t="s">
        <v>73</v>
      </c>
      <c r="K612" s="101" t="s">
        <v>76</v>
      </c>
      <c r="L612" s="80" t="s">
        <v>1491</v>
      </c>
      <c r="M612" s="97" t="s">
        <v>1562</v>
      </c>
      <c r="N612" s="97">
        <v>1</v>
      </c>
      <c r="O612" s="101">
        <v>35</v>
      </c>
      <c r="P612" s="101">
        <v>35</v>
      </c>
      <c r="Q612" s="98">
        <f>N612*(F612+G612)</f>
        <v>4</v>
      </c>
      <c r="R612" s="98">
        <v>4</v>
      </c>
      <c r="S612" s="98"/>
      <c r="T612" s="98"/>
      <c r="U612" s="80" t="s">
        <v>1740</v>
      </c>
      <c r="V612" s="78"/>
      <c r="W612" s="78"/>
    </row>
    <row r="613" spans="2:23" s="4" customFormat="1">
      <c r="B613" s="118" t="s">
        <v>1747</v>
      </c>
      <c r="C613" s="118" t="s">
        <v>1735</v>
      </c>
      <c r="D613" s="3" t="s">
        <v>1726</v>
      </c>
      <c r="E613" s="80" t="s">
        <v>409</v>
      </c>
      <c r="F613" s="81">
        <v>2</v>
      </c>
      <c r="G613" s="81">
        <v>0</v>
      </c>
      <c r="H613" s="81">
        <v>4</v>
      </c>
      <c r="I613" s="101" t="s">
        <v>1742</v>
      </c>
      <c r="J613" s="97" t="s">
        <v>73</v>
      </c>
      <c r="K613" s="101" t="s">
        <v>76</v>
      </c>
      <c r="L613" s="80" t="s">
        <v>1488</v>
      </c>
      <c r="M613" s="97" t="s">
        <v>1528</v>
      </c>
      <c r="N613" s="97">
        <v>1</v>
      </c>
      <c r="O613" s="101">
        <v>40</v>
      </c>
      <c r="P613" s="101">
        <v>40</v>
      </c>
      <c r="Q613" s="98">
        <f>N613*(F613+G613)</f>
        <v>2</v>
      </c>
      <c r="R613" s="98">
        <v>2</v>
      </c>
      <c r="S613" s="98"/>
      <c r="T613" s="98"/>
      <c r="U613" s="80" t="s">
        <v>1740</v>
      </c>
      <c r="V613" s="78"/>
      <c r="W613" s="78"/>
    </row>
    <row r="614" spans="2:23" s="4" customFormat="1">
      <c r="B614" s="118" t="s">
        <v>1747</v>
      </c>
      <c r="C614" s="118" t="s">
        <v>1735</v>
      </c>
      <c r="D614" s="3" t="s">
        <v>1726</v>
      </c>
      <c r="E614" s="80" t="s">
        <v>409</v>
      </c>
      <c r="F614" s="81">
        <v>2</v>
      </c>
      <c r="G614" s="81">
        <v>0</v>
      </c>
      <c r="H614" s="81">
        <v>4</v>
      </c>
      <c r="I614" s="101" t="s">
        <v>1742</v>
      </c>
      <c r="J614" s="97" t="s">
        <v>73</v>
      </c>
      <c r="K614" s="101" t="s">
        <v>76</v>
      </c>
      <c r="L614" s="80" t="s">
        <v>1491</v>
      </c>
      <c r="M614" s="97" t="s">
        <v>1528</v>
      </c>
      <c r="N614" s="97">
        <v>1</v>
      </c>
      <c r="O614" s="101">
        <v>40</v>
      </c>
      <c r="P614" s="101">
        <v>40</v>
      </c>
      <c r="Q614" s="98">
        <f>N614*(F614+G614)</f>
        <v>2</v>
      </c>
      <c r="R614" s="98">
        <v>2</v>
      </c>
      <c r="S614" s="98"/>
      <c r="T614" s="98"/>
      <c r="U614" s="80" t="s">
        <v>1740</v>
      </c>
      <c r="V614" s="78"/>
      <c r="W614" s="78"/>
    </row>
    <row r="615" spans="2:23" s="4" customFormat="1">
      <c r="B615" s="33" t="s">
        <v>64</v>
      </c>
      <c r="C615" s="33" t="s">
        <v>1650</v>
      </c>
      <c r="D615" s="9" t="s">
        <v>1055</v>
      </c>
      <c r="E615" s="85" t="s">
        <v>1056</v>
      </c>
      <c r="F615" s="84">
        <v>3</v>
      </c>
      <c r="G615" s="84">
        <v>0</v>
      </c>
      <c r="H615" s="84">
        <v>4</v>
      </c>
      <c r="I615" s="97" t="s">
        <v>71</v>
      </c>
      <c r="J615" s="97" t="s">
        <v>71</v>
      </c>
      <c r="K615" s="97" t="s">
        <v>76</v>
      </c>
      <c r="L615" s="85" t="s">
        <v>1488</v>
      </c>
      <c r="M615" s="97" t="s">
        <v>1562</v>
      </c>
      <c r="N615" s="97">
        <v>1</v>
      </c>
      <c r="O615" s="97">
        <v>25</v>
      </c>
      <c r="P615" s="97">
        <v>25</v>
      </c>
      <c r="Q615" s="98">
        <f>N615*(F615+G615)</f>
        <v>3</v>
      </c>
      <c r="R615" s="98">
        <v>3</v>
      </c>
      <c r="S615" s="98"/>
      <c r="T615" s="98"/>
      <c r="U615" s="85"/>
      <c r="V615" s="84"/>
      <c r="W615" s="85"/>
    </row>
    <row r="616" spans="2:23" s="4" customFormat="1">
      <c r="B616" s="33" t="s">
        <v>64</v>
      </c>
      <c r="C616" s="33" t="s">
        <v>1650</v>
      </c>
      <c r="D616" s="9" t="s">
        <v>1055</v>
      </c>
      <c r="E616" s="85" t="s">
        <v>1056</v>
      </c>
      <c r="F616" s="84">
        <v>3</v>
      </c>
      <c r="G616" s="84">
        <v>0</v>
      </c>
      <c r="H616" s="84">
        <v>4</v>
      </c>
      <c r="I616" s="97" t="s">
        <v>71</v>
      </c>
      <c r="J616" s="97" t="s">
        <v>71</v>
      </c>
      <c r="K616" s="97" t="s">
        <v>76</v>
      </c>
      <c r="L616" s="85" t="s">
        <v>1491</v>
      </c>
      <c r="M616" s="97" t="s">
        <v>1562</v>
      </c>
      <c r="N616" s="97">
        <v>1</v>
      </c>
      <c r="O616" s="97">
        <v>25</v>
      </c>
      <c r="P616" s="97">
        <v>25</v>
      </c>
      <c r="Q616" s="98">
        <f>N616*(F616+G616)</f>
        <v>3</v>
      </c>
      <c r="R616" s="98">
        <v>3</v>
      </c>
      <c r="S616" s="98"/>
      <c r="T616" s="98"/>
      <c r="U616" s="85"/>
      <c r="V616" s="84"/>
      <c r="W616" s="85"/>
    </row>
    <row r="617" spans="2:23" s="4" customFormat="1">
      <c r="B617" s="33" t="s">
        <v>64</v>
      </c>
      <c r="C617" s="33" t="s">
        <v>1650</v>
      </c>
      <c r="D617" s="9" t="s">
        <v>524</v>
      </c>
      <c r="E617" s="85" t="s">
        <v>525</v>
      </c>
      <c r="F617" s="84">
        <v>0</v>
      </c>
      <c r="G617" s="84">
        <v>0</v>
      </c>
      <c r="H617" s="84">
        <v>0</v>
      </c>
      <c r="I617" s="97" t="s">
        <v>71</v>
      </c>
      <c r="J617" s="97" t="s">
        <v>71</v>
      </c>
      <c r="K617" s="97" t="s">
        <v>76</v>
      </c>
      <c r="L617" s="85" t="s">
        <v>1488</v>
      </c>
      <c r="M617" s="97" t="s">
        <v>1562</v>
      </c>
      <c r="N617" s="97">
        <v>1</v>
      </c>
      <c r="O617" s="97">
        <v>25</v>
      </c>
      <c r="P617" s="97">
        <v>25</v>
      </c>
      <c r="Q617" s="98">
        <v>3</v>
      </c>
      <c r="R617" s="98">
        <v>3</v>
      </c>
      <c r="S617" s="98"/>
      <c r="T617" s="98"/>
      <c r="U617" s="85"/>
      <c r="V617" s="84"/>
      <c r="W617" s="85"/>
    </row>
    <row r="618" spans="2:23" s="4" customFormat="1">
      <c r="B618" s="33" t="s">
        <v>64</v>
      </c>
      <c r="C618" s="33" t="s">
        <v>1650</v>
      </c>
      <c r="D618" s="9" t="s">
        <v>524</v>
      </c>
      <c r="E618" s="85" t="s">
        <v>525</v>
      </c>
      <c r="F618" s="84">
        <v>0</v>
      </c>
      <c r="G618" s="84">
        <v>0</v>
      </c>
      <c r="H618" s="84">
        <v>0</v>
      </c>
      <c r="I618" s="97" t="s">
        <v>71</v>
      </c>
      <c r="J618" s="97" t="s">
        <v>71</v>
      </c>
      <c r="K618" s="97" t="s">
        <v>76</v>
      </c>
      <c r="L618" s="85" t="s">
        <v>1491</v>
      </c>
      <c r="M618" s="97" t="s">
        <v>1562</v>
      </c>
      <c r="N618" s="97">
        <v>1</v>
      </c>
      <c r="O618" s="97">
        <v>25</v>
      </c>
      <c r="P618" s="97">
        <v>25</v>
      </c>
      <c r="Q618" s="98">
        <v>3</v>
      </c>
      <c r="R618" s="98">
        <v>3</v>
      </c>
      <c r="S618" s="98"/>
      <c r="T618" s="98"/>
      <c r="U618" s="85"/>
      <c r="V618" s="84"/>
      <c r="W618" s="85"/>
    </row>
    <row r="619" spans="2:23" s="4" customFormat="1">
      <c r="B619" s="33" t="s">
        <v>64</v>
      </c>
      <c r="C619" s="33" t="s">
        <v>1650</v>
      </c>
      <c r="D619" s="9" t="s">
        <v>1146</v>
      </c>
      <c r="E619" s="85" t="s">
        <v>1147</v>
      </c>
      <c r="F619" s="84">
        <v>4</v>
      </c>
      <c r="G619" s="84">
        <v>2</v>
      </c>
      <c r="H619" s="84">
        <v>4</v>
      </c>
      <c r="I619" s="97" t="s">
        <v>70</v>
      </c>
      <c r="J619" s="97" t="s">
        <v>73</v>
      </c>
      <c r="K619" s="97" t="s">
        <v>76</v>
      </c>
      <c r="L619" s="85" t="s">
        <v>1488</v>
      </c>
      <c r="M619" s="97" t="s">
        <v>1562</v>
      </c>
      <c r="N619" s="97">
        <v>1</v>
      </c>
      <c r="O619" s="97">
        <v>25</v>
      </c>
      <c r="P619" s="97">
        <v>25</v>
      </c>
      <c r="Q619" s="98">
        <f>N619*(F619+G619)</f>
        <v>6</v>
      </c>
      <c r="R619" s="98">
        <v>6</v>
      </c>
      <c r="S619" s="98" t="s">
        <v>1493</v>
      </c>
      <c r="T619" s="98" t="s">
        <v>1490</v>
      </c>
      <c r="U619" s="85"/>
      <c r="V619" s="84"/>
      <c r="W619" s="85"/>
    </row>
    <row r="620" spans="2:23">
      <c r="N620" s="102">
        <f>SUM(N2:N619)</f>
        <v>745</v>
      </c>
      <c r="Q620" s="102">
        <f t="shared" ref="Q620:R620" si="0">SUM(Q2:Q619)</f>
        <v>3132</v>
      </c>
      <c r="R620" s="102">
        <f t="shared" si="0"/>
        <v>2888</v>
      </c>
    </row>
    <row r="621" spans="2:23" ht="12.75" customHeight="1"/>
    <row r="622" spans="2:23" ht="12.75" customHeight="1"/>
    <row r="623" spans="2:23" ht="12.75" customHeight="1">
      <c r="K623" s="103" t="s">
        <v>1659</v>
      </c>
      <c r="L623" s="103" t="s">
        <v>1667</v>
      </c>
    </row>
    <row r="624" spans="2:23" s="58" customFormat="1">
      <c r="E624" s="88"/>
      <c r="F624" s="59"/>
      <c r="G624" s="59"/>
      <c r="H624" s="59"/>
      <c r="I624" s="60"/>
      <c r="J624" s="60" t="s">
        <v>12</v>
      </c>
      <c r="K624" s="60">
        <f>Q620</f>
        <v>3132</v>
      </c>
      <c r="L624" s="60">
        <f>R620</f>
        <v>2888</v>
      </c>
      <c r="M624" s="59"/>
      <c r="N624" s="59"/>
      <c r="O624" s="59"/>
      <c r="P624" s="59"/>
      <c r="Q624" s="59"/>
      <c r="R624" s="59"/>
      <c r="S624" s="59"/>
      <c r="T624" s="88"/>
      <c r="U624" s="88"/>
    </row>
    <row r="625" spans="2:22" s="58" customFormat="1">
      <c r="E625" s="88"/>
      <c r="F625" s="59"/>
      <c r="G625" s="59"/>
      <c r="H625" s="59"/>
      <c r="I625" s="60"/>
      <c r="J625" s="60" t="s">
        <v>1651</v>
      </c>
      <c r="K625" s="60">
        <v>294</v>
      </c>
      <c r="L625" s="60"/>
      <c r="M625" s="59"/>
      <c r="N625" s="60"/>
      <c r="O625" s="59"/>
      <c r="P625" s="59"/>
      <c r="Q625" s="59"/>
      <c r="R625" s="59"/>
      <c r="S625" s="59"/>
      <c r="T625" s="88"/>
      <c r="U625" s="88"/>
    </row>
    <row r="626" spans="2:22" s="58" customFormat="1">
      <c r="E626" s="88"/>
      <c r="F626" s="59"/>
      <c r="G626" s="59"/>
      <c r="H626" s="59"/>
      <c r="I626" s="60"/>
      <c r="J626" s="60" t="s">
        <v>9</v>
      </c>
      <c r="K626" s="60">
        <f>N620</f>
        <v>745</v>
      </c>
      <c r="L626" s="60"/>
      <c r="M626" s="59"/>
      <c r="N626" s="60"/>
      <c r="O626" s="59"/>
      <c r="P626" s="59"/>
      <c r="Q626" s="59"/>
      <c r="R626" s="59"/>
      <c r="S626" s="59"/>
      <c r="T626" s="88"/>
      <c r="U626" s="88"/>
    </row>
    <row r="627" spans="2:22" s="58" customFormat="1" ht="25.5">
      <c r="E627" s="88"/>
      <c r="F627" s="59"/>
      <c r="G627" s="59"/>
      <c r="H627" s="59"/>
      <c r="I627" s="60"/>
      <c r="J627" s="60"/>
      <c r="K627" s="60"/>
      <c r="L627" s="135" t="s">
        <v>1771</v>
      </c>
      <c r="M627" s="135"/>
      <c r="N627" s="136" t="s">
        <v>1659</v>
      </c>
      <c r="O627" s="136" t="s">
        <v>1488</v>
      </c>
      <c r="P627" s="136" t="s">
        <v>1491</v>
      </c>
      <c r="Q627" s="137" t="s">
        <v>1770</v>
      </c>
      <c r="R627" s="59"/>
      <c r="S627" s="59"/>
      <c r="T627" s="59"/>
      <c r="U627" s="88"/>
      <c r="V627" s="88"/>
    </row>
    <row r="628" spans="2:22" s="58" customFormat="1">
      <c r="E628" s="88"/>
      <c r="F628" s="124" t="s">
        <v>1670</v>
      </c>
      <c r="G628" s="125"/>
      <c r="H628" s="126"/>
      <c r="I628" s="119"/>
      <c r="J628" s="120" t="s">
        <v>1671</v>
      </c>
      <c r="K628" s="61"/>
      <c r="L628" s="138" t="s">
        <v>1734</v>
      </c>
      <c r="M628" s="139" t="s">
        <v>1767</v>
      </c>
      <c r="N628" s="139">
        <v>242</v>
      </c>
      <c r="O628" s="136">
        <v>194</v>
      </c>
      <c r="P628" s="136">
        <v>199</v>
      </c>
      <c r="Q628" s="136" t="s">
        <v>1486</v>
      </c>
      <c r="R628" s="59"/>
      <c r="S628" s="59"/>
      <c r="T628" s="59"/>
      <c r="U628" s="88"/>
      <c r="V628" s="88"/>
    </row>
    <row r="629" spans="2:22" s="63" customFormat="1">
      <c r="B629" s="60"/>
      <c r="C629" s="60"/>
      <c r="D629" s="60"/>
      <c r="E629" s="62" t="s">
        <v>1652</v>
      </c>
      <c r="F629" s="124">
        <f>K624</f>
        <v>3132</v>
      </c>
      <c r="G629" s="125"/>
      <c r="H629" s="126"/>
      <c r="I629" s="121"/>
      <c r="J629" s="115">
        <f>R620</f>
        <v>2888</v>
      </c>
      <c r="K629" s="60"/>
      <c r="L629" s="138"/>
      <c r="M629" s="136" t="s">
        <v>1768</v>
      </c>
      <c r="N629" s="136">
        <f>SUM(O629:Q629)</f>
        <v>522</v>
      </c>
      <c r="O629" s="136">
        <f>SUMIFS($N$2:$N$619,$L$2:$L$619,"d",$M$2:$M$619,"SA")</f>
        <v>252</v>
      </c>
      <c r="P629" s="136">
        <f>SUMIFS($N$2:$N$619,$L$2:$L$619,"n",$M$2:$M$619,"SA")</f>
        <v>259</v>
      </c>
      <c r="Q629" s="136">
        <f>SUMIFS($N$2:$N$619,$L$2:$L$619,"",$M$2:$M$619,"SA")</f>
        <v>11</v>
      </c>
      <c r="R629" s="60"/>
      <c r="S629" s="60"/>
      <c r="T629" s="60"/>
      <c r="U629" s="60"/>
      <c r="V629" s="60"/>
    </row>
    <row r="630" spans="2:22" s="63" customFormat="1">
      <c r="B630" s="60"/>
      <c r="C630" s="60"/>
      <c r="D630" s="60"/>
      <c r="E630" s="60"/>
      <c r="F630" s="121"/>
      <c r="G630" s="121"/>
      <c r="H630" s="121"/>
      <c r="I630" s="121"/>
      <c r="J630" s="121"/>
      <c r="K630" s="60"/>
      <c r="L630" s="138" t="s">
        <v>1769</v>
      </c>
      <c r="M630" s="139" t="s">
        <v>1767</v>
      </c>
      <c r="N630" s="139">
        <v>90</v>
      </c>
      <c r="O630" s="136">
        <v>80</v>
      </c>
      <c r="P630" s="136">
        <v>82</v>
      </c>
      <c r="Q630" s="136" t="s">
        <v>1486</v>
      </c>
      <c r="R630" s="60"/>
      <c r="S630" s="60"/>
      <c r="T630" s="60"/>
      <c r="U630" s="60"/>
      <c r="V630" s="60"/>
    </row>
    <row r="631" spans="2:22" s="63" customFormat="1">
      <c r="B631" s="60"/>
      <c r="C631" s="60"/>
      <c r="D631" s="60"/>
      <c r="E631" s="62" t="s">
        <v>1653</v>
      </c>
      <c r="F631" s="124">
        <f>SUMIFS($Q$1:$Q$619,$J$1:$J$619,"obrigatória")</f>
        <v>2694</v>
      </c>
      <c r="G631" s="125"/>
      <c r="H631" s="126"/>
      <c r="I631" s="121"/>
      <c r="J631" s="115">
        <f>SUMIFS($R$2:$R$619,$J$2:$J$619,"obrigatória")</f>
        <v>2470</v>
      </c>
      <c r="K631" s="60"/>
      <c r="L631" s="138"/>
      <c r="M631" s="136" t="s">
        <v>1768</v>
      </c>
      <c r="N631" s="136">
        <f>SUM(O631:Q631)</f>
        <v>223</v>
      </c>
      <c r="O631" s="136">
        <f>SUMIFS($N$2:$N$619,$L$2:$L$619,"d",$M$2:$M$619,"Sb")</f>
        <v>109</v>
      </c>
      <c r="P631" s="136">
        <f>SUMIFS($N$2:$N$619,$L$2:$L$619,"n",$M$2:$M$619,"Sb")</f>
        <v>110</v>
      </c>
      <c r="Q631" s="136">
        <f>SUMIFS($N$2:$N$619,$L$2:$L$619,"",$M$2:$M$619,"Sb")</f>
        <v>4</v>
      </c>
      <c r="R631" s="60"/>
      <c r="S631" s="60"/>
      <c r="T631" s="60"/>
      <c r="U631" s="60"/>
      <c r="V631" s="60"/>
    </row>
    <row r="632" spans="2:22" s="63" customFormat="1">
      <c r="B632" s="60"/>
      <c r="C632" s="60"/>
      <c r="D632" s="60"/>
      <c r="E632" s="62" t="s">
        <v>1654</v>
      </c>
      <c r="F632" s="124">
        <f>SUMIFS($Q$2:$Q$619,$J$2:$J$619,"opção limitada")</f>
        <v>438</v>
      </c>
      <c r="G632" s="125"/>
      <c r="H632" s="126"/>
      <c r="I632" s="121"/>
      <c r="J632" s="115">
        <f>SUMIFS($R$2:$R$619,$J$2:$J$619,"opção limitada")</f>
        <v>418</v>
      </c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</row>
    <row r="633" spans="2:22" s="63" customFormat="1">
      <c r="B633" s="60"/>
      <c r="C633" s="60"/>
      <c r="D633" s="60"/>
      <c r="E633" s="62" t="s">
        <v>1655</v>
      </c>
      <c r="F633" s="124">
        <f>SUMIFS($Q$2:$Q$619,$J$2:$J$619,"livre")</f>
        <v>0</v>
      </c>
      <c r="G633" s="125"/>
      <c r="H633" s="126"/>
      <c r="I633" s="121"/>
      <c r="J633" s="115">
        <f>SUMIFS($R$2:$R$619,$J$2:$J$619,"livre")</f>
        <v>0</v>
      </c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</row>
    <row r="634" spans="2:22" s="63" customFormat="1">
      <c r="B634" s="60"/>
      <c r="C634" s="60"/>
      <c r="D634" s="60"/>
      <c r="E634" s="60"/>
      <c r="F634" s="121"/>
      <c r="G634" s="121"/>
      <c r="H634" s="121"/>
      <c r="I634" s="121"/>
      <c r="J634" s="121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</row>
    <row r="635" spans="2:22" s="63" customFormat="1">
      <c r="B635" s="60"/>
      <c r="C635" s="60"/>
      <c r="D635" s="60"/>
      <c r="E635" s="60"/>
      <c r="F635" s="121"/>
      <c r="G635" s="121"/>
      <c r="H635" s="121"/>
      <c r="I635" s="121"/>
      <c r="J635" s="121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</row>
    <row r="636" spans="2:22" s="63" customFormat="1">
      <c r="B636" s="60"/>
      <c r="C636" s="60"/>
      <c r="D636" s="60"/>
      <c r="E636" s="62" t="s">
        <v>1656</v>
      </c>
      <c r="F636" s="133" t="s">
        <v>1657</v>
      </c>
      <c r="G636" s="133"/>
      <c r="H636" s="133"/>
      <c r="I636" s="114" t="s">
        <v>1749</v>
      </c>
      <c r="J636" s="115" t="s">
        <v>1659</v>
      </c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</row>
    <row r="637" spans="2:22" s="63" customFormat="1">
      <c r="B637" s="60"/>
      <c r="C637" s="60"/>
      <c r="D637" s="60"/>
      <c r="E637" s="62" t="s">
        <v>1660</v>
      </c>
      <c r="F637" s="133">
        <v>178</v>
      </c>
      <c r="G637" s="133"/>
      <c r="H637" s="133"/>
      <c r="I637" s="114">
        <v>5.9</v>
      </c>
      <c r="J637" s="116">
        <f>F637-I637</f>
        <v>172.1</v>
      </c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</row>
    <row r="638" spans="2:22" s="63" customFormat="1">
      <c r="B638" s="60"/>
      <c r="C638" s="60"/>
      <c r="D638" s="60"/>
      <c r="E638" s="62" t="s">
        <v>1661</v>
      </c>
      <c r="F638" s="133">
        <v>217</v>
      </c>
      <c r="G638" s="133"/>
      <c r="H638" s="133"/>
      <c r="I638" s="114">
        <v>11.5</v>
      </c>
      <c r="J638" s="116">
        <f>F638-I638</f>
        <v>205.5</v>
      </c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</row>
    <row r="639" spans="2:22" s="63" customFormat="1">
      <c r="B639" s="60"/>
      <c r="C639" s="60"/>
      <c r="D639" s="60"/>
      <c r="E639" s="62" t="s">
        <v>1662</v>
      </c>
      <c r="F639" s="133">
        <v>115</v>
      </c>
      <c r="G639" s="133"/>
      <c r="H639" s="133"/>
      <c r="I639" s="114">
        <v>7.1</v>
      </c>
      <c r="J639" s="116">
        <f>F639-I639</f>
        <v>107.9</v>
      </c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</row>
    <row r="640" spans="2:22" s="63" customFormat="1">
      <c r="B640" s="60"/>
      <c r="C640" s="60"/>
      <c r="D640" s="60"/>
      <c r="E640" s="62" t="s">
        <v>1659</v>
      </c>
      <c r="F640" s="133">
        <v>510</v>
      </c>
      <c r="G640" s="133"/>
      <c r="H640" s="133"/>
      <c r="I640" s="114">
        <v>24.5</v>
      </c>
      <c r="J640" s="116">
        <f>F640-I640</f>
        <v>485.5</v>
      </c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</row>
    <row r="641" spans="2:21" s="63" customFormat="1">
      <c r="B641" s="60"/>
      <c r="C641" s="60"/>
      <c r="D641" s="60"/>
      <c r="E641" s="60"/>
      <c r="F641" s="121"/>
      <c r="G641" s="121"/>
      <c r="H641" s="121"/>
      <c r="I641" s="121"/>
      <c r="J641" s="121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</row>
    <row r="642" spans="2:21" s="63" customFormat="1">
      <c r="B642" s="60"/>
      <c r="C642" s="60"/>
      <c r="D642" s="60"/>
      <c r="E642" s="62" t="s">
        <v>1663</v>
      </c>
      <c r="F642" s="129">
        <f>F629/J640</f>
        <v>6.4510813594232745</v>
      </c>
      <c r="G642" s="129"/>
      <c r="H642" s="129"/>
      <c r="I642" s="121"/>
      <c r="J642" s="116">
        <f>J629/J640</f>
        <v>5.9485066941297635</v>
      </c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</row>
    <row r="643" spans="2:21" s="63" customFormat="1">
      <c r="B643" s="60"/>
      <c r="C643" s="60"/>
      <c r="D643" s="60"/>
      <c r="E643" s="60"/>
      <c r="F643" s="122"/>
      <c r="G643" s="122"/>
      <c r="H643" s="122"/>
      <c r="I643" s="121"/>
      <c r="J643" s="122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</row>
    <row r="644" spans="2:21" s="63" customFormat="1">
      <c r="B644" s="60"/>
      <c r="C644" s="60"/>
      <c r="D644" s="60"/>
      <c r="E644" s="62" t="s">
        <v>1664</v>
      </c>
      <c r="F644" s="129"/>
      <c r="G644" s="129"/>
      <c r="H644" s="129"/>
      <c r="I644" s="121"/>
      <c r="J644" s="122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</row>
    <row r="645" spans="2:21" s="63" customFormat="1">
      <c r="B645" s="60"/>
      <c r="C645" s="60"/>
      <c r="D645" s="60"/>
      <c r="E645" s="62" t="s">
        <v>1660</v>
      </c>
      <c r="F645" s="129">
        <f>J637*$F$642</f>
        <v>1110.2311019567455</v>
      </c>
      <c r="G645" s="129"/>
      <c r="H645" s="129"/>
      <c r="I645" s="121"/>
      <c r="J645" s="116">
        <f>$J$642*J637</f>
        <v>1023.7380020597323</v>
      </c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</row>
    <row r="646" spans="2:21" s="63" customFormat="1">
      <c r="B646" s="60"/>
      <c r="C646" s="60"/>
      <c r="D646" s="60"/>
      <c r="E646" s="62" t="s">
        <v>1661</v>
      </c>
      <c r="F646" s="129">
        <f>J638*$F$642</f>
        <v>1325.6972193614829</v>
      </c>
      <c r="G646" s="129"/>
      <c r="H646" s="129"/>
      <c r="I646" s="121"/>
      <c r="J646" s="116">
        <f>$J$642*J638</f>
        <v>1222.4181256436664</v>
      </c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</row>
    <row r="647" spans="2:21" s="63" customFormat="1">
      <c r="B647" s="60"/>
      <c r="C647" s="60"/>
      <c r="D647" s="60"/>
      <c r="E647" s="62" t="s">
        <v>1662</v>
      </c>
      <c r="F647" s="129">
        <f>J639*$F$642</f>
        <v>696.07167868177135</v>
      </c>
      <c r="G647" s="129"/>
      <c r="H647" s="129"/>
      <c r="I647" s="121"/>
      <c r="J647" s="116">
        <f>$J$642*J639</f>
        <v>641.84387229660149</v>
      </c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</row>
    <row r="648" spans="2:21" s="63" customFormat="1">
      <c r="B648" s="60"/>
      <c r="C648" s="60"/>
      <c r="D648" s="60"/>
      <c r="E648" s="62" t="s">
        <v>1659</v>
      </c>
      <c r="F648" s="129">
        <f>SUM(F645:F647)</f>
        <v>3132</v>
      </c>
      <c r="G648" s="129"/>
      <c r="H648" s="129"/>
      <c r="I648" s="121"/>
      <c r="J648" s="116">
        <f>$J$642*J640</f>
        <v>2888</v>
      </c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</row>
    <row r="649" spans="2:21" s="58" customFormat="1">
      <c r="E649" s="88"/>
      <c r="F649" s="134"/>
      <c r="G649" s="134"/>
      <c r="H649" s="127"/>
      <c r="I649" s="127"/>
      <c r="J649" s="127"/>
      <c r="K649" s="128"/>
      <c r="L649" s="128"/>
      <c r="M649" s="128"/>
      <c r="N649" s="59"/>
      <c r="O649" s="59"/>
      <c r="P649" s="59"/>
      <c r="Q649" s="59"/>
      <c r="R649" s="59"/>
      <c r="S649" s="59"/>
      <c r="T649" s="88"/>
      <c r="U649" s="88"/>
    </row>
    <row r="650" spans="2:21" s="58" customFormat="1">
      <c r="E650" s="88"/>
      <c r="F650" s="134"/>
      <c r="G650" s="134"/>
      <c r="H650" s="127"/>
      <c r="I650" s="127"/>
      <c r="J650" s="127"/>
      <c r="K650" s="128"/>
      <c r="L650" s="128"/>
      <c r="M650" s="128"/>
      <c r="N650" s="59"/>
      <c r="O650" s="59"/>
      <c r="P650" s="59"/>
      <c r="Q650" s="59"/>
      <c r="R650" s="59"/>
      <c r="S650" s="59"/>
      <c r="T650" s="88"/>
      <c r="U650" s="88"/>
    </row>
    <row r="651" spans="2:21" s="66" customFormat="1">
      <c r="C651" s="66" t="s">
        <v>1665</v>
      </c>
      <c r="D651" s="58"/>
      <c r="E651" s="89"/>
      <c r="F651" s="130"/>
      <c r="G651" s="130"/>
      <c r="H651" s="131"/>
      <c r="I651" s="131"/>
      <c r="J651" s="131"/>
      <c r="K651" s="132"/>
      <c r="L651" s="132"/>
      <c r="M651" s="132"/>
      <c r="N651" s="67"/>
      <c r="O651" s="67"/>
      <c r="P651" s="67"/>
      <c r="Q651" s="67"/>
      <c r="R651" s="67"/>
      <c r="S651" s="67"/>
      <c r="T651" s="89"/>
      <c r="U651" s="89"/>
    </row>
    <row r="652" spans="2:21" ht="12.75" customHeight="1"/>
    <row r="653" spans="2:21" ht="12.75" customHeight="1"/>
    <row r="654" spans="2:21" ht="12.75" customHeight="1"/>
    <row r="655" spans="2:21" ht="12.75" customHeight="1"/>
    <row r="656" spans="2:21" ht="12.75" customHeight="1"/>
    <row r="657" spans="3:21" ht="12.75" customHeight="1">
      <c r="C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3:21" ht="12.75" customHeight="1">
      <c r="C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3:21" ht="12.75" customHeight="1">
      <c r="C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3:21" ht="12.75" customHeight="1">
      <c r="C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3:21" ht="12.75" customHeight="1">
      <c r="C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3:21" ht="12.75" customHeight="1">
      <c r="C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3:21" ht="12.75" customHeight="1">
      <c r="C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3:21" ht="12.75" customHeight="1">
      <c r="C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3:21" ht="12.75" customHeight="1">
      <c r="C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3:21" ht="12.75" customHeight="1">
      <c r="C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3:21" ht="12.75" customHeight="1">
      <c r="C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3:21" ht="12.75" customHeight="1">
      <c r="C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3:21" ht="12.75" customHeight="1">
      <c r="C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3:21" ht="12.75" customHeight="1">
      <c r="C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3:21" ht="12.75" customHeight="1">
      <c r="C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3:21" ht="12.75" customHeight="1">
      <c r="C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3:21" ht="12.75" customHeight="1">
      <c r="C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3:21" ht="12.75" customHeight="1">
      <c r="C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3:21" ht="12.75" customHeight="1">
      <c r="C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3:21" ht="12.75" customHeight="1">
      <c r="C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3:21" ht="12.75" customHeight="1">
      <c r="C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3:21" ht="12.75" customHeight="1">
      <c r="C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3:21" ht="12.75" customHeight="1">
      <c r="C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3:21" ht="12.75" customHeight="1">
      <c r="C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3:21" ht="12.75" customHeight="1">
      <c r="C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3:21" ht="12.75" customHeight="1">
      <c r="C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3:21" ht="12.75" customHeight="1">
      <c r="C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3:21" ht="12.75" customHeight="1">
      <c r="C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3:21" ht="12.75" customHeight="1">
      <c r="C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3:21" ht="12.75" customHeight="1">
      <c r="C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3:21" ht="12.75" customHeight="1">
      <c r="C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3:21" ht="12.75" customHeight="1">
      <c r="C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3:21" ht="12.75" customHeight="1">
      <c r="C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3:21" ht="12.75" customHeight="1">
      <c r="C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3:21" ht="12.75" customHeight="1">
      <c r="C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3:21" ht="12.75" customHeight="1">
      <c r="C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3:21" ht="12.75" customHeight="1">
      <c r="C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3:21" ht="12.75" customHeight="1">
      <c r="C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3:21" ht="12.75" customHeight="1">
      <c r="C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3:21" ht="12.75" customHeight="1">
      <c r="C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3:21" ht="12.75" customHeight="1">
      <c r="C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3:21" ht="12.75" customHeight="1">
      <c r="C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3:21" ht="12.75" customHeight="1">
      <c r="C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3:21" ht="12.75" customHeight="1">
      <c r="C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3:21" ht="12.75" customHeight="1">
      <c r="C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3:21" ht="12.75" customHeight="1">
      <c r="C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3:21" ht="12.75" customHeight="1">
      <c r="C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3:21" ht="12.75" customHeight="1">
      <c r="C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3:21" ht="12.75" customHeight="1">
      <c r="C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3:21" ht="12.75" customHeight="1">
      <c r="C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3:21" ht="12.75" customHeight="1">
      <c r="C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3:21" ht="12.75" customHeight="1">
      <c r="C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3:21" ht="12.75" customHeight="1">
      <c r="C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3:21" ht="12.75" customHeight="1">
      <c r="C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3:21" ht="12.75" customHeight="1">
      <c r="C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3:21" ht="12.75" customHeight="1">
      <c r="C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3:21" ht="12.75" customHeight="1">
      <c r="C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3:21" ht="12.75" customHeight="1">
      <c r="C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3:21" ht="12.75" customHeight="1">
      <c r="C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3:21" ht="12.75" customHeight="1">
      <c r="C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3:21" ht="12.75" customHeight="1">
      <c r="C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3:21" ht="12.75" customHeight="1">
      <c r="C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3:21" ht="12.75" customHeight="1">
      <c r="C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3:21" ht="12.75" customHeight="1">
      <c r="C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3:21" ht="12.75" customHeight="1">
      <c r="C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3:21" ht="12.75" customHeight="1">
      <c r="C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3:21" ht="12.75" customHeight="1">
      <c r="C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3:21" ht="12.75" customHeight="1">
      <c r="C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3:21" ht="12.75" customHeight="1">
      <c r="C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3:21" ht="12.75" customHeight="1">
      <c r="C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3:21" ht="12.75" customHeight="1">
      <c r="C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3:21" ht="12.75" customHeight="1">
      <c r="C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3:21" ht="12.75" customHeight="1">
      <c r="C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3:21" ht="12.75" customHeight="1">
      <c r="C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3:21" ht="12.75" customHeight="1">
      <c r="C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3:21" ht="12.75" customHeight="1">
      <c r="C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3:21" ht="12.75" customHeight="1">
      <c r="C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3:21" ht="12.75" customHeight="1">
      <c r="C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3:21" ht="12.75" customHeight="1">
      <c r="C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3:21" ht="12.75" customHeight="1">
      <c r="C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3:21" ht="12.75" customHeight="1">
      <c r="C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3:21" ht="12.75" customHeight="1">
      <c r="C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3:21" ht="12.75" customHeight="1">
      <c r="C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3:21" ht="12.75" customHeight="1">
      <c r="C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3:21" ht="12.75" customHeight="1">
      <c r="C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3:21" ht="12.75" customHeight="1">
      <c r="C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3:21" ht="12.75" customHeight="1">
      <c r="C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3:21" ht="12.75" customHeight="1">
      <c r="C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3:21" ht="12.75" customHeight="1">
      <c r="C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3:21" ht="12.75" customHeight="1">
      <c r="C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3:21" ht="12.75" customHeight="1">
      <c r="C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3:21" ht="12.75" customHeight="1">
      <c r="C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3:21" ht="12.75" customHeight="1">
      <c r="C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3:21" ht="12.75" customHeight="1">
      <c r="C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3:21" ht="12.75" customHeight="1">
      <c r="C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3:21" ht="12.75" customHeight="1">
      <c r="C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3:21" ht="12.75" customHeight="1">
      <c r="C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3:21" ht="12.75" customHeight="1">
      <c r="C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3:21" ht="12.75" customHeight="1">
      <c r="C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3:21" ht="12.75" customHeight="1">
      <c r="C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3:21" ht="12.75" customHeight="1">
      <c r="C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3:21" ht="12.75" customHeight="1">
      <c r="C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3:21" ht="12.75" customHeight="1">
      <c r="C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3:21" ht="12.75" customHeight="1">
      <c r="C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3:21" ht="12.75" customHeight="1">
      <c r="C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3:21" ht="12.75" customHeight="1">
      <c r="C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3:21" ht="12.75" customHeight="1">
      <c r="C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3:21" ht="12.75" customHeight="1">
      <c r="C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3:21" ht="12.75" customHeight="1">
      <c r="C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3:21" ht="12.75" customHeight="1">
      <c r="C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3:21" ht="12.75" customHeight="1">
      <c r="C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3:21" ht="12.75" customHeight="1">
      <c r="C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3:21" ht="12.75" customHeight="1">
      <c r="C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3:21" ht="12.75" customHeight="1">
      <c r="C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3:21" ht="12.75" customHeight="1">
      <c r="C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3:21" ht="12.75" customHeight="1">
      <c r="C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3:21" ht="12.75" customHeight="1">
      <c r="C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3:21" ht="12.75" customHeight="1">
      <c r="C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3:21" ht="12.75" customHeight="1">
      <c r="C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3:21" ht="12.75" customHeight="1">
      <c r="C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3:21" ht="12.75" customHeight="1">
      <c r="C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3:21" ht="12.75" customHeight="1">
      <c r="C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3:21" ht="12.75" customHeight="1">
      <c r="C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3:21" ht="12.75" customHeight="1">
      <c r="C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3:21" ht="12.75" customHeight="1">
      <c r="C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3:21" ht="12.75" customHeight="1">
      <c r="C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3:21" ht="12.75" customHeight="1">
      <c r="C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3:21" ht="12.75" customHeight="1">
      <c r="C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3:21" ht="12.75" customHeight="1">
      <c r="C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3:21" ht="12.75" customHeight="1">
      <c r="C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3:21" ht="12.75" customHeight="1">
      <c r="C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3:21" ht="12.75" customHeight="1">
      <c r="C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3:21" ht="12.75" customHeight="1">
      <c r="C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3:21" ht="12.75" customHeight="1">
      <c r="C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3:21" ht="12.75" customHeight="1">
      <c r="C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3:21" ht="12.75" customHeight="1">
      <c r="C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3:21" ht="12.75" customHeight="1">
      <c r="C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3:21" ht="12.75" customHeight="1">
      <c r="C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3:21" ht="12.75" customHeight="1">
      <c r="C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3:21" ht="12.75" customHeight="1">
      <c r="C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3:21" ht="12.75" customHeight="1">
      <c r="C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3:21" ht="12.75" customHeight="1">
      <c r="C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3:21" ht="12.75" customHeight="1">
      <c r="C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3:21" ht="12.75" customHeight="1">
      <c r="C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3:21" ht="12.75" customHeight="1">
      <c r="C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3:21" ht="12.75" customHeight="1">
      <c r="C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3:21" ht="12.75" customHeight="1">
      <c r="C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3:21" ht="12.75" customHeight="1">
      <c r="C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3:21" ht="12.75" customHeight="1">
      <c r="C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3:21" ht="12.75" customHeight="1">
      <c r="C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3:21" ht="12.75" customHeight="1">
      <c r="C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3:21" ht="12.75" customHeight="1">
      <c r="C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3:21" ht="12.75" customHeight="1">
      <c r="C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3:21" ht="12.75" customHeight="1">
      <c r="C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3:21" ht="12.75" customHeight="1">
      <c r="C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3:21" ht="12.75" customHeight="1">
      <c r="C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3:21" ht="12.75" customHeight="1">
      <c r="C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3:21" ht="12.75" customHeight="1">
      <c r="C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3:21" ht="12.75" customHeight="1">
      <c r="C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3:21" ht="12.75" customHeight="1">
      <c r="C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3:21" ht="12.75" customHeight="1">
      <c r="C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3:21" ht="12.75" customHeight="1">
      <c r="C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3:21" ht="12.75" customHeight="1">
      <c r="C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3:21" ht="12.75" customHeight="1">
      <c r="C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3:21" ht="12.75" customHeight="1">
      <c r="C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3:21" ht="12.75" customHeight="1">
      <c r="C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3:21" ht="12.75" customHeight="1">
      <c r="C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3:21" ht="12.75" customHeight="1">
      <c r="C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3:21" ht="12.75" customHeight="1">
      <c r="C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3:21" ht="12.75" customHeight="1">
      <c r="C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3:21" ht="12.75" customHeight="1">
      <c r="C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3:21" ht="12.75" customHeight="1">
      <c r="C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3:21" ht="12.75" customHeight="1">
      <c r="C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3:21" ht="12.75" customHeight="1">
      <c r="C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3:21" ht="12.75" customHeight="1">
      <c r="C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3:21" ht="12.75" customHeight="1">
      <c r="C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3:21" ht="12.75" customHeight="1">
      <c r="C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3:21" ht="12.75" customHeight="1">
      <c r="C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3:21" ht="12.75" customHeight="1">
      <c r="C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3:21" ht="12.75" customHeight="1">
      <c r="C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3:21" ht="12.75" customHeight="1">
      <c r="C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3:21" ht="12.75" customHeight="1">
      <c r="C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3:21" ht="12.75" customHeight="1">
      <c r="C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3:21" ht="12.75" customHeight="1">
      <c r="C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3:21" ht="12.75" customHeight="1">
      <c r="C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3:21" ht="12.75" customHeight="1">
      <c r="C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3:21" ht="12.75" customHeight="1">
      <c r="C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3:21" ht="12.75" customHeight="1">
      <c r="C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3:21" ht="12.75" customHeight="1">
      <c r="C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3:21" ht="12.75" customHeight="1">
      <c r="C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3:21" ht="12.75" customHeight="1">
      <c r="C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3:21" ht="12.75" customHeight="1">
      <c r="C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3:21" ht="12.75" customHeight="1">
      <c r="C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3:21" ht="12.75" customHeight="1">
      <c r="C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3:21" ht="12.75" customHeight="1">
      <c r="C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3:21" ht="12.75" customHeight="1">
      <c r="C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3:21" ht="12.75" customHeight="1">
      <c r="C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3:21" ht="12.75" customHeight="1">
      <c r="C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3:21" ht="12.75" customHeight="1">
      <c r="C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3:21" ht="12.75" customHeight="1">
      <c r="C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3:21" ht="12.75" customHeight="1">
      <c r="C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3:21" ht="12.75" customHeight="1">
      <c r="C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3:21" ht="12.75" customHeight="1">
      <c r="C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3:21" ht="12.75" customHeight="1">
      <c r="C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3:21" ht="12.75" customHeight="1">
      <c r="C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3:21" ht="12.75" customHeight="1">
      <c r="C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3:21" ht="12.75" customHeight="1">
      <c r="C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3:21" ht="12.75" customHeight="1">
      <c r="C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3:21" ht="12.75" customHeight="1">
      <c r="C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3:21" ht="12.75" customHeight="1">
      <c r="C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3:21" ht="12.75" customHeight="1">
      <c r="C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3:21" ht="12.75" customHeight="1">
      <c r="C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3:21" ht="12.75" customHeight="1">
      <c r="C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3:21" ht="12.75" customHeight="1">
      <c r="C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3:21" ht="12.75" customHeight="1">
      <c r="C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3:21" ht="12.75" customHeight="1">
      <c r="C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3:21" ht="12.75" customHeight="1">
      <c r="C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3:21" ht="12.75" customHeight="1">
      <c r="C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3:21" ht="12.75" customHeight="1">
      <c r="C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3:21" ht="12.75" customHeight="1">
      <c r="C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3:21" ht="12.75" customHeight="1">
      <c r="C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3:21" ht="12.75" customHeight="1">
      <c r="C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3:21" ht="12.75" customHeight="1">
      <c r="C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3:21" ht="12.75" customHeight="1">
      <c r="C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3:21" ht="12.75" customHeight="1">
      <c r="C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3:21" ht="12.75" customHeight="1">
      <c r="C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3:21" ht="12.75" customHeight="1">
      <c r="C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3:21" ht="12.75" customHeight="1">
      <c r="C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3:21" ht="12.75" customHeight="1">
      <c r="C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3:21" ht="12.75" customHeight="1">
      <c r="C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3:21" ht="12.75" customHeight="1">
      <c r="C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3:21" ht="12.75" customHeight="1">
      <c r="C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3:21" ht="12.75" customHeight="1">
      <c r="C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3:21" ht="12.75" customHeight="1">
      <c r="C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3:21" ht="12.75" customHeight="1">
      <c r="C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3:21" ht="12.75" customHeight="1">
      <c r="C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3:21" ht="12.75" customHeight="1">
      <c r="C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3:21" ht="12.75" customHeight="1">
      <c r="C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3:21" ht="12.75" customHeight="1">
      <c r="C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3:21" ht="12.75" customHeight="1">
      <c r="C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3:21" ht="12.75" customHeight="1">
      <c r="C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3:21" ht="12.75" customHeight="1">
      <c r="C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3:21" ht="12.75" customHeight="1">
      <c r="C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3:21" ht="12.75" customHeight="1">
      <c r="C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3:21" ht="12.75" customHeight="1">
      <c r="C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3:21" ht="12.75" customHeight="1">
      <c r="C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3:21" ht="12.75" customHeight="1">
      <c r="C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3:21" ht="12.75" customHeight="1">
      <c r="C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3:21" ht="12.75" customHeight="1">
      <c r="C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3:21" ht="12.75" customHeight="1">
      <c r="C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3:21" ht="12.75" customHeight="1">
      <c r="C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3:21" ht="12.75" customHeight="1">
      <c r="C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3:21" ht="12.75" customHeight="1">
      <c r="C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3:21" ht="12.75" customHeight="1">
      <c r="C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3:21" ht="12.75" customHeight="1">
      <c r="C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3:21" ht="12.75" customHeight="1">
      <c r="C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3:21" ht="12.75" customHeight="1">
      <c r="C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3:21" ht="12.75" customHeight="1">
      <c r="C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3:21" ht="12.75" customHeight="1">
      <c r="C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3:21" ht="12.75" customHeight="1">
      <c r="C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3:21" ht="12.75" customHeight="1">
      <c r="C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3:21" ht="12.75" customHeight="1">
      <c r="C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3:21" ht="12.75" customHeight="1">
      <c r="C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3:21" ht="12.75" customHeight="1">
      <c r="C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3:21" ht="12.75" customHeight="1">
      <c r="C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3:21" ht="12.75" customHeight="1">
      <c r="C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3:21" ht="12.75" customHeight="1">
      <c r="C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3:21" ht="12.75" customHeight="1">
      <c r="C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3:21" ht="12.75" customHeight="1">
      <c r="C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3:21" ht="12.75" customHeight="1">
      <c r="C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3:21" ht="12.75" customHeight="1">
      <c r="C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3:21" ht="12.75" customHeight="1">
      <c r="C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3:21" ht="12.75" customHeight="1">
      <c r="C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3:21" ht="12.75" customHeight="1">
      <c r="C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3:21" ht="12.75" customHeight="1">
      <c r="C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3:21" ht="12.75" customHeight="1">
      <c r="C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3:21" ht="12.75" customHeight="1">
      <c r="C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3:21" ht="12.75" customHeight="1">
      <c r="C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3:21" ht="12.75" customHeight="1">
      <c r="C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3:21" ht="12.75" customHeight="1">
      <c r="C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3:21" ht="12.75" customHeight="1">
      <c r="C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3:21" ht="12.75" customHeight="1">
      <c r="C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3:21" ht="12.75" customHeight="1">
      <c r="C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3:21" ht="12.75" customHeight="1">
      <c r="C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3:21" ht="12.75" customHeight="1">
      <c r="C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3:21" ht="12.75" customHeight="1">
      <c r="C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3:21" ht="12.75" customHeight="1">
      <c r="C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3:21" ht="12.75" customHeight="1">
      <c r="C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3:21" ht="12.75" customHeight="1">
      <c r="C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3:21" ht="12.75" customHeight="1">
      <c r="C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3:21" ht="12.75" customHeight="1">
      <c r="C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3:21" ht="12.75" customHeight="1">
      <c r="C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3:21" ht="12.75" customHeight="1">
      <c r="C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3:21" ht="12.75" customHeight="1">
      <c r="C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3:21" ht="12.75" customHeight="1">
      <c r="C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3:21" ht="12.75" customHeight="1">
      <c r="C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3:21" ht="12.75" customHeight="1">
      <c r="C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3:21" ht="12.75" customHeight="1">
      <c r="C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3:21" ht="12.75" customHeight="1">
      <c r="C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3:21" ht="12.75" customHeight="1">
      <c r="C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3:21" ht="12.75" customHeight="1">
      <c r="C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3:21" ht="12.75" customHeight="1">
      <c r="C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3:21" ht="12.75" customHeight="1">
      <c r="C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3:21" ht="12.75" customHeight="1">
      <c r="C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3:21" ht="12.75" customHeight="1">
      <c r="C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3:21" ht="12.75" customHeight="1">
      <c r="C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3:21" ht="12.75" customHeight="1">
      <c r="C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3:21" ht="12.75" customHeight="1">
      <c r="C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3:21" ht="12.75" customHeight="1">
      <c r="C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3:21" ht="12.75" customHeight="1">
      <c r="C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3:21" ht="12.75" customHeight="1">
      <c r="C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3:21" ht="12.75" customHeight="1">
      <c r="C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3:21" ht="12.75" customHeight="1">
      <c r="C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3:21" ht="12.75" customHeight="1">
      <c r="C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3:21" ht="12.75" customHeight="1">
      <c r="C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3:21" ht="12.75" customHeight="1">
      <c r="C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3:21" ht="12.75" customHeight="1">
      <c r="C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3:21" ht="12.75" customHeight="1">
      <c r="C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3:21" ht="12.75" customHeight="1">
      <c r="C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3:21" ht="12.75" customHeight="1">
      <c r="C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</row>
    <row r="977" spans="3:21" ht="12.75" customHeight="1">
      <c r="C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</row>
    <row r="978" spans="3:21" ht="12.75" customHeight="1">
      <c r="C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</row>
    <row r="979" spans="3:21" ht="12.75" customHeight="1">
      <c r="C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</row>
    <row r="980" spans="3:21" ht="12.75" customHeight="1">
      <c r="C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</row>
    <row r="981" spans="3:21" ht="12.75" customHeight="1">
      <c r="C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</row>
    <row r="982" spans="3:21" ht="12.75" customHeight="1">
      <c r="C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</row>
    <row r="983" spans="3:21" ht="12.75" customHeight="1">
      <c r="C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</row>
  </sheetData>
  <autoFilter ref="A1:X620"/>
  <sortState ref="A2:U619">
    <sortCondition ref="C2:C619"/>
  </sortState>
  <mergeCells count="28">
    <mergeCell ref="L627:M627"/>
    <mergeCell ref="F651:G651"/>
    <mergeCell ref="H651:J651"/>
    <mergeCell ref="K651:M651"/>
    <mergeCell ref="F629:H629"/>
    <mergeCell ref="F631:H631"/>
    <mergeCell ref="F632:H632"/>
    <mergeCell ref="F633:H633"/>
    <mergeCell ref="F636:H636"/>
    <mergeCell ref="F637:H637"/>
    <mergeCell ref="F638:H638"/>
    <mergeCell ref="F639:H639"/>
    <mergeCell ref="F640:H640"/>
    <mergeCell ref="F649:G649"/>
    <mergeCell ref="H649:J649"/>
    <mergeCell ref="K649:M649"/>
    <mergeCell ref="F650:G650"/>
    <mergeCell ref="F628:H628"/>
    <mergeCell ref="H650:J650"/>
    <mergeCell ref="K650:M650"/>
    <mergeCell ref="F648:H648"/>
    <mergeCell ref="F642:H642"/>
    <mergeCell ref="F644:H644"/>
    <mergeCell ref="F645:H645"/>
    <mergeCell ref="F646:H646"/>
    <mergeCell ref="F647:H647"/>
    <mergeCell ref="L628:L629"/>
    <mergeCell ref="L630:L631"/>
  </mergeCells>
  <conditionalFormatting sqref="J615:J619 J567:J610 J428:J441 J446:J472 J504:J544 J481:J494 S254:W261 J420:J424 S312:U541 S247:X253 S199:U203 J199:L203 C204:C426 S257:X260 S204:V245 S246:W246 S291:W311 D199:I426 C547:K547 S262:U290 J274:J285 J307 J204:J214 J222:J239 J242:J243 J247:J271 J409:J416 J291:J296 J298 J300:J305 J312:J319 J321:J323 J325:J329 J331:J333 J335 J337:J364 J377:J388 J390:J391 J394:J406 K204:L619 J546:J560 C427:I619 S542:W619 N290:N393 O199:P619 N199:N200 N204:N287 N399:N619 C257:I261 B204:B619">
    <cfRule type="cellIs" dxfId="42" priority="19" operator="equal">
      <formula>#REF!</formula>
    </cfRule>
  </conditionalFormatting>
  <dataValidations disablePrompts="1" count="2">
    <dataValidation allowBlank="1" showDropDown="1" showInputMessage="1" showErrorMessage="1" sqref="O257:O260 N254:N256 N542:N619 N204:N246 N261 O247:O253 N291:N311"/>
    <dataValidation type="list" allowBlank="1" showDropDown="1" showInputMessage="1" showErrorMessage="1" sqref="L312:L541 N257:N260 L262:L290 L199:L203 N247:N253">
      <formula1>"D,N"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N24"/>
  <sheetViews>
    <sheetView workbookViewId="0">
      <selection activeCell="C28" sqref="C28"/>
    </sheetView>
  </sheetViews>
  <sheetFormatPr defaultRowHeight="15"/>
  <cols>
    <col min="1" max="1" width="9" style="193" customWidth="1"/>
    <col min="2" max="2" width="38.42578125" hidden="1" customWidth="1"/>
    <col min="3" max="3" width="9" style="191" customWidth="1"/>
    <col min="4" max="4" width="40.7109375" style="196" customWidth="1"/>
    <col min="5" max="5" width="5.5703125" customWidth="1"/>
    <col min="6" max="6" width="9" style="193" customWidth="1"/>
    <col min="7" max="7" width="0" hidden="1" customWidth="1"/>
    <col min="8" max="8" width="9" customWidth="1"/>
    <col min="9" max="9" width="40.7109375" customWidth="1"/>
    <col min="10" max="10" width="4.42578125" customWidth="1"/>
    <col min="11" max="11" width="9" style="193" customWidth="1"/>
    <col min="12" max="12" width="0" hidden="1" customWidth="1"/>
    <col min="13" max="13" width="9" customWidth="1"/>
    <col min="14" max="14" width="40.7109375" customWidth="1"/>
  </cols>
  <sheetData>
    <row r="1" spans="1:14" ht="36.75" customHeight="1">
      <c r="A1" s="197" t="s">
        <v>1780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</row>
    <row r="2" spans="1:14" s="351" customFormat="1" ht="18" customHeight="1">
      <c r="A2" s="203" t="s">
        <v>1451</v>
      </c>
      <c r="B2" s="203" t="s">
        <v>1451</v>
      </c>
      <c r="C2" s="203" t="s">
        <v>0</v>
      </c>
      <c r="D2" s="203" t="s">
        <v>1</v>
      </c>
      <c r="E2" s="350"/>
      <c r="F2" s="203" t="s">
        <v>1451</v>
      </c>
      <c r="G2" s="203" t="s">
        <v>1451</v>
      </c>
      <c r="H2" s="203" t="s">
        <v>0</v>
      </c>
      <c r="I2" s="203" t="s">
        <v>1</v>
      </c>
      <c r="J2" s="350"/>
      <c r="K2" s="203" t="s">
        <v>1451</v>
      </c>
      <c r="L2" s="203" t="s">
        <v>1451</v>
      </c>
      <c r="M2" s="203" t="s">
        <v>0</v>
      </c>
      <c r="N2" s="203" t="s">
        <v>1</v>
      </c>
    </row>
    <row r="3" spans="1:14">
      <c r="A3" s="336" t="s">
        <v>45</v>
      </c>
      <c r="B3" s="244" t="s">
        <v>16</v>
      </c>
      <c r="C3" s="192" t="s">
        <v>89</v>
      </c>
      <c r="D3" s="231" t="s">
        <v>90</v>
      </c>
      <c r="E3" s="190"/>
      <c r="F3" s="311" t="s">
        <v>63</v>
      </c>
      <c r="G3" s="241" t="s">
        <v>38</v>
      </c>
      <c r="H3" s="192" t="s">
        <v>526</v>
      </c>
      <c r="I3" s="231" t="s">
        <v>527</v>
      </c>
      <c r="J3" s="190"/>
      <c r="K3" s="337" t="s">
        <v>40</v>
      </c>
      <c r="L3" s="238" t="s">
        <v>17</v>
      </c>
      <c r="M3" s="192" t="s">
        <v>1121</v>
      </c>
      <c r="N3" s="231" t="s">
        <v>1122</v>
      </c>
    </row>
    <row r="4" spans="1:14">
      <c r="A4" s="334" t="s">
        <v>49</v>
      </c>
      <c r="B4" s="245" t="s">
        <v>22</v>
      </c>
      <c r="C4" s="192"/>
      <c r="D4" s="231"/>
      <c r="E4" s="190"/>
      <c r="F4" s="315" t="s">
        <v>1747</v>
      </c>
      <c r="G4" s="242" t="s">
        <v>1735</v>
      </c>
      <c r="H4" s="192"/>
      <c r="I4" s="231"/>
      <c r="J4" s="190"/>
      <c r="K4" s="320" t="s">
        <v>41</v>
      </c>
      <c r="L4" s="239" t="s">
        <v>19</v>
      </c>
      <c r="M4" s="192"/>
      <c r="N4" s="231"/>
    </row>
    <row r="5" spans="1:14">
      <c r="A5" s="311" t="s">
        <v>63</v>
      </c>
      <c r="B5" s="241" t="s">
        <v>38</v>
      </c>
      <c r="C5" s="192"/>
      <c r="D5" s="231"/>
      <c r="E5" s="190"/>
      <c r="F5" s="311" t="s">
        <v>63</v>
      </c>
      <c r="G5" s="241" t="s">
        <v>38</v>
      </c>
      <c r="H5" s="192" t="s">
        <v>528</v>
      </c>
      <c r="I5" s="231" t="s">
        <v>529</v>
      </c>
      <c r="J5" s="190"/>
      <c r="K5" s="323" t="s">
        <v>46</v>
      </c>
      <c r="L5" s="234" t="s">
        <v>20</v>
      </c>
      <c r="M5" s="192"/>
      <c r="N5" s="231"/>
    </row>
    <row r="6" spans="1:14">
      <c r="A6" s="337" t="s">
        <v>40</v>
      </c>
      <c r="B6" s="238" t="s">
        <v>17</v>
      </c>
      <c r="C6" s="192" t="s">
        <v>166</v>
      </c>
      <c r="D6" s="231" t="s">
        <v>167</v>
      </c>
      <c r="E6" s="190"/>
      <c r="F6" s="315" t="s">
        <v>1747</v>
      </c>
      <c r="G6" s="242" t="s">
        <v>1735</v>
      </c>
      <c r="H6" s="192"/>
      <c r="I6" s="231"/>
      <c r="J6" s="190"/>
      <c r="K6" s="316" t="s">
        <v>1637</v>
      </c>
      <c r="L6" s="246" t="s">
        <v>26</v>
      </c>
      <c r="M6" s="192" t="s">
        <v>1146</v>
      </c>
      <c r="N6" s="231" t="s">
        <v>1147</v>
      </c>
    </row>
    <row r="7" spans="1:14">
      <c r="A7" s="320" t="s">
        <v>41</v>
      </c>
      <c r="B7" s="239" t="s">
        <v>19</v>
      </c>
      <c r="C7" s="192"/>
      <c r="D7" s="231"/>
      <c r="E7" s="190"/>
      <c r="F7" s="332" t="s">
        <v>1772</v>
      </c>
      <c r="G7" s="232" t="s">
        <v>1680</v>
      </c>
      <c r="H7" s="192" t="s">
        <v>531</v>
      </c>
      <c r="I7" s="231" t="s">
        <v>532</v>
      </c>
      <c r="J7" s="190"/>
      <c r="K7" s="338" t="s">
        <v>64</v>
      </c>
      <c r="L7" s="247" t="s">
        <v>1650</v>
      </c>
      <c r="M7" s="192"/>
      <c r="N7" s="231"/>
    </row>
    <row r="8" spans="1:14">
      <c r="A8" s="337" t="s">
        <v>40</v>
      </c>
      <c r="B8" s="238" t="s">
        <v>17</v>
      </c>
      <c r="C8" s="192" t="s">
        <v>168</v>
      </c>
      <c r="D8" s="231" t="s">
        <v>169</v>
      </c>
      <c r="E8" s="190"/>
      <c r="F8" s="333" t="s">
        <v>1727</v>
      </c>
      <c r="G8" s="233" t="s">
        <v>1728</v>
      </c>
      <c r="H8" s="192"/>
      <c r="I8" s="231"/>
      <c r="J8" s="190"/>
      <c r="K8" s="336" t="s">
        <v>45</v>
      </c>
      <c r="L8" s="244" t="s">
        <v>16</v>
      </c>
      <c r="M8" s="192" t="s">
        <v>1160</v>
      </c>
      <c r="N8" s="231" t="s">
        <v>150</v>
      </c>
    </row>
    <row r="9" spans="1:14">
      <c r="A9" s="320" t="s">
        <v>41</v>
      </c>
      <c r="B9" s="239" t="s">
        <v>19</v>
      </c>
      <c r="C9" s="192"/>
      <c r="D9" s="231"/>
      <c r="E9" s="190"/>
      <c r="F9" s="337" t="s">
        <v>40</v>
      </c>
      <c r="G9" s="238" t="s">
        <v>17</v>
      </c>
      <c r="H9" s="192" t="s">
        <v>538</v>
      </c>
      <c r="I9" s="231" t="s">
        <v>539</v>
      </c>
      <c r="J9" s="190"/>
      <c r="K9" s="328" t="s">
        <v>1777</v>
      </c>
      <c r="L9" s="251" t="s">
        <v>33</v>
      </c>
      <c r="M9" s="192"/>
      <c r="N9" s="231"/>
    </row>
    <row r="10" spans="1:14">
      <c r="A10" s="339" t="s">
        <v>44</v>
      </c>
      <c r="B10" s="248" t="s">
        <v>18</v>
      </c>
      <c r="C10" s="192" t="s">
        <v>177</v>
      </c>
      <c r="D10" s="231" t="s">
        <v>178</v>
      </c>
      <c r="E10" s="190"/>
      <c r="F10" s="320" t="s">
        <v>41</v>
      </c>
      <c r="G10" s="239" t="s">
        <v>19</v>
      </c>
      <c r="H10" s="192"/>
      <c r="I10" s="231"/>
      <c r="J10" s="190"/>
      <c r="K10" s="327" t="s">
        <v>54</v>
      </c>
      <c r="L10" s="340" t="s">
        <v>27</v>
      </c>
      <c r="M10" s="192" t="s">
        <v>1609</v>
      </c>
      <c r="N10" s="231" t="s">
        <v>1165</v>
      </c>
    </row>
    <row r="11" spans="1:14">
      <c r="A11" s="341" t="s">
        <v>50</v>
      </c>
      <c r="B11" s="249" t="s">
        <v>23</v>
      </c>
      <c r="C11" s="192"/>
      <c r="D11" s="231"/>
      <c r="E11" s="190"/>
      <c r="F11" s="332" t="s">
        <v>1772</v>
      </c>
      <c r="G11" s="232" t="s">
        <v>1680</v>
      </c>
      <c r="H11" s="192" t="s">
        <v>1390</v>
      </c>
      <c r="I11" s="231" t="s">
        <v>1391</v>
      </c>
      <c r="J11" s="190"/>
      <c r="K11" s="327" t="s">
        <v>54</v>
      </c>
      <c r="L11" s="340" t="s">
        <v>27</v>
      </c>
      <c r="M11" s="192"/>
      <c r="N11" s="231"/>
    </row>
    <row r="12" spans="1:14">
      <c r="A12" s="342" t="s">
        <v>1774</v>
      </c>
      <c r="B12" s="343" t="s">
        <v>30</v>
      </c>
      <c r="C12" s="192"/>
      <c r="D12" s="231"/>
      <c r="E12" s="190"/>
      <c r="F12" s="333" t="s">
        <v>1727</v>
      </c>
      <c r="G12" s="233" t="s">
        <v>1728</v>
      </c>
      <c r="H12" s="192"/>
      <c r="I12" s="231"/>
      <c r="J12" s="190"/>
      <c r="K12" s="332" t="s">
        <v>1772</v>
      </c>
      <c r="L12" s="232" t="s">
        <v>1680</v>
      </c>
      <c r="M12" s="192" t="s">
        <v>1268</v>
      </c>
      <c r="N12" s="231" t="s">
        <v>1269</v>
      </c>
    </row>
    <row r="13" spans="1:14">
      <c r="A13" s="344" t="s">
        <v>47</v>
      </c>
      <c r="B13" s="345" t="s">
        <v>21</v>
      </c>
      <c r="C13" s="192" t="s">
        <v>225</v>
      </c>
      <c r="D13" s="231" t="s">
        <v>226</v>
      </c>
      <c r="E13" s="190"/>
      <c r="F13" s="323" t="s">
        <v>46</v>
      </c>
      <c r="G13" s="234" t="s">
        <v>20</v>
      </c>
      <c r="H13" s="192" t="s">
        <v>1591</v>
      </c>
      <c r="I13" s="231" t="s">
        <v>601</v>
      </c>
      <c r="J13" s="190"/>
      <c r="K13" s="333" t="s">
        <v>1727</v>
      </c>
      <c r="L13" s="233" t="s">
        <v>1728</v>
      </c>
      <c r="M13" s="192"/>
      <c r="N13" s="231"/>
    </row>
    <row r="14" spans="1:14">
      <c r="A14" s="334" t="s">
        <v>49</v>
      </c>
      <c r="B14" s="245" t="s">
        <v>22</v>
      </c>
      <c r="C14" s="192"/>
      <c r="D14" s="231"/>
      <c r="E14" s="190"/>
      <c r="F14" s="325" t="s">
        <v>51</v>
      </c>
      <c r="G14" s="235" t="s">
        <v>25</v>
      </c>
      <c r="H14" s="192"/>
      <c r="I14" s="231"/>
      <c r="J14" s="190"/>
      <c r="K14" s="332" t="s">
        <v>1772</v>
      </c>
      <c r="L14" s="232" t="s">
        <v>1680</v>
      </c>
      <c r="M14" s="192" t="s">
        <v>1423</v>
      </c>
      <c r="N14" s="231" t="s">
        <v>1678</v>
      </c>
    </row>
    <row r="15" spans="1:14">
      <c r="A15" s="337" t="s">
        <v>40</v>
      </c>
      <c r="B15" s="238" t="s">
        <v>17</v>
      </c>
      <c r="C15" s="192" t="s">
        <v>256</v>
      </c>
      <c r="D15" s="231" t="s">
        <v>257</v>
      </c>
      <c r="E15" s="190"/>
      <c r="F15" s="332" t="s">
        <v>1772</v>
      </c>
      <c r="G15" s="232" t="s">
        <v>1680</v>
      </c>
      <c r="H15" s="192" t="s">
        <v>718</v>
      </c>
      <c r="I15" s="231" t="s">
        <v>719</v>
      </c>
      <c r="J15" s="190"/>
      <c r="K15" s="333" t="s">
        <v>1727</v>
      </c>
      <c r="L15" s="233" t="s">
        <v>1728</v>
      </c>
      <c r="M15" s="192"/>
      <c r="N15" s="231"/>
    </row>
    <row r="16" spans="1:14">
      <c r="A16" s="323" t="s">
        <v>46</v>
      </c>
      <c r="B16" s="234" t="s">
        <v>20</v>
      </c>
      <c r="C16" s="192"/>
      <c r="D16" s="231"/>
      <c r="E16" s="190"/>
      <c r="F16" s="333" t="s">
        <v>1727</v>
      </c>
      <c r="G16" s="233" t="s">
        <v>1728</v>
      </c>
      <c r="H16" s="192"/>
      <c r="I16" s="231"/>
      <c r="J16" s="190"/>
      <c r="K16" s="332" t="s">
        <v>1772</v>
      </c>
      <c r="L16" s="232" t="s">
        <v>1680</v>
      </c>
      <c r="M16" s="192" t="s">
        <v>1297</v>
      </c>
      <c r="N16" s="231" t="s">
        <v>1298</v>
      </c>
    </row>
    <row r="17" spans="1:14">
      <c r="A17" s="311" t="s">
        <v>63</v>
      </c>
      <c r="B17" s="241" t="s">
        <v>38</v>
      </c>
      <c r="C17" s="192" t="s">
        <v>338</v>
      </c>
      <c r="D17" s="231" t="s">
        <v>339</v>
      </c>
      <c r="E17" s="190"/>
      <c r="F17" s="332" t="s">
        <v>1772</v>
      </c>
      <c r="G17" s="232" t="s">
        <v>1680</v>
      </c>
      <c r="H17" s="192" t="s">
        <v>720</v>
      </c>
      <c r="I17" s="231" t="s">
        <v>721</v>
      </c>
      <c r="J17" s="190"/>
      <c r="K17" s="333" t="s">
        <v>1727</v>
      </c>
      <c r="L17" s="233" t="s">
        <v>1728</v>
      </c>
      <c r="M17" s="192"/>
      <c r="N17" s="231"/>
    </row>
    <row r="18" spans="1:14">
      <c r="A18" s="315" t="s">
        <v>1747</v>
      </c>
      <c r="B18" s="242" t="s">
        <v>1735</v>
      </c>
      <c r="C18" s="192"/>
      <c r="D18" s="231"/>
      <c r="E18" s="190"/>
      <c r="F18" s="333" t="s">
        <v>1727</v>
      </c>
      <c r="G18" s="233" t="s">
        <v>1728</v>
      </c>
      <c r="H18" s="192"/>
      <c r="I18" s="231"/>
      <c r="J18" s="190"/>
      <c r="K18" s="330" t="s">
        <v>1773</v>
      </c>
      <c r="L18" s="250" t="s">
        <v>28</v>
      </c>
      <c r="M18" s="192" t="s">
        <v>1353</v>
      </c>
      <c r="N18" s="231" t="s">
        <v>1352</v>
      </c>
    </row>
    <row r="19" spans="1:14">
      <c r="A19" s="328" t="s">
        <v>1777</v>
      </c>
      <c r="B19" s="251" t="s">
        <v>33</v>
      </c>
      <c r="C19" s="192" t="s">
        <v>372</v>
      </c>
      <c r="D19" s="231" t="s">
        <v>373</v>
      </c>
      <c r="E19" s="190"/>
      <c r="F19" s="337" t="s">
        <v>40</v>
      </c>
      <c r="G19" s="238" t="s">
        <v>17</v>
      </c>
      <c r="H19" s="192" t="s">
        <v>1384</v>
      </c>
      <c r="I19" s="231" t="s">
        <v>308</v>
      </c>
      <c r="J19" s="190"/>
      <c r="K19" s="335" t="s">
        <v>1775</v>
      </c>
      <c r="L19" s="236" t="s">
        <v>31</v>
      </c>
      <c r="M19" s="192"/>
      <c r="N19" s="231"/>
    </row>
    <row r="20" spans="1:14">
      <c r="A20" s="329" t="s">
        <v>1644</v>
      </c>
      <c r="B20" s="237" t="s">
        <v>34</v>
      </c>
      <c r="C20" s="192"/>
      <c r="D20" s="231"/>
      <c r="E20" s="190"/>
      <c r="F20" s="320" t="s">
        <v>41</v>
      </c>
      <c r="G20" s="239" t="s">
        <v>19</v>
      </c>
      <c r="H20" s="192"/>
      <c r="I20" s="231"/>
      <c r="J20" s="190"/>
      <c r="K20" s="337" t="s">
        <v>40</v>
      </c>
      <c r="L20" s="238" t="s">
        <v>17</v>
      </c>
      <c r="M20" s="192" t="s">
        <v>1360</v>
      </c>
      <c r="N20" s="231" t="s">
        <v>208</v>
      </c>
    </row>
    <row r="21" spans="1:14">
      <c r="A21" s="346" t="s">
        <v>60</v>
      </c>
      <c r="B21" s="243" t="s">
        <v>36</v>
      </c>
      <c r="C21" s="192" t="s">
        <v>1726</v>
      </c>
      <c r="D21" s="231" t="s">
        <v>409</v>
      </c>
      <c r="E21" s="190"/>
      <c r="F21" s="325" t="s">
        <v>51</v>
      </c>
      <c r="G21" s="235" t="s">
        <v>25</v>
      </c>
      <c r="H21" s="192" t="s">
        <v>1375</v>
      </c>
      <c r="I21" s="231" t="s">
        <v>1376</v>
      </c>
      <c r="J21" s="190"/>
      <c r="K21" s="347" t="s">
        <v>52</v>
      </c>
      <c r="L21" s="240" t="s">
        <v>24</v>
      </c>
      <c r="M21" s="192"/>
      <c r="N21" s="231"/>
    </row>
    <row r="22" spans="1:14">
      <c r="A22" s="315" t="s">
        <v>1747</v>
      </c>
      <c r="B22" s="242" t="s">
        <v>1735</v>
      </c>
      <c r="C22" s="192"/>
      <c r="D22" s="231"/>
      <c r="E22" s="190"/>
      <c r="F22" s="327" t="s">
        <v>54</v>
      </c>
      <c r="G22" s="340" t="s">
        <v>27</v>
      </c>
      <c r="H22" s="192"/>
      <c r="I22" s="231"/>
      <c r="J22" s="190"/>
      <c r="K22" s="195"/>
      <c r="L22" s="190"/>
      <c r="M22" s="190"/>
      <c r="N22" s="190"/>
    </row>
    <row r="23" spans="1:14">
      <c r="A23" s="323" t="s">
        <v>46</v>
      </c>
      <c r="B23" s="234" t="s">
        <v>20</v>
      </c>
      <c r="C23" s="192" t="s">
        <v>1596</v>
      </c>
      <c r="D23" s="231" t="s">
        <v>329</v>
      </c>
      <c r="E23" s="190"/>
      <c r="F23" s="346" t="s">
        <v>60</v>
      </c>
      <c r="G23" s="243" t="s">
        <v>36</v>
      </c>
      <c r="H23" s="192" t="s">
        <v>1025</v>
      </c>
      <c r="I23" s="231" t="s">
        <v>1026</v>
      </c>
      <c r="J23" s="190"/>
      <c r="K23" s="195"/>
      <c r="L23" s="190"/>
      <c r="M23" s="190"/>
      <c r="N23" s="190"/>
    </row>
    <row r="24" spans="1:14">
      <c r="A24" s="348" t="s">
        <v>1646</v>
      </c>
      <c r="B24" s="349" t="s">
        <v>1485</v>
      </c>
      <c r="C24" s="192"/>
      <c r="D24" s="231"/>
      <c r="E24" s="190"/>
      <c r="F24" s="315" t="s">
        <v>1747</v>
      </c>
      <c r="G24" s="242" t="s">
        <v>1735</v>
      </c>
      <c r="H24" s="192"/>
      <c r="I24" s="231"/>
      <c r="J24" s="190"/>
      <c r="K24" s="195"/>
      <c r="L24" s="190"/>
      <c r="M24" s="190"/>
      <c r="N24" s="190"/>
    </row>
  </sheetData>
  <autoFilter ref="B2:D65">
    <sortState ref="B2:D93">
      <sortCondition ref="D1:D65"/>
    </sortState>
  </autoFilter>
  <mergeCells count="61">
    <mergeCell ref="A1:N1"/>
    <mergeCell ref="M16:M17"/>
    <mergeCell ref="N16:N17"/>
    <mergeCell ref="M18:M19"/>
    <mergeCell ref="N18:N19"/>
    <mergeCell ref="M20:M21"/>
    <mergeCell ref="N20:N21"/>
    <mergeCell ref="M10:M11"/>
    <mergeCell ref="N10:N11"/>
    <mergeCell ref="M12:M13"/>
    <mergeCell ref="N12:N13"/>
    <mergeCell ref="M14:M15"/>
    <mergeCell ref="N14:N15"/>
    <mergeCell ref="M3:M5"/>
    <mergeCell ref="N3:N5"/>
    <mergeCell ref="M6:M7"/>
    <mergeCell ref="N6:N7"/>
    <mergeCell ref="M8:M9"/>
    <mergeCell ref="N8:N9"/>
    <mergeCell ref="H19:H20"/>
    <mergeCell ref="I19:I20"/>
    <mergeCell ref="H21:H22"/>
    <mergeCell ref="I21:I22"/>
    <mergeCell ref="H23:H24"/>
    <mergeCell ref="I23:I24"/>
    <mergeCell ref="H13:H14"/>
    <mergeCell ref="I13:I14"/>
    <mergeCell ref="H15:H16"/>
    <mergeCell ref="I15:I16"/>
    <mergeCell ref="H17:H18"/>
    <mergeCell ref="I17:I18"/>
    <mergeCell ref="H7:H8"/>
    <mergeCell ref="I7:I8"/>
    <mergeCell ref="H9:H10"/>
    <mergeCell ref="I9:I10"/>
    <mergeCell ref="H11:H12"/>
    <mergeCell ref="I11:I12"/>
    <mergeCell ref="C23:C24"/>
    <mergeCell ref="D23:D24"/>
    <mergeCell ref="H3:H4"/>
    <mergeCell ref="I3:I4"/>
    <mergeCell ref="H5:H6"/>
    <mergeCell ref="I5:I6"/>
    <mergeCell ref="C17:C18"/>
    <mergeCell ref="D17:D18"/>
    <mergeCell ref="C19:C20"/>
    <mergeCell ref="D19:D20"/>
    <mergeCell ref="C21:C22"/>
    <mergeCell ref="D21:D22"/>
    <mergeCell ref="C10:C12"/>
    <mergeCell ref="D10:D12"/>
    <mergeCell ref="C13:C14"/>
    <mergeCell ref="D13:D14"/>
    <mergeCell ref="C15:C16"/>
    <mergeCell ref="D15:D16"/>
    <mergeCell ref="C3:C5"/>
    <mergeCell ref="D3:D5"/>
    <mergeCell ref="C6:C7"/>
    <mergeCell ref="D6:D7"/>
    <mergeCell ref="C8:C9"/>
    <mergeCell ref="D8:D9"/>
  </mergeCells>
  <conditionalFormatting sqref="M18:N18 H23:I23 H21:I21 H11:I11 H3:I3 C274:D1048576 C2:D3 C6:D6 C8:D8 C10:D10 C13:D13 C15:D15 C17:D17 C19:D19 C21:D21 C23:D23 H5:I5 H7:I7 H9:I9 H13:I13 H15:I15 H17:I17 H19:I19 M3:N3 M6:N6 M8:N8 M10:N10 M12:N12 M14:N14 M16:N16 M20:N20">
    <cfRule type="duplicateValues" dxfId="41" priority="5"/>
  </conditionalFormatting>
  <conditionalFormatting sqref="H2:I2">
    <cfRule type="duplicateValues" dxfId="40" priority="2"/>
  </conditionalFormatting>
  <conditionalFormatting sqref="M2:N2">
    <cfRule type="duplicateValues" dxfId="39" priority="1"/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"/>
  <dimension ref="A1:X720"/>
  <sheetViews>
    <sheetView tabSelected="1" topLeftCell="B1" zoomScale="120" zoomScaleNormal="120" workbookViewId="0">
      <pane ySplit="1" topLeftCell="A2" activePane="bottomLeft" state="frozen"/>
      <selection pane="bottomLeft" activeCell="C17" sqref="C17"/>
    </sheetView>
  </sheetViews>
  <sheetFormatPr defaultColWidth="0" defaultRowHeight="0" customHeight="1" zeroHeight="1"/>
  <cols>
    <col min="1" max="1" width="2.42578125" style="1" hidden="1" customWidth="1"/>
    <col min="2" max="2" width="6.5703125" style="1" bestFit="1" customWidth="1"/>
    <col min="3" max="3" width="44.5703125" style="11" bestFit="1" customWidth="1"/>
    <col min="4" max="4" width="8.7109375" style="79" customWidth="1"/>
    <col min="5" max="5" width="31.85546875" style="79" customWidth="1"/>
    <col min="6" max="8" width="4" style="79" customWidth="1"/>
    <col min="9" max="10" width="13.5703125" style="103" bestFit="1" customWidth="1"/>
    <col min="11" max="11" width="16.5703125" style="103" customWidth="1"/>
    <col min="12" max="18" width="8.42578125" style="103" customWidth="1"/>
    <col min="19" max="19" width="33.7109375" style="103" customWidth="1"/>
    <col min="20" max="20" width="16.7109375" style="103" customWidth="1"/>
    <col min="21" max="21" width="15.5703125" style="79" customWidth="1"/>
    <col min="22" max="16384" width="9.140625" style="79" hidden="1"/>
  </cols>
  <sheetData>
    <row r="1" spans="1:23" ht="63.75">
      <c r="A1" s="79"/>
      <c r="B1" s="77" t="s">
        <v>1631</v>
      </c>
      <c r="C1" s="96" t="s">
        <v>1451</v>
      </c>
      <c r="D1" s="77" t="s">
        <v>0</v>
      </c>
      <c r="E1" s="77" t="s">
        <v>1</v>
      </c>
      <c r="F1" s="77" t="s">
        <v>2</v>
      </c>
      <c r="G1" s="77" t="s">
        <v>3</v>
      </c>
      <c r="H1" s="77" t="s">
        <v>4</v>
      </c>
      <c r="I1" s="95" t="s">
        <v>5</v>
      </c>
      <c r="J1" s="95" t="s">
        <v>1673</v>
      </c>
      <c r="K1" s="95" t="s">
        <v>6</v>
      </c>
      <c r="L1" s="95" t="s">
        <v>7</v>
      </c>
      <c r="M1" s="95" t="s">
        <v>8</v>
      </c>
      <c r="N1" s="96" t="s">
        <v>9</v>
      </c>
      <c r="O1" s="95" t="s">
        <v>10</v>
      </c>
      <c r="P1" s="95" t="s">
        <v>11</v>
      </c>
      <c r="Q1" s="95" t="s">
        <v>12</v>
      </c>
      <c r="R1" s="95" t="s">
        <v>1666</v>
      </c>
      <c r="S1" s="95" t="s">
        <v>13</v>
      </c>
      <c r="T1" s="95" t="s">
        <v>14</v>
      </c>
      <c r="U1" s="78" t="s">
        <v>15</v>
      </c>
    </row>
    <row r="2" spans="1:23" ht="12.75">
      <c r="B2" s="13" t="s">
        <v>45</v>
      </c>
      <c r="C2" s="13" t="s">
        <v>16</v>
      </c>
      <c r="D2" s="90" t="s">
        <v>135</v>
      </c>
      <c r="E2" s="80" t="s">
        <v>136</v>
      </c>
      <c r="F2" s="81">
        <v>4</v>
      </c>
      <c r="G2" s="81">
        <v>0</v>
      </c>
      <c r="H2" s="81">
        <v>4</v>
      </c>
      <c r="I2" s="101" t="s">
        <v>71</v>
      </c>
      <c r="J2" s="101" t="s">
        <v>71</v>
      </c>
      <c r="K2" s="101" t="s">
        <v>137</v>
      </c>
      <c r="L2" s="80" t="s">
        <v>1488</v>
      </c>
      <c r="M2" s="101" t="s">
        <v>1562</v>
      </c>
      <c r="N2" s="101">
        <v>1</v>
      </c>
      <c r="O2" s="101">
        <v>70</v>
      </c>
      <c r="P2" s="101">
        <v>70</v>
      </c>
      <c r="Q2" s="102">
        <v>4</v>
      </c>
      <c r="R2" s="102">
        <v>4</v>
      </c>
      <c r="S2" s="102" t="s">
        <v>1563</v>
      </c>
      <c r="T2" s="102" t="s">
        <v>1564</v>
      </c>
      <c r="U2" s="78"/>
      <c r="V2" s="78"/>
      <c r="W2" s="78"/>
    </row>
    <row r="3" spans="1:23" ht="12.75">
      <c r="B3" s="13" t="s">
        <v>45</v>
      </c>
      <c r="C3" s="13" t="s">
        <v>16</v>
      </c>
      <c r="D3" s="90" t="s">
        <v>135</v>
      </c>
      <c r="E3" s="80" t="s">
        <v>136</v>
      </c>
      <c r="F3" s="81">
        <v>4</v>
      </c>
      <c r="G3" s="81">
        <v>0</v>
      </c>
      <c r="H3" s="81">
        <v>4</v>
      </c>
      <c r="I3" s="101" t="s">
        <v>71</v>
      </c>
      <c r="J3" s="101" t="s">
        <v>71</v>
      </c>
      <c r="K3" s="101" t="s">
        <v>137</v>
      </c>
      <c r="L3" s="80" t="s">
        <v>1491</v>
      </c>
      <c r="M3" s="101" t="s">
        <v>1562</v>
      </c>
      <c r="N3" s="101">
        <v>1</v>
      </c>
      <c r="O3" s="101">
        <v>70</v>
      </c>
      <c r="P3" s="101">
        <v>70</v>
      </c>
      <c r="Q3" s="102">
        <v>4</v>
      </c>
      <c r="R3" s="102">
        <v>4</v>
      </c>
      <c r="S3" s="102" t="s">
        <v>1563</v>
      </c>
      <c r="T3" s="102" t="s">
        <v>1564</v>
      </c>
      <c r="U3" s="78"/>
      <c r="V3" s="78"/>
      <c r="W3" s="78"/>
    </row>
    <row r="4" spans="1:23" ht="12.75">
      <c r="B4" s="13" t="s">
        <v>45</v>
      </c>
      <c r="C4" s="13" t="s">
        <v>16</v>
      </c>
      <c r="D4" s="90" t="s">
        <v>100</v>
      </c>
      <c r="E4" s="80" t="s">
        <v>101</v>
      </c>
      <c r="F4" s="81">
        <v>2</v>
      </c>
      <c r="G4" s="81">
        <v>2</v>
      </c>
      <c r="H4" s="81">
        <v>4</v>
      </c>
      <c r="I4" s="101" t="s">
        <v>71</v>
      </c>
      <c r="J4" s="101" t="s">
        <v>71</v>
      </c>
      <c r="K4" s="101" t="s">
        <v>98</v>
      </c>
      <c r="L4" s="80" t="s">
        <v>1488</v>
      </c>
      <c r="M4" s="101" t="s">
        <v>1562</v>
      </c>
      <c r="N4" s="101">
        <v>1</v>
      </c>
      <c r="O4" s="101">
        <v>70</v>
      </c>
      <c r="P4" s="101">
        <v>70</v>
      </c>
      <c r="Q4" s="102">
        <v>4</v>
      </c>
      <c r="R4" s="102">
        <v>4</v>
      </c>
      <c r="S4" s="102" t="s">
        <v>1563</v>
      </c>
      <c r="T4" s="102" t="s">
        <v>1564</v>
      </c>
      <c r="U4" s="78"/>
      <c r="V4" s="78"/>
      <c r="W4" s="78"/>
    </row>
    <row r="5" spans="1:23" ht="12.75">
      <c r="B5" s="13" t="s">
        <v>45</v>
      </c>
      <c r="C5" s="13" t="s">
        <v>16</v>
      </c>
      <c r="D5" s="90" t="s">
        <v>100</v>
      </c>
      <c r="E5" s="80" t="s">
        <v>101</v>
      </c>
      <c r="F5" s="81">
        <v>2</v>
      </c>
      <c r="G5" s="81">
        <v>2</v>
      </c>
      <c r="H5" s="81">
        <v>4</v>
      </c>
      <c r="I5" s="101" t="s">
        <v>71</v>
      </c>
      <c r="J5" s="101" t="s">
        <v>71</v>
      </c>
      <c r="K5" s="101" t="s">
        <v>98</v>
      </c>
      <c r="L5" s="80" t="s">
        <v>1491</v>
      </c>
      <c r="M5" s="101" t="s">
        <v>1562</v>
      </c>
      <c r="N5" s="101">
        <v>1</v>
      </c>
      <c r="O5" s="101">
        <v>70</v>
      </c>
      <c r="P5" s="101">
        <v>70</v>
      </c>
      <c r="Q5" s="102">
        <v>4</v>
      </c>
      <c r="R5" s="102">
        <v>4</v>
      </c>
      <c r="S5" s="102" t="s">
        <v>1563</v>
      </c>
      <c r="T5" s="102" t="s">
        <v>1564</v>
      </c>
      <c r="U5" s="78"/>
      <c r="V5" s="78"/>
      <c r="W5" s="78"/>
    </row>
    <row r="6" spans="1:23" ht="12.75">
      <c r="B6" s="13" t="s">
        <v>45</v>
      </c>
      <c r="C6" s="13" t="s">
        <v>16</v>
      </c>
      <c r="D6" s="90" t="s">
        <v>771</v>
      </c>
      <c r="E6" s="80" t="s">
        <v>134</v>
      </c>
      <c r="F6" s="81">
        <v>3</v>
      </c>
      <c r="G6" s="81">
        <v>1</v>
      </c>
      <c r="H6" s="81">
        <v>4</v>
      </c>
      <c r="I6" s="101" t="s">
        <v>71</v>
      </c>
      <c r="J6" s="101" t="s">
        <v>71</v>
      </c>
      <c r="K6" s="101" t="s">
        <v>772</v>
      </c>
      <c r="L6" s="80" t="s">
        <v>1488</v>
      </c>
      <c r="M6" s="101" t="s">
        <v>1562</v>
      </c>
      <c r="N6" s="101">
        <v>1</v>
      </c>
      <c r="O6" s="101">
        <v>70</v>
      </c>
      <c r="P6" s="101">
        <v>70</v>
      </c>
      <c r="Q6" s="102">
        <v>4</v>
      </c>
      <c r="R6" s="102">
        <v>4</v>
      </c>
      <c r="S6" s="102" t="s">
        <v>1563</v>
      </c>
      <c r="T6" s="102" t="s">
        <v>1564</v>
      </c>
      <c r="U6" s="78"/>
      <c r="V6" s="78"/>
      <c r="W6" s="78"/>
    </row>
    <row r="7" spans="1:23" ht="12.75">
      <c r="B7" s="13" t="s">
        <v>45</v>
      </c>
      <c r="C7" s="13" t="s">
        <v>16</v>
      </c>
      <c r="D7" s="90" t="s">
        <v>771</v>
      </c>
      <c r="E7" s="80" t="s">
        <v>134</v>
      </c>
      <c r="F7" s="81">
        <v>3</v>
      </c>
      <c r="G7" s="81">
        <v>1</v>
      </c>
      <c r="H7" s="81">
        <v>4</v>
      </c>
      <c r="I7" s="101" t="s">
        <v>71</v>
      </c>
      <c r="J7" s="101" t="s">
        <v>71</v>
      </c>
      <c r="K7" s="101" t="s">
        <v>772</v>
      </c>
      <c r="L7" s="80" t="s">
        <v>1491</v>
      </c>
      <c r="M7" s="101" t="s">
        <v>1562</v>
      </c>
      <c r="N7" s="101">
        <v>1</v>
      </c>
      <c r="O7" s="101">
        <v>70</v>
      </c>
      <c r="P7" s="101">
        <v>70</v>
      </c>
      <c r="Q7" s="102">
        <v>4</v>
      </c>
      <c r="R7" s="102">
        <v>4</v>
      </c>
      <c r="S7" s="102" t="s">
        <v>1563</v>
      </c>
      <c r="T7" s="102" t="s">
        <v>1564</v>
      </c>
      <c r="U7" s="78"/>
      <c r="V7" s="78"/>
      <c r="W7" s="78"/>
    </row>
    <row r="8" spans="1:23" ht="12.75">
      <c r="B8" s="13" t="s">
        <v>45</v>
      </c>
      <c r="C8" s="13" t="s">
        <v>16</v>
      </c>
      <c r="D8" s="90" t="s">
        <v>157</v>
      </c>
      <c r="E8" s="80" t="s">
        <v>158</v>
      </c>
      <c r="F8" s="81">
        <v>4</v>
      </c>
      <c r="G8" s="81">
        <v>2</v>
      </c>
      <c r="H8" s="81">
        <v>4</v>
      </c>
      <c r="I8" s="101" t="s">
        <v>71</v>
      </c>
      <c r="J8" s="101" t="s">
        <v>71</v>
      </c>
      <c r="K8" s="101" t="s">
        <v>98</v>
      </c>
      <c r="L8" s="80" t="s">
        <v>1488</v>
      </c>
      <c r="M8" s="101" t="s">
        <v>1562</v>
      </c>
      <c r="N8" s="101">
        <v>1</v>
      </c>
      <c r="O8" s="101">
        <v>70</v>
      </c>
      <c r="P8" s="101">
        <v>70</v>
      </c>
      <c r="Q8" s="102">
        <v>6</v>
      </c>
      <c r="R8" s="102">
        <v>6</v>
      </c>
      <c r="S8" s="102" t="s">
        <v>1563</v>
      </c>
      <c r="T8" s="102" t="s">
        <v>1564</v>
      </c>
      <c r="U8" s="78"/>
      <c r="V8" s="78"/>
      <c r="W8" s="78"/>
    </row>
    <row r="9" spans="1:23" ht="12.75">
      <c r="B9" s="13" t="s">
        <v>45</v>
      </c>
      <c r="C9" s="13" t="s">
        <v>16</v>
      </c>
      <c r="D9" s="90" t="s">
        <v>157</v>
      </c>
      <c r="E9" s="80" t="s">
        <v>158</v>
      </c>
      <c r="F9" s="81">
        <v>4</v>
      </c>
      <c r="G9" s="81">
        <v>2</v>
      </c>
      <c r="H9" s="81">
        <v>4</v>
      </c>
      <c r="I9" s="101" t="s">
        <v>71</v>
      </c>
      <c r="J9" s="101" t="s">
        <v>71</v>
      </c>
      <c r="K9" s="101" t="s">
        <v>98</v>
      </c>
      <c r="L9" s="80" t="s">
        <v>1491</v>
      </c>
      <c r="M9" s="101" t="s">
        <v>1562</v>
      </c>
      <c r="N9" s="101">
        <v>1</v>
      </c>
      <c r="O9" s="101">
        <v>70</v>
      </c>
      <c r="P9" s="101">
        <v>70</v>
      </c>
      <c r="Q9" s="102">
        <v>6</v>
      </c>
      <c r="R9" s="102">
        <v>6</v>
      </c>
      <c r="S9" s="102" t="s">
        <v>1563</v>
      </c>
      <c r="T9" s="102" t="s">
        <v>1564</v>
      </c>
      <c r="U9" s="78"/>
      <c r="V9" s="78"/>
      <c r="W9" s="78"/>
    </row>
    <row r="10" spans="1:23" ht="12.75">
      <c r="B10" s="13" t="s">
        <v>45</v>
      </c>
      <c r="C10" s="13" t="s">
        <v>16</v>
      </c>
      <c r="D10" s="90" t="s">
        <v>843</v>
      </c>
      <c r="E10" s="80" t="s">
        <v>844</v>
      </c>
      <c r="F10" s="81">
        <v>4</v>
      </c>
      <c r="G10" s="81">
        <v>0</v>
      </c>
      <c r="H10" s="81">
        <v>4</v>
      </c>
      <c r="I10" s="101" t="s">
        <v>71</v>
      </c>
      <c r="J10" s="101" t="s">
        <v>71</v>
      </c>
      <c r="K10" s="101" t="s">
        <v>845</v>
      </c>
      <c r="L10" s="80" t="s">
        <v>1488</v>
      </c>
      <c r="M10" s="101" t="s">
        <v>1562</v>
      </c>
      <c r="N10" s="101">
        <v>1</v>
      </c>
      <c r="O10" s="101">
        <v>70</v>
      </c>
      <c r="P10" s="101">
        <v>70</v>
      </c>
      <c r="Q10" s="102">
        <v>4</v>
      </c>
      <c r="R10" s="102">
        <v>4</v>
      </c>
      <c r="S10" s="102"/>
      <c r="T10" s="102"/>
      <c r="U10" s="78"/>
      <c r="V10" s="78"/>
      <c r="W10" s="78"/>
    </row>
    <row r="11" spans="1:23" ht="12.75">
      <c r="B11" s="13" t="s">
        <v>45</v>
      </c>
      <c r="C11" s="13" t="s">
        <v>16</v>
      </c>
      <c r="D11" s="90" t="s">
        <v>843</v>
      </c>
      <c r="E11" s="80" t="s">
        <v>844</v>
      </c>
      <c r="F11" s="81">
        <v>4</v>
      </c>
      <c r="G11" s="81">
        <v>0</v>
      </c>
      <c r="H11" s="81">
        <v>4</v>
      </c>
      <c r="I11" s="101" t="s">
        <v>71</v>
      </c>
      <c r="J11" s="101" t="s">
        <v>71</v>
      </c>
      <c r="K11" s="101" t="s">
        <v>845</v>
      </c>
      <c r="L11" s="80" t="s">
        <v>1491</v>
      </c>
      <c r="M11" s="101" t="s">
        <v>1562</v>
      </c>
      <c r="N11" s="101">
        <v>1</v>
      </c>
      <c r="O11" s="101">
        <v>70</v>
      </c>
      <c r="P11" s="101">
        <v>70</v>
      </c>
      <c r="Q11" s="102">
        <v>4</v>
      </c>
      <c r="R11" s="102">
        <v>4</v>
      </c>
      <c r="S11" s="102"/>
      <c r="T11" s="102"/>
      <c r="U11" s="78"/>
      <c r="V11" s="78"/>
      <c r="W11" s="78"/>
    </row>
    <row r="12" spans="1:23" ht="12.75">
      <c r="B12" s="13" t="s">
        <v>45</v>
      </c>
      <c r="C12" s="13" t="s">
        <v>16</v>
      </c>
      <c r="D12" s="90" t="s">
        <v>1175</v>
      </c>
      <c r="E12" s="80" t="s">
        <v>1176</v>
      </c>
      <c r="F12" s="81">
        <v>3</v>
      </c>
      <c r="G12" s="81">
        <v>1</v>
      </c>
      <c r="H12" s="81">
        <v>4</v>
      </c>
      <c r="I12" s="101" t="s">
        <v>71</v>
      </c>
      <c r="J12" s="101" t="s">
        <v>71</v>
      </c>
      <c r="K12" s="101" t="s">
        <v>76</v>
      </c>
      <c r="L12" s="80" t="s">
        <v>1488</v>
      </c>
      <c r="M12" s="101" t="s">
        <v>1562</v>
      </c>
      <c r="N12" s="101">
        <v>1</v>
      </c>
      <c r="O12" s="101">
        <v>70</v>
      </c>
      <c r="P12" s="101">
        <v>70</v>
      </c>
      <c r="Q12" s="102">
        <v>4</v>
      </c>
      <c r="R12" s="102">
        <v>4</v>
      </c>
      <c r="S12" s="102"/>
      <c r="T12" s="102"/>
      <c r="U12" s="78"/>
      <c r="V12" s="78"/>
      <c r="W12" s="78"/>
    </row>
    <row r="13" spans="1:23" ht="12.75">
      <c r="B13" s="13" t="s">
        <v>45</v>
      </c>
      <c r="C13" s="13" t="s">
        <v>16</v>
      </c>
      <c r="D13" s="90" t="s">
        <v>1175</v>
      </c>
      <c r="E13" s="80" t="s">
        <v>1176</v>
      </c>
      <c r="F13" s="81">
        <v>3</v>
      </c>
      <c r="G13" s="81">
        <v>1</v>
      </c>
      <c r="H13" s="81">
        <v>4</v>
      </c>
      <c r="I13" s="101" t="s">
        <v>71</v>
      </c>
      <c r="J13" s="101" t="s">
        <v>71</v>
      </c>
      <c r="K13" s="101" t="s">
        <v>76</v>
      </c>
      <c r="L13" s="80" t="s">
        <v>1491</v>
      </c>
      <c r="M13" s="101" t="s">
        <v>1562</v>
      </c>
      <c r="N13" s="101">
        <v>1</v>
      </c>
      <c r="O13" s="101">
        <v>70</v>
      </c>
      <c r="P13" s="101">
        <v>70</v>
      </c>
      <c r="Q13" s="102">
        <v>4</v>
      </c>
      <c r="R13" s="102">
        <v>4</v>
      </c>
      <c r="S13" s="102"/>
      <c r="T13" s="102"/>
      <c r="U13" s="78"/>
      <c r="V13" s="78"/>
      <c r="W13" s="78"/>
    </row>
    <row r="14" spans="1:23" ht="12.75">
      <c r="B14" s="13" t="s">
        <v>45</v>
      </c>
      <c r="C14" s="13" t="s">
        <v>16</v>
      </c>
      <c r="D14" s="90" t="s">
        <v>288</v>
      </c>
      <c r="E14" s="80" t="s">
        <v>289</v>
      </c>
      <c r="F14" s="81">
        <v>3</v>
      </c>
      <c r="G14" s="81">
        <v>1</v>
      </c>
      <c r="H14" s="81">
        <v>4</v>
      </c>
      <c r="I14" s="101" t="s">
        <v>71</v>
      </c>
      <c r="J14" s="101" t="s">
        <v>71</v>
      </c>
      <c r="K14" s="101" t="s">
        <v>290</v>
      </c>
      <c r="L14" s="80" t="s">
        <v>1488</v>
      </c>
      <c r="M14" s="101" t="s">
        <v>1562</v>
      </c>
      <c r="N14" s="101">
        <v>1</v>
      </c>
      <c r="O14" s="101">
        <v>70</v>
      </c>
      <c r="P14" s="101">
        <v>70</v>
      </c>
      <c r="Q14" s="102">
        <v>4</v>
      </c>
      <c r="R14" s="102">
        <v>4</v>
      </c>
      <c r="S14" s="102" t="s">
        <v>1563</v>
      </c>
      <c r="T14" s="102" t="s">
        <v>1564</v>
      </c>
      <c r="U14" s="78"/>
      <c r="V14" s="78"/>
      <c r="W14" s="78"/>
    </row>
    <row r="15" spans="1:23" ht="12.75">
      <c r="B15" s="13" t="s">
        <v>45</v>
      </c>
      <c r="C15" s="13" t="s">
        <v>16</v>
      </c>
      <c r="D15" s="90" t="s">
        <v>288</v>
      </c>
      <c r="E15" s="80" t="s">
        <v>289</v>
      </c>
      <c r="F15" s="81">
        <v>3</v>
      </c>
      <c r="G15" s="81">
        <v>1</v>
      </c>
      <c r="H15" s="81">
        <v>4</v>
      </c>
      <c r="I15" s="101" t="s">
        <v>71</v>
      </c>
      <c r="J15" s="101" t="s">
        <v>71</v>
      </c>
      <c r="K15" s="101" t="s">
        <v>290</v>
      </c>
      <c r="L15" s="80" t="s">
        <v>1491</v>
      </c>
      <c r="M15" s="101" t="s">
        <v>1562</v>
      </c>
      <c r="N15" s="101">
        <v>1</v>
      </c>
      <c r="O15" s="101">
        <v>70</v>
      </c>
      <c r="P15" s="101">
        <v>70</v>
      </c>
      <c r="Q15" s="102">
        <v>4</v>
      </c>
      <c r="R15" s="102">
        <v>4</v>
      </c>
      <c r="S15" s="102" t="s">
        <v>1563</v>
      </c>
      <c r="T15" s="102" t="s">
        <v>1564</v>
      </c>
      <c r="U15" s="78"/>
      <c r="V15" s="78"/>
      <c r="W15" s="78"/>
    </row>
    <row r="16" spans="1:23" ht="12.75">
      <c r="B16" s="13" t="s">
        <v>45</v>
      </c>
      <c r="C16" s="13" t="s">
        <v>16</v>
      </c>
      <c r="D16" s="90" t="s">
        <v>494</v>
      </c>
      <c r="E16" s="80" t="s">
        <v>495</v>
      </c>
      <c r="F16" s="81">
        <v>8</v>
      </c>
      <c r="G16" s="81">
        <v>0</v>
      </c>
      <c r="H16" s="81">
        <v>8</v>
      </c>
      <c r="I16" s="101" t="s">
        <v>71</v>
      </c>
      <c r="J16" s="101" t="s">
        <v>71</v>
      </c>
      <c r="K16" s="101" t="s">
        <v>493</v>
      </c>
      <c r="L16" s="80" t="s">
        <v>1488</v>
      </c>
      <c r="M16" s="101" t="s">
        <v>1562</v>
      </c>
      <c r="N16" s="101">
        <v>1</v>
      </c>
      <c r="O16" s="101">
        <v>70</v>
      </c>
      <c r="P16" s="101">
        <v>70</v>
      </c>
      <c r="Q16" s="102">
        <v>3</v>
      </c>
      <c r="R16" s="102">
        <v>3</v>
      </c>
      <c r="S16" s="102"/>
      <c r="T16" s="102"/>
      <c r="U16" s="78"/>
      <c r="V16" s="78"/>
      <c r="W16" s="78"/>
    </row>
    <row r="17" spans="2:23" ht="12.75">
      <c r="B17" s="13" t="s">
        <v>45</v>
      </c>
      <c r="C17" s="13" t="s">
        <v>16</v>
      </c>
      <c r="D17" s="90" t="s">
        <v>494</v>
      </c>
      <c r="E17" s="80" t="s">
        <v>495</v>
      </c>
      <c r="F17" s="81">
        <v>8</v>
      </c>
      <c r="G17" s="81">
        <v>0</v>
      </c>
      <c r="H17" s="81">
        <v>8</v>
      </c>
      <c r="I17" s="101" t="s">
        <v>71</v>
      </c>
      <c r="J17" s="101" t="s">
        <v>71</v>
      </c>
      <c r="K17" s="101" t="s">
        <v>493</v>
      </c>
      <c r="L17" s="80" t="s">
        <v>1491</v>
      </c>
      <c r="M17" s="101" t="s">
        <v>1562</v>
      </c>
      <c r="N17" s="101">
        <v>1</v>
      </c>
      <c r="O17" s="101">
        <v>70</v>
      </c>
      <c r="P17" s="101">
        <v>70</v>
      </c>
      <c r="Q17" s="102">
        <v>3</v>
      </c>
      <c r="R17" s="102">
        <v>3</v>
      </c>
      <c r="S17" s="102"/>
      <c r="T17" s="102"/>
      <c r="U17" s="78"/>
      <c r="V17" s="78"/>
      <c r="W17" s="78"/>
    </row>
    <row r="18" spans="2:23" ht="12.75">
      <c r="B18" s="13" t="s">
        <v>45</v>
      </c>
      <c r="C18" s="13" t="s">
        <v>16</v>
      </c>
      <c r="D18" s="90" t="s">
        <v>1113</v>
      </c>
      <c r="E18" s="80" t="s">
        <v>1114</v>
      </c>
      <c r="F18" s="81">
        <v>8</v>
      </c>
      <c r="G18" s="81">
        <v>0</v>
      </c>
      <c r="H18" s="81">
        <v>8</v>
      </c>
      <c r="I18" s="101" t="s">
        <v>71</v>
      </c>
      <c r="J18" s="101" t="s">
        <v>71</v>
      </c>
      <c r="K18" s="101" t="s">
        <v>76</v>
      </c>
      <c r="L18" s="80" t="s">
        <v>1488</v>
      </c>
      <c r="M18" s="101" t="s">
        <v>1562</v>
      </c>
      <c r="N18" s="101">
        <v>1</v>
      </c>
      <c r="O18" s="101">
        <v>70</v>
      </c>
      <c r="P18" s="101">
        <v>70</v>
      </c>
      <c r="Q18" s="102">
        <v>8</v>
      </c>
      <c r="R18" s="102">
        <v>8</v>
      </c>
      <c r="S18" s="102"/>
      <c r="T18" s="102"/>
      <c r="U18" s="78"/>
      <c r="V18" s="78"/>
      <c r="W18" s="78"/>
    </row>
    <row r="19" spans="2:23" ht="12.75">
      <c r="B19" s="13" t="s">
        <v>45</v>
      </c>
      <c r="C19" s="13" t="s">
        <v>16</v>
      </c>
      <c r="D19" s="90" t="s">
        <v>1113</v>
      </c>
      <c r="E19" s="80" t="s">
        <v>1114</v>
      </c>
      <c r="F19" s="81">
        <v>8</v>
      </c>
      <c r="G19" s="81">
        <v>0</v>
      </c>
      <c r="H19" s="81">
        <v>8</v>
      </c>
      <c r="I19" s="101" t="s">
        <v>71</v>
      </c>
      <c r="J19" s="101" t="s">
        <v>71</v>
      </c>
      <c r="K19" s="101" t="s">
        <v>76</v>
      </c>
      <c r="L19" s="80" t="s">
        <v>1491</v>
      </c>
      <c r="M19" s="101" t="s">
        <v>1562</v>
      </c>
      <c r="N19" s="101">
        <v>1</v>
      </c>
      <c r="O19" s="101">
        <v>70</v>
      </c>
      <c r="P19" s="101">
        <v>70</v>
      </c>
      <c r="Q19" s="102">
        <v>8</v>
      </c>
      <c r="R19" s="102">
        <v>8</v>
      </c>
      <c r="S19" s="102"/>
      <c r="T19" s="102"/>
      <c r="U19" s="78"/>
      <c r="V19" s="78"/>
      <c r="W19" s="78"/>
    </row>
    <row r="20" spans="2:23" ht="12.75">
      <c r="B20" s="13" t="s">
        <v>45</v>
      </c>
      <c r="C20" s="13" t="s">
        <v>16</v>
      </c>
      <c r="D20" s="90"/>
      <c r="E20" s="80" t="s">
        <v>1689</v>
      </c>
      <c r="F20" s="81">
        <v>2</v>
      </c>
      <c r="G20" s="81">
        <v>2</v>
      </c>
      <c r="H20" s="81">
        <v>4</v>
      </c>
      <c r="I20" s="101" t="s">
        <v>1694</v>
      </c>
      <c r="J20" s="101" t="s">
        <v>73</v>
      </c>
      <c r="K20" s="101"/>
      <c r="L20" s="80" t="s">
        <v>1488</v>
      </c>
      <c r="M20" s="101" t="s">
        <v>1562</v>
      </c>
      <c r="N20" s="101">
        <v>1</v>
      </c>
      <c r="O20" s="101">
        <v>70</v>
      </c>
      <c r="P20" s="101" t="s">
        <v>1527</v>
      </c>
      <c r="Q20" s="102">
        <v>4</v>
      </c>
      <c r="R20" s="102">
        <v>4</v>
      </c>
      <c r="S20" s="102" t="s">
        <v>1563</v>
      </c>
      <c r="T20" s="102" t="s">
        <v>1564</v>
      </c>
      <c r="U20" s="78"/>
      <c r="V20" s="78"/>
      <c r="W20" s="78"/>
    </row>
    <row r="21" spans="2:23" ht="12.75">
      <c r="B21" s="13" t="s">
        <v>45</v>
      </c>
      <c r="C21" s="13" t="s">
        <v>16</v>
      </c>
      <c r="D21" s="90"/>
      <c r="E21" s="80" t="s">
        <v>1690</v>
      </c>
      <c r="F21" s="81">
        <v>2</v>
      </c>
      <c r="G21" s="81">
        <v>2</v>
      </c>
      <c r="H21" s="81">
        <v>4</v>
      </c>
      <c r="I21" s="101" t="s">
        <v>1694</v>
      </c>
      <c r="J21" s="101" t="s">
        <v>73</v>
      </c>
      <c r="K21" s="101"/>
      <c r="L21" s="80" t="s">
        <v>1491</v>
      </c>
      <c r="M21" s="101" t="s">
        <v>1562</v>
      </c>
      <c r="N21" s="101">
        <v>1</v>
      </c>
      <c r="O21" s="101">
        <v>70</v>
      </c>
      <c r="P21" s="101" t="s">
        <v>1527</v>
      </c>
      <c r="Q21" s="102">
        <v>4</v>
      </c>
      <c r="R21" s="102">
        <v>4</v>
      </c>
      <c r="S21" s="102" t="s">
        <v>1563</v>
      </c>
      <c r="T21" s="102" t="s">
        <v>1564</v>
      </c>
      <c r="U21" s="78"/>
      <c r="V21" s="78"/>
      <c r="W21" s="78"/>
    </row>
    <row r="22" spans="2:23" ht="12.75">
      <c r="B22" s="13" t="s">
        <v>45</v>
      </c>
      <c r="C22" s="13" t="s">
        <v>16</v>
      </c>
      <c r="D22" s="90"/>
      <c r="E22" s="80" t="s">
        <v>1691</v>
      </c>
      <c r="F22" s="81">
        <v>2</v>
      </c>
      <c r="G22" s="81">
        <v>2</v>
      </c>
      <c r="H22" s="81">
        <v>4</v>
      </c>
      <c r="I22" s="101" t="s">
        <v>1694</v>
      </c>
      <c r="J22" s="101" t="s">
        <v>73</v>
      </c>
      <c r="K22" s="101"/>
      <c r="L22" s="80" t="s">
        <v>1488</v>
      </c>
      <c r="M22" s="101" t="s">
        <v>1562</v>
      </c>
      <c r="N22" s="101">
        <v>1</v>
      </c>
      <c r="O22" s="101">
        <v>70</v>
      </c>
      <c r="P22" s="101" t="s">
        <v>1527</v>
      </c>
      <c r="Q22" s="102">
        <v>4</v>
      </c>
      <c r="R22" s="102">
        <v>4</v>
      </c>
      <c r="S22" s="102" t="s">
        <v>1563</v>
      </c>
      <c r="T22" s="102" t="s">
        <v>1564</v>
      </c>
      <c r="U22" s="95"/>
      <c r="V22" s="78"/>
      <c r="W22" s="78"/>
    </row>
    <row r="23" spans="2:23" ht="12.75">
      <c r="B23" s="13" t="s">
        <v>45</v>
      </c>
      <c r="C23" s="13" t="s">
        <v>16</v>
      </c>
      <c r="D23" s="90"/>
      <c r="E23" s="80" t="s">
        <v>1692</v>
      </c>
      <c r="F23" s="81">
        <v>2</v>
      </c>
      <c r="G23" s="81">
        <v>2</v>
      </c>
      <c r="H23" s="81">
        <v>4</v>
      </c>
      <c r="I23" s="101" t="s">
        <v>1694</v>
      </c>
      <c r="J23" s="101" t="s">
        <v>73</v>
      </c>
      <c r="K23" s="101"/>
      <c r="L23" s="80" t="s">
        <v>1491</v>
      </c>
      <c r="M23" s="101" t="s">
        <v>1562</v>
      </c>
      <c r="N23" s="101">
        <v>1</v>
      </c>
      <c r="O23" s="101">
        <v>70</v>
      </c>
      <c r="P23" s="101" t="s">
        <v>1527</v>
      </c>
      <c r="Q23" s="102">
        <v>4</v>
      </c>
      <c r="R23" s="102">
        <v>4</v>
      </c>
      <c r="S23" s="102" t="s">
        <v>1563</v>
      </c>
      <c r="T23" s="102" t="s">
        <v>1564</v>
      </c>
      <c r="U23" s="95"/>
      <c r="V23" s="78"/>
      <c r="W23" s="78"/>
    </row>
    <row r="24" spans="2:23" ht="12.75">
      <c r="B24" s="13" t="s">
        <v>45</v>
      </c>
      <c r="C24" s="13" t="s">
        <v>16</v>
      </c>
      <c r="D24" s="90"/>
      <c r="E24" s="80" t="s">
        <v>1693</v>
      </c>
      <c r="F24" s="81">
        <v>2</v>
      </c>
      <c r="G24" s="81">
        <v>2</v>
      </c>
      <c r="H24" s="81">
        <v>4</v>
      </c>
      <c r="I24" s="101" t="s">
        <v>1694</v>
      </c>
      <c r="J24" s="101" t="s">
        <v>73</v>
      </c>
      <c r="K24" s="101"/>
      <c r="L24" s="80" t="s">
        <v>1488</v>
      </c>
      <c r="M24" s="101" t="s">
        <v>1562</v>
      </c>
      <c r="N24" s="101">
        <v>1</v>
      </c>
      <c r="O24" s="101">
        <v>70</v>
      </c>
      <c r="P24" s="101" t="s">
        <v>1527</v>
      </c>
      <c r="Q24" s="102">
        <v>4</v>
      </c>
      <c r="R24" s="102">
        <v>4</v>
      </c>
      <c r="S24" s="102" t="s">
        <v>1563</v>
      </c>
      <c r="T24" s="102" t="s">
        <v>1564</v>
      </c>
      <c r="U24" s="95"/>
      <c r="V24" s="78"/>
      <c r="W24" s="78"/>
    </row>
    <row r="25" spans="2:23" ht="12.75">
      <c r="B25" s="13" t="s">
        <v>45</v>
      </c>
      <c r="C25" s="13" t="s">
        <v>16</v>
      </c>
      <c r="D25" s="90"/>
      <c r="E25" s="80" t="s">
        <v>1693</v>
      </c>
      <c r="F25" s="81">
        <v>2</v>
      </c>
      <c r="G25" s="81">
        <v>2</v>
      </c>
      <c r="H25" s="81">
        <v>4</v>
      </c>
      <c r="I25" s="101" t="s">
        <v>1694</v>
      </c>
      <c r="J25" s="101" t="s">
        <v>73</v>
      </c>
      <c r="K25" s="101"/>
      <c r="L25" s="80" t="s">
        <v>1491</v>
      </c>
      <c r="M25" s="101" t="s">
        <v>1562</v>
      </c>
      <c r="N25" s="101">
        <v>1</v>
      </c>
      <c r="O25" s="101">
        <v>70</v>
      </c>
      <c r="P25" s="101" t="s">
        <v>1527</v>
      </c>
      <c r="Q25" s="102">
        <v>4</v>
      </c>
      <c r="R25" s="102">
        <v>4</v>
      </c>
      <c r="S25" s="102" t="s">
        <v>1563</v>
      </c>
      <c r="T25" s="102" t="s">
        <v>1564</v>
      </c>
      <c r="U25" s="95"/>
      <c r="V25" s="78"/>
      <c r="W25" s="78"/>
    </row>
    <row r="26" spans="2:23" ht="12.75">
      <c r="B26" s="34" t="s">
        <v>40</v>
      </c>
      <c r="C26" s="34" t="s">
        <v>17</v>
      </c>
      <c r="D26" s="90" t="s">
        <v>159</v>
      </c>
      <c r="E26" s="80" t="s">
        <v>160</v>
      </c>
      <c r="F26" s="81">
        <v>0</v>
      </c>
      <c r="G26" s="81">
        <v>3</v>
      </c>
      <c r="H26" s="81">
        <v>2</v>
      </c>
      <c r="I26" s="101" t="s">
        <v>71</v>
      </c>
      <c r="J26" s="101" t="s">
        <v>71</v>
      </c>
      <c r="K26" s="101" t="s">
        <v>76</v>
      </c>
      <c r="L26" s="80" t="s">
        <v>1488</v>
      </c>
      <c r="M26" s="101" t="s">
        <v>1492</v>
      </c>
      <c r="N26" s="101">
        <v>19</v>
      </c>
      <c r="O26" s="101">
        <v>30</v>
      </c>
      <c r="P26" s="101">
        <v>570</v>
      </c>
      <c r="Q26" s="102">
        <v>57</v>
      </c>
      <c r="R26" s="102">
        <v>57</v>
      </c>
      <c r="S26" s="102" t="s">
        <v>1695</v>
      </c>
      <c r="T26" s="102" t="s">
        <v>1564</v>
      </c>
      <c r="U26" s="95"/>
      <c r="V26" s="78"/>
      <c r="W26" s="78"/>
    </row>
    <row r="27" spans="2:23" ht="12.75">
      <c r="B27" s="34" t="s">
        <v>40</v>
      </c>
      <c r="C27" s="34" t="s">
        <v>17</v>
      </c>
      <c r="D27" s="90" t="s">
        <v>159</v>
      </c>
      <c r="E27" s="80" t="s">
        <v>160</v>
      </c>
      <c r="F27" s="81">
        <v>0</v>
      </c>
      <c r="G27" s="81">
        <v>3</v>
      </c>
      <c r="H27" s="81">
        <v>2</v>
      </c>
      <c r="I27" s="101" t="s">
        <v>71</v>
      </c>
      <c r="J27" s="101" t="s">
        <v>71</v>
      </c>
      <c r="K27" s="101" t="s">
        <v>76</v>
      </c>
      <c r="L27" s="80" t="s">
        <v>1491</v>
      </c>
      <c r="M27" s="101" t="s">
        <v>1492</v>
      </c>
      <c r="N27" s="101">
        <v>19</v>
      </c>
      <c r="O27" s="101">
        <v>30</v>
      </c>
      <c r="P27" s="101">
        <v>570</v>
      </c>
      <c r="Q27" s="102">
        <v>57</v>
      </c>
      <c r="R27" s="102">
        <v>57</v>
      </c>
      <c r="S27" s="102" t="s">
        <v>1695</v>
      </c>
      <c r="T27" s="102" t="s">
        <v>1564</v>
      </c>
      <c r="U27" s="95"/>
      <c r="V27" s="78"/>
      <c r="W27" s="78"/>
    </row>
    <row r="28" spans="2:23" ht="12.75">
      <c r="B28" s="34" t="s">
        <v>40</v>
      </c>
      <c r="C28" s="34" t="s">
        <v>17</v>
      </c>
      <c r="D28" s="90" t="s">
        <v>159</v>
      </c>
      <c r="E28" s="80" t="s">
        <v>160</v>
      </c>
      <c r="F28" s="81">
        <v>0</v>
      </c>
      <c r="G28" s="81">
        <v>3</v>
      </c>
      <c r="H28" s="81">
        <v>2</v>
      </c>
      <c r="I28" s="101" t="s">
        <v>71</v>
      </c>
      <c r="J28" s="101" t="s">
        <v>71</v>
      </c>
      <c r="K28" s="101" t="s">
        <v>76</v>
      </c>
      <c r="L28" s="80" t="s">
        <v>1488</v>
      </c>
      <c r="M28" s="101" t="s">
        <v>1528</v>
      </c>
      <c r="N28" s="101">
        <v>8</v>
      </c>
      <c r="O28" s="101">
        <v>30</v>
      </c>
      <c r="P28" s="101">
        <v>240</v>
      </c>
      <c r="Q28" s="102">
        <v>24</v>
      </c>
      <c r="R28" s="102">
        <v>24</v>
      </c>
      <c r="S28" s="102" t="s">
        <v>1695</v>
      </c>
      <c r="T28" s="102" t="s">
        <v>1564</v>
      </c>
      <c r="U28" s="95"/>
      <c r="V28" s="78"/>
      <c r="W28" s="78"/>
    </row>
    <row r="29" spans="2:23" ht="12.75">
      <c r="B29" s="34" t="s">
        <v>40</v>
      </c>
      <c r="C29" s="34" t="s">
        <v>17</v>
      </c>
      <c r="D29" s="90" t="s">
        <v>159</v>
      </c>
      <c r="E29" s="80" t="s">
        <v>160</v>
      </c>
      <c r="F29" s="81">
        <v>0</v>
      </c>
      <c r="G29" s="81">
        <v>3</v>
      </c>
      <c r="H29" s="81">
        <v>2</v>
      </c>
      <c r="I29" s="101" t="s">
        <v>71</v>
      </c>
      <c r="J29" s="101" t="s">
        <v>71</v>
      </c>
      <c r="K29" s="101" t="s">
        <v>76</v>
      </c>
      <c r="L29" s="80" t="s">
        <v>1491</v>
      </c>
      <c r="M29" s="101" t="s">
        <v>1528</v>
      </c>
      <c r="N29" s="101">
        <v>8</v>
      </c>
      <c r="O29" s="101">
        <v>30</v>
      </c>
      <c r="P29" s="101">
        <v>240</v>
      </c>
      <c r="Q29" s="102">
        <v>24</v>
      </c>
      <c r="R29" s="102">
        <v>24</v>
      </c>
      <c r="S29" s="102" t="s">
        <v>1695</v>
      </c>
      <c r="T29" s="102" t="s">
        <v>1564</v>
      </c>
      <c r="U29" s="95"/>
      <c r="V29" s="78"/>
      <c r="W29" s="78"/>
    </row>
    <row r="30" spans="2:23" ht="12.75">
      <c r="B30" s="34" t="s">
        <v>40</v>
      </c>
      <c r="C30" s="34" t="s">
        <v>17</v>
      </c>
      <c r="D30" s="90" t="s">
        <v>1121</v>
      </c>
      <c r="E30" s="80" t="s">
        <v>1122</v>
      </c>
      <c r="F30" s="81">
        <v>0</v>
      </c>
      <c r="G30" s="81">
        <v>2</v>
      </c>
      <c r="H30" s="81">
        <v>10</v>
      </c>
      <c r="I30" s="101" t="s">
        <v>71</v>
      </c>
      <c r="J30" s="101" t="s">
        <v>71</v>
      </c>
      <c r="K30" s="101" t="s">
        <v>76</v>
      </c>
      <c r="L30" s="80" t="s">
        <v>1488</v>
      </c>
      <c r="M30" s="101" t="s">
        <v>1492</v>
      </c>
      <c r="N30" s="101">
        <v>5</v>
      </c>
      <c r="O30" s="101">
        <v>45</v>
      </c>
      <c r="P30" s="101">
        <v>225</v>
      </c>
      <c r="Q30" s="102">
        <v>10</v>
      </c>
      <c r="R30" s="102">
        <v>10</v>
      </c>
      <c r="S30" s="102"/>
      <c r="T30" s="102"/>
      <c r="U30" s="95"/>
      <c r="V30" s="78"/>
      <c r="W30" s="78"/>
    </row>
    <row r="31" spans="2:23" ht="12.75">
      <c r="B31" s="34" t="s">
        <v>40</v>
      </c>
      <c r="C31" s="34" t="s">
        <v>17</v>
      </c>
      <c r="D31" s="90" t="s">
        <v>1121</v>
      </c>
      <c r="E31" s="80" t="s">
        <v>1122</v>
      </c>
      <c r="F31" s="81">
        <v>0</v>
      </c>
      <c r="G31" s="81">
        <v>2</v>
      </c>
      <c r="H31" s="81">
        <v>10</v>
      </c>
      <c r="I31" s="101" t="s">
        <v>71</v>
      </c>
      <c r="J31" s="101" t="s">
        <v>71</v>
      </c>
      <c r="K31" s="101" t="s">
        <v>76</v>
      </c>
      <c r="L31" s="80" t="s">
        <v>1491</v>
      </c>
      <c r="M31" s="101" t="s">
        <v>1492</v>
      </c>
      <c r="N31" s="101">
        <v>5</v>
      </c>
      <c r="O31" s="101">
        <v>45</v>
      </c>
      <c r="P31" s="101">
        <v>225</v>
      </c>
      <c r="Q31" s="102">
        <v>10</v>
      </c>
      <c r="R31" s="102">
        <v>10</v>
      </c>
      <c r="S31" s="102"/>
      <c r="T31" s="102"/>
      <c r="U31" s="95"/>
      <c r="V31" s="78"/>
      <c r="W31" s="78"/>
    </row>
    <row r="32" spans="2:23" ht="12.75">
      <c r="B32" s="34" t="s">
        <v>40</v>
      </c>
      <c r="C32" s="34" t="s">
        <v>17</v>
      </c>
      <c r="D32" s="90" t="s">
        <v>1121</v>
      </c>
      <c r="E32" s="80" t="s">
        <v>1122</v>
      </c>
      <c r="F32" s="81">
        <v>0</v>
      </c>
      <c r="G32" s="81">
        <v>2</v>
      </c>
      <c r="H32" s="81">
        <v>10</v>
      </c>
      <c r="I32" s="101" t="s">
        <v>71</v>
      </c>
      <c r="J32" s="101" t="s">
        <v>71</v>
      </c>
      <c r="K32" s="101" t="s">
        <v>76</v>
      </c>
      <c r="L32" s="80" t="s">
        <v>1488</v>
      </c>
      <c r="M32" s="101" t="s">
        <v>1528</v>
      </c>
      <c r="N32" s="101">
        <v>2</v>
      </c>
      <c r="O32" s="101">
        <v>45</v>
      </c>
      <c r="P32" s="101">
        <v>90</v>
      </c>
      <c r="Q32" s="102">
        <v>4</v>
      </c>
      <c r="R32" s="102">
        <v>4</v>
      </c>
      <c r="S32" s="102"/>
      <c r="T32" s="102"/>
      <c r="U32" s="95"/>
      <c r="V32" s="78"/>
      <c r="W32" s="78"/>
    </row>
    <row r="33" spans="2:23" ht="12.75">
      <c r="B33" s="34" t="s">
        <v>40</v>
      </c>
      <c r="C33" s="34" t="s">
        <v>17</v>
      </c>
      <c r="D33" s="90" t="s">
        <v>1121</v>
      </c>
      <c r="E33" s="80" t="s">
        <v>1122</v>
      </c>
      <c r="F33" s="81">
        <v>0</v>
      </c>
      <c r="G33" s="81">
        <v>2</v>
      </c>
      <c r="H33" s="81">
        <v>10</v>
      </c>
      <c r="I33" s="101" t="s">
        <v>71</v>
      </c>
      <c r="J33" s="101" t="s">
        <v>71</v>
      </c>
      <c r="K33" s="101" t="s">
        <v>76</v>
      </c>
      <c r="L33" s="80" t="s">
        <v>1491</v>
      </c>
      <c r="M33" s="101" t="s">
        <v>1528</v>
      </c>
      <c r="N33" s="101">
        <v>2</v>
      </c>
      <c r="O33" s="101">
        <v>45</v>
      </c>
      <c r="P33" s="101">
        <v>90</v>
      </c>
      <c r="Q33" s="102">
        <v>4</v>
      </c>
      <c r="R33" s="102">
        <v>4</v>
      </c>
      <c r="S33" s="102"/>
      <c r="T33" s="102"/>
      <c r="U33" s="95"/>
      <c r="V33" s="78"/>
      <c r="W33" s="78"/>
    </row>
    <row r="34" spans="2:23" ht="12.75">
      <c r="B34" s="34" t="s">
        <v>40</v>
      </c>
      <c r="C34" s="34" t="s">
        <v>17</v>
      </c>
      <c r="D34" s="90" t="s">
        <v>170</v>
      </c>
      <c r="E34" s="80" t="s">
        <v>171</v>
      </c>
      <c r="F34" s="81">
        <v>4</v>
      </c>
      <c r="G34" s="81">
        <v>0</v>
      </c>
      <c r="H34" s="81">
        <v>5</v>
      </c>
      <c r="I34" s="101" t="s">
        <v>71</v>
      </c>
      <c r="J34" s="101" t="s">
        <v>71</v>
      </c>
      <c r="K34" s="101" t="s">
        <v>76</v>
      </c>
      <c r="L34" s="80" t="s">
        <v>1488</v>
      </c>
      <c r="M34" s="101" t="s">
        <v>1492</v>
      </c>
      <c r="N34" s="101">
        <v>7</v>
      </c>
      <c r="O34" s="101">
        <v>90</v>
      </c>
      <c r="P34" s="101">
        <v>630</v>
      </c>
      <c r="Q34" s="102">
        <v>28</v>
      </c>
      <c r="R34" s="102">
        <v>28</v>
      </c>
      <c r="S34" s="102"/>
      <c r="T34" s="102"/>
      <c r="U34" s="95"/>
      <c r="V34" s="78"/>
      <c r="W34" s="78"/>
    </row>
    <row r="35" spans="2:23" ht="12.75">
      <c r="B35" s="34" t="s">
        <v>40</v>
      </c>
      <c r="C35" s="34" t="s">
        <v>17</v>
      </c>
      <c r="D35" s="90" t="s">
        <v>170</v>
      </c>
      <c r="E35" s="80" t="s">
        <v>171</v>
      </c>
      <c r="F35" s="81">
        <v>4</v>
      </c>
      <c r="G35" s="81">
        <v>0</v>
      </c>
      <c r="H35" s="81">
        <v>5</v>
      </c>
      <c r="I35" s="101" t="s">
        <v>71</v>
      </c>
      <c r="J35" s="101" t="s">
        <v>71</v>
      </c>
      <c r="K35" s="101" t="s">
        <v>76</v>
      </c>
      <c r="L35" s="80" t="s">
        <v>1491</v>
      </c>
      <c r="M35" s="101" t="s">
        <v>1492</v>
      </c>
      <c r="N35" s="101">
        <v>8</v>
      </c>
      <c r="O35" s="101">
        <v>90</v>
      </c>
      <c r="P35" s="101">
        <v>720</v>
      </c>
      <c r="Q35" s="102">
        <v>32</v>
      </c>
      <c r="R35" s="102">
        <v>32</v>
      </c>
      <c r="S35" s="102"/>
      <c r="T35" s="102"/>
      <c r="U35" s="95"/>
      <c r="V35" s="78"/>
      <c r="W35" s="78"/>
    </row>
    <row r="36" spans="2:23" ht="12.75">
      <c r="B36" s="34" t="s">
        <v>40</v>
      </c>
      <c r="C36" s="34" t="s">
        <v>17</v>
      </c>
      <c r="D36" s="90" t="s">
        <v>170</v>
      </c>
      <c r="E36" s="80" t="s">
        <v>171</v>
      </c>
      <c r="F36" s="81">
        <v>4</v>
      </c>
      <c r="G36" s="81">
        <v>0</v>
      </c>
      <c r="H36" s="81">
        <v>5</v>
      </c>
      <c r="I36" s="101" t="s">
        <v>71</v>
      </c>
      <c r="J36" s="101" t="s">
        <v>71</v>
      </c>
      <c r="K36" s="101" t="s">
        <v>76</v>
      </c>
      <c r="L36" s="80" t="s">
        <v>1488</v>
      </c>
      <c r="M36" s="101" t="s">
        <v>1528</v>
      </c>
      <c r="N36" s="101">
        <v>2</v>
      </c>
      <c r="O36" s="101">
        <v>110</v>
      </c>
      <c r="P36" s="101">
        <v>220</v>
      </c>
      <c r="Q36" s="102">
        <v>8</v>
      </c>
      <c r="R36" s="102">
        <v>8</v>
      </c>
      <c r="S36" s="102"/>
      <c r="T36" s="102"/>
      <c r="U36" s="95"/>
      <c r="V36" s="78"/>
      <c r="W36" s="78"/>
    </row>
    <row r="37" spans="2:23" ht="12.75">
      <c r="B37" s="34" t="s">
        <v>40</v>
      </c>
      <c r="C37" s="34" t="s">
        <v>17</v>
      </c>
      <c r="D37" s="90" t="s">
        <v>170</v>
      </c>
      <c r="E37" s="80" t="s">
        <v>171</v>
      </c>
      <c r="F37" s="81">
        <v>4</v>
      </c>
      <c r="G37" s="81">
        <v>0</v>
      </c>
      <c r="H37" s="81">
        <v>5</v>
      </c>
      <c r="I37" s="101" t="s">
        <v>71</v>
      </c>
      <c r="J37" s="101" t="s">
        <v>71</v>
      </c>
      <c r="K37" s="101" t="s">
        <v>76</v>
      </c>
      <c r="L37" s="80" t="s">
        <v>1491</v>
      </c>
      <c r="M37" s="101" t="s">
        <v>1528</v>
      </c>
      <c r="N37" s="101">
        <v>2</v>
      </c>
      <c r="O37" s="101">
        <v>110</v>
      </c>
      <c r="P37" s="101">
        <v>220</v>
      </c>
      <c r="Q37" s="102">
        <v>8</v>
      </c>
      <c r="R37" s="102">
        <v>8</v>
      </c>
      <c r="S37" s="102"/>
      <c r="T37" s="102"/>
      <c r="U37" s="95"/>
      <c r="V37" s="78"/>
      <c r="W37" s="78"/>
    </row>
    <row r="38" spans="2:23" ht="12.75">
      <c r="B38" s="34" t="s">
        <v>40</v>
      </c>
      <c r="C38" s="34" t="s">
        <v>17</v>
      </c>
      <c r="D38" s="90" t="s">
        <v>168</v>
      </c>
      <c r="E38" s="80" t="s">
        <v>169</v>
      </c>
      <c r="F38" s="81">
        <v>3</v>
      </c>
      <c r="G38" s="81">
        <v>0</v>
      </c>
      <c r="H38" s="81">
        <v>4</v>
      </c>
      <c r="I38" s="101" t="s">
        <v>71</v>
      </c>
      <c r="J38" s="101" t="s">
        <v>71</v>
      </c>
      <c r="K38" s="101" t="s">
        <v>76</v>
      </c>
      <c r="L38" s="80" t="s">
        <v>1488</v>
      </c>
      <c r="M38" s="101" t="s">
        <v>1492</v>
      </c>
      <c r="N38" s="101">
        <v>2</v>
      </c>
      <c r="O38" s="101">
        <v>90</v>
      </c>
      <c r="P38" s="101">
        <v>180</v>
      </c>
      <c r="Q38" s="102">
        <v>6</v>
      </c>
      <c r="R38" s="102">
        <v>6</v>
      </c>
      <c r="S38" s="102"/>
      <c r="T38" s="102"/>
      <c r="U38" s="95"/>
      <c r="V38" s="78"/>
      <c r="W38" s="78"/>
    </row>
    <row r="39" spans="2:23" ht="12.75">
      <c r="B39" s="34" t="s">
        <v>40</v>
      </c>
      <c r="C39" s="34" t="s">
        <v>17</v>
      </c>
      <c r="D39" s="90" t="s">
        <v>168</v>
      </c>
      <c r="E39" s="80" t="s">
        <v>169</v>
      </c>
      <c r="F39" s="81">
        <v>3</v>
      </c>
      <c r="G39" s="81">
        <v>0</v>
      </c>
      <c r="H39" s="81">
        <v>4</v>
      </c>
      <c r="I39" s="101" t="s">
        <v>71</v>
      </c>
      <c r="J39" s="101" t="s">
        <v>71</v>
      </c>
      <c r="K39" s="101" t="s">
        <v>76</v>
      </c>
      <c r="L39" s="80" t="s">
        <v>1491</v>
      </c>
      <c r="M39" s="101" t="s">
        <v>1492</v>
      </c>
      <c r="N39" s="101">
        <v>2</v>
      </c>
      <c r="O39" s="101">
        <v>90</v>
      </c>
      <c r="P39" s="101">
        <v>180</v>
      </c>
      <c r="Q39" s="102">
        <v>6</v>
      </c>
      <c r="R39" s="102">
        <v>6</v>
      </c>
      <c r="S39" s="102"/>
      <c r="T39" s="102"/>
      <c r="U39" s="95"/>
      <c r="V39" s="78"/>
      <c r="W39" s="78"/>
    </row>
    <row r="40" spans="2:23" ht="12.75">
      <c r="B40" s="34" t="s">
        <v>40</v>
      </c>
      <c r="C40" s="34" t="s">
        <v>17</v>
      </c>
      <c r="D40" s="90" t="s">
        <v>168</v>
      </c>
      <c r="E40" s="80" t="s">
        <v>169</v>
      </c>
      <c r="F40" s="81">
        <v>3</v>
      </c>
      <c r="G40" s="81">
        <v>0</v>
      </c>
      <c r="H40" s="81">
        <v>4</v>
      </c>
      <c r="I40" s="101" t="s">
        <v>71</v>
      </c>
      <c r="J40" s="101" t="s">
        <v>71</v>
      </c>
      <c r="K40" s="101" t="s">
        <v>76</v>
      </c>
      <c r="L40" s="80" t="s">
        <v>1488</v>
      </c>
      <c r="M40" s="101" t="s">
        <v>1528</v>
      </c>
      <c r="N40" s="101">
        <v>1</v>
      </c>
      <c r="O40" s="101">
        <v>90</v>
      </c>
      <c r="P40" s="101">
        <v>90</v>
      </c>
      <c r="Q40" s="102">
        <v>3</v>
      </c>
      <c r="R40" s="102">
        <v>3</v>
      </c>
      <c r="S40" s="102"/>
      <c r="T40" s="102"/>
      <c r="U40" s="95"/>
      <c r="V40" s="78"/>
      <c r="W40" s="78"/>
    </row>
    <row r="41" spans="2:23" ht="12.75">
      <c r="B41" s="34" t="s">
        <v>40</v>
      </c>
      <c r="C41" s="34" t="s">
        <v>17</v>
      </c>
      <c r="D41" s="90" t="s">
        <v>168</v>
      </c>
      <c r="E41" s="80" t="s">
        <v>169</v>
      </c>
      <c r="F41" s="81">
        <v>3</v>
      </c>
      <c r="G41" s="81">
        <v>0</v>
      </c>
      <c r="H41" s="81">
        <v>4</v>
      </c>
      <c r="I41" s="101" t="s">
        <v>71</v>
      </c>
      <c r="J41" s="101" t="s">
        <v>71</v>
      </c>
      <c r="K41" s="101" t="s">
        <v>76</v>
      </c>
      <c r="L41" s="80" t="s">
        <v>1491</v>
      </c>
      <c r="M41" s="101" t="s">
        <v>1528</v>
      </c>
      <c r="N41" s="101">
        <v>1</v>
      </c>
      <c r="O41" s="101">
        <v>90</v>
      </c>
      <c r="P41" s="101">
        <v>90</v>
      </c>
      <c r="Q41" s="102">
        <v>3</v>
      </c>
      <c r="R41" s="102">
        <v>3</v>
      </c>
      <c r="S41" s="102"/>
      <c r="T41" s="102"/>
      <c r="U41" s="95"/>
      <c r="V41" s="78"/>
      <c r="W41" s="78"/>
    </row>
    <row r="42" spans="2:23" ht="12.75">
      <c r="B42" s="34" t="s">
        <v>40</v>
      </c>
      <c r="C42" s="34" t="s">
        <v>17</v>
      </c>
      <c r="D42" s="90" t="s">
        <v>166</v>
      </c>
      <c r="E42" s="80" t="s">
        <v>167</v>
      </c>
      <c r="F42" s="81">
        <v>0</v>
      </c>
      <c r="G42" s="81">
        <v>2</v>
      </c>
      <c r="H42" s="81">
        <v>2</v>
      </c>
      <c r="I42" s="101" t="s">
        <v>71</v>
      </c>
      <c r="J42" s="101" t="s">
        <v>71</v>
      </c>
      <c r="K42" s="101" t="s">
        <v>76</v>
      </c>
      <c r="L42" s="80" t="s">
        <v>1488</v>
      </c>
      <c r="M42" s="101" t="s">
        <v>1492</v>
      </c>
      <c r="N42" s="101">
        <v>19</v>
      </c>
      <c r="O42" s="101">
        <v>30</v>
      </c>
      <c r="P42" s="101">
        <v>570</v>
      </c>
      <c r="Q42" s="102">
        <v>38</v>
      </c>
      <c r="R42" s="102">
        <v>38</v>
      </c>
      <c r="S42" s="102" t="s">
        <v>1563</v>
      </c>
      <c r="T42" s="102" t="s">
        <v>1564</v>
      </c>
      <c r="U42" s="95"/>
      <c r="V42" s="78"/>
      <c r="W42" s="78"/>
    </row>
    <row r="43" spans="2:23" ht="12.75">
      <c r="B43" s="34" t="s">
        <v>40</v>
      </c>
      <c r="C43" s="34" t="s">
        <v>17</v>
      </c>
      <c r="D43" s="90" t="s">
        <v>166</v>
      </c>
      <c r="E43" s="80" t="s">
        <v>167</v>
      </c>
      <c r="F43" s="81">
        <v>0</v>
      </c>
      <c r="G43" s="81">
        <v>2</v>
      </c>
      <c r="H43" s="81">
        <v>2</v>
      </c>
      <c r="I43" s="101" t="s">
        <v>71</v>
      </c>
      <c r="J43" s="101" t="s">
        <v>71</v>
      </c>
      <c r="K43" s="101" t="s">
        <v>76</v>
      </c>
      <c r="L43" s="80" t="s">
        <v>1491</v>
      </c>
      <c r="M43" s="101" t="s">
        <v>1492</v>
      </c>
      <c r="N43" s="101">
        <v>19</v>
      </c>
      <c r="O43" s="101">
        <v>30</v>
      </c>
      <c r="P43" s="101">
        <v>570</v>
      </c>
      <c r="Q43" s="102">
        <v>38</v>
      </c>
      <c r="R43" s="102">
        <v>38</v>
      </c>
      <c r="S43" s="102" t="s">
        <v>1563</v>
      </c>
      <c r="T43" s="102" t="s">
        <v>1564</v>
      </c>
      <c r="U43" s="95"/>
      <c r="V43" s="78"/>
      <c r="W43" s="78"/>
    </row>
    <row r="44" spans="2:23" ht="12.75">
      <c r="B44" s="34" t="s">
        <v>40</v>
      </c>
      <c r="C44" s="34" t="s">
        <v>17</v>
      </c>
      <c r="D44" s="90" t="s">
        <v>166</v>
      </c>
      <c r="E44" s="80" t="s">
        <v>167</v>
      </c>
      <c r="F44" s="81">
        <v>0</v>
      </c>
      <c r="G44" s="81">
        <v>2</v>
      </c>
      <c r="H44" s="81">
        <v>2</v>
      </c>
      <c r="I44" s="101" t="s">
        <v>71</v>
      </c>
      <c r="J44" s="101" t="s">
        <v>71</v>
      </c>
      <c r="K44" s="101" t="s">
        <v>76</v>
      </c>
      <c r="L44" s="80" t="s">
        <v>1488</v>
      </c>
      <c r="M44" s="101" t="s">
        <v>1528</v>
      </c>
      <c r="N44" s="101">
        <v>7</v>
      </c>
      <c r="O44" s="101">
        <v>42</v>
      </c>
      <c r="P44" s="101">
        <v>294</v>
      </c>
      <c r="Q44" s="102">
        <v>14</v>
      </c>
      <c r="R44" s="102">
        <v>14</v>
      </c>
      <c r="S44" s="102" t="s">
        <v>1563</v>
      </c>
      <c r="T44" s="102" t="s">
        <v>1564</v>
      </c>
      <c r="U44" s="95"/>
      <c r="V44" s="78"/>
      <c r="W44" s="78"/>
    </row>
    <row r="45" spans="2:23" ht="12.75">
      <c r="B45" s="34" t="s">
        <v>40</v>
      </c>
      <c r="C45" s="34" t="s">
        <v>17</v>
      </c>
      <c r="D45" s="90" t="s">
        <v>166</v>
      </c>
      <c r="E45" s="80" t="s">
        <v>167</v>
      </c>
      <c r="F45" s="81">
        <v>0</v>
      </c>
      <c r="G45" s="81">
        <v>2</v>
      </c>
      <c r="H45" s="81">
        <v>2</v>
      </c>
      <c r="I45" s="101" t="s">
        <v>71</v>
      </c>
      <c r="J45" s="101" t="s">
        <v>71</v>
      </c>
      <c r="K45" s="101" t="s">
        <v>76</v>
      </c>
      <c r="L45" s="80" t="s">
        <v>1491</v>
      </c>
      <c r="M45" s="101" t="s">
        <v>1528</v>
      </c>
      <c r="N45" s="101">
        <v>7</v>
      </c>
      <c r="O45" s="101">
        <v>42</v>
      </c>
      <c r="P45" s="101">
        <v>294</v>
      </c>
      <c r="Q45" s="102">
        <v>14</v>
      </c>
      <c r="R45" s="102">
        <v>14</v>
      </c>
      <c r="S45" s="102" t="s">
        <v>1563</v>
      </c>
      <c r="T45" s="102" t="s">
        <v>1564</v>
      </c>
      <c r="U45" s="95"/>
      <c r="V45" s="78"/>
      <c r="W45" s="78"/>
    </row>
    <row r="46" spans="2:23" ht="12.75">
      <c r="B46" s="34" t="s">
        <v>40</v>
      </c>
      <c r="C46" s="34" t="s">
        <v>17</v>
      </c>
      <c r="D46" s="90" t="s">
        <v>538</v>
      </c>
      <c r="E46" s="80" t="s">
        <v>539</v>
      </c>
      <c r="F46" s="81">
        <v>3</v>
      </c>
      <c r="G46" s="81">
        <v>0</v>
      </c>
      <c r="H46" s="81">
        <v>4</v>
      </c>
      <c r="I46" s="101" t="s">
        <v>71</v>
      </c>
      <c r="J46" s="101" t="s">
        <v>71</v>
      </c>
      <c r="K46" s="101" t="s">
        <v>76</v>
      </c>
      <c r="L46" s="80" t="s">
        <v>1488</v>
      </c>
      <c r="M46" s="101" t="s">
        <v>1492</v>
      </c>
      <c r="N46" s="101">
        <v>6</v>
      </c>
      <c r="O46" s="101">
        <v>95</v>
      </c>
      <c r="P46" s="101">
        <v>570</v>
      </c>
      <c r="Q46" s="102">
        <v>18</v>
      </c>
      <c r="R46" s="102">
        <v>18</v>
      </c>
      <c r="S46" s="102"/>
      <c r="T46" s="102"/>
      <c r="U46" s="95"/>
      <c r="V46" s="95"/>
      <c r="W46" s="78"/>
    </row>
    <row r="47" spans="2:23" ht="12.75">
      <c r="B47" s="34" t="s">
        <v>40</v>
      </c>
      <c r="C47" s="34" t="s">
        <v>17</v>
      </c>
      <c r="D47" s="90" t="s">
        <v>538</v>
      </c>
      <c r="E47" s="80" t="s">
        <v>539</v>
      </c>
      <c r="F47" s="81">
        <v>3</v>
      </c>
      <c r="G47" s="81">
        <v>0</v>
      </c>
      <c r="H47" s="81">
        <v>4</v>
      </c>
      <c r="I47" s="101" t="s">
        <v>71</v>
      </c>
      <c r="J47" s="101" t="s">
        <v>71</v>
      </c>
      <c r="K47" s="101" t="s">
        <v>76</v>
      </c>
      <c r="L47" s="80" t="s">
        <v>1491</v>
      </c>
      <c r="M47" s="101" t="s">
        <v>1492</v>
      </c>
      <c r="N47" s="101">
        <v>6</v>
      </c>
      <c r="O47" s="101">
        <v>95</v>
      </c>
      <c r="P47" s="101">
        <v>570</v>
      </c>
      <c r="Q47" s="102">
        <v>18</v>
      </c>
      <c r="R47" s="102">
        <v>18</v>
      </c>
      <c r="S47" s="102"/>
      <c r="T47" s="102"/>
      <c r="U47" s="95"/>
      <c r="V47" s="95"/>
      <c r="W47" s="78"/>
    </row>
    <row r="48" spans="2:23" ht="12.75">
      <c r="B48" s="34" t="s">
        <v>40</v>
      </c>
      <c r="C48" s="34" t="s">
        <v>17</v>
      </c>
      <c r="D48" s="90" t="s">
        <v>538</v>
      </c>
      <c r="E48" s="80" t="s">
        <v>539</v>
      </c>
      <c r="F48" s="81">
        <v>3</v>
      </c>
      <c r="G48" s="81">
        <v>0</v>
      </c>
      <c r="H48" s="81">
        <v>4</v>
      </c>
      <c r="I48" s="101" t="s">
        <v>71</v>
      </c>
      <c r="J48" s="101" t="s">
        <v>71</v>
      </c>
      <c r="K48" s="101" t="s">
        <v>76</v>
      </c>
      <c r="L48" s="80" t="s">
        <v>1488</v>
      </c>
      <c r="M48" s="101" t="s">
        <v>1528</v>
      </c>
      <c r="N48" s="101">
        <v>2</v>
      </c>
      <c r="O48" s="101">
        <v>110</v>
      </c>
      <c r="P48" s="101">
        <v>220</v>
      </c>
      <c r="Q48" s="102">
        <v>6</v>
      </c>
      <c r="R48" s="102">
        <v>6</v>
      </c>
      <c r="S48" s="102"/>
      <c r="T48" s="102"/>
      <c r="U48" s="95"/>
      <c r="V48" s="95"/>
      <c r="W48" s="78"/>
    </row>
    <row r="49" spans="2:23" ht="12.75">
      <c r="B49" s="34" t="s">
        <v>40</v>
      </c>
      <c r="C49" s="34" t="s">
        <v>17</v>
      </c>
      <c r="D49" s="90" t="s">
        <v>538</v>
      </c>
      <c r="E49" s="80" t="s">
        <v>539</v>
      </c>
      <c r="F49" s="81">
        <v>3</v>
      </c>
      <c r="G49" s="81">
        <v>0</v>
      </c>
      <c r="H49" s="81">
        <v>4</v>
      </c>
      <c r="I49" s="101" t="s">
        <v>71</v>
      </c>
      <c r="J49" s="101" t="s">
        <v>71</v>
      </c>
      <c r="K49" s="101" t="s">
        <v>76</v>
      </c>
      <c r="L49" s="80" t="s">
        <v>1491</v>
      </c>
      <c r="M49" s="101" t="s">
        <v>1528</v>
      </c>
      <c r="N49" s="101">
        <v>2</v>
      </c>
      <c r="O49" s="101">
        <v>110</v>
      </c>
      <c r="P49" s="101">
        <v>220</v>
      </c>
      <c r="Q49" s="102">
        <v>6</v>
      </c>
      <c r="R49" s="102">
        <v>6</v>
      </c>
      <c r="S49" s="102"/>
      <c r="T49" s="102"/>
      <c r="U49" s="95"/>
      <c r="V49" s="95"/>
      <c r="W49" s="78"/>
    </row>
    <row r="50" spans="2:23" ht="12.75">
      <c r="B50" s="34" t="s">
        <v>40</v>
      </c>
      <c r="C50" s="34" t="s">
        <v>17</v>
      </c>
      <c r="D50" s="90" t="s">
        <v>609</v>
      </c>
      <c r="E50" s="80" t="s">
        <v>610</v>
      </c>
      <c r="F50" s="81">
        <v>3</v>
      </c>
      <c r="G50" s="81">
        <v>0</v>
      </c>
      <c r="H50" s="81">
        <v>4</v>
      </c>
      <c r="I50" s="101" t="s">
        <v>71</v>
      </c>
      <c r="J50" s="101" t="s">
        <v>71</v>
      </c>
      <c r="K50" s="101" t="s">
        <v>76</v>
      </c>
      <c r="L50" s="80" t="s">
        <v>1488</v>
      </c>
      <c r="M50" s="101" t="s">
        <v>1492</v>
      </c>
      <c r="N50" s="101">
        <v>1</v>
      </c>
      <c r="O50" s="101">
        <v>90</v>
      </c>
      <c r="P50" s="101">
        <v>90</v>
      </c>
      <c r="Q50" s="102">
        <v>3</v>
      </c>
      <c r="R50" s="102">
        <v>3</v>
      </c>
      <c r="S50" s="102"/>
      <c r="T50" s="102"/>
      <c r="U50" s="95"/>
      <c r="V50" s="95"/>
      <c r="W50" s="78"/>
    </row>
    <row r="51" spans="2:23" ht="12.75">
      <c r="B51" s="34" t="s">
        <v>40</v>
      </c>
      <c r="C51" s="34" t="s">
        <v>17</v>
      </c>
      <c r="D51" s="90" t="s">
        <v>609</v>
      </c>
      <c r="E51" s="80" t="s">
        <v>610</v>
      </c>
      <c r="F51" s="81">
        <v>3</v>
      </c>
      <c r="G51" s="81">
        <v>0</v>
      </c>
      <c r="H51" s="81">
        <v>4</v>
      </c>
      <c r="I51" s="101" t="s">
        <v>71</v>
      </c>
      <c r="J51" s="101" t="s">
        <v>71</v>
      </c>
      <c r="K51" s="101" t="s">
        <v>76</v>
      </c>
      <c r="L51" s="80" t="s">
        <v>1491</v>
      </c>
      <c r="M51" s="101" t="s">
        <v>1492</v>
      </c>
      <c r="N51" s="101">
        <v>1</v>
      </c>
      <c r="O51" s="101">
        <v>90</v>
      </c>
      <c r="P51" s="101">
        <v>90</v>
      </c>
      <c r="Q51" s="102">
        <v>3</v>
      </c>
      <c r="R51" s="102">
        <v>3</v>
      </c>
      <c r="S51" s="102"/>
      <c r="T51" s="102"/>
      <c r="U51" s="95"/>
      <c r="V51" s="95"/>
      <c r="W51" s="78"/>
    </row>
    <row r="52" spans="2:23" ht="12.75">
      <c r="B52" s="34" t="s">
        <v>40</v>
      </c>
      <c r="C52" s="34" t="s">
        <v>17</v>
      </c>
      <c r="D52" s="90" t="s">
        <v>609</v>
      </c>
      <c r="E52" s="80" t="s">
        <v>610</v>
      </c>
      <c r="F52" s="81">
        <v>3</v>
      </c>
      <c r="G52" s="81">
        <v>0</v>
      </c>
      <c r="H52" s="81">
        <v>4</v>
      </c>
      <c r="I52" s="101" t="s">
        <v>71</v>
      </c>
      <c r="J52" s="101" t="s">
        <v>71</v>
      </c>
      <c r="K52" s="101" t="s">
        <v>76</v>
      </c>
      <c r="L52" s="80" t="s">
        <v>1488</v>
      </c>
      <c r="M52" s="101" t="s">
        <v>1528</v>
      </c>
      <c r="N52" s="101">
        <v>1</v>
      </c>
      <c r="O52" s="101">
        <v>90</v>
      </c>
      <c r="P52" s="101">
        <v>90</v>
      </c>
      <c r="Q52" s="102">
        <v>3</v>
      </c>
      <c r="R52" s="102">
        <v>3</v>
      </c>
      <c r="S52" s="102"/>
      <c r="T52" s="102"/>
      <c r="U52" s="95"/>
      <c r="V52" s="95"/>
      <c r="W52" s="78"/>
    </row>
    <row r="53" spans="2:23" ht="12.75">
      <c r="B53" s="34" t="s">
        <v>40</v>
      </c>
      <c r="C53" s="34" t="s">
        <v>17</v>
      </c>
      <c r="D53" s="90" t="s">
        <v>609</v>
      </c>
      <c r="E53" s="80" t="s">
        <v>610</v>
      </c>
      <c r="F53" s="81">
        <v>3</v>
      </c>
      <c r="G53" s="81">
        <v>0</v>
      </c>
      <c r="H53" s="81">
        <v>4</v>
      </c>
      <c r="I53" s="101" t="s">
        <v>71</v>
      </c>
      <c r="J53" s="101" t="s">
        <v>71</v>
      </c>
      <c r="K53" s="101" t="s">
        <v>76</v>
      </c>
      <c r="L53" s="80" t="s">
        <v>1491</v>
      </c>
      <c r="M53" s="101" t="s">
        <v>1528</v>
      </c>
      <c r="N53" s="101">
        <v>1</v>
      </c>
      <c r="O53" s="101">
        <v>90</v>
      </c>
      <c r="P53" s="101">
        <v>90</v>
      </c>
      <c r="Q53" s="102">
        <v>3</v>
      </c>
      <c r="R53" s="102">
        <v>3</v>
      </c>
      <c r="S53" s="102"/>
      <c r="T53" s="102"/>
      <c r="U53" s="95"/>
      <c r="V53" s="95"/>
      <c r="W53" s="78"/>
    </row>
    <row r="54" spans="2:23" ht="12.75">
      <c r="B54" s="34" t="s">
        <v>40</v>
      </c>
      <c r="C54" s="34" t="s">
        <v>17</v>
      </c>
      <c r="D54" s="90" t="s">
        <v>773</v>
      </c>
      <c r="E54" s="80" t="s">
        <v>774</v>
      </c>
      <c r="F54" s="81">
        <v>3</v>
      </c>
      <c r="G54" s="81">
        <v>0</v>
      </c>
      <c r="H54" s="81">
        <v>4</v>
      </c>
      <c r="I54" s="101" t="s">
        <v>71</v>
      </c>
      <c r="J54" s="101" t="s">
        <v>71</v>
      </c>
      <c r="K54" s="101" t="s">
        <v>775</v>
      </c>
      <c r="L54" s="80" t="s">
        <v>1488</v>
      </c>
      <c r="M54" s="101" t="s">
        <v>1492</v>
      </c>
      <c r="N54" s="101">
        <v>1</v>
      </c>
      <c r="O54" s="101">
        <v>90</v>
      </c>
      <c r="P54" s="101">
        <v>90</v>
      </c>
      <c r="Q54" s="102">
        <v>3</v>
      </c>
      <c r="R54" s="102">
        <v>3</v>
      </c>
      <c r="S54" s="102"/>
      <c r="T54" s="102"/>
      <c r="U54" s="95"/>
      <c r="V54" s="95"/>
      <c r="W54" s="78"/>
    </row>
    <row r="55" spans="2:23" ht="12.75">
      <c r="B55" s="34" t="s">
        <v>40</v>
      </c>
      <c r="C55" s="34" t="s">
        <v>17</v>
      </c>
      <c r="D55" s="90" t="s">
        <v>773</v>
      </c>
      <c r="E55" s="80" t="s">
        <v>774</v>
      </c>
      <c r="F55" s="81">
        <v>3</v>
      </c>
      <c r="G55" s="81">
        <v>0</v>
      </c>
      <c r="H55" s="81">
        <v>4</v>
      </c>
      <c r="I55" s="101" t="s">
        <v>71</v>
      </c>
      <c r="J55" s="101" t="s">
        <v>71</v>
      </c>
      <c r="K55" s="101" t="s">
        <v>775</v>
      </c>
      <c r="L55" s="80" t="s">
        <v>1491</v>
      </c>
      <c r="M55" s="101" t="s">
        <v>1492</v>
      </c>
      <c r="N55" s="101">
        <v>1</v>
      </c>
      <c r="O55" s="101">
        <v>90</v>
      </c>
      <c r="P55" s="101">
        <v>90</v>
      </c>
      <c r="Q55" s="102">
        <v>3</v>
      </c>
      <c r="R55" s="102">
        <v>3</v>
      </c>
      <c r="S55" s="102"/>
      <c r="T55" s="102"/>
      <c r="U55" s="95"/>
      <c r="V55" s="95"/>
      <c r="W55" s="78"/>
    </row>
    <row r="56" spans="2:23" ht="12.75">
      <c r="B56" s="34" t="s">
        <v>40</v>
      </c>
      <c r="C56" s="34" t="s">
        <v>17</v>
      </c>
      <c r="D56" s="90" t="s">
        <v>773</v>
      </c>
      <c r="E56" s="80" t="s">
        <v>774</v>
      </c>
      <c r="F56" s="81">
        <v>3</v>
      </c>
      <c r="G56" s="81">
        <v>0</v>
      </c>
      <c r="H56" s="81">
        <v>4</v>
      </c>
      <c r="I56" s="101" t="s">
        <v>71</v>
      </c>
      <c r="J56" s="101" t="s">
        <v>71</v>
      </c>
      <c r="K56" s="101" t="s">
        <v>775</v>
      </c>
      <c r="L56" s="80" t="s">
        <v>1488</v>
      </c>
      <c r="M56" s="101" t="s">
        <v>1528</v>
      </c>
      <c r="N56" s="101">
        <v>1</v>
      </c>
      <c r="O56" s="101">
        <v>90</v>
      </c>
      <c r="P56" s="101">
        <v>90</v>
      </c>
      <c r="Q56" s="102">
        <v>3</v>
      </c>
      <c r="R56" s="102">
        <v>3</v>
      </c>
      <c r="S56" s="102"/>
      <c r="T56" s="102"/>
      <c r="U56" s="95"/>
      <c r="V56" s="95"/>
      <c r="W56" s="78"/>
    </row>
    <row r="57" spans="2:23" ht="12.75">
      <c r="B57" s="34" t="s">
        <v>40</v>
      </c>
      <c r="C57" s="34" t="s">
        <v>17</v>
      </c>
      <c r="D57" s="90" t="s">
        <v>773</v>
      </c>
      <c r="E57" s="80" t="s">
        <v>774</v>
      </c>
      <c r="F57" s="81">
        <v>3</v>
      </c>
      <c r="G57" s="81">
        <v>0</v>
      </c>
      <c r="H57" s="81">
        <v>4</v>
      </c>
      <c r="I57" s="101" t="s">
        <v>71</v>
      </c>
      <c r="J57" s="101" t="s">
        <v>71</v>
      </c>
      <c r="K57" s="101" t="s">
        <v>775</v>
      </c>
      <c r="L57" s="80" t="s">
        <v>1491</v>
      </c>
      <c r="M57" s="101" t="s">
        <v>1528</v>
      </c>
      <c r="N57" s="101">
        <v>1</v>
      </c>
      <c r="O57" s="101">
        <v>90</v>
      </c>
      <c r="P57" s="101">
        <v>90</v>
      </c>
      <c r="Q57" s="102">
        <v>3</v>
      </c>
      <c r="R57" s="102">
        <v>3</v>
      </c>
      <c r="S57" s="102"/>
      <c r="T57" s="102"/>
      <c r="U57" s="95"/>
      <c r="V57" s="95"/>
      <c r="W57" s="78"/>
    </row>
    <row r="58" spans="2:23" ht="12.75">
      <c r="B58" s="34" t="s">
        <v>40</v>
      </c>
      <c r="C58" s="34" t="s">
        <v>17</v>
      </c>
      <c r="D58" s="90" t="s">
        <v>583</v>
      </c>
      <c r="E58" s="80" t="s">
        <v>584</v>
      </c>
      <c r="F58" s="81">
        <v>3</v>
      </c>
      <c r="G58" s="81">
        <v>1</v>
      </c>
      <c r="H58" s="81">
        <v>4</v>
      </c>
      <c r="I58" s="101" t="s">
        <v>71</v>
      </c>
      <c r="J58" s="101" t="s">
        <v>71</v>
      </c>
      <c r="K58" s="101" t="s">
        <v>76</v>
      </c>
      <c r="L58" s="80" t="s">
        <v>1488</v>
      </c>
      <c r="M58" s="101" t="s">
        <v>1492</v>
      </c>
      <c r="N58" s="101">
        <v>1</v>
      </c>
      <c r="O58" s="101">
        <v>90</v>
      </c>
      <c r="P58" s="101">
        <v>90</v>
      </c>
      <c r="Q58" s="102">
        <v>12</v>
      </c>
      <c r="R58" s="102">
        <v>6</v>
      </c>
      <c r="S58" s="102" t="s">
        <v>1583</v>
      </c>
      <c r="T58" s="102"/>
      <c r="U58" s="95"/>
      <c r="V58" s="95"/>
      <c r="W58" s="78"/>
    </row>
    <row r="59" spans="2:23" ht="12.75">
      <c r="B59" s="34" t="s">
        <v>40</v>
      </c>
      <c r="C59" s="34" t="s">
        <v>17</v>
      </c>
      <c r="D59" s="90" t="s">
        <v>583</v>
      </c>
      <c r="E59" s="80" t="s">
        <v>584</v>
      </c>
      <c r="F59" s="81">
        <v>3</v>
      </c>
      <c r="G59" s="81">
        <v>1</v>
      </c>
      <c r="H59" s="81">
        <v>4</v>
      </c>
      <c r="I59" s="101" t="s">
        <v>71</v>
      </c>
      <c r="J59" s="101" t="s">
        <v>71</v>
      </c>
      <c r="K59" s="101" t="s">
        <v>76</v>
      </c>
      <c r="L59" s="80" t="s">
        <v>1491</v>
      </c>
      <c r="M59" s="101" t="s">
        <v>1492</v>
      </c>
      <c r="N59" s="101">
        <v>1</v>
      </c>
      <c r="O59" s="101">
        <v>90</v>
      </c>
      <c r="P59" s="101">
        <v>90</v>
      </c>
      <c r="Q59" s="102">
        <v>12</v>
      </c>
      <c r="R59" s="102">
        <v>6</v>
      </c>
      <c r="S59" s="102" t="s">
        <v>1583</v>
      </c>
      <c r="T59" s="102"/>
      <c r="U59" s="95"/>
      <c r="V59" s="95"/>
      <c r="W59" s="78"/>
    </row>
    <row r="60" spans="2:23" ht="12.75">
      <c r="B60" s="34" t="s">
        <v>40</v>
      </c>
      <c r="C60" s="34" t="s">
        <v>17</v>
      </c>
      <c r="D60" s="90" t="s">
        <v>583</v>
      </c>
      <c r="E60" s="80" t="s">
        <v>584</v>
      </c>
      <c r="F60" s="81">
        <v>3</v>
      </c>
      <c r="G60" s="81">
        <v>1</v>
      </c>
      <c r="H60" s="81">
        <v>4</v>
      </c>
      <c r="I60" s="101" t="s">
        <v>71</v>
      </c>
      <c r="J60" s="101" t="s">
        <v>71</v>
      </c>
      <c r="K60" s="101" t="s">
        <v>76</v>
      </c>
      <c r="L60" s="80" t="s">
        <v>1488</v>
      </c>
      <c r="M60" s="101" t="s">
        <v>1528</v>
      </c>
      <c r="N60" s="101">
        <v>1</v>
      </c>
      <c r="O60" s="101">
        <v>90</v>
      </c>
      <c r="P60" s="101">
        <v>90</v>
      </c>
      <c r="Q60" s="102">
        <v>12</v>
      </c>
      <c r="R60" s="102">
        <v>6</v>
      </c>
      <c r="S60" s="102" t="s">
        <v>1583</v>
      </c>
      <c r="T60" s="102"/>
      <c r="U60" s="95"/>
      <c r="V60" s="95"/>
      <c r="W60" s="78"/>
    </row>
    <row r="61" spans="2:23" ht="12.75">
      <c r="B61" s="34" t="s">
        <v>40</v>
      </c>
      <c r="C61" s="34" t="s">
        <v>17</v>
      </c>
      <c r="D61" s="90" t="s">
        <v>583</v>
      </c>
      <c r="E61" s="80" t="s">
        <v>584</v>
      </c>
      <c r="F61" s="81">
        <v>3</v>
      </c>
      <c r="G61" s="81">
        <v>1</v>
      </c>
      <c r="H61" s="81">
        <v>4</v>
      </c>
      <c r="I61" s="101" t="s">
        <v>71</v>
      </c>
      <c r="J61" s="101" t="s">
        <v>71</v>
      </c>
      <c r="K61" s="101" t="s">
        <v>76</v>
      </c>
      <c r="L61" s="80" t="s">
        <v>1491</v>
      </c>
      <c r="M61" s="101" t="s">
        <v>1528</v>
      </c>
      <c r="N61" s="101">
        <v>1</v>
      </c>
      <c r="O61" s="101">
        <v>90</v>
      </c>
      <c r="P61" s="101">
        <v>90</v>
      </c>
      <c r="Q61" s="102">
        <v>12</v>
      </c>
      <c r="R61" s="102">
        <v>6</v>
      </c>
      <c r="S61" s="102" t="s">
        <v>1583</v>
      </c>
      <c r="T61" s="102"/>
      <c r="U61" s="95"/>
      <c r="V61" s="95"/>
      <c r="W61" s="78"/>
    </row>
    <row r="62" spans="2:23" ht="12.75">
      <c r="B62" s="34" t="s">
        <v>40</v>
      </c>
      <c r="C62" s="34" t="s">
        <v>17</v>
      </c>
      <c r="D62" s="90" t="s">
        <v>430</v>
      </c>
      <c r="E62" s="80" t="s">
        <v>390</v>
      </c>
      <c r="F62" s="81">
        <v>2</v>
      </c>
      <c r="G62" s="81">
        <v>0</v>
      </c>
      <c r="H62" s="81">
        <v>4</v>
      </c>
      <c r="I62" s="101" t="s">
        <v>71</v>
      </c>
      <c r="J62" s="101" t="s">
        <v>71</v>
      </c>
      <c r="K62" s="101" t="s">
        <v>76</v>
      </c>
      <c r="L62" s="80" t="s">
        <v>1488</v>
      </c>
      <c r="M62" s="101" t="s">
        <v>1492</v>
      </c>
      <c r="N62" s="101">
        <v>2</v>
      </c>
      <c r="O62" s="101">
        <v>90</v>
      </c>
      <c r="P62" s="101">
        <v>180</v>
      </c>
      <c r="Q62" s="102">
        <v>4</v>
      </c>
      <c r="R62" s="102">
        <v>4</v>
      </c>
      <c r="S62" s="102"/>
      <c r="T62" s="102"/>
      <c r="U62" s="95"/>
      <c r="V62" s="95"/>
      <c r="W62" s="78"/>
    </row>
    <row r="63" spans="2:23" ht="12.75">
      <c r="B63" s="34" t="s">
        <v>40</v>
      </c>
      <c r="C63" s="34" t="s">
        <v>17</v>
      </c>
      <c r="D63" s="90" t="s">
        <v>430</v>
      </c>
      <c r="E63" s="80" t="s">
        <v>390</v>
      </c>
      <c r="F63" s="81">
        <v>2</v>
      </c>
      <c r="G63" s="81">
        <v>0</v>
      </c>
      <c r="H63" s="81">
        <v>4</v>
      </c>
      <c r="I63" s="101" t="s">
        <v>71</v>
      </c>
      <c r="J63" s="101" t="s">
        <v>71</v>
      </c>
      <c r="K63" s="101" t="s">
        <v>76</v>
      </c>
      <c r="L63" s="80" t="s">
        <v>1491</v>
      </c>
      <c r="M63" s="101" t="s">
        <v>1492</v>
      </c>
      <c r="N63" s="101">
        <v>2</v>
      </c>
      <c r="O63" s="101">
        <v>90</v>
      </c>
      <c r="P63" s="101">
        <v>180</v>
      </c>
      <c r="Q63" s="102">
        <v>4</v>
      </c>
      <c r="R63" s="102">
        <v>4</v>
      </c>
      <c r="S63" s="102"/>
      <c r="T63" s="102"/>
      <c r="U63" s="95"/>
      <c r="V63" s="95"/>
      <c r="W63" s="78"/>
    </row>
    <row r="64" spans="2:23" ht="12.75">
      <c r="B64" s="34" t="s">
        <v>40</v>
      </c>
      <c r="C64" s="34" t="s">
        <v>17</v>
      </c>
      <c r="D64" s="90" t="s">
        <v>578</v>
      </c>
      <c r="E64" s="80" t="s">
        <v>263</v>
      </c>
      <c r="F64" s="81">
        <v>3</v>
      </c>
      <c r="G64" s="81">
        <v>2</v>
      </c>
      <c r="H64" s="81">
        <v>6</v>
      </c>
      <c r="I64" s="101" t="s">
        <v>71</v>
      </c>
      <c r="J64" s="101" t="s">
        <v>71</v>
      </c>
      <c r="K64" s="101" t="s">
        <v>76</v>
      </c>
      <c r="L64" s="80" t="s">
        <v>1488</v>
      </c>
      <c r="M64" s="101" t="s">
        <v>1492</v>
      </c>
      <c r="N64" s="101">
        <v>4</v>
      </c>
      <c r="O64" s="101">
        <v>90</v>
      </c>
      <c r="P64" s="101">
        <v>360</v>
      </c>
      <c r="Q64" s="102">
        <v>60</v>
      </c>
      <c r="R64" s="102">
        <v>36</v>
      </c>
      <c r="S64" s="102" t="s">
        <v>1583</v>
      </c>
      <c r="T64" s="102"/>
      <c r="U64" s="95"/>
      <c r="V64" s="95"/>
      <c r="W64" s="78"/>
    </row>
    <row r="65" spans="2:23" ht="12.75">
      <c r="B65" s="34" t="s">
        <v>40</v>
      </c>
      <c r="C65" s="34" t="s">
        <v>17</v>
      </c>
      <c r="D65" s="90" t="s">
        <v>578</v>
      </c>
      <c r="E65" s="80" t="s">
        <v>263</v>
      </c>
      <c r="F65" s="81">
        <v>3</v>
      </c>
      <c r="G65" s="81">
        <v>2</v>
      </c>
      <c r="H65" s="81">
        <v>6</v>
      </c>
      <c r="I65" s="101" t="s">
        <v>71</v>
      </c>
      <c r="J65" s="101" t="s">
        <v>71</v>
      </c>
      <c r="K65" s="101" t="s">
        <v>76</v>
      </c>
      <c r="L65" s="80" t="s">
        <v>1491</v>
      </c>
      <c r="M65" s="101" t="s">
        <v>1492</v>
      </c>
      <c r="N65" s="101">
        <v>4</v>
      </c>
      <c r="O65" s="101">
        <v>90</v>
      </c>
      <c r="P65" s="101">
        <v>360</v>
      </c>
      <c r="Q65" s="102">
        <v>60</v>
      </c>
      <c r="R65" s="102">
        <v>36</v>
      </c>
      <c r="S65" s="102" t="s">
        <v>1583</v>
      </c>
      <c r="T65" s="102"/>
      <c r="U65" s="95"/>
      <c r="V65" s="95"/>
      <c r="W65" s="78"/>
    </row>
    <row r="66" spans="2:23" ht="12.75">
      <c r="B66" s="34" t="s">
        <v>40</v>
      </c>
      <c r="C66" s="34" t="s">
        <v>17</v>
      </c>
      <c r="D66" s="90" t="s">
        <v>578</v>
      </c>
      <c r="E66" s="80" t="s">
        <v>263</v>
      </c>
      <c r="F66" s="81">
        <v>3</v>
      </c>
      <c r="G66" s="81">
        <v>2</v>
      </c>
      <c r="H66" s="81">
        <v>6</v>
      </c>
      <c r="I66" s="101" t="s">
        <v>71</v>
      </c>
      <c r="J66" s="101" t="s">
        <v>71</v>
      </c>
      <c r="K66" s="101" t="s">
        <v>76</v>
      </c>
      <c r="L66" s="80" t="s">
        <v>1488</v>
      </c>
      <c r="M66" s="101" t="s">
        <v>1528</v>
      </c>
      <c r="N66" s="101">
        <v>2</v>
      </c>
      <c r="O66" s="101">
        <v>90</v>
      </c>
      <c r="P66" s="101">
        <v>180</v>
      </c>
      <c r="Q66" s="102">
        <v>30</v>
      </c>
      <c r="R66" s="102">
        <v>18</v>
      </c>
      <c r="S66" s="102" t="s">
        <v>1583</v>
      </c>
      <c r="T66" s="102"/>
      <c r="U66" s="95"/>
      <c r="V66" s="95"/>
      <c r="W66" s="78"/>
    </row>
    <row r="67" spans="2:23" ht="12.75">
      <c r="B67" s="34" t="s">
        <v>40</v>
      </c>
      <c r="C67" s="34" t="s">
        <v>17</v>
      </c>
      <c r="D67" s="90" t="s">
        <v>578</v>
      </c>
      <c r="E67" s="80" t="s">
        <v>263</v>
      </c>
      <c r="F67" s="81">
        <v>3</v>
      </c>
      <c r="G67" s="81">
        <v>2</v>
      </c>
      <c r="H67" s="81">
        <v>6</v>
      </c>
      <c r="I67" s="101" t="s">
        <v>71</v>
      </c>
      <c r="J67" s="101" t="s">
        <v>71</v>
      </c>
      <c r="K67" s="101" t="s">
        <v>76</v>
      </c>
      <c r="L67" s="80" t="s">
        <v>1491</v>
      </c>
      <c r="M67" s="101" t="s">
        <v>1528</v>
      </c>
      <c r="N67" s="101">
        <v>2</v>
      </c>
      <c r="O67" s="101">
        <v>90</v>
      </c>
      <c r="P67" s="101">
        <v>180</v>
      </c>
      <c r="Q67" s="102">
        <v>30</v>
      </c>
      <c r="R67" s="102">
        <v>18</v>
      </c>
      <c r="S67" s="102" t="s">
        <v>1583</v>
      </c>
      <c r="T67" s="102"/>
      <c r="U67" s="95"/>
      <c r="V67" s="95"/>
      <c r="W67" s="78"/>
    </row>
    <row r="68" spans="2:23" ht="12.75">
      <c r="B68" s="34" t="s">
        <v>40</v>
      </c>
      <c r="C68" s="34" t="s">
        <v>17</v>
      </c>
      <c r="D68" s="90" t="s">
        <v>979</v>
      </c>
      <c r="E68" s="80" t="s">
        <v>192</v>
      </c>
      <c r="F68" s="81">
        <v>3</v>
      </c>
      <c r="G68" s="81">
        <v>0</v>
      </c>
      <c r="H68" s="81">
        <v>4</v>
      </c>
      <c r="I68" s="101" t="s">
        <v>71</v>
      </c>
      <c r="J68" s="101" t="s">
        <v>71</v>
      </c>
      <c r="K68" s="101" t="s">
        <v>76</v>
      </c>
      <c r="L68" s="80" t="s">
        <v>1488</v>
      </c>
      <c r="M68" s="101" t="s">
        <v>1492</v>
      </c>
      <c r="N68" s="101">
        <v>6</v>
      </c>
      <c r="O68" s="101">
        <v>95</v>
      </c>
      <c r="P68" s="101">
        <v>570</v>
      </c>
      <c r="Q68" s="102">
        <v>18</v>
      </c>
      <c r="R68" s="102">
        <v>18</v>
      </c>
      <c r="S68" s="102"/>
      <c r="T68" s="102"/>
      <c r="U68" s="95"/>
      <c r="V68" s="95"/>
      <c r="W68" s="78"/>
    </row>
    <row r="69" spans="2:23" ht="12.75">
      <c r="B69" s="34" t="s">
        <v>40</v>
      </c>
      <c r="C69" s="34" t="s">
        <v>17</v>
      </c>
      <c r="D69" s="90" t="s">
        <v>979</v>
      </c>
      <c r="E69" s="80" t="s">
        <v>192</v>
      </c>
      <c r="F69" s="81">
        <v>3</v>
      </c>
      <c r="G69" s="81">
        <v>0</v>
      </c>
      <c r="H69" s="81">
        <v>4</v>
      </c>
      <c r="I69" s="101" t="s">
        <v>71</v>
      </c>
      <c r="J69" s="101" t="s">
        <v>71</v>
      </c>
      <c r="K69" s="101" t="s">
        <v>76</v>
      </c>
      <c r="L69" s="80" t="s">
        <v>1491</v>
      </c>
      <c r="M69" s="101" t="s">
        <v>1492</v>
      </c>
      <c r="N69" s="101">
        <v>6</v>
      </c>
      <c r="O69" s="101">
        <v>95</v>
      </c>
      <c r="P69" s="101">
        <v>570</v>
      </c>
      <c r="Q69" s="102">
        <v>18</v>
      </c>
      <c r="R69" s="102">
        <v>18</v>
      </c>
      <c r="S69" s="102"/>
      <c r="T69" s="102"/>
      <c r="U69" s="95"/>
      <c r="V69" s="95"/>
      <c r="W69" s="78"/>
    </row>
    <row r="70" spans="2:23" ht="12.75">
      <c r="B70" s="34" t="s">
        <v>40</v>
      </c>
      <c r="C70" s="34" t="s">
        <v>17</v>
      </c>
      <c r="D70" s="90" t="s">
        <v>979</v>
      </c>
      <c r="E70" s="80" t="s">
        <v>192</v>
      </c>
      <c r="F70" s="81">
        <v>3</v>
      </c>
      <c r="G70" s="81">
        <v>0</v>
      </c>
      <c r="H70" s="81">
        <v>4</v>
      </c>
      <c r="I70" s="101" t="s">
        <v>71</v>
      </c>
      <c r="J70" s="101" t="s">
        <v>71</v>
      </c>
      <c r="K70" s="101" t="s">
        <v>76</v>
      </c>
      <c r="L70" s="80" t="s">
        <v>1488</v>
      </c>
      <c r="M70" s="101" t="s">
        <v>1528</v>
      </c>
      <c r="N70" s="101">
        <v>2</v>
      </c>
      <c r="O70" s="101">
        <v>110</v>
      </c>
      <c r="P70" s="101">
        <v>220</v>
      </c>
      <c r="Q70" s="102">
        <v>6</v>
      </c>
      <c r="R70" s="102">
        <v>6</v>
      </c>
      <c r="S70" s="102"/>
      <c r="T70" s="102"/>
      <c r="U70" s="95"/>
      <c r="V70" s="95"/>
      <c r="W70" s="78"/>
    </row>
    <row r="71" spans="2:23" ht="12.75">
      <c r="B71" s="34" t="s">
        <v>40</v>
      </c>
      <c r="C71" s="34" t="s">
        <v>17</v>
      </c>
      <c r="D71" s="90" t="s">
        <v>979</v>
      </c>
      <c r="E71" s="80" t="s">
        <v>192</v>
      </c>
      <c r="F71" s="81">
        <v>3</v>
      </c>
      <c r="G71" s="81">
        <v>0</v>
      </c>
      <c r="H71" s="81">
        <v>4</v>
      </c>
      <c r="I71" s="101" t="s">
        <v>71</v>
      </c>
      <c r="J71" s="101" t="s">
        <v>71</v>
      </c>
      <c r="K71" s="101" t="s">
        <v>76</v>
      </c>
      <c r="L71" s="80" t="s">
        <v>1491</v>
      </c>
      <c r="M71" s="101" t="s">
        <v>1528</v>
      </c>
      <c r="N71" s="101">
        <v>2</v>
      </c>
      <c r="O71" s="101">
        <v>110</v>
      </c>
      <c r="P71" s="101">
        <v>220</v>
      </c>
      <c r="Q71" s="102">
        <v>6</v>
      </c>
      <c r="R71" s="102">
        <v>6</v>
      </c>
      <c r="S71" s="102"/>
      <c r="T71" s="102"/>
      <c r="U71" s="95"/>
      <c r="V71" s="95"/>
      <c r="W71" s="78"/>
    </row>
    <row r="72" spans="2:23" ht="12.75">
      <c r="B72" s="34" t="s">
        <v>40</v>
      </c>
      <c r="C72" s="34" t="s">
        <v>17</v>
      </c>
      <c r="D72" s="90" t="s">
        <v>1361</v>
      </c>
      <c r="E72" s="80" t="s">
        <v>1362</v>
      </c>
      <c r="F72" s="81">
        <v>3</v>
      </c>
      <c r="G72" s="81">
        <v>2</v>
      </c>
      <c r="H72" s="81">
        <v>6</v>
      </c>
      <c r="I72" s="101" t="s">
        <v>71</v>
      </c>
      <c r="J72" s="101" t="s">
        <v>71</v>
      </c>
      <c r="K72" s="101" t="s">
        <v>76</v>
      </c>
      <c r="L72" s="80" t="s">
        <v>1488</v>
      </c>
      <c r="M72" s="101" t="s">
        <v>1492</v>
      </c>
      <c r="N72" s="101">
        <v>1</v>
      </c>
      <c r="O72" s="101">
        <v>90</v>
      </c>
      <c r="P72" s="101">
        <v>90</v>
      </c>
      <c r="Q72" s="102">
        <v>15</v>
      </c>
      <c r="R72" s="102">
        <v>9</v>
      </c>
      <c r="S72" s="102" t="s">
        <v>1695</v>
      </c>
      <c r="T72" s="102"/>
      <c r="U72" s="95"/>
      <c r="V72" s="95"/>
      <c r="W72" s="78"/>
    </row>
    <row r="73" spans="2:23" ht="12.75">
      <c r="B73" s="34" t="s">
        <v>40</v>
      </c>
      <c r="C73" s="34" t="s">
        <v>17</v>
      </c>
      <c r="D73" s="90" t="s">
        <v>1361</v>
      </c>
      <c r="E73" s="80" t="s">
        <v>1362</v>
      </c>
      <c r="F73" s="81">
        <v>3</v>
      </c>
      <c r="G73" s="81">
        <v>2</v>
      </c>
      <c r="H73" s="81">
        <v>6</v>
      </c>
      <c r="I73" s="101" t="s">
        <v>71</v>
      </c>
      <c r="J73" s="101" t="s">
        <v>71</v>
      </c>
      <c r="K73" s="101" t="s">
        <v>76</v>
      </c>
      <c r="L73" s="80" t="s">
        <v>1491</v>
      </c>
      <c r="M73" s="101" t="s">
        <v>1492</v>
      </c>
      <c r="N73" s="101">
        <v>1</v>
      </c>
      <c r="O73" s="101">
        <v>90</v>
      </c>
      <c r="P73" s="101">
        <v>90</v>
      </c>
      <c r="Q73" s="102">
        <v>15</v>
      </c>
      <c r="R73" s="102">
        <v>9</v>
      </c>
      <c r="S73" s="102" t="s">
        <v>1695</v>
      </c>
      <c r="T73" s="102"/>
      <c r="U73" s="95"/>
      <c r="V73" s="95"/>
      <c r="W73" s="78"/>
    </row>
    <row r="74" spans="2:23" ht="12.75">
      <c r="B74" s="34" t="s">
        <v>40</v>
      </c>
      <c r="C74" s="34" t="s">
        <v>17</v>
      </c>
      <c r="D74" s="90" t="s">
        <v>1361</v>
      </c>
      <c r="E74" s="80" t="s">
        <v>1362</v>
      </c>
      <c r="F74" s="81">
        <v>3</v>
      </c>
      <c r="G74" s="81">
        <v>2</v>
      </c>
      <c r="H74" s="81">
        <v>6</v>
      </c>
      <c r="I74" s="101" t="s">
        <v>71</v>
      </c>
      <c r="J74" s="101" t="s">
        <v>71</v>
      </c>
      <c r="K74" s="101" t="s">
        <v>76</v>
      </c>
      <c r="L74" s="80" t="s">
        <v>1488</v>
      </c>
      <c r="M74" s="101" t="s">
        <v>1528</v>
      </c>
      <c r="N74" s="101">
        <v>1</v>
      </c>
      <c r="O74" s="101">
        <v>90</v>
      </c>
      <c r="P74" s="101">
        <v>90</v>
      </c>
      <c r="Q74" s="102">
        <v>15</v>
      </c>
      <c r="R74" s="102">
        <v>9</v>
      </c>
      <c r="S74" s="102" t="s">
        <v>1695</v>
      </c>
      <c r="T74" s="102"/>
      <c r="U74" s="95"/>
      <c r="V74" s="95"/>
      <c r="W74" s="78"/>
    </row>
    <row r="75" spans="2:23" ht="12.75">
      <c r="B75" s="34" t="s">
        <v>40</v>
      </c>
      <c r="C75" s="34" t="s">
        <v>17</v>
      </c>
      <c r="D75" s="90" t="s">
        <v>1361</v>
      </c>
      <c r="E75" s="80" t="s">
        <v>1362</v>
      </c>
      <c r="F75" s="81">
        <v>3</v>
      </c>
      <c r="G75" s="81">
        <v>2</v>
      </c>
      <c r="H75" s="81">
        <v>6</v>
      </c>
      <c r="I75" s="101" t="s">
        <v>71</v>
      </c>
      <c r="J75" s="101" t="s">
        <v>71</v>
      </c>
      <c r="K75" s="101" t="s">
        <v>76</v>
      </c>
      <c r="L75" s="80" t="s">
        <v>1491</v>
      </c>
      <c r="M75" s="101" t="s">
        <v>1528</v>
      </c>
      <c r="N75" s="101">
        <v>1</v>
      </c>
      <c r="O75" s="101">
        <v>90</v>
      </c>
      <c r="P75" s="101">
        <v>90</v>
      </c>
      <c r="Q75" s="102">
        <v>15</v>
      </c>
      <c r="R75" s="102">
        <v>9</v>
      </c>
      <c r="S75" s="102" t="s">
        <v>1695</v>
      </c>
      <c r="T75" s="102"/>
      <c r="U75" s="95"/>
      <c r="V75" s="95"/>
      <c r="W75" s="78"/>
    </row>
    <row r="76" spans="2:23" ht="12.75">
      <c r="B76" s="34" t="s">
        <v>40</v>
      </c>
      <c r="C76" s="34" t="s">
        <v>17</v>
      </c>
      <c r="D76" s="90" t="s">
        <v>1379</v>
      </c>
      <c r="E76" s="80" t="s">
        <v>845</v>
      </c>
      <c r="F76" s="81">
        <v>4</v>
      </c>
      <c r="G76" s="81">
        <v>0</v>
      </c>
      <c r="H76" s="81">
        <v>6</v>
      </c>
      <c r="I76" s="101" t="s">
        <v>71</v>
      </c>
      <c r="J76" s="101" t="s">
        <v>71</v>
      </c>
      <c r="K76" s="101" t="s">
        <v>171</v>
      </c>
      <c r="L76" s="80" t="s">
        <v>1488</v>
      </c>
      <c r="M76" s="101" t="s">
        <v>1492</v>
      </c>
      <c r="N76" s="101">
        <v>1</v>
      </c>
      <c r="O76" s="101">
        <v>90</v>
      </c>
      <c r="P76" s="101">
        <v>90</v>
      </c>
      <c r="Q76" s="102">
        <v>4</v>
      </c>
      <c r="R76" s="102">
        <v>4</v>
      </c>
      <c r="S76" s="102"/>
      <c r="T76" s="102"/>
      <c r="U76" s="95"/>
      <c r="V76" s="95"/>
      <c r="W76" s="78"/>
    </row>
    <row r="77" spans="2:23" ht="12.75">
      <c r="B77" s="34" t="s">
        <v>40</v>
      </c>
      <c r="C77" s="34" t="s">
        <v>17</v>
      </c>
      <c r="D77" s="90" t="s">
        <v>1379</v>
      </c>
      <c r="E77" s="80" t="s">
        <v>845</v>
      </c>
      <c r="F77" s="81">
        <v>4</v>
      </c>
      <c r="G77" s="81">
        <v>0</v>
      </c>
      <c r="H77" s="81">
        <v>6</v>
      </c>
      <c r="I77" s="101" t="s">
        <v>71</v>
      </c>
      <c r="J77" s="101" t="s">
        <v>71</v>
      </c>
      <c r="K77" s="101" t="s">
        <v>171</v>
      </c>
      <c r="L77" s="80" t="s">
        <v>1491</v>
      </c>
      <c r="M77" s="101" t="s">
        <v>1492</v>
      </c>
      <c r="N77" s="101">
        <v>1</v>
      </c>
      <c r="O77" s="101">
        <v>90</v>
      </c>
      <c r="P77" s="101">
        <v>90</v>
      </c>
      <c r="Q77" s="102">
        <v>4</v>
      </c>
      <c r="R77" s="102">
        <v>4</v>
      </c>
      <c r="S77" s="102"/>
      <c r="T77" s="102"/>
      <c r="U77" s="95"/>
      <c r="V77" s="95"/>
      <c r="W77" s="78"/>
    </row>
    <row r="78" spans="2:23" ht="12.75">
      <c r="B78" s="34" t="s">
        <v>40</v>
      </c>
      <c r="C78" s="34" t="s">
        <v>17</v>
      </c>
      <c r="D78" s="90" t="s">
        <v>1379</v>
      </c>
      <c r="E78" s="80" t="s">
        <v>845</v>
      </c>
      <c r="F78" s="81">
        <v>4</v>
      </c>
      <c r="G78" s="81">
        <v>0</v>
      </c>
      <c r="H78" s="81">
        <v>6</v>
      </c>
      <c r="I78" s="101" t="s">
        <v>71</v>
      </c>
      <c r="J78" s="101" t="s">
        <v>71</v>
      </c>
      <c r="K78" s="101" t="s">
        <v>171</v>
      </c>
      <c r="L78" s="80" t="s">
        <v>1488</v>
      </c>
      <c r="M78" s="101" t="s">
        <v>1528</v>
      </c>
      <c r="N78" s="101">
        <v>1</v>
      </c>
      <c r="O78" s="101">
        <v>90</v>
      </c>
      <c r="P78" s="101">
        <v>90</v>
      </c>
      <c r="Q78" s="102">
        <v>4</v>
      </c>
      <c r="R78" s="102">
        <v>4</v>
      </c>
      <c r="S78" s="102"/>
      <c r="T78" s="102"/>
      <c r="U78" s="95"/>
      <c r="V78" s="95"/>
      <c r="W78" s="78"/>
    </row>
    <row r="79" spans="2:23" ht="12.75">
      <c r="B79" s="34" t="s">
        <v>40</v>
      </c>
      <c r="C79" s="34" t="s">
        <v>17</v>
      </c>
      <c r="D79" s="90" t="s">
        <v>1379</v>
      </c>
      <c r="E79" s="80" t="s">
        <v>845</v>
      </c>
      <c r="F79" s="81">
        <v>4</v>
      </c>
      <c r="G79" s="81">
        <v>0</v>
      </c>
      <c r="H79" s="81">
        <v>6</v>
      </c>
      <c r="I79" s="101" t="s">
        <v>71</v>
      </c>
      <c r="J79" s="101" t="s">
        <v>71</v>
      </c>
      <c r="K79" s="101" t="s">
        <v>171</v>
      </c>
      <c r="L79" s="80" t="s">
        <v>1491</v>
      </c>
      <c r="M79" s="101" t="s">
        <v>1528</v>
      </c>
      <c r="N79" s="101">
        <v>1</v>
      </c>
      <c r="O79" s="101">
        <v>90</v>
      </c>
      <c r="P79" s="101">
        <v>90</v>
      </c>
      <c r="Q79" s="102">
        <v>4</v>
      </c>
      <c r="R79" s="102">
        <v>4</v>
      </c>
      <c r="S79" s="102"/>
      <c r="T79" s="102"/>
      <c r="U79" s="95"/>
      <c r="V79" s="95"/>
      <c r="W79" s="78"/>
    </row>
    <row r="80" spans="2:23" ht="12.75">
      <c r="B80" s="34" t="s">
        <v>40</v>
      </c>
      <c r="C80" s="34" t="s">
        <v>17</v>
      </c>
      <c r="D80" s="90" t="s">
        <v>667</v>
      </c>
      <c r="E80" s="80" t="s">
        <v>91</v>
      </c>
      <c r="F80" s="81">
        <v>3</v>
      </c>
      <c r="G80" s="81">
        <v>0</v>
      </c>
      <c r="H80" s="81">
        <v>6</v>
      </c>
      <c r="I80" s="101" t="s">
        <v>71</v>
      </c>
      <c r="J80" s="101" t="s">
        <v>71</v>
      </c>
      <c r="K80" s="101" t="s">
        <v>76</v>
      </c>
      <c r="L80" s="80" t="s">
        <v>1488</v>
      </c>
      <c r="M80" s="101" t="s">
        <v>1492</v>
      </c>
      <c r="N80" s="101">
        <v>6</v>
      </c>
      <c r="O80" s="101">
        <v>90</v>
      </c>
      <c r="P80" s="101">
        <v>540</v>
      </c>
      <c r="Q80" s="102">
        <v>18</v>
      </c>
      <c r="R80" s="102">
        <v>18</v>
      </c>
      <c r="S80" s="102"/>
      <c r="T80" s="102"/>
      <c r="U80" s="95"/>
      <c r="V80" s="95"/>
      <c r="W80" s="78"/>
    </row>
    <row r="81" spans="2:23" ht="12.75">
      <c r="B81" s="34" t="s">
        <v>40</v>
      </c>
      <c r="C81" s="34" t="s">
        <v>17</v>
      </c>
      <c r="D81" s="90" t="s">
        <v>667</v>
      </c>
      <c r="E81" s="80" t="s">
        <v>91</v>
      </c>
      <c r="F81" s="81">
        <v>3</v>
      </c>
      <c r="G81" s="81">
        <v>0</v>
      </c>
      <c r="H81" s="81">
        <v>6</v>
      </c>
      <c r="I81" s="101" t="s">
        <v>71</v>
      </c>
      <c r="J81" s="101" t="s">
        <v>71</v>
      </c>
      <c r="K81" s="101" t="s">
        <v>76</v>
      </c>
      <c r="L81" s="80" t="s">
        <v>1491</v>
      </c>
      <c r="M81" s="101" t="s">
        <v>1492</v>
      </c>
      <c r="N81" s="101">
        <v>6</v>
      </c>
      <c r="O81" s="101">
        <v>90</v>
      </c>
      <c r="P81" s="101">
        <v>540</v>
      </c>
      <c r="Q81" s="102">
        <v>18</v>
      </c>
      <c r="R81" s="102">
        <v>18</v>
      </c>
      <c r="S81" s="102"/>
      <c r="T81" s="102"/>
      <c r="U81" s="95"/>
      <c r="V81" s="95"/>
      <c r="W81" s="78"/>
    </row>
    <row r="82" spans="2:23" ht="12.75">
      <c r="B82" s="34" t="s">
        <v>40</v>
      </c>
      <c r="C82" s="34" t="s">
        <v>17</v>
      </c>
      <c r="D82" s="90" t="s">
        <v>667</v>
      </c>
      <c r="E82" s="80" t="s">
        <v>91</v>
      </c>
      <c r="F82" s="81">
        <v>3</v>
      </c>
      <c r="G82" s="81">
        <v>0</v>
      </c>
      <c r="H82" s="81">
        <v>6</v>
      </c>
      <c r="I82" s="101" t="s">
        <v>71</v>
      </c>
      <c r="J82" s="101" t="s">
        <v>71</v>
      </c>
      <c r="K82" s="101" t="s">
        <v>76</v>
      </c>
      <c r="L82" s="80" t="s">
        <v>1488</v>
      </c>
      <c r="M82" s="101" t="s">
        <v>1528</v>
      </c>
      <c r="N82" s="101">
        <v>2</v>
      </c>
      <c r="O82" s="101">
        <v>90</v>
      </c>
      <c r="P82" s="101">
        <v>180</v>
      </c>
      <c r="Q82" s="102">
        <v>6</v>
      </c>
      <c r="R82" s="102">
        <v>6</v>
      </c>
      <c r="S82" s="102"/>
      <c r="T82" s="102"/>
      <c r="U82" s="95"/>
      <c r="V82" s="95"/>
      <c r="W82" s="78"/>
    </row>
    <row r="83" spans="2:23" ht="12.75">
      <c r="B83" s="34" t="s">
        <v>40</v>
      </c>
      <c r="C83" s="34" t="s">
        <v>17</v>
      </c>
      <c r="D83" s="90" t="s">
        <v>667</v>
      </c>
      <c r="E83" s="80" t="s">
        <v>91</v>
      </c>
      <c r="F83" s="81">
        <v>3</v>
      </c>
      <c r="G83" s="81">
        <v>0</v>
      </c>
      <c r="H83" s="81">
        <v>6</v>
      </c>
      <c r="I83" s="101" t="s">
        <v>71</v>
      </c>
      <c r="J83" s="101" t="s">
        <v>71</v>
      </c>
      <c r="K83" s="101" t="s">
        <v>76</v>
      </c>
      <c r="L83" s="80" t="s">
        <v>1491</v>
      </c>
      <c r="M83" s="101" t="s">
        <v>1528</v>
      </c>
      <c r="N83" s="101">
        <v>2</v>
      </c>
      <c r="O83" s="101">
        <v>90</v>
      </c>
      <c r="P83" s="101">
        <v>180</v>
      </c>
      <c r="Q83" s="102">
        <v>6</v>
      </c>
      <c r="R83" s="102">
        <v>6</v>
      </c>
      <c r="S83" s="102"/>
      <c r="T83" s="102"/>
      <c r="U83" s="95"/>
      <c r="V83" s="95"/>
      <c r="W83" s="78"/>
    </row>
    <row r="84" spans="2:23" ht="12.75">
      <c r="B84" s="34" t="s">
        <v>40</v>
      </c>
      <c r="C84" s="34" t="s">
        <v>17</v>
      </c>
      <c r="D84" s="90" t="s">
        <v>808</v>
      </c>
      <c r="E84" s="80" t="s">
        <v>414</v>
      </c>
      <c r="F84" s="81">
        <v>4</v>
      </c>
      <c r="G84" s="81">
        <v>0</v>
      </c>
      <c r="H84" s="81">
        <v>4</v>
      </c>
      <c r="I84" s="101" t="s">
        <v>71</v>
      </c>
      <c r="J84" s="101" t="s">
        <v>71</v>
      </c>
      <c r="K84" s="101" t="s">
        <v>809</v>
      </c>
      <c r="L84" s="80" t="s">
        <v>1488</v>
      </c>
      <c r="M84" s="101" t="s">
        <v>1492</v>
      </c>
      <c r="N84" s="101">
        <v>2</v>
      </c>
      <c r="O84" s="101">
        <v>90</v>
      </c>
      <c r="P84" s="101">
        <v>180</v>
      </c>
      <c r="Q84" s="102">
        <v>8</v>
      </c>
      <c r="R84" s="102">
        <v>8</v>
      </c>
      <c r="S84" s="102"/>
      <c r="T84" s="102"/>
      <c r="U84" s="95"/>
      <c r="V84" s="95"/>
      <c r="W84" s="78"/>
    </row>
    <row r="85" spans="2:23" ht="12.75">
      <c r="B85" s="34" t="s">
        <v>40</v>
      </c>
      <c r="C85" s="34" t="s">
        <v>17</v>
      </c>
      <c r="D85" s="90" t="s">
        <v>808</v>
      </c>
      <c r="E85" s="80" t="s">
        <v>414</v>
      </c>
      <c r="F85" s="81">
        <v>4</v>
      </c>
      <c r="G85" s="81">
        <v>0</v>
      </c>
      <c r="H85" s="81">
        <v>4</v>
      </c>
      <c r="I85" s="101" t="s">
        <v>71</v>
      </c>
      <c r="J85" s="101" t="s">
        <v>71</v>
      </c>
      <c r="K85" s="101" t="s">
        <v>809</v>
      </c>
      <c r="L85" s="80" t="s">
        <v>1491</v>
      </c>
      <c r="M85" s="101" t="s">
        <v>1492</v>
      </c>
      <c r="N85" s="101">
        <v>2</v>
      </c>
      <c r="O85" s="101">
        <v>90</v>
      </c>
      <c r="P85" s="101">
        <v>180</v>
      </c>
      <c r="Q85" s="102">
        <v>8</v>
      </c>
      <c r="R85" s="102">
        <v>8</v>
      </c>
      <c r="S85" s="102"/>
      <c r="T85" s="102"/>
      <c r="U85" s="95"/>
      <c r="V85" s="95"/>
      <c r="W85" s="78"/>
    </row>
    <row r="86" spans="2:23" ht="12.75">
      <c r="B86" s="34" t="s">
        <v>40</v>
      </c>
      <c r="C86" s="34" t="s">
        <v>17</v>
      </c>
      <c r="D86" s="90" t="s">
        <v>808</v>
      </c>
      <c r="E86" s="80" t="s">
        <v>414</v>
      </c>
      <c r="F86" s="81">
        <v>4</v>
      </c>
      <c r="G86" s="81">
        <v>0</v>
      </c>
      <c r="H86" s="81">
        <v>4</v>
      </c>
      <c r="I86" s="101" t="s">
        <v>71</v>
      </c>
      <c r="J86" s="101" t="s">
        <v>71</v>
      </c>
      <c r="K86" s="101" t="s">
        <v>809</v>
      </c>
      <c r="L86" s="80" t="s">
        <v>1488</v>
      </c>
      <c r="M86" s="101" t="s">
        <v>1528</v>
      </c>
      <c r="N86" s="101">
        <v>2</v>
      </c>
      <c r="O86" s="101">
        <v>90</v>
      </c>
      <c r="P86" s="101">
        <v>180</v>
      </c>
      <c r="Q86" s="102">
        <v>8</v>
      </c>
      <c r="R86" s="102">
        <v>8</v>
      </c>
      <c r="S86" s="102"/>
      <c r="T86" s="102"/>
      <c r="U86" s="95"/>
      <c r="V86" s="95"/>
      <c r="W86" s="78"/>
    </row>
    <row r="87" spans="2:23" ht="12.75">
      <c r="B87" s="34" t="s">
        <v>40</v>
      </c>
      <c r="C87" s="34" t="s">
        <v>17</v>
      </c>
      <c r="D87" s="90" t="s">
        <v>808</v>
      </c>
      <c r="E87" s="80" t="s">
        <v>414</v>
      </c>
      <c r="F87" s="81">
        <v>4</v>
      </c>
      <c r="G87" s="81">
        <v>0</v>
      </c>
      <c r="H87" s="81">
        <v>4</v>
      </c>
      <c r="I87" s="101" t="s">
        <v>71</v>
      </c>
      <c r="J87" s="101" t="s">
        <v>71</v>
      </c>
      <c r="K87" s="101" t="s">
        <v>809</v>
      </c>
      <c r="L87" s="80" t="s">
        <v>1491</v>
      </c>
      <c r="M87" s="101" t="s">
        <v>1528</v>
      </c>
      <c r="N87" s="101">
        <v>2</v>
      </c>
      <c r="O87" s="101">
        <v>90</v>
      </c>
      <c r="P87" s="101">
        <v>180</v>
      </c>
      <c r="Q87" s="102">
        <v>8</v>
      </c>
      <c r="R87" s="102">
        <v>8</v>
      </c>
      <c r="S87" s="102"/>
      <c r="T87" s="102"/>
      <c r="U87" s="95"/>
      <c r="V87" s="95"/>
      <c r="W87" s="78"/>
    </row>
    <row r="88" spans="2:23" ht="12.75">
      <c r="B88" s="34" t="s">
        <v>40</v>
      </c>
      <c r="C88" s="34" t="s">
        <v>17</v>
      </c>
      <c r="D88" s="90" t="s">
        <v>1384</v>
      </c>
      <c r="E88" s="80" t="s">
        <v>308</v>
      </c>
      <c r="F88" s="81">
        <v>3</v>
      </c>
      <c r="G88" s="81">
        <v>0</v>
      </c>
      <c r="H88" s="81">
        <v>4</v>
      </c>
      <c r="I88" s="101" t="s">
        <v>71</v>
      </c>
      <c r="J88" s="101" t="s">
        <v>71</v>
      </c>
      <c r="K88" s="101" t="s">
        <v>1385</v>
      </c>
      <c r="L88" s="80" t="s">
        <v>1488</v>
      </c>
      <c r="M88" s="101" t="s">
        <v>1492</v>
      </c>
      <c r="N88" s="101">
        <v>1</v>
      </c>
      <c r="O88" s="101">
        <v>90</v>
      </c>
      <c r="P88" s="101">
        <v>90</v>
      </c>
      <c r="Q88" s="102">
        <v>3</v>
      </c>
      <c r="R88" s="102">
        <v>3</v>
      </c>
      <c r="S88" s="102"/>
      <c r="T88" s="102"/>
      <c r="U88" s="95"/>
      <c r="V88" s="95"/>
      <c r="W88" s="78"/>
    </row>
    <row r="89" spans="2:23" ht="12.75">
      <c r="B89" s="34" t="s">
        <v>40</v>
      </c>
      <c r="C89" s="34" t="s">
        <v>17</v>
      </c>
      <c r="D89" s="90" t="s">
        <v>1384</v>
      </c>
      <c r="E89" s="80" t="s">
        <v>308</v>
      </c>
      <c r="F89" s="81">
        <v>3</v>
      </c>
      <c r="G89" s="81">
        <v>0</v>
      </c>
      <c r="H89" s="81">
        <v>4</v>
      </c>
      <c r="I89" s="101" t="s">
        <v>71</v>
      </c>
      <c r="J89" s="101" t="s">
        <v>71</v>
      </c>
      <c r="K89" s="101" t="s">
        <v>1385</v>
      </c>
      <c r="L89" s="80" t="s">
        <v>1491</v>
      </c>
      <c r="M89" s="101" t="s">
        <v>1492</v>
      </c>
      <c r="N89" s="101">
        <v>1</v>
      </c>
      <c r="O89" s="101">
        <v>90</v>
      </c>
      <c r="P89" s="101">
        <v>90</v>
      </c>
      <c r="Q89" s="102">
        <v>3</v>
      </c>
      <c r="R89" s="102">
        <v>3</v>
      </c>
      <c r="S89" s="102"/>
      <c r="T89" s="102"/>
      <c r="U89" s="95"/>
      <c r="V89" s="95"/>
      <c r="W89" s="78"/>
    </row>
    <row r="90" spans="2:23" ht="12.75">
      <c r="B90" s="34" t="s">
        <v>40</v>
      </c>
      <c r="C90" s="34" t="s">
        <v>17</v>
      </c>
      <c r="D90" s="90" t="s">
        <v>1384</v>
      </c>
      <c r="E90" s="80" t="s">
        <v>308</v>
      </c>
      <c r="F90" s="81">
        <v>3</v>
      </c>
      <c r="G90" s="81">
        <v>0</v>
      </c>
      <c r="H90" s="81">
        <v>4</v>
      </c>
      <c r="I90" s="101" t="s">
        <v>71</v>
      </c>
      <c r="J90" s="101" t="s">
        <v>71</v>
      </c>
      <c r="K90" s="101" t="s">
        <v>1385</v>
      </c>
      <c r="L90" s="80" t="s">
        <v>1488</v>
      </c>
      <c r="M90" s="101" t="s">
        <v>1528</v>
      </c>
      <c r="N90" s="101">
        <v>1</v>
      </c>
      <c r="O90" s="101">
        <v>90</v>
      </c>
      <c r="P90" s="101">
        <v>90</v>
      </c>
      <c r="Q90" s="102">
        <v>3</v>
      </c>
      <c r="R90" s="102">
        <v>3</v>
      </c>
      <c r="S90" s="102"/>
      <c r="T90" s="102"/>
      <c r="U90" s="95"/>
      <c r="V90" s="95"/>
      <c r="W90" s="78"/>
    </row>
    <row r="91" spans="2:23" ht="12.75">
      <c r="B91" s="34" t="s">
        <v>40</v>
      </c>
      <c r="C91" s="34" t="s">
        <v>17</v>
      </c>
      <c r="D91" s="90" t="s">
        <v>1384</v>
      </c>
      <c r="E91" s="80" t="s">
        <v>308</v>
      </c>
      <c r="F91" s="81">
        <v>3</v>
      </c>
      <c r="G91" s="81">
        <v>0</v>
      </c>
      <c r="H91" s="81">
        <v>4</v>
      </c>
      <c r="I91" s="101" t="s">
        <v>71</v>
      </c>
      <c r="J91" s="101" t="s">
        <v>71</v>
      </c>
      <c r="K91" s="101" t="s">
        <v>1385</v>
      </c>
      <c r="L91" s="80" t="s">
        <v>1491</v>
      </c>
      <c r="M91" s="101" t="s">
        <v>1528</v>
      </c>
      <c r="N91" s="101">
        <v>1</v>
      </c>
      <c r="O91" s="101">
        <v>90</v>
      </c>
      <c r="P91" s="101">
        <v>90</v>
      </c>
      <c r="Q91" s="102">
        <v>3</v>
      </c>
      <c r="R91" s="102">
        <v>3</v>
      </c>
      <c r="S91" s="102"/>
      <c r="T91" s="102"/>
      <c r="U91" s="95"/>
      <c r="V91" s="95"/>
      <c r="W91" s="78"/>
    </row>
    <row r="92" spans="2:23" ht="12.75">
      <c r="B92" s="34" t="s">
        <v>40</v>
      </c>
      <c r="C92" s="34" t="s">
        <v>17</v>
      </c>
      <c r="D92" s="90" t="s">
        <v>629</v>
      </c>
      <c r="E92" s="80" t="s">
        <v>227</v>
      </c>
      <c r="F92" s="81">
        <v>4</v>
      </c>
      <c r="G92" s="81">
        <v>0</v>
      </c>
      <c r="H92" s="81">
        <v>4</v>
      </c>
      <c r="I92" s="101" t="s">
        <v>71</v>
      </c>
      <c r="J92" s="101" t="s">
        <v>71</v>
      </c>
      <c r="K92" s="101" t="s">
        <v>630</v>
      </c>
      <c r="L92" s="80" t="s">
        <v>1488</v>
      </c>
      <c r="M92" s="101" t="s">
        <v>1492</v>
      </c>
      <c r="N92" s="101">
        <v>1</v>
      </c>
      <c r="O92" s="101">
        <v>90</v>
      </c>
      <c r="P92" s="101">
        <v>90</v>
      </c>
      <c r="Q92" s="102">
        <v>4</v>
      </c>
      <c r="R92" s="102">
        <v>4</v>
      </c>
      <c r="S92" s="102"/>
      <c r="T92" s="102"/>
      <c r="U92" s="95"/>
      <c r="V92" s="95"/>
      <c r="W92" s="78"/>
    </row>
    <row r="93" spans="2:23" ht="12.75">
      <c r="B93" s="34" t="s">
        <v>40</v>
      </c>
      <c r="C93" s="34" t="s">
        <v>17</v>
      </c>
      <c r="D93" s="90" t="s">
        <v>629</v>
      </c>
      <c r="E93" s="80" t="s">
        <v>227</v>
      </c>
      <c r="F93" s="81">
        <v>4</v>
      </c>
      <c r="G93" s="81">
        <v>0</v>
      </c>
      <c r="H93" s="81">
        <v>4</v>
      </c>
      <c r="I93" s="101" t="s">
        <v>71</v>
      </c>
      <c r="J93" s="101" t="s">
        <v>71</v>
      </c>
      <c r="K93" s="101" t="s">
        <v>630</v>
      </c>
      <c r="L93" s="80" t="s">
        <v>1491</v>
      </c>
      <c r="M93" s="101" t="s">
        <v>1492</v>
      </c>
      <c r="N93" s="101">
        <v>1</v>
      </c>
      <c r="O93" s="101">
        <v>90</v>
      </c>
      <c r="P93" s="101">
        <v>90</v>
      </c>
      <c r="Q93" s="102">
        <v>4</v>
      </c>
      <c r="R93" s="102">
        <v>4</v>
      </c>
      <c r="S93" s="102"/>
      <c r="T93" s="102"/>
      <c r="U93" s="95"/>
      <c r="V93" s="95"/>
      <c r="W93" s="78"/>
    </row>
    <row r="94" spans="2:23" ht="12.75">
      <c r="B94" s="34" t="s">
        <v>40</v>
      </c>
      <c r="C94" s="34" t="s">
        <v>17</v>
      </c>
      <c r="D94" s="90" t="s">
        <v>629</v>
      </c>
      <c r="E94" s="80" t="s">
        <v>227</v>
      </c>
      <c r="F94" s="81">
        <v>4</v>
      </c>
      <c r="G94" s="81">
        <v>0</v>
      </c>
      <c r="H94" s="81">
        <v>4</v>
      </c>
      <c r="I94" s="101" t="s">
        <v>71</v>
      </c>
      <c r="J94" s="101" t="s">
        <v>71</v>
      </c>
      <c r="K94" s="101" t="s">
        <v>630</v>
      </c>
      <c r="L94" s="80" t="s">
        <v>1488</v>
      </c>
      <c r="M94" s="101" t="s">
        <v>1528</v>
      </c>
      <c r="N94" s="101">
        <v>1</v>
      </c>
      <c r="O94" s="101">
        <v>90</v>
      </c>
      <c r="P94" s="101">
        <v>90</v>
      </c>
      <c r="Q94" s="102">
        <v>4</v>
      </c>
      <c r="R94" s="102">
        <v>4</v>
      </c>
      <c r="S94" s="102"/>
      <c r="T94" s="102"/>
      <c r="U94" s="95"/>
      <c r="V94" s="95"/>
      <c r="W94" s="78"/>
    </row>
    <row r="95" spans="2:23" ht="12.75">
      <c r="B95" s="34" t="s">
        <v>40</v>
      </c>
      <c r="C95" s="34" t="s">
        <v>17</v>
      </c>
      <c r="D95" s="90" t="s">
        <v>629</v>
      </c>
      <c r="E95" s="80" t="s">
        <v>227</v>
      </c>
      <c r="F95" s="81">
        <v>4</v>
      </c>
      <c r="G95" s="81">
        <v>0</v>
      </c>
      <c r="H95" s="81">
        <v>4</v>
      </c>
      <c r="I95" s="101" t="s">
        <v>71</v>
      </c>
      <c r="J95" s="101" t="s">
        <v>71</v>
      </c>
      <c r="K95" s="101" t="s">
        <v>630</v>
      </c>
      <c r="L95" s="80" t="s">
        <v>1491</v>
      </c>
      <c r="M95" s="101" t="s">
        <v>1528</v>
      </c>
      <c r="N95" s="101">
        <v>1</v>
      </c>
      <c r="O95" s="101">
        <v>90</v>
      </c>
      <c r="P95" s="101">
        <v>90</v>
      </c>
      <c r="Q95" s="102">
        <v>4</v>
      </c>
      <c r="R95" s="102">
        <v>4</v>
      </c>
      <c r="S95" s="102"/>
      <c r="T95" s="102"/>
      <c r="U95" s="95"/>
      <c r="V95" s="95"/>
      <c r="W95" s="78"/>
    </row>
    <row r="96" spans="2:23" ht="12.75">
      <c r="B96" s="34" t="s">
        <v>40</v>
      </c>
      <c r="C96" s="34" t="s">
        <v>17</v>
      </c>
      <c r="D96" s="90" t="s">
        <v>1082</v>
      </c>
      <c r="E96" s="80" t="s">
        <v>446</v>
      </c>
      <c r="F96" s="81">
        <v>3</v>
      </c>
      <c r="G96" s="81">
        <v>2</v>
      </c>
      <c r="H96" s="81">
        <v>5</v>
      </c>
      <c r="I96" s="101" t="s">
        <v>71</v>
      </c>
      <c r="J96" s="101" t="s">
        <v>71</v>
      </c>
      <c r="K96" s="101" t="s">
        <v>1083</v>
      </c>
      <c r="L96" s="80" t="s">
        <v>1488</v>
      </c>
      <c r="M96" s="101" t="s">
        <v>1492</v>
      </c>
      <c r="N96" s="101">
        <v>5</v>
      </c>
      <c r="O96" s="101">
        <v>90</v>
      </c>
      <c r="P96" s="101">
        <v>450</v>
      </c>
      <c r="Q96" s="102">
        <v>75</v>
      </c>
      <c r="R96" s="102">
        <v>45</v>
      </c>
      <c r="S96" s="102" t="s">
        <v>1563</v>
      </c>
      <c r="T96" s="102"/>
      <c r="U96" s="95"/>
      <c r="V96" s="95"/>
      <c r="W96" s="78"/>
    </row>
    <row r="97" spans="2:23" ht="12.75">
      <c r="B97" s="34" t="s">
        <v>40</v>
      </c>
      <c r="C97" s="34" t="s">
        <v>17</v>
      </c>
      <c r="D97" s="90" t="s">
        <v>1082</v>
      </c>
      <c r="E97" s="80" t="s">
        <v>446</v>
      </c>
      <c r="F97" s="81">
        <v>3</v>
      </c>
      <c r="G97" s="81">
        <v>2</v>
      </c>
      <c r="H97" s="81">
        <v>5</v>
      </c>
      <c r="I97" s="101" t="s">
        <v>71</v>
      </c>
      <c r="J97" s="101" t="s">
        <v>71</v>
      </c>
      <c r="K97" s="101" t="s">
        <v>1083</v>
      </c>
      <c r="L97" s="80" t="s">
        <v>1491</v>
      </c>
      <c r="M97" s="101" t="s">
        <v>1492</v>
      </c>
      <c r="N97" s="101">
        <v>5</v>
      </c>
      <c r="O97" s="101">
        <v>90</v>
      </c>
      <c r="P97" s="101">
        <v>450</v>
      </c>
      <c r="Q97" s="102">
        <v>75</v>
      </c>
      <c r="R97" s="102">
        <v>45</v>
      </c>
      <c r="S97" s="102" t="s">
        <v>1563</v>
      </c>
      <c r="T97" s="102"/>
      <c r="U97" s="95"/>
      <c r="V97" s="95"/>
      <c r="W97" s="78"/>
    </row>
    <row r="98" spans="2:23" ht="12.75">
      <c r="B98" s="34" t="s">
        <v>40</v>
      </c>
      <c r="C98" s="34" t="s">
        <v>17</v>
      </c>
      <c r="D98" s="90" t="s">
        <v>1082</v>
      </c>
      <c r="E98" s="80" t="s">
        <v>446</v>
      </c>
      <c r="F98" s="81">
        <v>3</v>
      </c>
      <c r="G98" s="81">
        <v>2</v>
      </c>
      <c r="H98" s="81">
        <v>5</v>
      </c>
      <c r="I98" s="101" t="s">
        <v>71</v>
      </c>
      <c r="J98" s="101" t="s">
        <v>71</v>
      </c>
      <c r="K98" s="101" t="s">
        <v>1083</v>
      </c>
      <c r="L98" s="80" t="s">
        <v>1488</v>
      </c>
      <c r="M98" s="101" t="s">
        <v>1528</v>
      </c>
      <c r="N98" s="101">
        <v>2</v>
      </c>
      <c r="O98" s="101">
        <v>90</v>
      </c>
      <c r="P98" s="101">
        <v>180</v>
      </c>
      <c r="Q98" s="102">
        <v>30</v>
      </c>
      <c r="R98" s="102">
        <v>18</v>
      </c>
      <c r="S98" s="102" t="s">
        <v>1563</v>
      </c>
      <c r="T98" s="102"/>
      <c r="U98" s="95"/>
      <c r="V98" s="95"/>
      <c r="W98" s="78"/>
    </row>
    <row r="99" spans="2:23" ht="12.75">
      <c r="B99" s="34" t="s">
        <v>40</v>
      </c>
      <c r="C99" s="34" t="s">
        <v>17</v>
      </c>
      <c r="D99" s="90" t="s">
        <v>1082</v>
      </c>
      <c r="E99" s="80" t="s">
        <v>446</v>
      </c>
      <c r="F99" s="81">
        <v>3</v>
      </c>
      <c r="G99" s="81">
        <v>2</v>
      </c>
      <c r="H99" s="81">
        <v>5</v>
      </c>
      <c r="I99" s="101" t="s">
        <v>71</v>
      </c>
      <c r="J99" s="101" t="s">
        <v>71</v>
      </c>
      <c r="K99" s="101" t="s">
        <v>1083</v>
      </c>
      <c r="L99" s="80" t="s">
        <v>1491</v>
      </c>
      <c r="M99" s="101" t="s">
        <v>1528</v>
      </c>
      <c r="N99" s="101">
        <v>2</v>
      </c>
      <c r="O99" s="101">
        <v>90</v>
      </c>
      <c r="P99" s="101">
        <v>180</v>
      </c>
      <c r="Q99" s="102">
        <v>30</v>
      </c>
      <c r="R99" s="102">
        <v>18</v>
      </c>
      <c r="S99" s="102" t="s">
        <v>1563</v>
      </c>
      <c r="T99" s="102"/>
      <c r="U99" s="95"/>
      <c r="V99" s="95"/>
      <c r="W99" s="78"/>
    </row>
    <row r="100" spans="2:23" ht="12.75">
      <c r="B100" s="34" t="s">
        <v>40</v>
      </c>
      <c r="C100" s="34" t="s">
        <v>17</v>
      </c>
      <c r="D100" s="90" t="s">
        <v>296</v>
      </c>
      <c r="E100" s="80" t="s">
        <v>297</v>
      </c>
      <c r="F100" s="81">
        <v>3</v>
      </c>
      <c r="G100" s="81">
        <v>0</v>
      </c>
      <c r="H100" s="81">
        <v>4</v>
      </c>
      <c r="I100" s="101" t="s">
        <v>71</v>
      </c>
      <c r="J100" s="101" t="s">
        <v>71</v>
      </c>
      <c r="K100" s="101" t="s">
        <v>298</v>
      </c>
      <c r="L100" s="80" t="s">
        <v>1488</v>
      </c>
      <c r="M100" s="101" t="s">
        <v>1492</v>
      </c>
      <c r="N100" s="101">
        <v>1</v>
      </c>
      <c r="O100" s="101">
        <v>90</v>
      </c>
      <c r="P100" s="101">
        <v>90</v>
      </c>
      <c r="Q100" s="102">
        <v>3</v>
      </c>
      <c r="R100" s="102">
        <v>3</v>
      </c>
      <c r="S100" s="102"/>
      <c r="T100" s="102"/>
      <c r="U100" s="95"/>
      <c r="V100" s="95"/>
      <c r="W100" s="78"/>
    </row>
    <row r="101" spans="2:23" ht="12.75">
      <c r="B101" s="34" t="s">
        <v>40</v>
      </c>
      <c r="C101" s="34" t="s">
        <v>17</v>
      </c>
      <c r="D101" s="90" t="s">
        <v>296</v>
      </c>
      <c r="E101" s="80" t="s">
        <v>297</v>
      </c>
      <c r="F101" s="81">
        <v>3</v>
      </c>
      <c r="G101" s="81">
        <v>0</v>
      </c>
      <c r="H101" s="81">
        <v>4</v>
      </c>
      <c r="I101" s="101" t="s">
        <v>71</v>
      </c>
      <c r="J101" s="101" t="s">
        <v>71</v>
      </c>
      <c r="K101" s="101" t="s">
        <v>298</v>
      </c>
      <c r="L101" s="80" t="s">
        <v>1491</v>
      </c>
      <c r="M101" s="101" t="s">
        <v>1492</v>
      </c>
      <c r="N101" s="101">
        <v>1</v>
      </c>
      <c r="O101" s="101">
        <v>90</v>
      </c>
      <c r="P101" s="101">
        <v>90</v>
      </c>
      <c r="Q101" s="102">
        <v>3</v>
      </c>
      <c r="R101" s="102">
        <v>3</v>
      </c>
      <c r="S101" s="102"/>
      <c r="T101" s="102"/>
      <c r="U101" s="95"/>
      <c r="V101" s="95"/>
      <c r="W101" s="78"/>
    </row>
    <row r="102" spans="2:23" ht="12.75">
      <c r="B102" s="34" t="s">
        <v>40</v>
      </c>
      <c r="C102" s="34" t="s">
        <v>17</v>
      </c>
      <c r="D102" s="90" t="s">
        <v>296</v>
      </c>
      <c r="E102" s="80" t="s">
        <v>297</v>
      </c>
      <c r="F102" s="81">
        <v>3</v>
      </c>
      <c r="G102" s="81">
        <v>0</v>
      </c>
      <c r="H102" s="81">
        <v>4</v>
      </c>
      <c r="I102" s="101" t="s">
        <v>71</v>
      </c>
      <c r="J102" s="101" t="s">
        <v>71</v>
      </c>
      <c r="K102" s="101" t="s">
        <v>298</v>
      </c>
      <c r="L102" s="80" t="s">
        <v>1488</v>
      </c>
      <c r="M102" s="101" t="s">
        <v>1528</v>
      </c>
      <c r="N102" s="101">
        <v>1</v>
      </c>
      <c r="O102" s="101">
        <v>90</v>
      </c>
      <c r="P102" s="101">
        <v>90</v>
      </c>
      <c r="Q102" s="102">
        <v>3</v>
      </c>
      <c r="R102" s="102">
        <v>3</v>
      </c>
      <c r="S102" s="102"/>
      <c r="T102" s="102"/>
      <c r="U102" s="95"/>
      <c r="V102" s="95"/>
      <c r="W102" s="78"/>
    </row>
    <row r="103" spans="2:23" ht="12.75">
      <c r="B103" s="34" t="s">
        <v>40</v>
      </c>
      <c r="C103" s="34" t="s">
        <v>17</v>
      </c>
      <c r="D103" s="90" t="s">
        <v>296</v>
      </c>
      <c r="E103" s="80" t="s">
        <v>297</v>
      </c>
      <c r="F103" s="81">
        <v>3</v>
      </c>
      <c r="G103" s="81">
        <v>0</v>
      </c>
      <c r="H103" s="81">
        <v>4</v>
      </c>
      <c r="I103" s="101" t="s">
        <v>71</v>
      </c>
      <c r="J103" s="101" t="s">
        <v>71</v>
      </c>
      <c r="K103" s="101" t="s">
        <v>298</v>
      </c>
      <c r="L103" s="80" t="s">
        <v>1491</v>
      </c>
      <c r="M103" s="101" t="s">
        <v>1528</v>
      </c>
      <c r="N103" s="101">
        <v>1</v>
      </c>
      <c r="O103" s="101">
        <v>90</v>
      </c>
      <c r="P103" s="101">
        <v>90</v>
      </c>
      <c r="Q103" s="102">
        <v>3</v>
      </c>
      <c r="R103" s="102">
        <v>3</v>
      </c>
      <c r="S103" s="102"/>
      <c r="T103" s="102"/>
      <c r="U103" s="95"/>
      <c r="V103" s="95"/>
      <c r="W103" s="78"/>
    </row>
    <row r="104" spans="2:23" ht="12.75">
      <c r="B104" s="34" t="s">
        <v>40</v>
      </c>
      <c r="C104" s="34" t="s">
        <v>17</v>
      </c>
      <c r="D104" s="90" t="s">
        <v>542</v>
      </c>
      <c r="E104" s="80" t="s">
        <v>543</v>
      </c>
      <c r="F104" s="81">
        <v>3</v>
      </c>
      <c r="G104" s="81">
        <v>0</v>
      </c>
      <c r="H104" s="81">
        <v>4</v>
      </c>
      <c r="I104" s="101" t="s">
        <v>71</v>
      </c>
      <c r="J104" s="101" t="s">
        <v>71</v>
      </c>
      <c r="K104" s="101" t="s">
        <v>76</v>
      </c>
      <c r="L104" s="80" t="s">
        <v>1488</v>
      </c>
      <c r="M104" s="101" t="s">
        <v>1492</v>
      </c>
      <c r="N104" s="101">
        <v>2</v>
      </c>
      <c r="O104" s="101">
        <v>90</v>
      </c>
      <c r="P104" s="101">
        <v>180</v>
      </c>
      <c r="Q104" s="102">
        <v>6</v>
      </c>
      <c r="R104" s="102">
        <v>6</v>
      </c>
      <c r="S104" s="102"/>
      <c r="T104" s="102"/>
      <c r="U104" s="95"/>
      <c r="V104" s="95"/>
      <c r="W104" s="78"/>
    </row>
    <row r="105" spans="2:23" ht="12.75">
      <c r="B105" s="34" t="s">
        <v>40</v>
      </c>
      <c r="C105" s="34" t="s">
        <v>17</v>
      </c>
      <c r="D105" s="90" t="s">
        <v>542</v>
      </c>
      <c r="E105" s="80" t="s">
        <v>543</v>
      </c>
      <c r="F105" s="81">
        <v>3</v>
      </c>
      <c r="G105" s="81">
        <v>0</v>
      </c>
      <c r="H105" s="81">
        <v>4</v>
      </c>
      <c r="I105" s="101" t="s">
        <v>71</v>
      </c>
      <c r="J105" s="101" t="s">
        <v>71</v>
      </c>
      <c r="K105" s="101" t="s">
        <v>76</v>
      </c>
      <c r="L105" s="80" t="s">
        <v>1491</v>
      </c>
      <c r="M105" s="101" t="s">
        <v>1492</v>
      </c>
      <c r="N105" s="101">
        <v>2</v>
      </c>
      <c r="O105" s="101">
        <v>90</v>
      </c>
      <c r="P105" s="101">
        <v>180</v>
      </c>
      <c r="Q105" s="102">
        <v>6</v>
      </c>
      <c r="R105" s="102">
        <v>6</v>
      </c>
      <c r="S105" s="102"/>
      <c r="T105" s="102"/>
      <c r="U105" s="95"/>
      <c r="V105" s="95"/>
      <c r="W105" s="78"/>
    </row>
    <row r="106" spans="2:23" ht="12.75">
      <c r="B106" s="34" t="s">
        <v>40</v>
      </c>
      <c r="C106" s="34" t="s">
        <v>17</v>
      </c>
      <c r="D106" s="90" t="s">
        <v>542</v>
      </c>
      <c r="E106" s="80" t="s">
        <v>543</v>
      </c>
      <c r="F106" s="81">
        <v>3</v>
      </c>
      <c r="G106" s="81">
        <v>0</v>
      </c>
      <c r="H106" s="81">
        <v>4</v>
      </c>
      <c r="I106" s="101" t="s">
        <v>71</v>
      </c>
      <c r="J106" s="101" t="s">
        <v>71</v>
      </c>
      <c r="K106" s="101" t="s">
        <v>76</v>
      </c>
      <c r="L106" s="80" t="s">
        <v>1488</v>
      </c>
      <c r="M106" s="101" t="s">
        <v>1528</v>
      </c>
      <c r="N106" s="101">
        <v>1</v>
      </c>
      <c r="O106" s="101">
        <v>110</v>
      </c>
      <c r="P106" s="101">
        <v>110</v>
      </c>
      <c r="Q106" s="102">
        <v>3</v>
      </c>
      <c r="R106" s="102">
        <v>3</v>
      </c>
      <c r="S106" s="102"/>
      <c r="T106" s="102"/>
      <c r="U106" s="95"/>
      <c r="V106" s="95"/>
      <c r="W106" s="78"/>
    </row>
    <row r="107" spans="2:23" ht="12.75">
      <c r="B107" s="34" t="s">
        <v>40</v>
      </c>
      <c r="C107" s="34" t="s">
        <v>17</v>
      </c>
      <c r="D107" s="90" t="s">
        <v>542</v>
      </c>
      <c r="E107" s="80" t="s">
        <v>543</v>
      </c>
      <c r="F107" s="81">
        <v>3</v>
      </c>
      <c r="G107" s="81">
        <v>0</v>
      </c>
      <c r="H107" s="81">
        <v>4</v>
      </c>
      <c r="I107" s="101" t="s">
        <v>71</v>
      </c>
      <c r="J107" s="101" t="s">
        <v>71</v>
      </c>
      <c r="K107" s="101" t="s">
        <v>76</v>
      </c>
      <c r="L107" s="80" t="s">
        <v>1491</v>
      </c>
      <c r="M107" s="101" t="s">
        <v>1528</v>
      </c>
      <c r="N107" s="101">
        <v>1</v>
      </c>
      <c r="O107" s="101">
        <v>110</v>
      </c>
      <c r="P107" s="101">
        <v>110</v>
      </c>
      <c r="Q107" s="102">
        <v>3</v>
      </c>
      <c r="R107" s="102">
        <v>3</v>
      </c>
      <c r="S107" s="102"/>
      <c r="T107" s="102"/>
      <c r="U107" s="95"/>
      <c r="V107" s="95"/>
      <c r="W107" s="78"/>
    </row>
    <row r="108" spans="2:23" ht="12.75">
      <c r="B108" s="34" t="s">
        <v>40</v>
      </c>
      <c r="C108" s="34" t="s">
        <v>17</v>
      </c>
      <c r="D108" s="90" t="s">
        <v>256</v>
      </c>
      <c r="E108" s="80" t="s">
        <v>257</v>
      </c>
      <c r="F108" s="81">
        <v>3</v>
      </c>
      <c r="G108" s="81">
        <v>0</v>
      </c>
      <c r="H108" s="81">
        <v>4</v>
      </c>
      <c r="I108" s="101" t="s">
        <v>71</v>
      </c>
      <c r="J108" s="101" t="s">
        <v>71</v>
      </c>
      <c r="K108" s="101" t="s">
        <v>76</v>
      </c>
      <c r="L108" s="80" t="s">
        <v>1488</v>
      </c>
      <c r="M108" s="101" t="s">
        <v>1492</v>
      </c>
      <c r="N108" s="101">
        <v>2</v>
      </c>
      <c r="O108" s="101">
        <v>90</v>
      </c>
      <c r="P108" s="101">
        <v>180</v>
      </c>
      <c r="Q108" s="102">
        <v>6</v>
      </c>
      <c r="R108" s="102">
        <v>6</v>
      </c>
      <c r="S108" s="102"/>
      <c r="T108" s="102"/>
      <c r="U108" s="95"/>
      <c r="V108" s="95"/>
      <c r="W108" s="78"/>
    </row>
    <row r="109" spans="2:23" ht="12.75">
      <c r="B109" s="34" t="s">
        <v>40</v>
      </c>
      <c r="C109" s="34" t="s">
        <v>17</v>
      </c>
      <c r="D109" s="90" t="s">
        <v>256</v>
      </c>
      <c r="E109" s="80" t="s">
        <v>257</v>
      </c>
      <c r="F109" s="81">
        <v>3</v>
      </c>
      <c r="G109" s="81">
        <v>0</v>
      </c>
      <c r="H109" s="81">
        <v>4</v>
      </c>
      <c r="I109" s="101" t="s">
        <v>71</v>
      </c>
      <c r="J109" s="101" t="s">
        <v>71</v>
      </c>
      <c r="K109" s="101" t="s">
        <v>76</v>
      </c>
      <c r="L109" s="80" t="s">
        <v>1491</v>
      </c>
      <c r="M109" s="101" t="s">
        <v>1492</v>
      </c>
      <c r="N109" s="101">
        <v>3</v>
      </c>
      <c r="O109" s="101">
        <v>90</v>
      </c>
      <c r="P109" s="101">
        <v>270</v>
      </c>
      <c r="Q109" s="102">
        <v>9</v>
      </c>
      <c r="R109" s="102">
        <v>9</v>
      </c>
      <c r="S109" s="102"/>
      <c r="T109" s="102"/>
      <c r="U109" s="95"/>
      <c r="V109" s="95"/>
      <c r="W109" s="78"/>
    </row>
    <row r="110" spans="2:23" ht="12.75">
      <c r="B110" s="34" t="s">
        <v>40</v>
      </c>
      <c r="C110" s="34" t="s">
        <v>17</v>
      </c>
      <c r="D110" s="90" t="s">
        <v>256</v>
      </c>
      <c r="E110" s="80" t="s">
        <v>257</v>
      </c>
      <c r="F110" s="81">
        <v>3</v>
      </c>
      <c r="G110" s="81">
        <v>0</v>
      </c>
      <c r="H110" s="81">
        <v>4</v>
      </c>
      <c r="I110" s="101" t="s">
        <v>71</v>
      </c>
      <c r="J110" s="101" t="s">
        <v>71</v>
      </c>
      <c r="K110" s="101" t="s">
        <v>76</v>
      </c>
      <c r="L110" s="80" t="s">
        <v>1488</v>
      </c>
      <c r="M110" s="101" t="s">
        <v>1528</v>
      </c>
      <c r="N110" s="101">
        <v>2</v>
      </c>
      <c r="O110" s="101">
        <v>90</v>
      </c>
      <c r="P110" s="101">
        <v>180</v>
      </c>
      <c r="Q110" s="102">
        <v>6</v>
      </c>
      <c r="R110" s="102">
        <v>6</v>
      </c>
      <c r="S110" s="102"/>
      <c r="T110" s="102"/>
      <c r="U110" s="95"/>
      <c r="V110" s="95"/>
      <c r="W110" s="78"/>
    </row>
    <row r="111" spans="2:23" ht="12.75">
      <c r="B111" s="34" t="s">
        <v>40</v>
      </c>
      <c r="C111" s="34" t="s">
        <v>17</v>
      </c>
      <c r="D111" s="90" t="s">
        <v>256</v>
      </c>
      <c r="E111" s="80" t="s">
        <v>257</v>
      </c>
      <c r="F111" s="81">
        <v>3</v>
      </c>
      <c r="G111" s="81">
        <v>0</v>
      </c>
      <c r="H111" s="81">
        <v>4</v>
      </c>
      <c r="I111" s="101" t="s">
        <v>71</v>
      </c>
      <c r="J111" s="101" t="s">
        <v>71</v>
      </c>
      <c r="K111" s="101" t="s">
        <v>76</v>
      </c>
      <c r="L111" s="80" t="s">
        <v>1491</v>
      </c>
      <c r="M111" s="101" t="s">
        <v>1528</v>
      </c>
      <c r="N111" s="101">
        <v>2</v>
      </c>
      <c r="O111" s="101">
        <v>90</v>
      </c>
      <c r="P111" s="101">
        <v>180</v>
      </c>
      <c r="Q111" s="102">
        <v>6</v>
      </c>
      <c r="R111" s="102">
        <v>6</v>
      </c>
      <c r="S111" s="102"/>
      <c r="T111" s="102"/>
      <c r="U111" s="95"/>
      <c r="V111" s="95"/>
      <c r="W111" s="78"/>
    </row>
    <row r="112" spans="2:23" ht="12.75">
      <c r="B112" s="14" t="s">
        <v>44</v>
      </c>
      <c r="C112" s="14" t="s">
        <v>18</v>
      </c>
      <c r="D112" s="90" t="s">
        <v>182</v>
      </c>
      <c r="E112" s="80" t="s">
        <v>183</v>
      </c>
      <c r="F112" s="81">
        <v>3</v>
      </c>
      <c r="G112" s="81">
        <v>2</v>
      </c>
      <c r="H112" s="81">
        <v>3</v>
      </c>
      <c r="I112" s="101" t="s">
        <v>71</v>
      </c>
      <c r="J112" s="101" t="s">
        <v>71</v>
      </c>
      <c r="K112" s="101" t="s">
        <v>184</v>
      </c>
      <c r="L112" s="80" t="s">
        <v>1488</v>
      </c>
      <c r="M112" s="101" t="s">
        <v>1562</v>
      </c>
      <c r="N112" s="101">
        <v>1</v>
      </c>
      <c r="O112" s="101">
        <v>30</v>
      </c>
      <c r="P112" s="101">
        <v>30</v>
      </c>
      <c r="Q112" s="102">
        <v>5</v>
      </c>
      <c r="R112" s="102">
        <v>5</v>
      </c>
      <c r="S112" s="102" t="s">
        <v>1493</v>
      </c>
      <c r="T112" s="102"/>
      <c r="U112" s="95"/>
      <c r="V112" s="95"/>
      <c r="W112" s="78"/>
    </row>
    <row r="113" spans="2:23" ht="12.75">
      <c r="B113" s="14" t="s">
        <v>44</v>
      </c>
      <c r="C113" s="14" t="s">
        <v>18</v>
      </c>
      <c r="D113" s="90" t="s">
        <v>182</v>
      </c>
      <c r="E113" s="80" t="s">
        <v>183</v>
      </c>
      <c r="F113" s="81">
        <v>3</v>
      </c>
      <c r="G113" s="81">
        <v>2</v>
      </c>
      <c r="H113" s="81">
        <v>3</v>
      </c>
      <c r="I113" s="101" t="s">
        <v>71</v>
      </c>
      <c r="J113" s="101" t="s">
        <v>71</v>
      </c>
      <c r="K113" s="101" t="s">
        <v>184</v>
      </c>
      <c r="L113" s="80" t="s">
        <v>1491</v>
      </c>
      <c r="M113" s="101" t="s">
        <v>1562</v>
      </c>
      <c r="N113" s="101">
        <v>1</v>
      </c>
      <c r="O113" s="101">
        <v>30</v>
      </c>
      <c r="P113" s="101">
        <v>30</v>
      </c>
      <c r="Q113" s="102">
        <v>5</v>
      </c>
      <c r="R113" s="102">
        <v>5</v>
      </c>
      <c r="S113" s="102" t="s">
        <v>1493</v>
      </c>
      <c r="T113" s="102"/>
      <c r="U113" s="95"/>
      <c r="V113" s="95"/>
      <c r="W113" s="78"/>
    </row>
    <row r="114" spans="2:23" ht="12.75">
      <c r="B114" s="14" t="s">
        <v>44</v>
      </c>
      <c r="C114" s="14" t="s">
        <v>18</v>
      </c>
      <c r="D114" s="90" t="s">
        <v>198</v>
      </c>
      <c r="E114" s="80" t="s">
        <v>199</v>
      </c>
      <c r="F114" s="81">
        <v>3</v>
      </c>
      <c r="G114" s="81">
        <v>2</v>
      </c>
      <c r="H114" s="81">
        <v>3</v>
      </c>
      <c r="I114" s="101" t="s">
        <v>71</v>
      </c>
      <c r="J114" s="101" t="s">
        <v>71</v>
      </c>
      <c r="K114" s="101" t="s">
        <v>184</v>
      </c>
      <c r="L114" s="80" t="s">
        <v>1488</v>
      </c>
      <c r="M114" s="101" t="s">
        <v>1562</v>
      </c>
      <c r="N114" s="101">
        <v>1</v>
      </c>
      <c r="O114" s="101">
        <v>30</v>
      </c>
      <c r="P114" s="101">
        <v>30</v>
      </c>
      <c r="Q114" s="102">
        <v>5</v>
      </c>
      <c r="R114" s="102">
        <v>5</v>
      </c>
      <c r="S114" s="102" t="s">
        <v>1493</v>
      </c>
      <c r="T114" s="102"/>
      <c r="U114" s="95"/>
      <c r="V114" s="95"/>
      <c r="W114" s="78"/>
    </row>
    <row r="115" spans="2:23" ht="12.75">
      <c r="B115" s="14" t="s">
        <v>44</v>
      </c>
      <c r="C115" s="14" t="s">
        <v>18</v>
      </c>
      <c r="D115" s="90" t="s">
        <v>198</v>
      </c>
      <c r="E115" s="80" t="s">
        <v>199</v>
      </c>
      <c r="F115" s="81">
        <v>3</v>
      </c>
      <c r="G115" s="81">
        <v>2</v>
      </c>
      <c r="H115" s="81">
        <v>3</v>
      </c>
      <c r="I115" s="101" t="s">
        <v>71</v>
      </c>
      <c r="J115" s="101" t="s">
        <v>71</v>
      </c>
      <c r="K115" s="101" t="s">
        <v>184</v>
      </c>
      <c r="L115" s="80" t="s">
        <v>1491</v>
      </c>
      <c r="M115" s="101" t="s">
        <v>1562</v>
      </c>
      <c r="N115" s="101">
        <v>1</v>
      </c>
      <c r="O115" s="101">
        <v>30</v>
      </c>
      <c r="P115" s="101">
        <v>30</v>
      </c>
      <c r="Q115" s="102">
        <v>5</v>
      </c>
      <c r="R115" s="102">
        <v>5</v>
      </c>
      <c r="S115" s="102" t="s">
        <v>1493</v>
      </c>
      <c r="T115" s="102"/>
      <c r="U115" s="95"/>
      <c r="V115" s="95"/>
      <c r="W115" s="78"/>
    </row>
    <row r="116" spans="2:23" ht="12.75">
      <c r="B116" s="14" t="s">
        <v>44</v>
      </c>
      <c r="C116" s="14" t="s">
        <v>18</v>
      </c>
      <c r="D116" s="90" t="s">
        <v>659</v>
      </c>
      <c r="E116" s="80" t="s">
        <v>660</v>
      </c>
      <c r="F116" s="81">
        <v>2</v>
      </c>
      <c r="G116" s="81">
        <v>2</v>
      </c>
      <c r="H116" s="81">
        <v>2</v>
      </c>
      <c r="I116" s="101" t="s">
        <v>71</v>
      </c>
      <c r="J116" s="101" t="s">
        <v>71</v>
      </c>
      <c r="K116" s="101" t="s">
        <v>661</v>
      </c>
      <c r="L116" s="80" t="s">
        <v>1488</v>
      </c>
      <c r="M116" s="101" t="s">
        <v>1562</v>
      </c>
      <c r="N116" s="101">
        <v>1</v>
      </c>
      <c r="O116" s="101">
        <v>30</v>
      </c>
      <c r="P116" s="101">
        <v>30</v>
      </c>
      <c r="Q116" s="102">
        <v>4</v>
      </c>
      <c r="R116" s="102">
        <v>4</v>
      </c>
      <c r="S116" s="102" t="s">
        <v>1493</v>
      </c>
      <c r="T116" s="102"/>
      <c r="U116" s="95"/>
      <c r="V116" s="95"/>
      <c r="W116" s="78"/>
    </row>
    <row r="117" spans="2:23" ht="12.75">
      <c r="B117" s="14" t="s">
        <v>44</v>
      </c>
      <c r="C117" s="14" t="s">
        <v>18</v>
      </c>
      <c r="D117" s="90" t="s">
        <v>659</v>
      </c>
      <c r="E117" s="80" t="s">
        <v>660</v>
      </c>
      <c r="F117" s="81">
        <v>2</v>
      </c>
      <c r="G117" s="81">
        <v>2</v>
      </c>
      <c r="H117" s="81">
        <v>2</v>
      </c>
      <c r="I117" s="101" t="s">
        <v>71</v>
      </c>
      <c r="J117" s="101" t="s">
        <v>71</v>
      </c>
      <c r="K117" s="101" t="s">
        <v>661</v>
      </c>
      <c r="L117" s="80" t="s">
        <v>1491</v>
      </c>
      <c r="M117" s="101" t="s">
        <v>1562</v>
      </c>
      <c r="N117" s="101">
        <v>1</v>
      </c>
      <c r="O117" s="101">
        <v>30</v>
      </c>
      <c r="P117" s="101">
        <v>30</v>
      </c>
      <c r="Q117" s="102">
        <v>4</v>
      </c>
      <c r="R117" s="102">
        <v>4</v>
      </c>
      <c r="S117" s="102" t="s">
        <v>1493</v>
      </c>
      <c r="T117" s="102"/>
      <c r="U117" s="95"/>
      <c r="V117" s="95"/>
      <c r="W117" s="78"/>
    </row>
    <row r="118" spans="2:23" ht="12.75">
      <c r="B118" s="14" t="s">
        <v>44</v>
      </c>
      <c r="C118" s="14" t="s">
        <v>18</v>
      </c>
      <c r="D118" s="90" t="s">
        <v>1027</v>
      </c>
      <c r="E118" s="80" t="s">
        <v>1028</v>
      </c>
      <c r="F118" s="81">
        <v>0</v>
      </c>
      <c r="G118" s="81">
        <v>4</v>
      </c>
      <c r="H118" s="81">
        <v>4</v>
      </c>
      <c r="I118" s="101" t="s">
        <v>71</v>
      </c>
      <c r="J118" s="101" t="s">
        <v>71</v>
      </c>
      <c r="K118" s="101" t="s">
        <v>377</v>
      </c>
      <c r="L118" s="80" t="s">
        <v>1488</v>
      </c>
      <c r="M118" s="101" t="s">
        <v>1562</v>
      </c>
      <c r="N118" s="101">
        <v>1</v>
      </c>
      <c r="O118" s="101">
        <v>30</v>
      </c>
      <c r="P118" s="101">
        <v>30</v>
      </c>
      <c r="Q118" s="102">
        <v>4</v>
      </c>
      <c r="R118" s="102">
        <v>4</v>
      </c>
      <c r="S118" s="102" t="s">
        <v>1489</v>
      </c>
      <c r="T118" s="102"/>
      <c r="U118" s="95"/>
      <c r="V118" s="95"/>
      <c r="W118" s="78"/>
    </row>
    <row r="119" spans="2:23" ht="12.75">
      <c r="B119" s="14" t="s">
        <v>44</v>
      </c>
      <c r="C119" s="14" t="s">
        <v>18</v>
      </c>
      <c r="D119" s="90" t="s">
        <v>1027</v>
      </c>
      <c r="E119" s="80" t="s">
        <v>1028</v>
      </c>
      <c r="F119" s="81">
        <v>0</v>
      </c>
      <c r="G119" s="81">
        <v>4</v>
      </c>
      <c r="H119" s="81">
        <v>4</v>
      </c>
      <c r="I119" s="101" t="s">
        <v>71</v>
      </c>
      <c r="J119" s="101" t="s">
        <v>71</v>
      </c>
      <c r="K119" s="101" t="s">
        <v>377</v>
      </c>
      <c r="L119" s="80" t="s">
        <v>1491</v>
      </c>
      <c r="M119" s="101" t="s">
        <v>1562</v>
      </c>
      <c r="N119" s="101">
        <v>1</v>
      </c>
      <c r="O119" s="101">
        <v>30</v>
      </c>
      <c r="P119" s="101">
        <v>30</v>
      </c>
      <c r="Q119" s="102">
        <v>4</v>
      </c>
      <c r="R119" s="102">
        <v>4</v>
      </c>
      <c r="S119" s="102" t="s">
        <v>1489</v>
      </c>
      <c r="T119" s="102"/>
      <c r="U119" s="95"/>
      <c r="V119" s="95"/>
      <c r="W119" s="78"/>
    </row>
    <row r="120" spans="2:23" ht="12.75">
      <c r="B120" s="14" t="s">
        <v>44</v>
      </c>
      <c r="C120" s="14" t="s">
        <v>18</v>
      </c>
      <c r="D120" s="90" t="s">
        <v>1393</v>
      </c>
      <c r="E120" s="80" t="s">
        <v>1394</v>
      </c>
      <c r="F120" s="81">
        <v>4</v>
      </c>
      <c r="G120" s="81">
        <v>2</v>
      </c>
      <c r="H120" s="81">
        <v>4</v>
      </c>
      <c r="I120" s="101" t="s">
        <v>71</v>
      </c>
      <c r="J120" s="101" t="s">
        <v>71</v>
      </c>
      <c r="K120" s="101" t="s">
        <v>197</v>
      </c>
      <c r="L120" s="80" t="s">
        <v>1488</v>
      </c>
      <c r="M120" s="101" t="s">
        <v>1562</v>
      </c>
      <c r="N120" s="101">
        <v>1</v>
      </c>
      <c r="O120" s="101">
        <v>30</v>
      </c>
      <c r="P120" s="101">
        <v>30</v>
      </c>
      <c r="Q120" s="102">
        <v>6</v>
      </c>
      <c r="R120" s="102">
        <v>6</v>
      </c>
      <c r="S120" s="102"/>
      <c r="T120" s="102"/>
      <c r="U120" s="95"/>
      <c r="V120" s="95"/>
      <c r="W120" s="78"/>
    </row>
    <row r="121" spans="2:23" ht="12.75">
      <c r="B121" s="14" t="s">
        <v>44</v>
      </c>
      <c r="C121" s="14" t="s">
        <v>18</v>
      </c>
      <c r="D121" s="90" t="s">
        <v>1393</v>
      </c>
      <c r="E121" s="80" t="s">
        <v>1394</v>
      </c>
      <c r="F121" s="81">
        <v>4</v>
      </c>
      <c r="G121" s="81">
        <v>2</v>
      </c>
      <c r="H121" s="81">
        <v>4</v>
      </c>
      <c r="I121" s="101" t="s">
        <v>71</v>
      </c>
      <c r="J121" s="101" t="s">
        <v>71</v>
      </c>
      <c r="K121" s="101" t="s">
        <v>197</v>
      </c>
      <c r="L121" s="80" t="s">
        <v>1491</v>
      </c>
      <c r="M121" s="101" t="s">
        <v>1562</v>
      </c>
      <c r="N121" s="101">
        <v>1</v>
      </c>
      <c r="O121" s="101">
        <v>30</v>
      </c>
      <c r="P121" s="101">
        <v>30</v>
      </c>
      <c r="Q121" s="102">
        <v>6</v>
      </c>
      <c r="R121" s="102">
        <v>6</v>
      </c>
      <c r="S121" s="102"/>
      <c r="T121" s="102"/>
      <c r="U121" s="95"/>
      <c r="V121" s="95"/>
      <c r="W121" s="78"/>
    </row>
    <row r="122" spans="2:23" ht="12.75">
      <c r="B122" s="14" t="s">
        <v>44</v>
      </c>
      <c r="C122" s="14" t="s">
        <v>18</v>
      </c>
      <c r="D122" s="90" t="s">
        <v>1329</v>
      </c>
      <c r="E122" s="80" t="s">
        <v>1330</v>
      </c>
      <c r="F122" s="81">
        <v>2</v>
      </c>
      <c r="G122" s="81">
        <v>0</v>
      </c>
      <c r="H122" s="81">
        <v>2</v>
      </c>
      <c r="I122" s="101" t="s">
        <v>71</v>
      </c>
      <c r="J122" s="101" t="s">
        <v>71</v>
      </c>
      <c r="K122" s="101" t="s">
        <v>1331</v>
      </c>
      <c r="L122" s="80" t="s">
        <v>1488</v>
      </c>
      <c r="M122" s="101" t="s">
        <v>1562</v>
      </c>
      <c r="N122" s="101">
        <v>1</v>
      </c>
      <c r="O122" s="101">
        <v>30</v>
      </c>
      <c r="P122" s="101">
        <v>30</v>
      </c>
      <c r="Q122" s="102">
        <v>2</v>
      </c>
      <c r="R122" s="102">
        <v>2</v>
      </c>
      <c r="S122" s="102"/>
      <c r="T122" s="102"/>
      <c r="U122" s="95"/>
      <c r="V122" s="95"/>
      <c r="W122" s="78"/>
    </row>
    <row r="123" spans="2:23" ht="12.75">
      <c r="B123" s="14" t="s">
        <v>44</v>
      </c>
      <c r="C123" s="14" t="s">
        <v>18</v>
      </c>
      <c r="D123" s="90" t="s">
        <v>1329</v>
      </c>
      <c r="E123" s="80" t="s">
        <v>1330</v>
      </c>
      <c r="F123" s="81">
        <v>2</v>
      </c>
      <c r="G123" s="81">
        <v>0</v>
      </c>
      <c r="H123" s="81">
        <v>2</v>
      </c>
      <c r="I123" s="101" t="s">
        <v>71</v>
      </c>
      <c r="J123" s="101" t="s">
        <v>71</v>
      </c>
      <c r="K123" s="101" t="s">
        <v>1331</v>
      </c>
      <c r="L123" s="80" t="s">
        <v>1491</v>
      </c>
      <c r="M123" s="101" t="s">
        <v>1562</v>
      </c>
      <c r="N123" s="101">
        <v>1</v>
      </c>
      <c r="O123" s="101">
        <v>30</v>
      </c>
      <c r="P123" s="101">
        <v>30</v>
      </c>
      <c r="Q123" s="102">
        <v>2</v>
      </c>
      <c r="R123" s="102">
        <v>2</v>
      </c>
      <c r="S123" s="102"/>
      <c r="T123" s="102"/>
      <c r="U123" s="95"/>
      <c r="V123" s="95"/>
      <c r="W123" s="78"/>
    </row>
    <row r="124" spans="2:23" ht="12.75">
      <c r="B124" s="14" t="s">
        <v>44</v>
      </c>
      <c r="C124" s="14" t="s">
        <v>18</v>
      </c>
      <c r="D124" s="90" t="s">
        <v>179</v>
      </c>
      <c r="E124" s="80" t="s">
        <v>180</v>
      </c>
      <c r="F124" s="81">
        <v>4</v>
      </c>
      <c r="G124" s="81">
        <v>0</v>
      </c>
      <c r="H124" s="81">
        <v>4</v>
      </c>
      <c r="I124" s="101" t="s">
        <v>73</v>
      </c>
      <c r="J124" s="101" t="s">
        <v>73</v>
      </c>
      <c r="K124" s="101" t="s">
        <v>181</v>
      </c>
      <c r="L124" s="80" t="s">
        <v>1488</v>
      </c>
      <c r="M124" s="101" t="s">
        <v>1562</v>
      </c>
      <c r="N124" s="101">
        <v>1</v>
      </c>
      <c r="O124" s="101">
        <v>30</v>
      </c>
      <c r="P124" s="101">
        <v>30</v>
      </c>
      <c r="Q124" s="102">
        <v>4</v>
      </c>
      <c r="R124" s="102">
        <v>4</v>
      </c>
      <c r="S124" s="102"/>
      <c r="T124" s="102"/>
      <c r="U124" s="95"/>
      <c r="V124" s="95"/>
      <c r="W124" s="78"/>
    </row>
    <row r="125" spans="2:23" ht="12.75">
      <c r="B125" s="14" t="s">
        <v>44</v>
      </c>
      <c r="C125" s="14" t="s">
        <v>18</v>
      </c>
      <c r="D125" s="90" t="s">
        <v>179</v>
      </c>
      <c r="E125" s="80" t="s">
        <v>180</v>
      </c>
      <c r="F125" s="81">
        <v>4</v>
      </c>
      <c r="G125" s="81">
        <v>0</v>
      </c>
      <c r="H125" s="81">
        <v>4</v>
      </c>
      <c r="I125" s="101" t="s">
        <v>73</v>
      </c>
      <c r="J125" s="101" t="s">
        <v>73</v>
      </c>
      <c r="K125" s="101" t="s">
        <v>181</v>
      </c>
      <c r="L125" s="80" t="s">
        <v>1491</v>
      </c>
      <c r="M125" s="101" t="s">
        <v>1562</v>
      </c>
      <c r="N125" s="101">
        <v>1</v>
      </c>
      <c r="O125" s="101">
        <v>30</v>
      </c>
      <c r="P125" s="101">
        <v>30</v>
      </c>
      <c r="Q125" s="102">
        <v>4</v>
      </c>
      <c r="R125" s="102">
        <v>4</v>
      </c>
      <c r="S125" s="102"/>
      <c r="T125" s="102"/>
      <c r="U125" s="95"/>
      <c r="V125" s="95"/>
      <c r="W125" s="78"/>
    </row>
    <row r="126" spans="2:23" ht="12.75">
      <c r="B126" s="14" t="s">
        <v>44</v>
      </c>
      <c r="C126" s="14" t="s">
        <v>18</v>
      </c>
      <c r="D126" s="90" t="s">
        <v>570</v>
      </c>
      <c r="E126" s="80" t="s">
        <v>571</v>
      </c>
      <c r="F126" s="81">
        <v>4</v>
      </c>
      <c r="G126" s="81">
        <v>2</v>
      </c>
      <c r="H126" s="81">
        <v>4</v>
      </c>
      <c r="I126" s="101" t="s">
        <v>73</v>
      </c>
      <c r="J126" s="101" t="s">
        <v>73</v>
      </c>
      <c r="K126" s="101" t="s">
        <v>572</v>
      </c>
      <c r="L126" s="80" t="s">
        <v>1488</v>
      </c>
      <c r="M126" s="101" t="s">
        <v>1562</v>
      </c>
      <c r="N126" s="101">
        <v>1</v>
      </c>
      <c r="O126" s="101">
        <v>30</v>
      </c>
      <c r="P126" s="101">
        <v>30</v>
      </c>
      <c r="Q126" s="102">
        <v>6</v>
      </c>
      <c r="R126" s="102">
        <v>6</v>
      </c>
      <c r="S126" s="102" t="s">
        <v>1493</v>
      </c>
      <c r="T126" s="102"/>
      <c r="U126" s="95"/>
      <c r="V126" s="95"/>
      <c r="W126" s="78"/>
    </row>
    <row r="127" spans="2:23" ht="12.75">
      <c r="B127" s="14" t="s">
        <v>44</v>
      </c>
      <c r="C127" s="14" t="s">
        <v>18</v>
      </c>
      <c r="D127" s="90" t="s">
        <v>570</v>
      </c>
      <c r="E127" s="80" t="s">
        <v>571</v>
      </c>
      <c r="F127" s="81">
        <v>4</v>
      </c>
      <c r="G127" s="81">
        <v>2</v>
      </c>
      <c r="H127" s="81">
        <v>4</v>
      </c>
      <c r="I127" s="101" t="s">
        <v>73</v>
      </c>
      <c r="J127" s="101" t="s">
        <v>73</v>
      </c>
      <c r="K127" s="101" t="s">
        <v>572</v>
      </c>
      <c r="L127" s="80" t="s">
        <v>1491</v>
      </c>
      <c r="M127" s="101" t="s">
        <v>1562</v>
      </c>
      <c r="N127" s="101">
        <v>1</v>
      </c>
      <c r="O127" s="101">
        <v>30</v>
      </c>
      <c r="P127" s="101">
        <v>30</v>
      </c>
      <c r="Q127" s="102">
        <v>6</v>
      </c>
      <c r="R127" s="102">
        <v>6</v>
      </c>
      <c r="S127" s="102" t="s">
        <v>1493</v>
      </c>
      <c r="T127" s="102"/>
      <c r="U127" s="95"/>
      <c r="V127" s="95"/>
      <c r="W127" s="78"/>
    </row>
    <row r="128" spans="2:23" ht="12.75">
      <c r="B128" s="14" t="s">
        <v>44</v>
      </c>
      <c r="C128" s="14" t="s">
        <v>18</v>
      </c>
      <c r="D128" s="90" t="s">
        <v>374</v>
      </c>
      <c r="E128" s="80" t="s">
        <v>375</v>
      </c>
      <c r="F128" s="81">
        <v>4</v>
      </c>
      <c r="G128" s="81">
        <v>0</v>
      </c>
      <c r="H128" s="81">
        <v>4</v>
      </c>
      <c r="I128" s="101" t="s">
        <v>73</v>
      </c>
      <c r="J128" s="101" t="s">
        <v>73</v>
      </c>
      <c r="K128" s="101" t="s">
        <v>376</v>
      </c>
      <c r="L128" s="80" t="s">
        <v>1488</v>
      </c>
      <c r="M128" s="101" t="s">
        <v>1562</v>
      </c>
      <c r="N128" s="101">
        <v>1</v>
      </c>
      <c r="O128" s="101">
        <v>30</v>
      </c>
      <c r="P128" s="101">
        <v>30</v>
      </c>
      <c r="Q128" s="102">
        <v>4</v>
      </c>
      <c r="R128" s="102">
        <v>4</v>
      </c>
      <c r="S128" s="102"/>
      <c r="T128" s="102"/>
      <c r="U128" s="95"/>
      <c r="V128" s="95"/>
      <c r="W128" s="78"/>
    </row>
    <row r="129" spans="2:23" ht="12.75">
      <c r="B129" s="14" t="s">
        <v>44</v>
      </c>
      <c r="C129" s="14" t="s">
        <v>18</v>
      </c>
      <c r="D129" s="90" t="s">
        <v>374</v>
      </c>
      <c r="E129" s="80" t="s">
        <v>375</v>
      </c>
      <c r="F129" s="81">
        <v>4</v>
      </c>
      <c r="G129" s="81">
        <v>0</v>
      </c>
      <c r="H129" s="81">
        <v>4</v>
      </c>
      <c r="I129" s="101" t="s">
        <v>73</v>
      </c>
      <c r="J129" s="101" t="s">
        <v>73</v>
      </c>
      <c r="K129" s="101" t="s">
        <v>376</v>
      </c>
      <c r="L129" s="80" t="s">
        <v>1491</v>
      </c>
      <c r="M129" s="101" t="s">
        <v>1562</v>
      </c>
      <c r="N129" s="101">
        <v>1</v>
      </c>
      <c r="O129" s="101">
        <v>30</v>
      </c>
      <c r="P129" s="101">
        <v>30</v>
      </c>
      <c r="Q129" s="102">
        <v>4</v>
      </c>
      <c r="R129" s="102">
        <v>4</v>
      </c>
      <c r="S129" s="102"/>
      <c r="T129" s="102"/>
      <c r="U129" s="95"/>
      <c r="V129" s="95"/>
      <c r="W129" s="78"/>
    </row>
    <row r="130" spans="2:23" ht="12.75">
      <c r="B130" s="14" t="s">
        <v>44</v>
      </c>
      <c r="C130" s="14" t="s">
        <v>18</v>
      </c>
      <c r="D130" s="90" t="s">
        <v>195</v>
      </c>
      <c r="E130" s="80" t="s">
        <v>196</v>
      </c>
      <c r="F130" s="81">
        <v>3</v>
      </c>
      <c r="G130" s="81">
        <v>0</v>
      </c>
      <c r="H130" s="81">
        <v>3</v>
      </c>
      <c r="I130" s="101" t="s">
        <v>73</v>
      </c>
      <c r="J130" s="101" t="s">
        <v>73</v>
      </c>
      <c r="K130" s="101" t="s">
        <v>197</v>
      </c>
      <c r="L130" s="80" t="s">
        <v>1488</v>
      </c>
      <c r="M130" s="101" t="s">
        <v>1562</v>
      </c>
      <c r="N130" s="101">
        <v>1</v>
      </c>
      <c r="O130" s="101">
        <v>30</v>
      </c>
      <c r="P130" s="101">
        <v>30</v>
      </c>
      <c r="Q130" s="102">
        <v>3</v>
      </c>
      <c r="R130" s="102">
        <v>3</v>
      </c>
      <c r="S130" s="102"/>
      <c r="T130" s="102"/>
      <c r="U130" s="95"/>
      <c r="V130" s="95"/>
      <c r="W130" s="78"/>
    </row>
    <row r="131" spans="2:23" ht="12.75">
      <c r="B131" s="14" t="s">
        <v>44</v>
      </c>
      <c r="C131" s="14" t="s">
        <v>18</v>
      </c>
      <c r="D131" s="90" t="s">
        <v>271</v>
      </c>
      <c r="E131" s="80" t="s">
        <v>272</v>
      </c>
      <c r="F131" s="81">
        <v>3</v>
      </c>
      <c r="G131" s="81">
        <v>2</v>
      </c>
      <c r="H131" s="81">
        <v>2</v>
      </c>
      <c r="I131" s="101" t="s">
        <v>73</v>
      </c>
      <c r="J131" s="101" t="s">
        <v>73</v>
      </c>
      <c r="K131" s="101" t="s">
        <v>273</v>
      </c>
      <c r="L131" s="80" t="s">
        <v>1491</v>
      </c>
      <c r="M131" s="101" t="s">
        <v>1562</v>
      </c>
      <c r="N131" s="101">
        <v>1</v>
      </c>
      <c r="O131" s="101">
        <v>30</v>
      </c>
      <c r="P131" s="101">
        <v>30</v>
      </c>
      <c r="Q131" s="102">
        <v>5</v>
      </c>
      <c r="R131" s="102">
        <v>5</v>
      </c>
      <c r="S131" s="102"/>
      <c r="T131" s="102"/>
      <c r="U131" s="95"/>
      <c r="V131" s="95"/>
      <c r="W131" s="78"/>
    </row>
    <row r="132" spans="2:23" ht="12.75">
      <c r="B132" s="14" t="s">
        <v>44</v>
      </c>
      <c r="C132" s="14" t="s">
        <v>18</v>
      </c>
      <c r="D132" s="90" t="s">
        <v>193</v>
      </c>
      <c r="E132" s="80" t="s">
        <v>194</v>
      </c>
      <c r="F132" s="81">
        <v>2</v>
      </c>
      <c r="G132" s="81">
        <v>2</v>
      </c>
      <c r="H132" s="81">
        <v>4</v>
      </c>
      <c r="I132" s="101" t="s">
        <v>73</v>
      </c>
      <c r="J132" s="101" t="s">
        <v>73</v>
      </c>
      <c r="K132" s="101" t="s">
        <v>163</v>
      </c>
      <c r="L132" s="80" t="s">
        <v>1488</v>
      </c>
      <c r="M132" s="101" t="s">
        <v>1562</v>
      </c>
      <c r="N132" s="101">
        <v>1</v>
      </c>
      <c r="O132" s="101">
        <v>30</v>
      </c>
      <c r="P132" s="101">
        <v>30</v>
      </c>
      <c r="Q132" s="102">
        <v>4</v>
      </c>
      <c r="R132" s="102">
        <v>4</v>
      </c>
      <c r="S132" s="102" t="s">
        <v>1493</v>
      </c>
      <c r="T132" s="102"/>
      <c r="U132" s="95"/>
      <c r="V132" s="95"/>
      <c r="W132" s="78"/>
    </row>
    <row r="133" spans="2:23" ht="12.75">
      <c r="B133" s="35" t="s">
        <v>41</v>
      </c>
      <c r="C133" s="35" t="s">
        <v>19</v>
      </c>
      <c r="D133" s="90" t="s">
        <v>170</v>
      </c>
      <c r="E133" s="80" t="s">
        <v>171</v>
      </c>
      <c r="F133" s="81">
        <v>4</v>
      </c>
      <c r="G133" s="81">
        <v>0</v>
      </c>
      <c r="H133" s="81">
        <v>5</v>
      </c>
      <c r="I133" s="101" t="s">
        <v>71</v>
      </c>
      <c r="J133" s="101" t="s">
        <v>71</v>
      </c>
      <c r="K133" s="101" t="s">
        <v>76</v>
      </c>
      <c r="L133" s="80" t="s">
        <v>1488</v>
      </c>
      <c r="M133" s="101" t="s">
        <v>1528</v>
      </c>
      <c r="N133" s="101">
        <v>2</v>
      </c>
      <c r="O133" s="101">
        <v>110</v>
      </c>
      <c r="P133" s="101">
        <v>220</v>
      </c>
      <c r="Q133" s="102">
        <v>8</v>
      </c>
      <c r="R133" s="102">
        <v>8</v>
      </c>
      <c r="S133" s="102"/>
      <c r="T133" s="95"/>
      <c r="U133" s="95"/>
      <c r="V133" s="95"/>
      <c r="W133" s="78"/>
    </row>
    <row r="134" spans="2:23" ht="12.75">
      <c r="B134" s="35" t="s">
        <v>41</v>
      </c>
      <c r="C134" s="35" t="s">
        <v>19</v>
      </c>
      <c r="D134" s="90" t="s">
        <v>170</v>
      </c>
      <c r="E134" s="80" t="s">
        <v>171</v>
      </c>
      <c r="F134" s="81">
        <v>4</v>
      </c>
      <c r="G134" s="81">
        <v>0</v>
      </c>
      <c r="H134" s="81">
        <v>5</v>
      </c>
      <c r="I134" s="101" t="s">
        <v>71</v>
      </c>
      <c r="J134" s="101" t="s">
        <v>71</v>
      </c>
      <c r="K134" s="101" t="s">
        <v>76</v>
      </c>
      <c r="L134" s="80" t="s">
        <v>1491</v>
      </c>
      <c r="M134" s="101" t="s">
        <v>1528</v>
      </c>
      <c r="N134" s="101">
        <v>2</v>
      </c>
      <c r="O134" s="101">
        <v>110</v>
      </c>
      <c r="P134" s="101">
        <v>220</v>
      </c>
      <c r="Q134" s="102">
        <v>8</v>
      </c>
      <c r="R134" s="102">
        <v>8</v>
      </c>
      <c r="S134" s="102"/>
      <c r="T134" s="95"/>
      <c r="U134" s="95"/>
      <c r="V134" s="95"/>
      <c r="W134" s="78"/>
    </row>
    <row r="135" spans="2:23" ht="12.75">
      <c r="B135" s="35" t="s">
        <v>41</v>
      </c>
      <c r="C135" s="35" t="s">
        <v>19</v>
      </c>
      <c r="D135" s="90" t="s">
        <v>166</v>
      </c>
      <c r="E135" s="80" t="s">
        <v>167</v>
      </c>
      <c r="F135" s="81">
        <v>0</v>
      </c>
      <c r="G135" s="81">
        <v>2</v>
      </c>
      <c r="H135" s="81">
        <v>2</v>
      </c>
      <c r="I135" s="101" t="s">
        <v>71</v>
      </c>
      <c r="J135" s="101" t="s">
        <v>71</v>
      </c>
      <c r="K135" s="101" t="s">
        <v>76</v>
      </c>
      <c r="L135" s="80" t="s">
        <v>1488</v>
      </c>
      <c r="M135" s="101" t="s">
        <v>1528</v>
      </c>
      <c r="N135" s="101">
        <v>5</v>
      </c>
      <c r="O135" s="101">
        <v>42</v>
      </c>
      <c r="P135" s="101">
        <v>210</v>
      </c>
      <c r="Q135" s="102">
        <v>10</v>
      </c>
      <c r="R135" s="102">
        <v>10</v>
      </c>
      <c r="S135" s="102" t="s">
        <v>1490</v>
      </c>
      <c r="T135" s="95"/>
      <c r="U135" s="95"/>
      <c r="V135" s="95"/>
      <c r="W135" s="78"/>
    </row>
    <row r="136" spans="2:23" ht="12.75">
      <c r="B136" s="35" t="s">
        <v>41</v>
      </c>
      <c r="C136" s="35" t="s">
        <v>19</v>
      </c>
      <c r="D136" s="90" t="s">
        <v>166</v>
      </c>
      <c r="E136" s="80" t="s">
        <v>167</v>
      </c>
      <c r="F136" s="81">
        <v>0</v>
      </c>
      <c r="G136" s="81">
        <v>2</v>
      </c>
      <c r="H136" s="81">
        <v>2</v>
      </c>
      <c r="I136" s="101" t="s">
        <v>71</v>
      </c>
      <c r="J136" s="101" t="s">
        <v>71</v>
      </c>
      <c r="K136" s="101" t="s">
        <v>76</v>
      </c>
      <c r="L136" s="80" t="s">
        <v>1491</v>
      </c>
      <c r="M136" s="101" t="s">
        <v>1528</v>
      </c>
      <c r="N136" s="101">
        <v>5</v>
      </c>
      <c r="O136" s="101">
        <v>42</v>
      </c>
      <c r="P136" s="101">
        <v>210</v>
      </c>
      <c r="Q136" s="102">
        <v>10</v>
      </c>
      <c r="R136" s="102">
        <v>10</v>
      </c>
      <c r="S136" s="102" t="s">
        <v>1490</v>
      </c>
      <c r="T136" s="95"/>
      <c r="U136" s="95"/>
      <c r="V136" s="95"/>
      <c r="W136" s="78"/>
    </row>
    <row r="137" spans="2:23" ht="12.75">
      <c r="B137" s="35" t="s">
        <v>41</v>
      </c>
      <c r="C137" s="35" t="s">
        <v>19</v>
      </c>
      <c r="D137" s="90" t="s">
        <v>430</v>
      </c>
      <c r="E137" s="80" t="s">
        <v>390</v>
      </c>
      <c r="F137" s="81">
        <v>2</v>
      </c>
      <c r="G137" s="81">
        <v>0</v>
      </c>
      <c r="H137" s="81">
        <v>4</v>
      </c>
      <c r="I137" s="101" t="s">
        <v>71</v>
      </c>
      <c r="J137" s="101" t="s">
        <v>71</v>
      </c>
      <c r="K137" s="101" t="s">
        <v>76</v>
      </c>
      <c r="L137" s="80" t="s">
        <v>1488</v>
      </c>
      <c r="M137" s="101" t="s">
        <v>1528</v>
      </c>
      <c r="N137" s="101">
        <v>2</v>
      </c>
      <c r="O137" s="101">
        <v>120</v>
      </c>
      <c r="P137" s="101">
        <v>240</v>
      </c>
      <c r="Q137" s="102">
        <v>4</v>
      </c>
      <c r="R137" s="102">
        <v>4</v>
      </c>
      <c r="S137" s="102"/>
      <c r="T137" s="95"/>
      <c r="U137" s="95"/>
      <c r="V137" s="95"/>
      <c r="W137" s="78"/>
    </row>
    <row r="138" spans="2:23" ht="12.75">
      <c r="B138" s="35" t="s">
        <v>41</v>
      </c>
      <c r="C138" s="35" t="s">
        <v>19</v>
      </c>
      <c r="D138" s="90" t="s">
        <v>430</v>
      </c>
      <c r="E138" s="80" t="s">
        <v>390</v>
      </c>
      <c r="F138" s="81">
        <v>2</v>
      </c>
      <c r="G138" s="81">
        <v>0</v>
      </c>
      <c r="H138" s="81">
        <v>4</v>
      </c>
      <c r="I138" s="101" t="s">
        <v>71</v>
      </c>
      <c r="J138" s="101" t="s">
        <v>71</v>
      </c>
      <c r="K138" s="101" t="s">
        <v>76</v>
      </c>
      <c r="L138" s="80" t="s">
        <v>1491</v>
      </c>
      <c r="M138" s="101" t="s">
        <v>1528</v>
      </c>
      <c r="N138" s="101">
        <v>2</v>
      </c>
      <c r="O138" s="101">
        <v>120</v>
      </c>
      <c r="P138" s="101">
        <v>240</v>
      </c>
      <c r="Q138" s="102">
        <v>4</v>
      </c>
      <c r="R138" s="102">
        <v>4</v>
      </c>
      <c r="S138" s="102"/>
      <c r="T138" s="95"/>
      <c r="U138" s="95"/>
      <c r="V138" s="95"/>
      <c r="W138" s="78"/>
    </row>
    <row r="139" spans="2:23" ht="12.75">
      <c r="B139" s="35" t="s">
        <v>41</v>
      </c>
      <c r="C139" s="35" t="s">
        <v>19</v>
      </c>
      <c r="D139" s="90" t="s">
        <v>542</v>
      </c>
      <c r="E139" s="80" t="s">
        <v>543</v>
      </c>
      <c r="F139" s="81">
        <v>3</v>
      </c>
      <c r="G139" s="81">
        <v>0</v>
      </c>
      <c r="H139" s="81">
        <v>4</v>
      </c>
      <c r="I139" s="101" t="s">
        <v>71</v>
      </c>
      <c r="J139" s="101" t="s">
        <v>71</v>
      </c>
      <c r="K139" s="101" t="s">
        <v>76</v>
      </c>
      <c r="L139" s="80" t="s">
        <v>1488</v>
      </c>
      <c r="M139" s="101" t="s">
        <v>1528</v>
      </c>
      <c r="N139" s="101">
        <v>2</v>
      </c>
      <c r="O139" s="101">
        <v>110</v>
      </c>
      <c r="P139" s="101">
        <v>220</v>
      </c>
      <c r="Q139" s="102">
        <v>6</v>
      </c>
      <c r="R139" s="102">
        <v>6</v>
      </c>
      <c r="S139" s="102"/>
      <c r="T139" s="95"/>
      <c r="U139" s="95"/>
      <c r="V139" s="95"/>
      <c r="W139" s="78"/>
    </row>
    <row r="140" spans="2:23" ht="12.75">
      <c r="B140" s="35" t="s">
        <v>41</v>
      </c>
      <c r="C140" s="35" t="s">
        <v>19</v>
      </c>
      <c r="D140" s="90" t="s">
        <v>542</v>
      </c>
      <c r="E140" s="80" t="s">
        <v>543</v>
      </c>
      <c r="F140" s="81">
        <v>3</v>
      </c>
      <c r="G140" s="81">
        <v>0</v>
      </c>
      <c r="H140" s="81">
        <v>4</v>
      </c>
      <c r="I140" s="101" t="s">
        <v>71</v>
      </c>
      <c r="J140" s="101" t="s">
        <v>71</v>
      </c>
      <c r="K140" s="101" t="s">
        <v>76</v>
      </c>
      <c r="L140" s="80" t="s">
        <v>1491</v>
      </c>
      <c r="M140" s="101" t="s">
        <v>1528</v>
      </c>
      <c r="N140" s="101">
        <v>2</v>
      </c>
      <c r="O140" s="101">
        <v>110</v>
      </c>
      <c r="P140" s="101">
        <v>220</v>
      </c>
      <c r="Q140" s="102">
        <v>6</v>
      </c>
      <c r="R140" s="102">
        <v>6</v>
      </c>
      <c r="S140" s="102"/>
      <c r="T140" s="95"/>
      <c r="U140" s="95"/>
      <c r="V140" s="95"/>
      <c r="W140" s="78"/>
    </row>
    <row r="141" spans="2:23" ht="12.75">
      <c r="B141" s="35" t="s">
        <v>41</v>
      </c>
      <c r="C141" s="35" t="s">
        <v>19</v>
      </c>
      <c r="D141" s="90" t="s">
        <v>477</v>
      </c>
      <c r="E141" s="80" t="s">
        <v>478</v>
      </c>
      <c r="F141" s="81">
        <v>4</v>
      </c>
      <c r="G141" s="81">
        <v>0</v>
      </c>
      <c r="H141" s="81">
        <v>4</v>
      </c>
      <c r="I141" s="101" t="s">
        <v>71</v>
      </c>
      <c r="J141" s="101" t="s">
        <v>71</v>
      </c>
      <c r="K141" s="101" t="s">
        <v>76</v>
      </c>
      <c r="L141" s="80" t="s">
        <v>1488</v>
      </c>
      <c r="M141" s="101" t="s">
        <v>1528</v>
      </c>
      <c r="N141" s="101">
        <v>2</v>
      </c>
      <c r="O141" s="101">
        <v>110</v>
      </c>
      <c r="P141" s="101">
        <v>220</v>
      </c>
      <c r="Q141" s="102">
        <v>8</v>
      </c>
      <c r="R141" s="102">
        <v>8</v>
      </c>
      <c r="S141" s="102"/>
      <c r="T141" s="95"/>
      <c r="U141" s="95"/>
      <c r="V141" s="95"/>
      <c r="W141" s="78"/>
    </row>
    <row r="142" spans="2:23" ht="12.75">
      <c r="B142" s="35" t="s">
        <v>41</v>
      </c>
      <c r="C142" s="35" t="s">
        <v>19</v>
      </c>
      <c r="D142" s="90" t="s">
        <v>477</v>
      </c>
      <c r="E142" s="80" t="s">
        <v>478</v>
      </c>
      <c r="F142" s="81">
        <v>4</v>
      </c>
      <c r="G142" s="81">
        <v>0</v>
      </c>
      <c r="H142" s="81">
        <v>4</v>
      </c>
      <c r="I142" s="101" t="s">
        <v>71</v>
      </c>
      <c r="J142" s="101" t="s">
        <v>71</v>
      </c>
      <c r="K142" s="101" t="s">
        <v>76</v>
      </c>
      <c r="L142" s="80" t="s">
        <v>1491</v>
      </c>
      <c r="M142" s="101" t="s">
        <v>1528</v>
      </c>
      <c r="N142" s="101">
        <v>2</v>
      </c>
      <c r="O142" s="101">
        <v>110</v>
      </c>
      <c r="P142" s="101">
        <v>220</v>
      </c>
      <c r="Q142" s="102">
        <v>8</v>
      </c>
      <c r="R142" s="102">
        <v>8</v>
      </c>
      <c r="S142" s="102"/>
      <c r="T142" s="95"/>
      <c r="U142" s="95"/>
      <c r="V142" s="95"/>
      <c r="W142" s="78"/>
    </row>
    <row r="143" spans="2:23" ht="12.75">
      <c r="B143" s="35" t="s">
        <v>41</v>
      </c>
      <c r="C143" s="35" t="s">
        <v>19</v>
      </c>
      <c r="D143" s="90" t="s">
        <v>340</v>
      </c>
      <c r="E143" s="80" t="s">
        <v>341</v>
      </c>
      <c r="F143" s="81">
        <v>4</v>
      </c>
      <c r="G143" s="81">
        <v>0</v>
      </c>
      <c r="H143" s="81">
        <v>4</v>
      </c>
      <c r="I143" s="101" t="s">
        <v>71</v>
      </c>
      <c r="J143" s="101" t="s">
        <v>71</v>
      </c>
      <c r="K143" s="101" t="s">
        <v>76</v>
      </c>
      <c r="L143" s="80" t="s">
        <v>1488</v>
      </c>
      <c r="M143" s="101" t="s">
        <v>1528</v>
      </c>
      <c r="N143" s="101">
        <v>2</v>
      </c>
      <c r="O143" s="101">
        <v>100</v>
      </c>
      <c r="P143" s="101">
        <v>200</v>
      </c>
      <c r="Q143" s="102">
        <v>8</v>
      </c>
      <c r="R143" s="102">
        <v>8</v>
      </c>
      <c r="S143" s="102"/>
      <c r="T143" s="95"/>
      <c r="U143" s="95"/>
      <c r="V143" s="95"/>
      <c r="W143" s="78"/>
    </row>
    <row r="144" spans="2:23" ht="12.75">
      <c r="B144" s="35" t="s">
        <v>41</v>
      </c>
      <c r="C144" s="35" t="s">
        <v>19</v>
      </c>
      <c r="D144" s="90" t="s">
        <v>340</v>
      </c>
      <c r="E144" s="80" t="s">
        <v>341</v>
      </c>
      <c r="F144" s="81">
        <v>4</v>
      </c>
      <c r="G144" s="81">
        <v>0</v>
      </c>
      <c r="H144" s="81">
        <v>4</v>
      </c>
      <c r="I144" s="101" t="s">
        <v>71</v>
      </c>
      <c r="J144" s="101" t="s">
        <v>71</v>
      </c>
      <c r="K144" s="101" t="s">
        <v>76</v>
      </c>
      <c r="L144" s="80" t="s">
        <v>1491</v>
      </c>
      <c r="M144" s="101" t="s">
        <v>1528</v>
      </c>
      <c r="N144" s="101">
        <v>2</v>
      </c>
      <c r="O144" s="101">
        <v>100</v>
      </c>
      <c r="P144" s="101">
        <v>200</v>
      </c>
      <c r="Q144" s="102">
        <v>8</v>
      </c>
      <c r="R144" s="102">
        <v>8</v>
      </c>
      <c r="S144" s="102"/>
      <c r="T144" s="95"/>
      <c r="U144" s="95"/>
      <c r="V144" s="95"/>
      <c r="W144" s="78"/>
    </row>
    <row r="145" spans="2:23" ht="12.75">
      <c r="B145" s="35" t="s">
        <v>41</v>
      </c>
      <c r="C145" s="35" t="s">
        <v>19</v>
      </c>
      <c r="D145" s="90" t="s">
        <v>990</v>
      </c>
      <c r="E145" s="80" t="s">
        <v>991</v>
      </c>
      <c r="F145" s="81">
        <v>4</v>
      </c>
      <c r="G145" s="81">
        <v>0</v>
      </c>
      <c r="H145" s="81">
        <v>4</v>
      </c>
      <c r="I145" s="101" t="s">
        <v>71</v>
      </c>
      <c r="J145" s="101" t="s">
        <v>71</v>
      </c>
      <c r="K145" s="101" t="s">
        <v>76</v>
      </c>
      <c r="L145" s="80" t="s">
        <v>1488</v>
      </c>
      <c r="M145" s="101" t="s">
        <v>1528</v>
      </c>
      <c r="N145" s="101">
        <v>2</v>
      </c>
      <c r="O145" s="101">
        <v>100</v>
      </c>
      <c r="P145" s="101">
        <v>200</v>
      </c>
      <c r="Q145" s="102">
        <v>8</v>
      </c>
      <c r="R145" s="102">
        <v>8</v>
      </c>
      <c r="S145" s="102"/>
      <c r="T145" s="95"/>
      <c r="U145" s="95"/>
      <c r="V145" s="95"/>
      <c r="W145" s="78"/>
    </row>
    <row r="146" spans="2:23" ht="12.75">
      <c r="B146" s="35" t="s">
        <v>41</v>
      </c>
      <c r="C146" s="35" t="s">
        <v>19</v>
      </c>
      <c r="D146" s="90" t="s">
        <v>990</v>
      </c>
      <c r="E146" s="80" t="s">
        <v>991</v>
      </c>
      <c r="F146" s="81">
        <v>4</v>
      </c>
      <c r="G146" s="81">
        <v>0</v>
      </c>
      <c r="H146" s="81">
        <v>4</v>
      </c>
      <c r="I146" s="101" t="s">
        <v>71</v>
      </c>
      <c r="J146" s="101" t="s">
        <v>71</v>
      </c>
      <c r="K146" s="101" t="s">
        <v>76</v>
      </c>
      <c r="L146" s="80" t="s">
        <v>1491</v>
      </c>
      <c r="M146" s="101" t="s">
        <v>1528</v>
      </c>
      <c r="N146" s="101">
        <v>2</v>
      </c>
      <c r="O146" s="101">
        <v>100</v>
      </c>
      <c r="P146" s="101">
        <v>200</v>
      </c>
      <c r="Q146" s="102">
        <v>8</v>
      </c>
      <c r="R146" s="102">
        <v>8</v>
      </c>
      <c r="S146" s="102"/>
      <c r="T146" s="95"/>
      <c r="U146" s="95"/>
      <c r="V146" s="95"/>
      <c r="W146" s="78"/>
    </row>
    <row r="147" spans="2:23" ht="12.75">
      <c r="B147" s="35" t="s">
        <v>41</v>
      </c>
      <c r="C147" s="35" t="s">
        <v>19</v>
      </c>
      <c r="D147" s="90" t="s">
        <v>1273</v>
      </c>
      <c r="E147" s="80" t="s">
        <v>1274</v>
      </c>
      <c r="F147" s="81">
        <v>4</v>
      </c>
      <c r="G147" s="81">
        <v>0</v>
      </c>
      <c r="H147" s="81">
        <v>4</v>
      </c>
      <c r="I147" s="101" t="s">
        <v>71</v>
      </c>
      <c r="J147" s="101" t="s">
        <v>71</v>
      </c>
      <c r="K147" s="101" t="s">
        <v>76</v>
      </c>
      <c r="L147" s="80" t="s">
        <v>1488</v>
      </c>
      <c r="M147" s="101" t="s">
        <v>1528</v>
      </c>
      <c r="N147" s="101">
        <v>2</v>
      </c>
      <c r="O147" s="101">
        <v>100</v>
      </c>
      <c r="P147" s="101">
        <v>200</v>
      </c>
      <c r="Q147" s="102">
        <v>8</v>
      </c>
      <c r="R147" s="102">
        <v>8</v>
      </c>
      <c r="S147" s="102"/>
      <c r="T147" s="95"/>
      <c r="U147" s="95"/>
      <c r="V147" s="95"/>
      <c r="W147" s="78"/>
    </row>
    <row r="148" spans="2:23" ht="12.75">
      <c r="B148" s="35" t="s">
        <v>41</v>
      </c>
      <c r="C148" s="35" t="s">
        <v>19</v>
      </c>
      <c r="D148" s="90" t="s">
        <v>1273</v>
      </c>
      <c r="E148" s="80" t="s">
        <v>1274</v>
      </c>
      <c r="F148" s="81">
        <v>4</v>
      </c>
      <c r="G148" s="81">
        <v>0</v>
      </c>
      <c r="H148" s="81">
        <v>4</v>
      </c>
      <c r="I148" s="101" t="s">
        <v>71</v>
      </c>
      <c r="J148" s="101" t="s">
        <v>71</v>
      </c>
      <c r="K148" s="101" t="s">
        <v>76</v>
      </c>
      <c r="L148" s="80" t="s">
        <v>1491</v>
      </c>
      <c r="M148" s="101" t="s">
        <v>1528</v>
      </c>
      <c r="N148" s="101">
        <v>2</v>
      </c>
      <c r="O148" s="101">
        <v>100</v>
      </c>
      <c r="P148" s="101">
        <v>200</v>
      </c>
      <c r="Q148" s="102">
        <v>8</v>
      </c>
      <c r="R148" s="102">
        <v>8</v>
      </c>
      <c r="S148" s="102"/>
      <c r="T148" s="95"/>
      <c r="U148" s="95"/>
      <c r="V148" s="95"/>
      <c r="W148" s="78"/>
    </row>
    <row r="149" spans="2:23" ht="12.75">
      <c r="B149" s="35" t="s">
        <v>41</v>
      </c>
      <c r="C149" s="35" t="s">
        <v>19</v>
      </c>
      <c r="D149" s="90" t="s">
        <v>1304</v>
      </c>
      <c r="E149" s="80" t="s">
        <v>1305</v>
      </c>
      <c r="F149" s="81">
        <v>4</v>
      </c>
      <c r="G149" s="81">
        <v>0</v>
      </c>
      <c r="H149" s="81">
        <v>4</v>
      </c>
      <c r="I149" s="101" t="s">
        <v>71</v>
      </c>
      <c r="J149" s="101" t="s">
        <v>71</v>
      </c>
      <c r="K149" s="101" t="s">
        <v>76</v>
      </c>
      <c r="L149" s="80" t="s">
        <v>1488</v>
      </c>
      <c r="M149" s="101" t="s">
        <v>1528</v>
      </c>
      <c r="N149" s="101">
        <v>2</v>
      </c>
      <c r="O149" s="101">
        <v>100</v>
      </c>
      <c r="P149" s="101">
        <v>200</v>
      </c>
      <c r="Q149" s="102">
        <v>8</v>
      </c>
      <c r="R149" s="102">
        <v>8</v>
      </c>
      <c r="S149" s="102"/>
      <c r="T149" s="95"/>
      <c r="U149" s="95"/>
      <c r="V149" s="95"/>
      <c r="W149" s="78"/>
    </row>
    <row r="150" spans="2:23" ht="12.75">
      <c r="B150" s="35" t="s">
        <v>41</v>
      </c>
      <c r="C150" s="35" t="s">
        <v>19</v>
      </c>
      <c r="D150" s="90" t="s">
        <v>1304</v>
      </c>
      <c r="E150" s="80" t="s">
        <v>1305</v>
      </c>
      <c r="F150" s="81">
        <v>4</v>
      </c>
      <c r="G150" s="81">
        <v>0</v>
      </c>
      <c r="H150" s="81">
        <v>4</v>
      </c>
      <c r="I150" s="101" t="s">
        <v>71</v>
      </c>
      <c r="J150" s="101" t="s">
        <v>71</v>
      </c>
      <c r="K150" s="101" t="s">
        <v>76</v>
      </c>
      <c r="L150" s="80" t="s">
        <v>1491</v>
      </c>
      <c r="M150" s="101" t="s">
        <v>1528</v>
      </c>
      <c r="N150" s="101">
        <v>2</v>
      </c>
      <c r="O150" s="101">
        <v>100</v>
      </c>
      <c r="P150" s="101">
        <v>200</v>
      </c>
      <c r="Q150" s="102">
        <v>8</v>
      </c>
      <c r="R150" s="102">
        <v>8</v>
      </c>
      <c r="S150" s="102"/>
      <c r="T150" s="95"/>
      <c r="U150" s="95"/>
      <c r="V150" s="95"/>
      <c r="W150" s="78"/>
    </row>
    <row r="151" spans="2:23" ht="12.75">
      <c r="B151" s="35" t="s">
        <v>41</v>
      </c>
      <c r="C151" s="35" t="s">
        <v>19</v>
      </c>
      <c r="D151" s="90" t="s">
        <v>743</v>
      </c>
      <c r="E151" s="80" t="s">
        <v>744</v>
      </c>
      <c r="F151" s="81">
        <v>4</v>
      </c>
      <c r="G151" s="81">
        <v>0</v>
      </c>
      <c r="H151" s="81">
        <v>4</v>
      </c>
      <c r="I151" s="101" t="s">
        <v>71</v>
      </c>
      <c r="J151" s="101" t="s">
        <v>71</v>
      </c>
      <c r="K151" s="101" t="s">
        <v>76</v>
      </c>
      <c r="L151" s="80" t="s">
        <v>1488</v>
      </c>
      <c r="M151" s="101" t="s">
        <v>1528</v>
      </c>
      <c r="N151" s="101">
        <v>2</v>
      </c>
      <c r="O151" s="101">
        <v>100</v>
      </c>
      <c r="P151" s="101">
        <v>200</v>
      </c>
      <c r="Q151" s="102">
        <v>8</v>
      </c>
      <c r="R151" s="102">
        <v>8</v>
      </c>
      <c r="S151" s="102"/>
      <c r="T151" s="95"/>
      <c r="U151" s="95"/>
      <c r="V151" s="95"/>
      <c r="W151" s="78"/>
    </row>
    <row r="152" spans="2:23" ht="12.75">
      <c r="B152" s="35" t="s">
        <v>41</v>
      </c>
      <c r="C152" s="35" t="s">
        <v>19</v>
      </c>
      <c r="D152" s="90" t="s">
        <v>743</v>
      </c>
      <c r="E152" s="80" t="s">
        <v>744</v>
      </c>
      <c r="F152" s="81">
        <v>4</v>
      </c>
      <c r="G152" s="81">
        <v>0</v>
      </c>
      <c r="H152" s="81">
        <v>4</v>
      </c>
      <c r="I152" s="101" t="s">
        <v>71</v>
      </c>
      <c r="J152" s="101" t="s">
        <v>71</v>
      </c>
      <c r="K152" s="101" t="s">
        <v>76</v>
      </c>
      <c r="L152" s="80" t="s">
        <v>1491</v>
      </c>
      <c r="M152" s="101" t="s">
        <v>1528</v>
      </c>
      <c r="N152" s="101">
        <v>2</v>
      </c>
      <c r="O152" s="101">
        <v>100</v>
      </c>
      <c r="P152" s="101">
        <v>200</v>
      </c>
      <c r="Q152" s="102">
        <v>8</v>
      </c>
      <c r="R152" s="102">
        <v>8</v>
      </c>
      <c r="S152" s="102"/>
      <c r="T152" s="95"/>
      <c r="U152" s="95"/>
      <c r="V152" s="95"/>
      <c r="W152" s="78"/>
    </row>
    <row r="153" spans="2:23" ht="12.75">
      <c r="B153" s="35" t="s">
        <v>41</v>
      </c>
      <c r="C153" s="35" t="s">
        <v>19</v>
      </c>
      <c r="D153" s="90" t="s">
        <v>948</v>
      </c>
      <c r="E153" s="80" t="s">
        <v>949</v>
      </c>
      <c r="F153" s="81">
        <v>4</v>
      </c>
      <c r="G153" s="81">
        <v>0</v>
      </c>
      <c r="H153" s="81">
        <v>4</v>
      </c>
      <c r="I153" s="101" t="s">
        <v>71</v>
      </c>
      <c r="J153" s="101" t="s">
        <v>71</v>
      </c>
      <c r="K153" s="101" t="s">
        <v>76</v>
      </c>
      <c r="L153" s="80" t="s">
        <v>1491</v>
      </c>
      <c r="M153" s="101" t="s">
        <v>1528</v>
      </c>
      <c r="N153" s="101">
        <v>1</v>
      </c>
      <c r="O153" s="101">
        <v>90</v>
      </c>
      <c r="P153" s="101">
        <v>90</v>
      </c>
      <c r="Q153" s="102">
        <v>4</v>
      </c>
      <c r="R153" s="102">
        <v>4</v>
      </c>
      <c r="S153" s="102"/>
      <c r="T153" s="95"/>
      <c r="U153" s="95"/>
      <c r="V153" s="78"/>
    </row>
    <row r="154" spans="2:23" ht="12.75">
      <c r="B154" s="35" t="s">
        <v>41</v>
      </c>
      <c r="C154" s="35" t="s">
        <v>19</v>
      </c>
      <c r="D154" s="90" t="s">
        <v>988</v>
      </c>
      <c r="E154" s="80" t="s">
        <v>989</v>
      </c>
      <c r="F154" s="81">
        <v>4</v>
      </c>
      <c r="G154" s="81">
        <v>0</v>
      </c>
      <c r="H154" s="81">
        <v>4</v>
      </c>
      <c r="I154" s="101" t="s">
        <v>71</v>
      </c>
      <c r="J154" s="101" t="s">
        <v>71</v>
      </c>
      <c r="K154" s="101" t="s">
        <v>76</v>
      </c>
      <c r="L154" s="80" t="s">
        <v>1491</v>
      </c>
      <c r="M154" s="101" t="s">
        <v>1528</v>
      </c>
      <c r="N154" s="101">
        <v>1</v>
      </c>
      <c r="O154" s="101">
        <v>90</v>
      </c>
      <c r="P154" s="101">
        <v>90</v>
      </c>
      <c r="Q154" s="102">
        <v>4</v>
      </c>
      <c r="R154" s="102">
        <v>4</v>
      </c>
      <c r="S154" s="102"/>
      <c r="T154" s="95"/>
      <c r="U154" s="95"/>
      <c r="V154" s="78"/>
    </row>
    <row r="155" spans="2:23" ht="12.75">
      <c r="B155" s="15" t="s">
        <v>46</v>
      </c>
      <c r="C155" s="15" t="s">
        <v>20</v>
      </c>
      <c r="D155" s="81" t="s">
        <v>990</v>
      </c>
      <c r="E155" s="80" t="s">
        <v>991</v>
      </c>
      <c r="F155" s="81">
        <v>4</v>
      </c>
      <c r="G155" s="81">
        <v>0</v>
      </c>
      <c r="H155" s="81">
        <v>4</v>
      </c>
      <c r="I155" s="101" t="s">
        <v>71</v>
      </c>
      <c r="J155" s="101" t="s">
        <v>71</v>
      </c>
      <c r="K155" s="80" t="s">
        <v>76</v>
      </c>
      <c r="L155" s="101" t="s">
        <v>1488</v>
      </c>
      <c r="M155" s="101" t="s">
        <v>1528</v>
      </c>
      <c r="N155" s="101">
        <v>2</v>
      </c>
      <c r="O155" s="101">
        <v>120</v>
      </c>
      <c r="P155" s="102">
        <v>240</v>
      </c>
      <c r="Q155" s="102">
        <v>8</v>
      </c>
      <c r="R155" s="102">
        <v>8</v>
      </c>
      <c r="S155" s="80"/>
      <c r="T155" s="101"/>
      <c r="U155" s="95"/>
      <c r="V155" s="78"/>
    </row>
    <row r="156" spans="2:23" ht="12.75">
      <c r="B156" s="15" t="s">
        <v>46</v>
      </c>
      <c r="C156" s="15" t="s">
        <v>20</v>
      </c>
      <c r="D156" s="81" t="s">
        <v>990</v>
      </c>
      <c r="E156" s="80" t="s">
        <v>991</v>
      </c>
      <c r="F156" s="81">
        <v>4</v>
      </c>
      <c r="G156" s="81">
        <v>0</v>
      </c>
      <c r="H156" s="81">
        <v>4</v>
      </c>
      <c r="I156" s="101" t="s">
        <v>71</v>
      </c>
      <c r="J156" s="101" t="s">
        <v>71</v>
      </c>
      <c r="K156" s="80" t="s">
        <v>76</v>
      </c>
      <c r="L156" s="101" t="s">
        <v>1491</v>
      </c>
      <c r="M156" s="101" t="s">
        <v>1528</v>
      </c>
      <c r="N156" s="101">
        <v>2</v>
      </c>
      <c r="O156" s="101">
        <v>120</v>
      </c>
      <c r="P156" s="102">
        <v>240</v>
      </c>
      <c r="Q156" s="102">
        <v>8</v>
      </c>
      <c r="R156" s="102">
        <v>8</v>
      </c>
      <c r="S156" s="80"/>
      <c r="T156" s="101"/>
      <c r="U156" s="95"/>
      <c r="V156" s="78"/>
    </row>
    <row r="157" spans="2:23" ht="12.75">
      <c r="B157" s="15" t="s">
        <v>46</v>
      </c>
      <c r="C157" s="15" t="s">
        <v>20</v>
      </c>
      <c r="D157" s="81" t="s">
        <v>891</v>
      </c>
      <c r="E157" s="80" t="s">
        <v>892</v>
      </c>
      <c r="F157" s="81">
        <v>4</v>
      </c>
      <c r="G157" s="81">
        <v>0</v>
      </c>
      <c r="H157" s="81">
        <v>3</v>
      </c>
      <c r="I157" s="101" t="s">
        <v>71</v>
      </c>
      <c r="J157" s="101" t="s">
        <v>71</v>
      </c>
      <c r="K157" s="80" t="s">
        <v>76</v>
      </c>
      <c r="L157" s="101" t="s">
        <v>1488</v>
      </c>
      <c r="M157" s="101" t="s">
        <v>1528</v>
      </c>
      <c r="N157" s="101">
        <v>1</v>
      </c>
      <c r="O157" s="101">
        <v>90</v>
      </c>
      <c r="P157" s="102">
        <v>90</v>
      </c>
      <c r="Q157" s="102">
        <v>4</v>
      </c>
      <c r="R157" s="102">
        <v>4</v>
      </c>
      <c r="S157" s="80"/>
      <c r="T157" s="101"/>
      <c r="U157" s="95"/>
      <c r="V157" s="78"/>
    </row>
    <row r="158" spans="2:23" ht="12.75">
      <c r="B158" s="15" t="s">
        <v>46</v>
      </c>
      <c r="C158" s="15" t="s">
        <v>20</v>
      </c>
      <c r="D158" s="81" t="s">
        <v>891</v>
      </c>
      <c r="E158" s="80" t="s">
        <v>892</v>
      </c>
      <c r="F158" s="81">
        <v>4</v>
      </c>
      <c r="G158" s="81">
        <v>0</v>
      </c>
      <c r="H158" s="81">
        <v>3</v>
      </c>
      <c r="I158" s="101" t="s">
        <v>71</v>
      </c>
      <c r="J158" s="101" t="s">
        <v>71</v>
      </c>
      <c r="K158" s="80" t="s">
        <v>76</v>
      </c>
      <c r="L158" s="101" t="s">
        <v>1491</v>
      </c>
      <c r="M158" s="101" t="s">
        <v>1528</v>
      </c>
      <c r="N158" s="101">
        <v>1</v>
      </c>
      <c r="O158" s="101">
        <v>90</v>
      </c>
      <c r="P158" s="102">
        <v>90</v>
      </c>
      <c r="Q158" s="102">
        <v>4</v>
      </c>
      <c r="R158" s="102">
        <v>4</v>
      </c>
      <c r="S158" s="80"/>
      <c r="T158" s="101"/>
      <c r="U158" s="95"/>
      <c r="V158" s="78"/>
    </row>
    <row r="159" spans="2:23" ht="12.75">
      <c r="B159" s="15" t="s">
        <v>46</v>
      </c>
      <c r="C159" s="15" t="s">
        <v>20</v>
      </c>
      <c r="D159" s="81" t="s">
        <v>928</v>
      </c>
      <c r="E159" s="80" t="s">
        <v>394</v>
      </c>
      <c r="F159" s="81">
        <v>4</v>
      </c>
      <c r="G159" s="81">
        <v>0</v>
      </c>
      <c r="H159" s="81">
        <v>3</v>
      </c>
      <c r="I159" s="101" t="s">
        <v>71</v>
      </c>
      <c r="J159" s="101" t="s">
        <v>71</v>
      </c>
      <c r="K159" s="80" t="s">
        <v>927</v>
      </c>
      <c r="L159" s="101" t="s">
        <v>1488</v>
      </c>
      <c r="M159" s="101" t="s">
        <v>1528</v>
      </c>
      <c r="N159" s="101">
        <v>1</v>
      </c>
      <c r="O159" s="101">
        <v>90</v>
      </c>
      <c r="P159" s="102">
        <v>90</v>
      </c>
      <c r="Q159" s="102">
        <v>4</v>
      </c>
      <c r="R159" s="102">
        <v>4</v>
      </c>
      <c r="S159" s="80"/>
      <c r="T159" s="101"/>
      <c r="U159" s="95"/>
      <c r="V159" s="78"/>
    </row>
    <row r="160" spans="2:23" ht="12.75">
      <c r="B160" s="15" t="s">
        <v>46</v>
      </c>
      <c r="C160" s="15" t="s">
        <v>20</v>
      </c>
      <c r="D160" s="81" t="s">
        <v>928</v>
      </c>
      <c r="E160" s="80" t="s">
        <v>394</v>
      </c>
      <c r="F160" s="81">
        <v>4</v>
      </c>
      <c r="G160" s="81">
        <v>0</v>
      </c>
      <c r="H160" s="81">
        <v>3</v>
      </c>
      <c r="I160" s="101" t="s">
        <v>71</v>
      </c>
      <c r="J160" s="101" t="s">
        <v>71</v>
      </c>
      <c r="K160" s="80" t="s">
        <v>927</v>
      </c>
      <c r="L160" s="101" t="s">
        <v>1491</v>
      </c>
      <c r="M160" s="101" t="s">
        <v>1528</v>
      </c>
      <c r="N160" s="101">
        <v>1</v>
      </c>
      <c r="O160" s="101">
        <v>90</v>
      </c>
      <c r="P160" s="102">
        <v>90</v>
      </c>
      <c r="Q160" s="102">
        <v>4</v>
      </c>
      <c r="R160" s="102">
        <v>4</v>
      </c>
      <c r="S160" s="80"/>
      <c r="T160" s="101"/>
      <c r="U160" s="95"/>
      <c r="V160" s="78"/>
    </row>
    <row r="161" spans="2:22" ht="12.75">
      <c r="B161" s="15" t="s">
        <v>46</v>
      </c>
      <c r="C161" s="15" t="s">
        <v>20</v>
      </c>
      <c r="D161" s="81" t="s">
        <v>839</v>
      </c>
      <c r="E161" s="80" t="s">
        <v>397</v>
      </c>
      <c r="F161" s="81">
        <v>3</v>
      </c>
      <c r="G161" s="81">
        <v>0</v>
      </c>
      <c r="H161" s="81">
        <v>4</v>
      </c>
      <c r="I161" s="101" t="s">
        <v>71</v>
      </c>
      <c r="J161" s="101" t="s">
        <v>71</v>
      </c>
      <c r="K161" s="80" t="s">
        <v>837</v>
      </c>
      <c r="L161" s="101" t="s">
        <v>1488</v>
      </c>
      <c r="M161" s="101" t="s">
        <v>1528</v>
      </c>
      <c r="N161" s="101">
        <v>1</v>
      </c>
      <c r="O161" s="101">
        <v>90</v>
      </c>
      <c r="P161" s="102">
        <v>90</v>
      </c>
      <c r="Q161" s="102">
        <v>3</v>
      </c>
      <c r="R161" s="102">
        <v>3</v>
      </c>
      <c r="S161" s="80"/>
      <c r="T161" s="101"/>
      <c r="U161" s="95"/>
      <c r="V161" s="78"/>
    </row>
    <row r="162" spans="2:22" ht="12.75">
      <c r="B162" s="15" t="s">
        <v>46</v>
      </c>
      <c r="C162" s="15" t="s">
        <v>20</v>
      </c>
      <c r="D162" s="81" t="s">
        <v>839</v>
      </c>
      <c r="E162" s="80" t="s">
        <v>397</v>
      </c>
      <c r="F162" s="81">
        <v>3</v>
      </c>
      <c r="G162" s="81">
        <v>0</v>
      </c>
      <c r="H162" s="81">
        <v>4</v>
      </c>
      <c r="I162" s="101" t="s">
        <v>71</v>
      </c>
      <c r="J162" s="101" t="s">
        <v>71</v>
      </c>
      <c r="K162" s="80" t="s">
        <v>837</v>
      </c>
      <c r="L162" s="101" t="s">
        <v>1491</v>
      </c>
      <c r="M162" s="101" t="s">
        <v>1528</v>
      </c>
      <c r="N162" s="101">
        <v>1</v>
      </c>
      <c r="O162" s="101">
        <v>90</v>
      </c>
      <c r="P162" s="102">
        <v>90</v>
      </c>
      <c r="Q162" s="102">
        <v>3</v>
      </c>
      <c r="R162" s="102">
        <v>3</v>
      </c>
      <c r="S162" s="80"/>
      <c r="T162" s="101"/>
      <c r="U162" s="95"/>
      <c r="V162" s="78"/>
    </row>
    <row r="163" spans="2:22" ht="12.75">
      <c r="B163" s="15" t="s">
        <v>46</v>
      </c>
      <c r="C163" s="15" t="s">
        <v>20</v>
      </c>
      <c r="D163" s="81" t="s">
        <v>392</v>
      </c>
      <c r="E163" s="80" t="s">
        <v>393</v>
      </c>
      <c r="F163" s="81">
        <v>3</v>
      </c>
      <c r="G163" s="81">
        <v>0</v>
      </c>
      <c r="H163" s="81">
        <v>3</v>
      </c>
      <c r="I163" s="101" t="s">
        <v>71</v>
      </c>
      <c r="J163" s="101" t="s">
        <v>71</v>
      </c>
      <c r="K163" s="80" t="s">
        <v>76</v>
      </c>
      <c r="L163" s="101" t="s">
        <v>1488</v>
      </c>
      <c r="M163" s="101" t="s">
        <v>1528</v>
      </c>
      <c r="N163" s="101">
        <v>1</v>
      </c>
      <c r="O163" s="101">
        <v>90</v>
      </c>
      <c r="P163" s="102">
        <v>90</v>
      </c>
      <c r="Q163" s="102">
        <v>3</v>
      </c>
      <c r="R163" s="102">
        <v>3</v>
      </c>
      <c r="S163" s="80"/>
      <c r="T163" s="101"/>
      <c r="U163" s="95"/>
      <c r="V163" s="78"/>
    </row>
    <row r="164" spans="2:22" ht="12.75">
      <c r="B164" s="15" t="s">
        <v>46</v>
      </c>
      <c r="C164" s="15" t="s">
        <v>20</v>
      </c>
      <c r="D164" s="81" t="s">
        <v>392</v>
      </c>
      <c r="E164" s="80" t="s">
        <v>393</v>
      </c>
      <c r="F164" s="81">
        <v>3</v>
      </c>
      <c r="G164" s="81">
        <v>0</v>
      </c>
      <c r="H164" s="81">
        <v>3</v>
      </c>
      <c r="I164" s="101" t="s">
        <v>71</v>
      </c>
      <c r="J164" s="101" t="s">
        <v>71</v>
      </c>
      <c r="K164" s="80" t="s">
        <v>76</v>
      </c>
      <c r="L164" s="101" t="s">
        <v>1491</v>
      </c>
      <c r="M164" s="101" t="s">
        <v>1528</v>
      </c>
      <c r="N164" s="101">
        <v>1</v>
      </c>
      <c r="O164" s="101">
        <v>90</v>
      </c>
      <c r="P164" s="102">
        <v>90</v>
      </c>
      <c r="Q164" s="102">
        <v>3</v>
      </c>
      <c r="R164" s="102">
        <v>3</v>
      </c>
      <c r="S164" s="80"/>
      <c r="T164" s="101"/>
      <c r="U164" s="95"/>
      <c r="V164" s="78"/>
    </row>
    <row r="165" spans="2:22" ht="12.75">
      <c r="B165" s="15" t="s">
        <v>46</v>
      </c>
      <c r="C165" s="15" t="s">
        <v>20</v>
      </c>
      <c r="D165" s="81" t="s">
        <v>1597</v>
      </c>
      <c r="E165" s="80" t="s">
        <v>383</v>
      </c>
      <c r="F165" s="81">
        <v>4</v>
      </c>
      <c r="G165" s="81">
        <v>0</v>
      </c>
      <c r="H165" s="81">
        <v>3</v>
      </c>
      <c r="I165" s="101" t="s">
        <v>71</v>
      </c>
      <c r="J165" s="101" t="s">
        <v>71</v>
      </c>
      <c r="K165" s="80" t="s">
        <v>382</v>
      </c>
      <c r="L165" s="101" t="s">
        <v>1488</v>
      </c>
      <c r="M165" s="101" t="s">
        <v>1528</v>
      </c>
      <c r="N165" s="101">
        <v>1</v>
      </c>
      <c r="O165" s="101">
        <v>90</v>
      </c>
      <c r="P165" s="102">
        <v>90</v>
      </c>
      <c r="Q165" s="102">
        <v>4</v>
      </c>
      <c r="R165" s="102">
        <v>4</v>
      </c>
      <c r="S165" s="80"/>
      <c r="T165" s="101"/>
      <c r="U165" s="95"/>
      <c r="V165" s="78"/>
    </row>
    <row r="166" spans="2:22" ht="12.75">
      <c r="B166" s="15" t="s">
        <v>46</v>
      </c>
      <c r="C166" s="15" t="s">
        <v>20</v>
      </c>
      <c r="D166" s="81" t="s">
        <v>1597</v>
      </c>
      <c r="E166" s="80" t="s">
        <v>383</v>
      </c>
      <c r="F166" s="81">
        <v>4</v>
      </c>
      <c r="G166" s="81">
        <v>0</v>
      </c>
      <c r="H166" s="81">
        <v>3</v>
      </c>
      <c r="I166" s="101" t="s">
        <v>71</v>
      </c>
      <c r="J166" s="101" t="s">
        <v>71</v>
      </c>
      <c r="K166" s="80" t="s">
        <v>382</v>
      </c>
      <c r="L166" s="101" t="s">
        <v>1491</v>
      </c>
      <c r="M166" s="101" t="s">
        <v>1528</v>
      </c>
      <c r="N166" s="101">
        <v>1</v>
      </c>
      <c r="O166" s="101">
        <v>90</v>
      </c>
      <c r="P166" s="102">
        <v>90</v>
      </c>
      <c r="Q166" s="102">
        <v>4</v>
      </c>
      <c r="R166" s="102">
        <v>4</v>
      </c>
      <c r="S166" s="80"/>
      <c r="T166" s="101"/>
      <c r="U166" s="95"/>
      <c r="V166" s="78"/>
    </row>
    <row r="167" spans="2:22" ht="12.75">
      <c r="B167" s="15" t="s">
        <v>46</v>
      </c>
      <c r="C167" s="15" t="s">
        <v>20</v>
      </c>
      <c r="D167" s="81" t="s">
        <v>1598</v>
      </c>
      <c r="E167" s="80" t="s">
        <v>388</v>
      </c>
      <c r="F167" s="81">
        <v>3</v>
      </c>
      <c r="G167" s="81">
        <v>0</v>
      </c>
      <c r="H167" s="81">
        <v>4</v>
      </c>
      <c r="I167" s="101" t="s">
        <v>71</v>
      </c>
      <c r="J167" s="101" t="s">
        <v>71</v>
      </c>
      <c r="K167" s="80" t="s">
        <v>387</v>
      </c>
      <c r="L167" s="101" t="s">
        <v>1488</v>
      </c>
      <c r="M167" s="101" t="s">
        <v>1528</v>
      </c>
      <c r="N167" s="101">
        <v>1</v>
      </c>
      <c r="O167" s="101">
        <v>90</v>
      </c>
      <c r="P167" s="102">
        <v>90</v>
      </c>
      <c r="Q167" s="102">
        <v>3</v>
      </c>
      <c r="R167" s="102">
        <v>3</v>
      </c>
      <c r="S167" s="80"/>
      <c r="T167" s="101"/>
      <c r="U167" s="95"/>
      <c r="V167" s="78"/>
    </row>
    <row r="168" spans="2:22" ht="12.75">
      <c r="B168" s="15" t="s">
        <v>46</v>
      </c>
      <c r="C168" s="15" t="s">
        <v>20</v>
      </c>
      <c r="D168" s="81" t="s">
        <v>1598</v>
      </c>
      <c r="E168" s="80" t="s">
        <v>388</v>
      </c>
      <c r="F168" s="81">
        <v>3</v>
      </c>
      <c r="G168" s="81">
        <v>0</v>
      </c>
      <c r="H168" s="81">
        <v>4</v>
      </c>
      <c r="I168" s="101" t="s">
        <v>71</v>
      </c>
      <c r="J168" s="101" t="s">
        <v>71</v>
      </c>
      <c r="K168" s="80" t="s">
        <v>387</v>
      </c>
      <c r="L168" s="101" t="s">
        <v>1491</v>
      </c>
      <c r="M168" s="101" t="s">
        <v>1528</v>
      </c>
      <c r="N168" s="101">
        <v>1</v>
      </c>
      <c r="O168" s="101">
        <v>90</v>
      </c>
      <c r="P168" s="102">
        <v>90</v>
      </c>
      <c r="Q168" s="102">
        <v>3</v>
      </c>
      <c r="R168" s="102">
        <v>3</v>
      </c>
      <c r="S168" s="80"/>
      <c r="T168" s="101"/>
      <c r="U168" s="95"/>
      <c r="V168" s="78"/>
    </row>
    <row r="169" spans="2:22" ht="12.75">
      <c r="B169" s="15" t="s">
        <v>46</v>
      </c>
      <c r="C169" s="15" t="s">
        <v>20</v>
      </c>
      <c r="D169" s="81" t="s">
        <v>1599</v>
      </c>
      <c r="E169" s="80" t="s">
        <v>599</v>
      </c>
      <c r="F169" s="81">
        <v>4</v>
      </c>
      <c r="G169" s="81">
        <v>0</v>
      </c>
      <c r="H169" s="81">
        <v>4</v>
      </c>
      <c r="I169" s="101" t="s">
        <v>71</v>
      </c>
      <c r="J169" s="101" t="s">
        <v>71</v>
      </c>
      <c r="K169" s="80" t="s">
        <v>76</v>
      </c>
      <c r="L169" s="101" t="s">
        <v>1488</v>
      </c>
      <c r="M169" s="101" t="s">
        <v>1528</v>
      </c>
      <c r="N169" s="101">
        <v>1</v>
      </c>
      <c r="O169" s="101">
        <v>90</v>
      </c>
      <c r="P169" s="102">
        <v>90</v>
      </c>
      <c r="Q169" s="102">
        <v>4</v>
      </c>
      <c r="R169" s="102">
        <v>4</v>
      </c>
      <c r="S169" s="80"/>
      <c r="T169" s="101"/>
      <c r="U169" s="95"/>
      <c r="V169" s="78"/>
    </row>
    <row r="170" spans="2:22" ht="12.75">
      <c r="B170" s="15" t="s">
        <v>46</v>
      </c>
      <c r="C170" s="15" t="s">
        <v>20</v>
      </c>
      <c r="D170" s="81" t="s">
        <v>1599</v>
      </c>
      <c r="E170" s="80" t="s">
        <v>599</v>
      </c>
      <c r="F170" s="81">
        <v>4</v>
      </c>
      <c r="G170" s="81">
        <v>0</v>
      </c>
      <c r="H170" s="81">
        <v>4</v>
      </c>
      <c r="I170" s="101" t="s">
        <v>71</v>
      </c>
      <c r="J170" s="101" t="s">
        <v>71</v>
      </c>
      <c r="K170" s="80" t="s">
        <v>76</v>
      </c>
      <c r="L170" s="101" t="s">
        <v>1491</v>
      </c>
      <c r="M170" s="101" t="s">
        <v>1528</v>
      </c>
      <c r="N170" s="101">
        <v>1</v>
      </c>
      <c r="O170" s="101">
        <v>90</v>
      </c>
      <c r="P170" s="102">
        <v>90</v>
      </c>
      <c r="Q170" s="102">
        <v>4</v>
      </c>
      <c r="R170" s="102">
        <v>4</v>
      </c>
      <c r="S170" s="80"/>
      <c r="T170" s="101"/>
      <c r="U170" s="95"/>
      <c r="V170" s="78"/>
    </row>
    <row r="171" spans="2:22" ht="12.75">
      <c r="B171" s="15" t="s">
        <v>46</v>
      </c>
      <c r="C171" s="15" t="s">
        <v>20</v>
      </c>
      <c r="D171" s="81" t="s">
        <v>1254</v>
      </c>
      <c r="E171" s="80" t="s">
        <v>1255</v>
      </c>
      <c r="F171" s="81">
        <v>2</v>
      </c>
      <c r="G171" s="81">
        <v>3</v>
      </c>
      <c r="H171" s="81">
        <v>0</v>
      </c>
      <c r="I171" s="101" t="s">
        <v>71</v>
      </c>
      <c r="J171" s="101" t="s">
        <v>71</v>
      </c>
      <c r="K171" s="80" t="s">
        <v>76</v>
      </c>
      <c r="L171" s="101" t="s">
        <v>1488</v>
      </c>
      <c r="M171" s="101" t="s">
        <v>1528</v>
      </c>
      <c r="N171" s="101">
        <v>1</v>
      </c>
      <c r="O171" s="101">
        <v>90</v>
      </c>
      <c r="P171" s="102">
        <v>90</v>
      </c>
      <c r="Q171" s="102">
        <v>5</v>
      </c>
      <c r="R171" s="102">
        <v>5</v>
      </c>
      <c r="S171" s="80"/>
      <c r="T171" s="101"/>
      <c r="U171" s="95"/>
      <c r="V171" s="78"/>
    </row>
    <row r="172" spans="2:22" ht="12.75">
      <c r="B172" s="15" t="s">
        <v>46</v>
      </c>
      <c r="C172" s="15" t="s">
        <v>20</v>
      </c>
      <c r="D172" s="81" t="s">
        <v>1254</v>
      </c>
      <c r="E172" s="80" t="s">
        <v>1255</v>
      </c>
      <c r="F172" s="81">
        <v>2</v>
      </c>
      <c r="G172" s="81">
        <v>3</v>
      </c>
      <c r="H172" s="81">
        <v>0</v>
      </c>
      <c r="I172" s="101" t="s">
        <v>71</v>
      </c>
      <c r="J172" s="101" t="s">
        <v>71</v>
      </c>
      <c r="K172" s="80" t="s">
        <v>76</v>
      </c>
      <c r="L172" s="101" t="s">
        <v>1491</v>
      </c>
      <c r="M172" s="101" t="s">
        <v>1528</v>
      </c>
      <c r="N172" s="101">
        <v>1</v>
      </c>
      <c r="O172" s="101">
        <v>90</v>
      </c>
      <c r="P172" s="102">
        <v>90</v>
      </c>
      <c r="Q172" s="102">
        <v>5</v>
      </c>
      <c r="R172" s="102">
        <v>5</v>
      </c>
      <c r="S172" s="80"/>
      <c r="T172" s="101"/>
      <c r="U172" s="95"/>
      <c r="V172" s="78"/>
    </row>
    <row r="173" spans="2:22" ht="12.75">
      <c r="B173" s="71" t="s">
        <v>46</v>
      </c>
      <c r="C173" s="71" t="s">
        <v>20</v>
      </c>
      <c r="D173" s="82" t="s">
        <v>1596</v>
      </c>
      <c r="E173" s="83" t="s">
        <v>329</v>
      </c>
      <c r="F173" s="82">
        <v>2</v>
      </c>
      <c r="G173" s="82">
        <v>1</v>
      </c>
      <c r="H173" s="82">
        <v>3</v>
      </c>
      <c r="I173" s="107" t="s">
        <v>1511</v>
      </c>
      <c r="J173" s="107" t="s">
        <v>1511</v>
      </c>
      <c r="K173" s="83" t="s">
        <v>76</v>
      </c>
      <c r="L173" s="107"/>
      <c r="M173" s="107" t="s">
        <v>1528</v>
      </c>
      <c r="N173" s="107">
        <v>2</v>
      </c>
      <c r="O173" s="107">
        <v>90</v>
      </c>
      <c r="P173" s="108">
        <v>180</v>
      </c>
      <c r="Q173" s="108">
        <v>6</v>
      </c>
      <c r="R173" s="108">
        <v>6</v>
      </c>
      <c r="S173" s="83"/>
      <c r="T173" s="107"/>
      <c r="U173" s="95"/>
      <c r="V173" s="78"/>
    </row>
    <row r="174" spans="2:22" ht="12.75">
      <c r="B174" s="71" t="s">
        <v>46</v>
      </c>
      <c r="C174" s="71" t="s">
        <v>20</v>
      </c>
      <c r="D174" s="82" t="s">
        <v>256</v>
      </c>
      <c r="E174" s="83" t="s">
        <v>257</v>
      </c>
      <c r="F174" s="82">
        <v>3</v>
      </c>
      <c r="G174" s="82">
        <v>0</v>
      </c>
      <c r="H174" s="82">
        <v>4</v>
      </c>
      <c r="I174" s="107" t="s">
        <v>71</v>
      </c>
      <c r="J174" s="107" t="s">
        <v>71</v>
      </c>
      <c r="K174" s="83" t="s">
        <v>76</v>
      </c>
      <c r="L174" s="107"/>
      <c r="M174" s="107" t="s">
        <v>1528</v>
      </c>
      <c r="N174" s="107">
        <v>2</v>
      </c>
      <c r="O174" s="107">
        <v>100</v>
      </c>
      <c r="P174" s="108">
        <v>200</v>
      </c>
      <c r="Q174" s="108">
        <v>6</v>
      </c>
      <c r="R174" s="108">
        <v>6</v>
      </c>
      <c r="S174" s="83"/>
      <c r="T174" s="107"/>
      <c r="U174" s="95"/>
      <c r="V174" s="78"/>
    </row>
    <row r="175" spans="2:22" ht="12.75">
      <c r="B175" s="15" t="s">
        <v>46</v>
      </c>
      <c r="C175" s="15" t="s">
        <v>20</v>
      </c>
      <c r="D175" s="81" t="s">
        <v>340</v>
      </c>
      <c r="E175" s="80" t="s">
        <v>341</v>
      </c>
      <c r="F175" s="81">
        <v>4</v>
      </c>
      <c r="G175" s="81">
        <v>0</v>
      </c>
      <c r="H175" s="81">
        <v>4</v>
      </c>
      <c r="I175" s="101" t="s">
        <v>71</v>
      </c>
      <c r="J175" s="101" t="s">
        <v>71</v>
      </c>
      <c r="K175" s="80" t="s">
        <v>76</v>
      </c>
      <c r="L175" s="101" t="s">
        <v>1488</v>
      </c>
      <c r="M175" s="101" t="s">
        <v>1528</v>
      </c>
      <c r="N175" s="101">
        <v>1</v>
      </c>
      <c r="O175" s="101">
        <v>120</v>
      </c>
      <c r="P175" s="102">
        <v>120</v>
      </c>
      <c r="Q175" s="102">
        <v>4</v>
      </c>
      <c r="R175" s="102">
        <v>4</v>
      </c>
      <c r="S175" s="80"/>
      <c r="T175" s="101"/>
      <c r="U175" s="80"/>
    </row>
    <row r="176" spans="2:22" ht="12.75">
      <c r="B176" s="15" t="s">
        <v>46</v>
      </c>
      <c r="C176" s="15" t="s">
        <v>20</v>
      </c>
      <c r="D176" s="81" t="s">
        <v>340</v>
      </c>
      <c r="E176" s="80" t="s">
        <v>341</v>
      </c>
      <c r="F176" s="81">
        <v>4</v>
      </c>
      <c r="G176" s="81">
        <v>0</v>
      </c>
      <c r="H176" s="81">
        <v>4</v>
      </c>
      <c r="I176" s="101" t="s">
        <v>71</v>
      </c>
      <c r="J176" s="101" t="s">
        <v>71</v>
      </c>
      <c r="K176" s="80" t="s">
        <v>76</v>
      </c>
      <c r="L176" s="101" t="s">
        <v>1491</v>
      </c>
      <c r="M176" s="101" t="s">
        <v>1528</v>
      </c>
      <c r="N176" s="101">
        <v>1</v>
      </c>
      <c r="O176" s="101">
        <v>120</v>
      </c>
      <c r="P176" s="102">
        <v>120</v>
      </c>
      <c r="Q176" s="102">
        <v>4</v>
      </c>
      <c r="R176" s="102">
        <v>4</v>
      </c>
      <c r="S176" s="80"/>
      <c r="T176" s="101"/>
      <c r="U176" s="80"/>
    </row>
    <row r="177" spans="2:21" ht="12.75">
      <c r="B177" s="15" t="s">
        <v>46</v>
      </c>
      <c r="C177" s="15" t="s">
        <v>20</v>
      </c>
      <c r="D177" s="81" t="s">
        <v>1593</v>
      </c>
      <c r="E177" s="80" t="s">
        <v>1463</v>
      </c>
      <c r="F177" s="81">
        <v>0</v>
      </c>
      <c r="G177" s="81">
        <v>9</v>
      </c>
      <c r="H177" s="81">
        <v>0</v>
      </c>
      <c r="I177" s="101" t="s">
        <v>71</v>
      </c>
      <c r="J177" s="101" t="s">
        <v>71</v>
      </c>
      <c r="K177" s="80" t="e">
        <v>#N/A</v>
      </c>
      <c r="L177" s="101" t="s">
        <v>1488</v>
      </c>
      <c r="M177" s="101" t="s">
        <v>1528</v>
      </c>
      <c r="N177" s="101"/>
      <c r="O177" s="101">
        <v>45</v>
      </c>
      <c r="P177" s="102">
        <v>45</v>
      </c>
      <c r="Q177" s="102">
        <v>9</v>
      </c>
      <c r="R177" s="102">
        <v>9</v>
      </c>
      <c r="S177" s="80"/>
      <c r="T177" s="101"/>
      <c r="U177" s="80"/>
    </row>
    <row r="178" spans="2:21" ht="12.75">
      <c r="B178" s="15" t="s">
        <v>46</v>
      </c>
      <c r="C178" s="15" t="s">
        <v>20</v>
      </c>
      <c r="D178" s="81" t="s">
        <v>1593</v>
      </c>
      <c r="E178" s="80" t="s">
        <v>1463</v>
      </c>
      <c r="F178" s="81">
        <v>0</v>
      </c>
      <c r="G178" s="81">
        <v>9</v>
      </c>
      <c r="H178" s="81">
        <v>0</v>
      </c>
      <c r="I178" s="101" t="s">
        <v>71</v>
      </c>
      <c r="J178" s="101" t="s">
        <v>71</v>
      </c>
      <c r="K178" s="80" t="e">
        <v>#N/A</v>
      </c>
      <c r="L178" s="101" t="s">
        <v>1491</v>
      </c>
      <c r="M178" s="101" t="s">
        <v>1528</v>
      </c>
      <c r="N178" s="101"/>
      <c r="O178" s="101">
        <v>45</v>
      </c>
      <c r="P178" s="102">
        <v>45</v>
      </c>
      <c r="Q178" s="102">
        <v>9</v>
      </c>
      <c r="R178" s="102">
        <v>9</v>
      </c>
      <c r="S178" s="80"/>
      <c r="T178" s="101"/>
      <c r="U178" s="80"/>
    </row>
    <row r="179" spans="2:21" ht="12.75">
      <c r="B179" s="12" t="s">
        <v>1772</v>
      </c>
      <c r="C179" s="12" t="s">
        <v>1680</v>
      </c>
      <c r="D179" s="90" t="s">
        <v>722</v>
      </c>
      <c r="E179" s="80" t="s">
        <v>1681</v>
      </c>
      <c r="F179" s="81">
        <v>4</v>
      </c>
      <c r="G179" s="81">
        <v>0</v>
      </c>
      <c r="H179" s="81">
        <v>4</v>
      </c>
      <c r="I179" s="101" t="s">
        <v>71</v>
      </c>
      <c r="J179" s="101" t="s">
        <v>71</v>
      </c>
      <c r="K179" s="101" t="s">
        <v>76</v>
      </c>
      <c r="L179" s="80" t="s">
        <v>1488</v>
      </c>
      <c r="M179" s="101" t="s">
        <v>1528</v>
      </c>
      <c r="N179" s="101">
        <v>1</v>
      </c>
      <c r="O179" s="101">
        <v>20</v>
      </c>
      <c r="P179" s="101">
        <v>20</v>
      </c>
      <c r="Q179" s="102">
        <v>4</v>
      </c>
      <c r="R179" s="102">
        <v>4</v>
      </c>
      <c r="S179" s="102" t="s">
        <v>1682</v>
      </c>
      <c r="T179" s="102" t="s">
        <v>1682</v>
      </c>
      <c r="U179" s="80"/>
    </row>
    <row r="180" spans="2:21" ht="12.75">
      <c r="B180" s="12" t="s">
        <v>1772</v>
      </c>
      <c r="C180" s="12" t="s">
        <v>1680</v>
      </c>
      <c r="D180" s="90" t="s">
        <v>722</v>
      </c>
      <c r="E180" s="80" t="s">
        <v>1681</v>
      </c>
      <c r="F180" s="81">
        <v>4</v>
      </c>
      <c r="G180" s="81">
        <v>0</v>
      </c>
      <c r="H180" s="81">
        <v>4</v>
      </c>
      <c r="I180" s="101" t="s">
        <v>71</v>
      </c>
      <c r="J180" s="101" t="s">
        <v>71</v>
      </c>
      <c r="K180" s="101" t="s">
        <v>76</v>
      </c>
      <c r="L180" s="80" t="s">
        <v>1491</v>
      </c>
      <c r="M180" s="101" t="s">
        <v>1528</v>
      </c>
      <c r="N180" s="101">
        <v>1</v>
      </c>
      <c r="O180" s="101">
        <v>20</v>
      </c>
      <c r="P180" s="101">
        <v>20</v>
      </c>
      <c r="Q180" s="102">
        <v>4</v>
      </c>
      <c r="R180" s="102">
        <v>4</v>
      </c>
      <c r="S180" s="102" t="s">
        <v>1682</v>
      </c>
      <c r="T180" s="102" t="s">
        <v>1682</v>
      </c>
      <c r="U180" s="80"/>
    </row>
    <row r="181" spans="2:21" ht="12.75">
      <c r="B181" s="12" t="s">
        <v>1772</v>
      </c>
      <c r="C181" s="12" t="s">
        <v>1680</v>
      </c>
      <c r="D181" s="90" t="s">
        <v>550</v>
      </c>
      <c r="E181" s="80" t="s">
        <v>551</v>
      </c>
      <c r="F181" s="81">
        <v>4</v>
      </c>
      <c r="G181" s="81">
        <v>0</v>
      </c>
      <c r="H181" s="81">
        <v>4</v>
      </c>
      <c r="I181" s="101" t="s">
        <v>71</v>
      </c>
      <c r="J181" s="101" t="s">
        <v>71</v>
      </c>
      <c r="K181" s="101" t="s">
        <v>76</v>
      </c>
      <c r="L181" s="80" t="s">
        <v>1488</v>
      </c>
      <c r="M181" s="101" t="s">
        <v>1528</v>
      </c>
      <c r="N181" s="101">
        <v>1</v>
      </c>
      <c r="O181" s="101">
        <v>20</v>
      </c>
      <c r="P181" s="101">
        <v>20</v>
      </c>
      <c r="Q181" s="102">
        <v>4</v>
      </c>
      <c r="R181" s="102">
        <v>4</v>
      </c>
      <c r="S181" s="102" t="s">
        <v>1682</v>
      </c>
      <c r="T181" s="102" t="s">
        <v>1682</v>
      </c>
      <c r="U181" s="80"/>
    </row>
    <row r="182" spans="2:21" ht="12.75">
      <c r="B182" s="12" t="s">
        <v>1772</v>
      </c>
      <c r="C182" s="12" t="s">
        <v>1680</v>
      </c>
      <c r="D182" s="90" t="s">
        <v>550</v>
      </c>
      <c r="E182" s="80" t="s">
        <v>551</v>
      </c>
      <c r="F182" s="81">
        <v>4</v>
      </c>
      <c r="G182" s="81">
        <v>0</v>
      </c>
      <c r="H182" s="81">
        <v>4</v>
      </c>
      <c r="I182" s="101" t="s">
        <v>71</v>
      </c>
      <c r="J182" s="101" t="s">
        <v>71</v>
      </c>
      <c r="K182" s="101" t="s">
        <v>76</v>
      </c>
      <c r="L182" s="80" t="s">
        <v>1491</v>
      </c>
      <c r="M182" s="101" t="s">
        <v>1528</v>
      </c>
      <c r="N182" s="101">
        <v>1</v>
      </c>
      <c r="O182" s="101">
        <v>20</v>
      </c>
      <c r="P182" s="101">
        <v>20</v>
      </c>
      <c r="Q182" s="102">
        <v>4</v>
      </c>
      <c r="R182" s="102">
        <v>4</v>
      </c>
      <c r="S182" s="102" t="s">
        <v>1682</v>
      </c>
      <c r="T182" s="102" t="s">
        <v>1682</v>
      </c>
      <c r="U182" s="80"/>
    </row>
    <row r="183" spans="2:21" ht="12.75">
      <c r="B183" s="12" t="s">
        <v>1772</v>
      </c>
      <c r="C183" s="12" t="s">
        <v>1680</v>
      </c>
      <c r="D183" s="90" t="s">
        <v>593</v>
      </c>
      <c r="E183" s="80" t="s">
        <v>594</v>
      </c>
      <c r="F183" s="81">
        <v>4</v>
      </c>
      <c r="G183" s="81">
        <v>0</v>
      </c>
      <c r="H183" s="81">
        <v>4</v>
      </c>
      <c r="I183" s="101" t="s">
        <v>71</v>
      </c>
      <c r="J183" s="101" t="s">
        <v>71</v>
      </c>
      <c r="K183" s="101" t="s">
        <v>76</v>
      </c>
      <c r="L183" s="80" t="s">
        <v>1488</v>
      </c>
      <c r="M183" s="101" t="s">
        <v>1528</v>
      </c>
      <c r="N183" s="101">
        <v>1</v>
      </c>
      <c r="O183" s="101">
        <v>20</v>
      </c>
      <c r="P183" s="101">
        <v>20</v>
      </c>
      <c r="Q183" s="102">
        <v>4</v>
      </c>
      <c r="R183" s="102">
        <v>4</v>
      </c>
      <c r="S183" s="102" t="s">
        <v>1682</v>
      </c>
      <c r="T183" s="102" t="s">
        <v>1682</v>
      </c>
      <c r="U183" s="80"/>
    </row>
    <row r="184" spans="2:21" ht="12.75">
      <c r="B184" s="12" t="s">
        <v>1772</v>
      </c>
      <c r="C184" s="12" t="s">
        <v>1680</v>
      </c>
      <c r="D184" s="90" t="s">
        <v>593</v>
      </c>
      <c r="E184" s="80" t="s">
        <v>594</v>
      </c>
      <c r="F184" s="81">
        <v>4</v>
      </c>
      <c r="G184" s="81">
        <v>0</v>
      </c>
      <c r="H184" s="81">
        <v>4</v>
      </c>
      <c r="I184" s="101" t="s">
        <v>71</v>
      </c>
      <c r="J184" s="101" t="s">
        <v>71</v>
      </c>
      <c r="K184" s="101" t="s">
        <v>76</v>
      </c>
      <c r="L184" s="80" t="s">
        <v>1491</v>
      </c>
      <c r="M184" s="101" t="s">
        <v>1528</v>
      </c>
      <c r="N184" s="101">
        <v>1</v>
      </c>
      <c r="O184" s="101">
        <v>20</v>
      </c>
      <c r="P184" s="101">
        <v>20</v>
      </c>
      <c r="Q184" s="102">
        <v>4</v>
      </c>
      <c r="R184" s="102">
        <v>4</v>
      </c>
      <c r="S184" s="102" t="s">
        <v>1682</v>
      </c>
      <c r="T184" s="102" t="s">
        <v>1682</v>
      </c>
      <c r="U184" s="80"/>
    </row>
    <row r="185" spans="2:21" ht="12.75">
      <c r="B185" s="12" t="s">
        <v>1772</v>
      </c>
      <c r="C185" s="12" t="s">
        <v>1680</v>
      </c>
      <c r="D185" s="90" t="s">
        <v>533</v>
      </c>
      <c r="E185" s="80" t="s">
        <v>534</v>
      </c>
      <c r="F185" s="81">
        <v>4</v>
      </c>
      <c r="G185" s="81">
        <v>0</v>
      </c>
      <c r="H185" s="81">
        <v>4</v>
      </c>
      <c r="I185" s="101" t="s">
        <v>71</v>
      </c>
      <c r="J185" s="101" t="s">
        <v>71</v>
      </c>
      <c r="K185" s="101" t="s">
        <v>76</v>
      </c>
      <c r="L185" s="80" t="s">
        <v>1488</v>
      </c>
      <c r="M185" s="101" t="s">
        <v>1528</v>
      </c>
      <c r="N185" s="101">
        <v>1</v>
      </c>
      <c r="O185" s="101">
        <v>20</v>
      </c>
      <c r="P185" s="101">
        <v>20</v>
      </c>
      <c r="Q185" s="102">
        <v>4</v>
      </c>
      <c r="R185" s="102">
        <v>4</v>
      </c>
      <c r="S185" s="102" t="s">
        <v>1682</v>
      </c>
      <c r="T185" s="102" t="s">
        <v>1682</v>
      </c>
      <c r="U185" s="80"/>
    </row>
    <row r="186" spans="2:21" ht="12.75">
      <c r="B186" s="12" t="s">
        <v>1772</v>
      </c>
      <c r="C186" s="12" t="s">
        <v>1680</v>
      </c>
      <c r="D186" s="90" t="s">
        <v>533</v>
      </c>
      <c r="E186" s="80" t="s">
        <v>534</v>
      </c>
      <c r="F186" s="81">
        <v>4</v>
      </c>
      <c r="G186" s="81">
        <v>0</v>
      </c>
      <c r="H186" s="81">
        <v>4</v>
      </c>
      <c r="I186" s="101" t="s">
        <v>71</v>
      </c>
      <c r="J186" s="101" t="s">
        <v>71</v>
      </c>
      <c r="K186" s="101" t="s">
        <v>76</v>
      </c>
      <c r="L186" s="80" t="s">
        <v>1491</v>
      </c>
      <c r="M186" s="101" t="s">
        <v>1528</v>
      </c>
      <c r="N186" s="101">
        <v>1</v>
      </c>
      <c r="O186" s="101">
        <v>20</v>
      </c>
      <c r="P186" s="101">
        <v>20</v>
      </c>
      <c r="Q186" s="102">
        <v>4</v>
      </c>
      <c r="R186" s="102">
        <v>4</v>
      </c>
      <c r="S186" s="102" t="s">
        <v>1682</v>
      </c>
      <c r="T186" s="102" t="s">
        <v>1682</v>
      </c>
      <c r="U186" s="80"/>
    </row>
    <row r="187" spans="2:21" ht="12.75">
      <c r="B187" s="12" t="s">
        <v>1772</v>
      </c>
      <c r="C187" s="12" t="s">
        <v>1680</v>
      </c>
      <c r="D187" s="90" t="s">
        <v>1270</v>
      </c>
      <c r="E187" s="80" t="s">
        <v>1271</v>
      </c>
      <c r="F187" s="81">
        <v>4</v>
      </c>
      <c r="G187" s="81">
        <v>0</v>
      </c>
      <c r="H187" s="81">
        <v>4</v>
      </c>
      <c r="I187" s="101" t="s">
        <v>73</v>
      </c>
      <c r="J187" s="101" t="s">
        <v>73</v>
      </c>
      <c r="K187" s="101" t="s">
        <v>76</v>
      </c>
      <c r="L187" s="80" t="s">
        <v>1488</v>
      </c>
      <c r="M187" s="101" t="s">
        <v>1528</v>
      </c>
      <c r="N187" s="101">
        <v>1</v>
      </c>
      <c r="O187" s="101">
        <v>20</v>
      </c>
      <c r="P187" s="101">
        <v>20</v>
      </c>
      <c r="Q187" s="102">
        <v>4</v>
      </c>
      <c r="R187" s="102">
        <v>4</v>
      </c>
      <c r="S187" s="102" t="s">
        <v>1682</v>
      </c>
      <c r="T187" s="102" t="s">
        <v>1682</v>
      </c>
      <c r="U187" s="80"/>
    </row>
    <row r="188" spans="2:21" ht="12.75">
      <c r="B188" s="12" t="s">
        <v>1772</v>
      </c>
      <c r="C188" s="12" t="s">
        <v>1680</v>
      </c>
      <c r="D188" s="90" t="s">
        <v>1270</v>
      </c>
      <c r="E188" s="80" t="s">
        <v>1271</v>
      </c>
      <c r="F188" s="81">
        <v>4</v>
      </c>
      <c r="G188" s="81">
        <v>0</v>
      </c>
      <c r="H188" s="81">
        <v>4</v>
      </c>
      <c r="I188" s="101" t="s">
        <v>73</v>
      </c>
      <c r="J188" s="101" t="s">
        <v>73</v>
      </c>
      <c r="K188" s="101" t="s">
        <v>76</v>
      </c>
      <c r="L188" s="80" t="s">
        <v>1491</v>
      </c>
      <c r="M188" s="101" t="s">
        <v>1528</v>
      </c>
      <c r="N188" s="101">
        <v>1</v>
      </c>
      <c r="O188" s="101">
        <v>20</v>
      </c>
      <c r="P188" s="101">
        <v>20</v>
      </c>
      <c r="Q188" s="102">
        <v>4</v>
      </c>
      <c r="R188" s="102">
        <v>4</v>
      </c>
      <c r="S188" s="102" t="s">
        <v>1682</v>
      </c>
      <c r="T188" s="102" t="s">
        <v>1682</v>
      </c>
      <c r="U188" s="80"/>
    </row>
    <row r="189" spans="2:21" ht="12.75">
      <c r="B189" s="12" t="s">
        <v>1772</v>
      </c>
      <c r="C189" s="12" t="s">
        <v>1680</v>
      </c>
      <c r="D189" s="90" t="s">
        <v>1266</v>
      </c>
      <c r="E189" s="80" t="s">
        <v>1267</v>
      </c>
      <c r="F189" s="81">
        <v>4</v>
      </c>
      <c r="G189" s="81">
        <v>0</v>
      </c>
      <c r="H189" s="81">
        <v>4</v>
      </c>
      <c r="I189" s="101" t="s">
        <v>73</v>
      </c>
      <c r="J189" s="101" t="s">
        <v>73</v>
      </c>
      <c r="K189" s="101" t="s">
        <v>76</v>
      </c>
      <c r="L189" s="80" t="s">
        <v>1488</v>
      </c>
      <c r="M189" s="101" t="s">
        <v>1528</v>
      </c>
      <c r="N189" s="101">
        <v>1</v>
      </c>
      <c r="O189" s="101">
        <v>20</v>
      </c>
      <c r="P189" s="101">
        <v>20</v>
      </c>
      <c r="Q189" s="102">
        <v>4</v>
      </c>
      <c r="R189" s="102">
        <v>4</v>
      </c>
      <c r="S189" s="102" t="s">
        <v>1682</v>
      </c>
      <c r="T189" s="102" t="s">
        <v>1682</v>
      </c>
      <c r="U189" s="80"/>
    </row>
    <row r="190" spans="2:21" ht="12.75">
      <c r="B190" s="12" t="s">
        <v>1772</v>
      </c>
      <c r="C190" s="12" t="s">
        <v>1680</v>
      </c>
      <c r="D190" s="90" t="s">
        <v>1266</v>
      </c>
      <c r="E190" s="80" t="s">
        <v>1267</v>
      </c>
      <c r="F190" s="81">
        <v>4</v>
      </c>
      <c r="G190" s="81">
        <v>0</v>
      </c>
      <c r="H190" s="81">
        <v>4</v>
      </c>
      <c r="I190" s="101" t="s">
        <v>73</v>
      </c>
      <c r="J190" s="101" t="s">
        <v>73</v>
      </c>
      <c r="K190" s="101" t="s">
        <v>76</v>
      </c>
      <c r="L190" s="80" t="s">
        <v>1491</v>
      </c>
      <c r="M190" s="101" t="s">
        <v>1528</v>
      </c>
      <c r="N190" s="101">
        <v>1</v>
      </c>
      <c r="O190" s="101">
        <v>20</v>
      </c>
      <c r="P190" s="101">
        <v>20</v>
      </c>
      <c r="Q190" s="102">
        <v>4</v>
      </c>
      <c r="R190" s="102">
        <v>4</v>
      </c>
      <c r="S190" s="102" t="s">
        <v>1682</v>
      </c>
      <c r="T190" s="102" t="s">
        <v>1682</v>
      </c>
      <c r="U190" s="80"/>
    </row>
    <row r="191" spans="2:21" ht="12.75">
      <c r="B191" s="12" t="s">
        <v>1772</v>
      </c>
      <c r="C191" s="12" t="s">
        <v>1680</v>
      </c>
      <c r="D191" s="90" t="s">
        <v>1388</v>
      </c>
      <c r="E191" s="80" t="s">
        <v>1389</v>
      </c>
      <c r="F191" s="81">
        <v>4</v>
      </c>
      <c r="G191" s="81">
        <v>0</v>
      </c>
      <c r="H191" s="81">
        <v>4</v>
      </c>
      <c r="I191" s="101" t="s">
        <v>71</v>
      </c>
      <c r="J191" s="101" t="s">
        <v>71</v>
      </c>
      <c r="K191" s="101" t="s">
        <v>1272</v>
      </c>
      <c r="L191" s="80" t="s">
        <v>1488</v>
      </c>
      <c r="M191" s="101" t="s">
        <v>1528</v>
      </c>
      <c r="N191" s="101">
        <v>1</v>
      </c>
      <c r="O191" s="101">
        <v>20</v>
      </c>
      <c r="P191" s="101">
        <v>20</v>
      </c>
      <c r="Q191" s="102">
        <v>4</v>
      </c>
      <c r="R191" s="102">
        <v>4</v>
      </c>
      <c r="S191" s="102" t="s">
        <v>1682</v>
      </c>
      <c r="T191" s="102" t="s">
        <v>1682</v>
      </c>
      <c r="U191" s="80"/>
    </row>
    <row r="192" spans="2:21" ht="12.75">
      <c r="B192" s="12" t="s">
        <v>1772</v>
      </c>
      <c r="C192" s="12" t="s">
        <v>1680</v>
      </c>
      <c r="D192" s="90" t="s">
        <v>1388</v>
      </c>
      <c r="E192" s="80" t="s">
        <v>1389</v>
      </c>
      <c r="F192" s="81">
        <v>4</v>
      </c>
      <c r="G192" s="81">
        <v>0</v>
      </c>
      <c r="H192" s="81">
        <v>4</v>
      </c>
      <c r="I192" s="101" t="s">
        <v>71</v>
      </c>
      <c r="J192" s="101" t="s">
        <v>71</v>
      </c>
      <c r="K192" s="101" t="s">
        <v>1272</v>
      </c>
      <c r="L192" s="80" t="s">
        <v>1491</v>
      </c>
      <c r="M192" s="101" t="s">
        <v>1528</v>
      </c>
      <c r="N192" s="101">
        <v>1</v>
      </c>
      <c r="O192" s="101">
        <v>20</v>
      </c>
      <c r="P192" s="101">
        <v>20</v>
      </c>
      <c r="Q192" s="102">
        <v>4</v>
      </c>
      <c r="R192" s="102">
        <v>4</v>
      </c>
      <c r="S192" s="102" t="s">
        <v>1682</v>
      </c>
      <c r="T192" s="102" t="s">
        <v>1682</v>
      </c>
      <c r="U192" s="80"/>
    </row>
    <row r="193" spans="1:22" ht="12.75">
      <c r="A193" s="1" t="s">
        <v>1672</v>
      </c>
      <c r="B193" s="12" t="s">
        <v>1772</v>
      </c>
      <c r="C193" s="12" t="s">
        <v>1680</v>
      </c>
      <c r="D193" s="90" t="s">
        <v>741</v>
      </c>
      <c r="E193" s="80" t="s">
        <v>742</v>
      </c>
      <c r="F193" s="81">
        <v>4</v>
      </c>
      <c r="G193" s="81">
        <v>0</v>
      </c>
      <c r="H193" s="81">
        <v>4</v>
      </c>
      <c r="I193" s="101" t="s">
        <v>71</v>
      </c>
      <c r="J193" s="101" t="s">
        <v>71</v>
      </c>
      <c r="K193" s="101" t="s">
        <v>76</v>
      </c>
      <c r="L193" s="80" t="s">
        <v>1488</v>
      </c>
      <c r="M193" s="101" t="s">
        <v>1528</v>
      </c>
      <c r="N193" s="101">
        <v>1</v>
      </c>
      <c r="O193" s="101">
        <v>20</v>
      </c>
      <c r="P193" s="101">
        <v>20</v>
      </c>
      <c r="Q193" s="102">
        <v>4</v>
      </c>
      <c r="R193" s="102">
        <v>4</v>
      </c>
      <c r="S193" s="102" t="s">
        <v>1682</v>
      </c>
      <c r="T193" s="102" t="s">
        <v>1682</v>
      </c>
      <c r="U193" s="83"/>
    </row>
    <row r="194" spans="1:22" ht="12.75">
      <c r="B194" s="12" t="s">
        <v>1772</v>
      </c>
      <c r="C194" s="12" t="s">
        <v>1680</v>
      </c>
      <c r="D194" s="90" t="s">
        <v>741</v>
      </c>
      <c r="E194" s="80" t="s">
        <v>742</v>
      </c>
      <c r="F194" s="81">
        <v>4</v>
      </c>
      <c r="G194" s="81">
        <v>0</v>
      </c>
      <c r="H194" s="81">
        <v>4</v>
      </c>
      <c r="I194" s="101" t="s">
        <v>71</v>
      </c>
      <c r="J194" s="101" t="s">
        <v>71</v>
      </c>
      <c r="K194" s="101" t="s">
        <v>76</v>
      </c>
      <c r="L194" s="80" t="s">
        <v>1491</v>
      </c>
      <c r="M194" s="101" t="s">
        <v>1528</v>
      </c>
      <c r="N194" s="101">
        <v>1</v>
      </c>
      <c r="O194" s="101">
        <v>20</v>
      </c>
      <c r="P194" s="101">
        <v>20</v>
      </c>
      <c r="Q194" s="102">
        <v>4</v>
      </c>
      <c r="R194" s="102">
        <v>4</v>
      </c>
      <c r="S194" s="102" t="s">
        <v>1682</v>
      </c>
      <c r="T194" s="102" t="s">
        <v>1682</v>
      </c>
      <c r="U194" s="83"/>
    </row>
    <row r="195" spans="1:22" ht="12.75">
      <c r="B195" s="12" t="s">
        <v>1772</v>
      </c>
      <c r="C195" s="12" t="s">
        <v>1680</v>
      </c>
      <c r="D195" s="90" t="s">
        <v>597</v>
      </c>
      <c r="E195" s="80" t="s">
        <v>598</v>
      </c>
      <c r="F195" s="81">
        <v>4</v>
      </c>
      <c r="G195" s="81">
        <v>0</v>
      </c>
      <c r="H195" s="81">
        <v>4</v>
      </c>
      <c r="I195" s="101" t="s">
        <v>71</v>
      </c>
      <c r="J195" s="101" t="s">
        <v>71</v>
      </c>
      <c r="K195" s="101" t="s">
        <v>76</v>
      </c>
      <c r="L195" s="80" t="s">
        <v>1488</v>
      </c>
      <c r="M195" s="101" t="s">
        <v>1528</v>
      </c>
      <c r="N195" s="101">
        <v>1</v>
      </c>
      <c r="O195" s="101">
        <v>20</v>
      </c>
      <c r="P195" s="101">
        <v>20</v>
      </c>
      <c r="Q195" s="102">
        <v>4</v>
      </c>
      <c r="R195" s="102">
        <v>4</v>
      </c>
      <c r="S195" s="102" t="s">
        <v>1682</v>
      </c>
      <c r="T195" s="102" t="s">
        <v>1682</v>
      </c>
      <c r="U195" s="80"/>
    </row>
    <row r="196" spans="1:22" ht="12.75">
      <c r="B196" s="12" t="s">
        <v>1772</v>
      </c>
      <c r="C196" s="12" t="s">
        <v>1680</v>
      </c>
      <c r="D196" s="90" t="s">
        <v>597</v>
      </c>
      <c r="E196" s="80" t="s">
        <v>598</v>
      </c>
      <c r="F196" s="81">
        <v>4</v>
      </c>
      <c r="G196" s="81">
        <v>0</v>
      </c>
      <c r="H196" s="81">
        <v>4</v>
      </c>
      <c r="I196" s="101" t="s">
        <v>71</v>
      </c>
      <c r="J196" s="101" t="s">
        <v>71</v>
      </c>
      <c r="K196" s="101" t="s">
        <v>76</v>
      </c>
      <c r="L196" s="80" t="s">
        <v>1491</v>
      </c>
      <c r="M196" s="101" t="s">
        <v>1528</v>
      </c>
      <c r="N196" s="101">
        <v>1</v>
      </c>
      <c r="O196" s="101">
        <v>20</v>
      </c>
      <c r="P196" s="101">
        <v>20</v>
      </c>
      <c r="Q196" s="102">
        <v>4</v>
      </c>
      <c r="R196" s="102">
        <v>4</v>
      </c>
      <c r="S196" s="102" t="s">
        <v>1682</v>
      </c>
      <c r="T196" s="102" t="s">
        <v>1682</v>
      </c>
      <c r="U196" s="80"/>
    </row>
    <row r="197" spans="1:22" ht="12.75">
      <c r="B197" s="12" t="s">
        <v>1772</v>
      </c>
      <c r="C197" s="12" t="s">
        <v>1680</v>
      </c>
      <c r="D197" s="90" t="s">
        <v>1408</v>
      </c>
      <c r="E197" s="80" t="s">
        <v>1683</v>
      </c>
      <c r="F197" s="81">
        <v>4</v>
      </c>
      <c r="G197" s="81">
        <v>0</v>
      </c>
      <c r="H197" s="81">
        <v>4</v>
      </c>
      <c r="I197" s="101" t="s">
        <v>73</v>
      </c>
      <c r="J197" s="101" t="s">
        <v>73</v>
      </c>
      <c r="K197" s="101" t="s">
        <v>76</v>
      </c>
      <c r="L197" s="80" t="s">
        <v>1488</v>
      </c>
      <c r="M197" s="101" t="s">
        <v>1528</v>
      </c>
      <c r="N197" s="101">
        <v>1</v>
      </c>
      <c r="O197" s="101">
        <v>20</v>
      </c>
      <c r="P197" s="101">
        <v>20</v>
      </c>
      <c r="Q197" s="102">
        <v>4</v>
      </c>
      <c r="R197" s="102">
        <v>4</v>
      </c>
      <c r="S197" s="102" t="s">
        <v>1682</v>
      </c>
      <c r="T197" s="102" t="s">
        <v>1682</v>
      </c>
      <c r="U197" s="80"/>
    </row>
    <row r="198" spans="1:22" ht="12.75">
      <c r="B198" s="12" t="s">
        <v>1772</v>
      </c>
      <c r="C198" s="12" t="s">
        <v>1680</v>
      </c>
      <c r="D198" s="90" t="s">
        <v>1408</v>
      </c>
      <c r="E198" s="80" t="s">
        <v>1683</v>
      </c>
      <c r="F198" s="81">
        <v>4</v>
      </c>
      <c r="G198" s="81">
        <v>0</v>
      </c>
      <c r="H198" s="81">
        <v>4</v>
      </c>
      <c r="I198" s="101" t="s">
        <v>73</v>
      </c>
      <c r="J198" s="101" t="s">
        <v>73</v>
      </c>
      <c r="K198" s="101" t="s">
        <v>76</v>
      </c>
      <c r="L198" s="80" t="s">
        <v>1491</v>
      </c>
      <c r="M198" s="101" t="s">
        <v>1528</v>
      </c>
      <c r="N198" s="101">
        <v>1</v>
      </c>
      <c r="O198" s="101">
        <v>40</v>
      </c>
      <c r="P198" s="101">
        <v>40</v>
      </c>
      <c r="Q198" s="102">
        <v>4</v>
      </c>
      <c r="R198" s="102">
        <v>4</v>
      </c>
      <c r="S198" s="102" t="s">
        <v>1682</v>
      </c>
      <c r="T198" s="102" t="s">
        <v>1682</v>
      </c>
      <c r="U198" s="80"/>
    </row>
    <row r="199" spans="1:22" ht="12.75">
      <c r="B199" s="36" t="s">
        <v>47</v>
      </c>
      <c r="C199" s="36" t="s">
        <v>21</v>
      </c>
      <c r="D199" s="81" t="s">
        <v>815</v>
      </c>
      <c r="E199" s="80" t="s">
        <v>816</v>
      </c>
      <c r="F199" s="81">
        <v>0</v>
      </c>
      <c r="G199" s="81">
        <v>3</v>
      </c>
      <c r="H199" s="81">
        <v>5</v>
      </c>
      <c r="I199" s="101" t="s">
        <v>71</v>
      </c>
      <c r="J199" s="101" t="s">
        <v>71</v>
      </c>
      <c r="K199" s="101" t="s">
        <v>76</v>
      </c>
      <c r="L199" s="80" t="s">
        <v>1488</v>
      </c>
      <c r="M199" s="101" t="s">
        <v>1562</v>
      </c>
      <c r="N199" s="101">
        <v>1</v>
      </c>
      <c r="O199" s="101">
        <v>30</v>
      </c>
      <c r="P199" s="101">
        <v>30</v>
      </c>
      <c r="Q199" s="102">
        <v>3</v>
      </c>
      <c r="R199" s="102">
        <v>3</v>
      </c>
      <c r="S199" s="102" t="s">
        <v>1699</v>
      </c>
      <c r="T199" s="102" t="s">
        <v>1505</v>
      </c>
      <c r="U199" s="95"/>
      <c r="V199" s="78"/>
    </row>
    <row r="200" spans="1:22" ht="12.75">
      <c r="B200" s="36" t="s">
        <v>47</v>
      </c>
      <c r="C200" s="36" t="s">
        <v>21</v>
      </c>
      <c r="D200" s="81" t="s">
        <v>815</v>
      </c>
      <c r="E200" s="80" t="s">
        <v>816</v>
      </c>
      <c r="F200" s="81">
        <v>0</v>
      </c>
      <c r="G200" s="81">
        <v>3</v>
      </c>
      <c r="H200" s="81">
        <v>5</v>
      </c>
      <c r="I200" s="101" t="s">
        <v>71</v>
      </c>
      <c r="J200" s="101" t="s">
        <v>71</v>
      </c>
      <c r="K200" s="101" t="s">
        <v>76</v>
      </c>
      <c r="L200" s="80" t="s">
        <v>1491</v>
      </c>
      <c r="M200" s="101" t="s">
        <v>1562</v>
      </c>
      <c r="N200" s="101">
        <v>1</v>
      </c>
      <c r="O200" s="101">
        <v>30</v>
      </c>
      <c r="P200" s="101">
        <v>30</v>
      </c>
      <c r="Q200" s="102">
        <v>3</v>
      </c>
      <c r="R200" s="102">
        <v>3</v>
      </c>
      <c r="S200" s="102" t="s">
        <v>1699</v>
      </c>
      <c r="T200" s="102" t="s">
        <v>1505</v>
      </c>
      <c r="U200" s="95"/>
      <c r="V200" s="78"/>
    </row>
    <row r="201" spans="1:22" ht="12.75">
      <c r="B201" s="36" t="s">
        <v>47</v>
      </c>
      <c r="C201" s="36" t="s">
        <v>21</v>
      </c>
      <c r="D201" s="81" t="s">
        <v>606</v>
      </c>
      <c r="E201" s="80" t="s">
        <v>607</v>
      </c>
      <c r="F201" s="81">
        <v>3</v>
      </c>
      <c r="G201" s="81">
        <v>1</v>
      </c>
      <c r="H201" s="81">
        <v>4</v>
      </c>
      <c r="I201" s="101" t="s">
        <v>71</v>
      </c>
      <c r="J201" s="101" t="s">
        <v>71</v>
      </c>
      <c r="K201" s="101" t="s">
        <v>76</v>
      </c>
      <c r="L201" s="80" t="s">
        <v>1488</v>
      </c>
      <c r="M201" s="101" t="s">
        <v>1562</v>
      </c>
      <c r="N201" s="101">
        <v>1</v>
      </c>
      <c r="O201" s="101">
        <v>30</v>
      </c>
      <c r="P201" s="101">
        <v>30</v>
      </c>
      <c r="Q201" s="102">
        <v>4</v>
      </c>
      <c r="R201" s="102">
        <v>4</v>
      </c>
      <c r="S201" s="102" t="s">
        <v>1699</v>
      </c>
      <c r="T201" s="102" t="s">
        <v>1505</v>
      </c>
      <c r="U201" s="95"/>
      <c r="V201" s="78"/>
    </row>
    <row r="202" spans="1:22" ht="12.75">
      <c r="B202" s="36" t="s">
        <v>47</v>
      </c>
      <c r="C202" s="36" t="s">
        <v>21</v>
      </c>
      <c r="D202" s="81" t="s">
        <v>606</v>
      </c>
      <c r="E202" s="80" t="s">
        <v>607</v>
      </c>
      <c r="F202" s="81">
        <v>3</v>
      </c>
      <c r="G202" s="81">
        <v>1</v>
      </c>
      <c r="H202" s="81">
        <v>4</v>
      </c>
      <c r="I202" s="101" t="s">
        <v>71</v>
      </c>
      <c r="J202" s="101" t="s">
        <v>71</v>
      </c>
      <c r="K202" s="101" t="s">
        <v>76</v>
      </c>
      <c r="L202" s="80" t="s">
        <v>1491</v>
      </c>
      <c r="M202" s="101" t="s">
        <v>1562</v>
      </c>
      <c r="N202" s="101">
        <v>1</v>
      </c>
      <c r="O202" s="101">
        <v>30</v>
      </c>
      <c r="P202" s="101">
        <v>30</v>
      </c>
      <c r="Q202" s="102">
        <v>4</v>
      </c>
      <c r="R202" s="102">
        <v>4</v>
      </c>
      <c r="S202" s="102" t="s">
        <v>1699</v>
      </c>
      <c r="T202" s="102" t="s">
        <v>1505</v>
      </c>
      <c r="U202" s="95"/>
      <c r="V202" s="78"/>
    </row>
    <row r="203" spans="1:22" ht="12.75">
      <c r="B203" s="36" t="s">
        <v>47</v>
      </c>
      <c r="C203" s="36" t="s">
        <v>21</v>
      </c>
      <c r="D203" s="81" t="s">
        <v>627</v>
      </c>
      <c r="E203" s="80" t="s">
        <v>628</v>
      </c>
      <c r="F203" s="81">
        <v>4</v>
      </c>
      <c r="G203" s="81">
        <v>0</v>
      </c>
      <c r="H203" s="81">
        <v>4</v>
      </c>
      <c r="I203" s="101" t="s">
        <v>71</v>
      </c>
      <c r="J203" s="101" t="s">
        <v>71</v>
      </c>
      <c r="K203" s="101" t="s">
        <v>227</v>
      </c>
      <c r="L203" s="80" t="s">
        <v>1488</v>
      </c>
      <c r="M203" s="101" t="s">
        <v>1562</v>
      </c>
      <c r="N203" s="101">
        <v>1</v>
      </c>
      <c r="O203" s="101">
        <v>30</v>
      </c>
      <c r="P203" s="101">
        <v>30</v>
      </c>
      <c r="Q203" s="102">
        <v>4</v>
      </c>
      <c r="R203" s="102">
        <v>4</v>
      </c>
      <c r="S203" s="102"/>
      <c r="T203" s="80"/>
      <c r="U203" s="95"/>
      <c r="V203" s="78"/>
    </row>
    <row r="204" spans="1:22" ht="12.75">
      <c r="B204" s="36" t="s">
        <v>47</v>
      </c>
      <c r="C204" s="36" t="s">
        <v>21</v>
      </c>
      <c r="D204" s="81" t="s">
        <v>627</v>
      </c>
      <c r="E204" s="80" t="s">
        <v>628</v>
      </c>
      <c r="F204" s="81">
        <v>4</v>
      </c>
      <c r="G204" s="81">
        <v>0</v>
      </c>
      <c r="H204" s="81">
        <v>4</v>
      </c>
      <c r="I204" s="101" t="s">
        <v>71</v>
      </c>
      <c r="J204" s="101" t="s">
        <v>71</v>
      </c>
      <c r="K204" s="101" t="s">
        <v>227</v>
      </c>
      <c r="L204" s="80" t="s">
        <v>1491</v>
      </c>
      <c r="M204" s="101" t="s">
        <v>1562</v>
      </c>
      <c r="N204" s="101">
        <v>1</v>
      </c>
      <c r="O204" s="101">
        <v>30</v>
      </c>
      <c r="P204" s="101">
        <v>30</v>
      </c>
      <c r="Q204" s="102">
        <v>4</v>
      </c>
      <c r="R204" s="102">
        <v>4</v>
      </c>
      <c r="S204" s="102"/>
      <c r="T204" s="80"/>
      <c r="U204" s="95"/>
      <c r="V204" s="78"/>
    </row>
    <row r="205" spans="1:22" ht="12.75">
      <c r="B205" s="36" t="s">
        <v>47</v>
      </c>
      <c r="C205" s="36" t="s">
        <v>21</v>
      </c>
      <c r="D205" s="81" t="s">
        <v>639</v>
      </c>
      <c r="E205" s="80" t="s">
        <v>640</v>
      </c>
      <c r="F205" s="81">
        <v>4</v>
      </c>
      <c r="G205" s="81">
        <v>0</v>
      </c>
      <c r="H205" s="81">
        <v>4</v>
      </c>
      <c r="I205" s="101" t="s">
        <v>71</v>
      </c>
      <c r="J205" s="101" t="s">
        <v>71</v>
      </c>
      <c r="K205" s="101" t="s">
        <v>76</v>
      </c>
      <c r="L205" s="80" t="s">
        <v>1488</v>
      </c>
      <c r="M205" s="101" t="s">
        <v>1562</v>
      </c>
      <c r="N205" s="101">
        <v>1</v>
      </c>
      <c r="O205" s="101">
        <v>30</v>
      </c>
      <c r="P205" s="101">
        <v>30</v>
      </c>
      <c r="Q205" s="102">
        <v>4</v>
      </c>
      <c r="R205" s="102">
        <v>4</v>
      </c>
      <c r="S205" s="102"/>
      <c r="T205" s="80"/>
      <c r="U205" s="95"/>
      <c r="V205" s="78"/>
    </row>
    <row r="206" spans="1:22" ht="12.75">
      <c r="B206" s="36" t="s">
        <v>47</v>
      </c>
      <c r="C206" s="36" t="s">
        <v>21</v>
      </c>
      <c r="D206" s="81" t="s">
        <v>639</v>
      </c>
      <c r="E206" s="80" t="s">
        <v>640</v>
      </c>
      <c r="F206" s="81">
        <v>4</v>
      </c>
      <c r="G206" s="81">
        <v>0</v>
      </c>
      <c r="H206" s="81">
        <v>4</v>
      </c>
      <c r="I206" s="101" t="s">
        <v>71</v>
      </c>
      <c r="J206" s="101" t="s">
        <v>71</v>
      </c>
      <c r="K206" s="101" t="s">
        <v>76</v>
      </c>
      <c r="L206" s="80" t="s">
        <v>1491</v>
      </c>
      <c r="M206" s="101" t="s">
        <v>1562</v>
      </c>
      <c r="N206" s="101">
        <v>1</v>
      </c>
      <c r="O206" s="101">
        <v>30</v>
      </c>
      <c r="P206" s="101">
        <v>30</v>
      </c>
      <c r="Q206" s="102">
        <v>4</v>
      </c>
      <c r="R206" s="102">
        <v>4</v>
      </c>
      <c r="S206" s="102"/>
      <c r="T206" s="80"/>
      <c r="U206" s="95"/>
      <c r="V206" s="78"/>
    </row>
    <row r="207" spans="1:22" ht="12.75">
      <c r="B207" s="36" t="s">
        <v>47</v>
      </c>
      <c r="C207" s="36" t="s">
        <v>21</v>
      </c>
      <c r="D207" s="81" t="s">
        <v>870</v>
      </c>
      <c r="E207" s="80" t="s">
        <v>871</v>
      </c>
      <c r="F207" s="81">
        <v>4</v>
      </c>
      <c r="G207" s="81">
        <v>0</v>
      </c>
      <c r="H207" s="81">
        <v>4</v>
      </c>
      <c r="I207" s="101" t="s">
        <v>71</v>
      </c>
      <c r="J207" s="101" t="s">
        <v>71</v>
      </c>
      <c r="K207" s="101" t="s">
        <v>76</v>
      </c>
      <c r="L207" s="80" t="s">
        <v>1488</v>
      </c>
      <c r="M207" s="101" t="s">
        <v>1562</v>
      </c>
      <c r="N207" s="101">
        <v>1</v>
      </c>
      <c r="O207" s="101">
        <v>30</v>
      </c>
      <c r="P207" s="101">
        <v>30</v>
      </c>
      <c r="Q207" s="102">
        <v>4</v>
      </c>
      <c r="R207" s="102">
        <v>4</v>
      </c>
      <c r="S207" s="102"/>
      <c r="T207" s="80"/>
      <c r="U207" s="95"/>
      <c r="V207" s="78"/>
    </row>
    <row r="208" spans="1:22" ht="12.75">
      <c r="B208" s="36" t="s">
        <v>47</v>
      </c>
      <c r="C208" s="36" t="s">
        <v>21</v>
      </c>
      <c r="D208" s="81" t="s">
        <v>870</v>
      </c>
      <c r="E208" s="80" t="s">
        <v>871</v>
      </c>
      <c r="F208" s="81">
        <v>4</v>
      </c>
      <c r="G208" s="81">
        <v>0</v>
      </c>
      <c r="H208" s="81">
        <v>4</v>
      </c>
      <c r="I208" s="101" t="s">
        <v>71</v>
      </c>
      <c r="J208" s="101" t="s">
        <v>71</v>
      </c>
      <c r="K208" s="101" t="s">
        <v>76</v>
      </c>
      <c r="L208" s="80" t="s">
        <v>1491</v>
      </c>
      <c r="M208" s="101" t="s">
        <v>1562</v>
      </c>
      <c r="N208" s="101">
        <v>1</v>
      </c>
      <c r="O208" s="101">
        <v>30</v>
      </c>
      <c r="P208" s="101">
        <v>30</v>
      </c>
      <c r="Q208" s="102">
        <v>4</v>
      </c>
      <c r="R208" s="102">
        <v>4</v>
      </c>
      <c r="S208" s="102"/>
      <c r="T208" s="80"/>
      <c r="U208" s="95"/>
      <c r="V208" s="78"/>
    </row>
    <row r="209" spans="2:23" ht="12.75">
      <c r="B209" s="36" t="s">
        <v>47</v>
      </c>
      <c r="C209" s="36" t="s">
        <v>21</v>
      </c>
      <c r="D209" s="81" t="s">
        <v>1332</v>
      </c>
      <c r="E209" s="80" t="s">
        <v>1333</v>
      </c>
      <c r="F209" s="81">
        <v>2</v>
      </c>
      <c r="G209" s="81">
        <v>0</v>
      </c>
      <c r="H209" s="81">
        <v>2</v>
      </c>
      <c r="I209" s="101" t="s">
        <v>71</v>
      </c>
      <c r="J209" s="101" t="s">
        <v>71</v>
      </c>
      <c r="K209" s="101" t="s">
        <v>76</v>
      </c>
      <c r="L209" s="80" t="s">
        <v>1488</v>
      </c>
      <c r="M209" s="101" t="s">
        <v>1562</v>
      </c>
      <c r="N209" s="101">
        <v>1</v>
      </c>
      <c r="O209" s="101">
        <v>30</v>
      </c>
      <c r="P209" s="101">
        <v>30</v>
      </c>
      <c r="Q209" s="102">
        <v>2</v>
      </c>
      <c r="R209" s="102">
        <v>2</v>
      </c>
      <c r="S209" s="102"/>
      <c r="T209" s="80"/>
      <c r="U209" s="95"/>
      <c r="V209" s="78"/>
    </row>
    <row r="210" spans="2:23" ht="12.75">
      <c r="B210" s="36" t="s">
        <v>47</v>
      </c>
      <c r="C210" s="36" t="s">
        <v>21</v>
      </c>
      <c r="D210" s="81" t="s">
        <v>868</v>
      </c>
      <c r="E210" s="80" t="s">
        <v>869</v>
      </c>
      <c r="F210" s="81">
        <v>4</v>
      </c>
      <c r="G210" s="81">
        <v>0</v>
      </c>
      <c r="H210" s="81">
        <v>4</v>
      </c>
      <c r="I210" s="101" t="s">
        <v>73</v>
      </c>
      <c r="J210" s="101" t="s">
        <v>73</v>
      </c>
      <c r="K210" s="101" t="s">
        <v>866</v>
      </c>
      <c r="L210" s="80" t="s">
        <v>1488</v>
      </c>
      <c r="M210" s="101" t="s">
        <v>1562</v>
      </c>
      <c r="N210" s="101">
        <v>1</v>
      </c>
      <c r="O210" s="101">
        <v>30</v>
      </c>
      <c r="P210" s="101">
        <v>30</v>
      </c>
      <c r="Q210" s="102">
        <v>4</v>
      </c>
      <c r="R210" s="102">
        <v>4</v>
      </c>
      <c r="S210" s="102"/>
      <c r="T210" s="80"/>
      <c r="U210" s="95"/>
      <c r="V210" s="78"/>
    </row>
    <row r="211" spans="2:23" ht="12.75">
      <c r="B211" s="36" t="s">
        <v>47</v>
      </c>
      <c r="C211" s="36" t="s">
        <v>21</v>
      </c>
      <c r="D211" s="81" t="s">
        <v>868</v>
      </c>
      <c r="E211" s="80" t="s">
        <v>869</v>
      </c>
      <c r="F211" s="81">
        <v>4</v>
      </c>
      <c r="G211" s="81">
        <v>0</v>
      </c>
      <c r="H211" s="81">
        <v>4</v>
      </c>
      <c r="I211" s="101" t="s">
        <v>73</v>
      </c>
      <c r="J211" s="101" t="s">
        <v>73</v>
      </c>
      <c r="K211" s="101" t="s">
        <v>866</v>
      </c>
      <c r="L211" s="80" t="s">
        <v>1491</v>
      </c>
      <c r="M211" s="101" t="s">
        <v>1562</v>
      </c>
      <c r="N211" s="101">
        <v>1</v>
      </c>
      <c r="O211" s="101">
        <v>30</v>
      </c>
      <c r="P211" s="101">
        <v>30</v>
      </c>
      <c r="Q211" s="102">
        <v>4</v>
      </c>
      <c r="R211" s="102">
        <v>4</v>
      </c>
      <c r="S211" s="102"/>
      <c r="T211" s="80"/>
      <c r="U211" s="95"/>
      <c r="V211" s="78"/>
    </row>
    <row r="212" spans="2:23" ht="12.75">
      <c r="B212" s="36" t="s">
        <v>47</v>
      </c>
      <c r="C212" s="36" t="s">
        <v>21</v>
      </c>
      <c r="D212" s="81" t="s">
        <v>791</v>
      </c>
      <c r="E212" s="80" t="s">
        <v>792</v>
      </c>
      <c r="F212" s="81">
        <v>4</v>
      </c>
      <c r="G212" s="81">
        <v>0</v>
      </c>
      <c r="H212" s="81">
        <v>4</v>
      </c>
      <c r="I212" s="101" t="s">
        <v>73</v>
      </c>
      <c r="J212" s="101" t="s">
        <v>73</v>
      </c>
      <c r="K212" s="101" t="s">
        <v>610</v>
      </c>
      <c r="L212" s="80" t="s">
        <v>1491</v>
      </c>
      <c r="M212" s="101" t="s">
        <v>1562</v>
      </c>
      <c r="N212" s="101">
        <v>1</v>
      </c>
      <c r="O212" s="101">
        <v>30</v>
      </c>
      <c r="P212" s="101">
        <v>30</v>
      </c>
      <c r="Q212" s="102">
        <v>4</v>
      </c>
      <c r="R212" s="102">
        <v>4</v>
      </c>
      <c r="S212" s="102"/>
      <c r="T212" s="80"/>
      <c r="U212" s="95"/>
      <c r="V212" s="78"/>
    </row>
    <row r="213" spans="2:23" ht="12.75">
      <c r="B213" s="36" t="s">
        <v>47</v>
      </c>
      <c r="C213" s="36" t="s">
        <v>21</v>
      </c>
      <c r="D213" s="81" t="s">
        <v>602</v>
      </c>
      <c r="E213" s="80" t="s">
        <v>603</v>
      </c>
      <c r="F213" s="81">
        <v>3</v>
      </c>
      <c r="G213" s="81">
        <v>1</v>
      </c>
      <c r="H213" s="81">
        <v>4</v>
      </c>
      <c r="I213" s="101" t="s">
        <v>73</v>
      </c>
      <c r="J213" s="101" t="s">
        <v>73</v>
      </c>
      <c r="K213" s="101" t="s">
        <v>76</v>
      </c>
      <c r="L213" s="80" t="s">
        <v>1488</v>
      </c>
      <c r="M213" s="101" t="s">
        <v>1562</v>
      </c>
      <c r="N213" s="101">
        <v>1</v>
      </c>
      <c r="O213" s="101">
        <v>30</v>
      </c>
      <c r="P213" s="101">
        <v>30</v>
      </c>
      <c r="Q213" s="102">
        <v>4</v>
      </c>
      <c r="R213" s="102">
        <v>4</v>
      </c>
      <c r="S213" s="102" t="s">
        <v>1700</v>
      </c>
      <c r="T213" s="102" t="s">
        <v>1505</v>
      </c>
      <c r="U213" s="80"/>
      <c r="V213" s="95"/>
      <c r="W213" s="78"/>
    </row>
    <row r="214" spans="2:23" ht="12.75">
      <c r="B214" s="36" t="s">
        <v>47</v>
      </c>
      <c r="C214" s="36" t="s">
        <v>21</v>
      </c>
      <c r="D214" s="81" t="s">
        <v>604</v>
      </c>
      <c r="E214" s="80" t="s">
        <v>605</v>
      </c>
      <c r="F214" s="81">
        <v>3</v>
      </c>
      <c r="G214" s="81">
        <v>1</v>
      </c>
      <c r="H214" s="81">
        <v>4</v>
      </c>
      <c r="I214" s="101" t="s">
        <v>73</v>
      </c>
      <c r="J214" s="101" t="s">
        <v>73</v>
      </c>
      <c r="K214" s="101" t="s">
        <v>76</v>
      </c>
      <c r="L214" s="80" t="s">
        <v>1488</v>
      </c>
      <c r="M214" s="101" t="s">
        <v>1562</v>
      </c>
      <c r="N214" s="101">
        <v>1</v>
      </c>
      <c r="O214" s="101">
        <v>30</v>
      </c>
      <c r="P214" s="101">
        <v>30</v>
      </c>
      <c r="Q214" s="102">
        <v>4</v>
      </c>
      <c r="R214" s="102">
        <v>4</v>
      </c>
      <c r="S214" s="102" t="s">
        <v>1699</v>
      </c>
      <c r="T214" s="102" t="s">
        <v>1505</v>
      </c>
      <c r="U214" s="80"/>
      <c r="V214" s="95"/>
      <c r="W214" s="78"/>
    </row>
    <row r="215" spans="2:23" ht="12.75">
      <c r="B215" s="36" t="s">
        <v>47</v>
      </c>
      <c r="C215" s="36" t="s">
        <v>21</v>
      </c>
      <c r="D215" s="81" t="s">
        <v>824</v>
      </c>
      <c r="E215" s="80" t="s">
        <v>825</v>
      </c>
      <c r="F215" s="81">
        <v>3</v>
      </c>
      <c r="G215" s="81">
        <v>1</v>
      </c>
      <c r="H215" s="81">
        <v>4</v>
      </c>
      <c r="I215" s="101" t="s">
        <v>73</v>
      </c>
      <c r="J215" s="101" t="s">
        <v>73</v>
      </c>
      <c r="K215" s="101" t="s">
        <v>76</v>
      </c>
      <c r="L215" s="80" t="s">
        <v>1491</v>
      </c>
      <c r="M215" s="101" t="s">
        <v>1562</v>
      </c>
      <c r="N215" s="101">
        <v>1</v>
      </c>
      <c r="O215" s="101">
        <v>30</v>
      </c>
      <c r="P215" s="101">
        <v>30</v>
      </c>
      <c r="Q215" s="102">
        <v>4</v>
      </c>
      <c r="R215" s="102">
        <v>4</v>
      </c>
      <c r="S215" s="102" t="s">
        <v>1699</v>
      </c>
      <c r="T215" s="102" t="s">
        <v>1505</v>
      </c>
      <c r="U215" s="80"/>
      <c r="V215" s="95"/>
      <c r="W215" s="78"/>
    </row>
    <row r="216" spans="2:23" ht="12.75">
      <c r="B216" s="36" t="s">
        <v>47</v>
      </c>
      <c r="C216" s="36" t="s">
        <v>21</v>
      </c>
      <c r="D216" s="81" t="s">
        <v>929</v>
      </c>
      <c r="E216" s="80" t="s">
        <v>930</v>
      </c>
      <c r="F216" s="81">
        <v>2</v>
      </c>
      <c r="G216" s="81">
        <v>2</v>
      </c>
      <c r="H216" s="81">
        <v>4</v>
      </c>
      <c r="I216" s="101" t="s">
        <v>73</v>
      </c>
      <c r="J216" s="101" t="s">
        <v>73</v>
      </c>
      <c r="K216" s="101" t="s">
        <v>76</v>
      </c>
      <c r="L216" s="80" t="s">
        <v>1488</v>
      </c>
      <c r="M216" s="101" t="s">
        <v>1562</v>
      </c>
      <c r="N216" s="101">
        <v>1</v>
      </c>
      <c r="O216" s="101">
        <v>30</v>
      </c>
      <c r="P216" s="101">
        <v>30</v>
      </c>
      <c r="Q216" s="102">
        <v>4</v>
      </c>
      <c r="R216" s="102">
        <v>4</v>
      </c>
      <c r="S216" s="102" t="s">
        <v>1699</v>
      </c>
      <c r="T216" s="102" t="s">
        <v>1518</v>
      </c>
      <c r="U216" s="80"/>
      <c r="V216" s="95"/>
      <c r="W216" s="78"/>
    </row>
    <row r="217" spans="2:23" ht="12.75">
      <c r="B217" s="36" t="s">
        <v>47</v>
      </c>
      <c r="C217" s="36" t="s">
        <v>21</v>
      </c>
      <c r="D217" s="81" t="s">
        <v>895</v>
      </c>
      <c r="E217" s="80" t="s">
        <v>896</v>
      </c>
      <c r="F217" s="81">
        <v>4</v>
      </c>
      <c r="G217" s="81">
        <v>0</v>
      </c>
      <c r="H217" s="81">
        <v>4</v>
      </c>
      <c r="I217" s="101" t="s">
        <v>70</v>
      </c>
      <c r="J217" s="101" t="s">
        <v>1752</v>
      </c>
      <c r="K217" s="101" t="s">
        <v>76</v>
      </c>
      <c r="L217" s="80" t="s">
        <v>1491</v>
      </c>
      <c r="M217" s="101" t="s">
        <v>1562</v>
      </c>
      <c r="N217" s="101">
        <v>1</v>
      </c>
      <c r="O217" s="101">
        <v>30</v>
      </c>
      <c r="P217" s="101">
        <v>30</v>
      </c>
      <c r="Q217" s="102">
        <v>4</v>
      </c>
      <c r="R217" s="102">
        <v>4</v>
      </c>
      <c r="S217" s="102"/>
      <c r="T217" s="80"/>
      <c r="U217" s="95"/>
      <c r="V217" s="78"/>
    </row>
    <row r="218" spans="2:23" ht="12.75">
      <c r="B218" s="36" t="s">
        <v>47</v>
      </c>
      <c r="C218" s="36" t="s">
        <v>21</v>
      </c>
      <c r="D218" s="81" t="s">
        <v>960</v>
      </c>
      <c r="E218" s="80" t="s">
        <v>961</v>
      </c>
      <c r="F218" s="81">
        <v>4</v>
      </c>
      <c r="G218" s="81">
        <v>0</v>
      </c>
      <c r="H218" s="81">
        <v>4</v>
      </c>
      <c r="I218" s="101" t="s">
        <v>70</v>
      </c>
      <c r="J218" s="101" t="s">
        <v>73</v>
      </c>
      <c r="K218" s="101" t="s">
        <v>76</v>
      </c>
      <c r="L218" s="80" t="s">
        <v>1488</v>
      </c>
      <c r="M218" s="101" t="s">
        <v>1562</v>
      </c>
      <c r="N218" s="101">
        <v>1</v>
      </c>
      <c r="O218" s="101">
        <v>30</v>
      </c>
      <c r="P218" s="101">
        <v>30</v>
      </c>
      <c r="Q218" s="102">
        <v>4</v>
      </c>
      <c r="R218" s="102">
        <v>4</v>
      </c>
      <c r="S218" s="102"/>
      <c r="T218" s="80"/>
      <c r="U218" s="95"/>
      <c r="V218" s="78"/>
    </row>
    <row r="219" spans="2:23" ht="12.75">
      <c r="B219" s="36" t="s">
        <v>47</v>
      </c>
      <c r="C219" s="36" t="s">
        <v>21</v>
      </c>
      <c r="D219" s="81" t="s">
        <v>558</v>
      </c>
      <c r="E219" s="80" t="s">
        <v>559</v>
      </c>
      <c r="F219" s="81">
        <v>4</v>
      </c>
      <c r="G219" s="81">
        <v>0</v>
      </c>
      <c r="H219" s="81">
        <v>4</v>
      </c>
      <c r="I219" s="101" t="s">
        <v>73</v>
      </c>
      <c r="J219" s="101" t="s">
        <v>73</v>
      </c>
      <c r="K219" s="101" t="s">
        <v>76</v>
      </c>
      <c r="L219" s="80" t="s">
        <v>1488</v>
      </c>
      <c r="M219" s="101" t="s">
        <v>1562</v>
      </c>
      <c r="N219" s="101">
        <v>1</v>
      </c>
      <c r="O219" s="101">
        <v>30</v>
      </c>
      <c r="P219" s="101">
        <v>30</v>
      </c>
      <c r="Q219" s="102">
        <v>4</v>
      </c>
      <c r="R219" s="102">
        <v>4</v>
      </c>
      <c r="S219" s="102"/>
      <c r="T219" s="80"/>
      <c r="U219" s="95"/>
      <c r="V219" s="78"/>
    </row>
    <row r="220" spans="2:23" ht="12.75">
      <c r="B220" s="40" t="s">
        <v>49</v>
      </c>
      <c r="C220" s="40" t="s">
        <v>22</v>
      </c>
      <c r="D220" s="81" t="s">
        <v>92</v>
      </c>
      <c r="E220" s="80" t="s">
        <v>93</v>
      </c>
      <c r="F220" s="81">
        <v>4</v>
      </c>
      <c r="G220" s="81">
        <v>0</v>
      </c>
      <c r="H220" s="81">
        <v>4</v>
      </c>
      <c r="I220" s="101" t="s">
        <v>71</v>
      </c>
      <c r="J220" s="101" t="s">
        <v>71</v>
      </c>
      <c r="K220" s="101" t="s">
        <v>94</v>
      </c>
      <c r="L220" s="80" t="s">
        <v>1488</v>
      </c>
      <c r="M220" s="101" t="s">
        <v>1562</v>
      </c>
      <c r="N220" s="101">
        <v>1</v>
      </c>
      <c r="O220" s="101">
        <v>40</v>
      </c>
      <c r="P220" s="101">
        <v>40</v>
      </c>
      <c r="Q220" s="102">
        <v>4</v>
      </c>
      <c r="R220" s="102">
        <v>4</v>
      </c>
      <c r="S220" s="102"/>
      <c r="T220" s="80"/>
      <c r="U220" s="95"/>
      <c r="V220" s="78"/>
    </row>
    <row r="221" spans="2:23" ht="12.75">
      <c r="B221" s="40" t="s">
        <v>49</v>
      </c>
      <c r="C221" s="40" t="s">
        <v>22</v>
      </c>
      <c r="D221" s="81" t="s">
        <v>92</v>
      </c>
      <c r="E221" s="80" t="s">
        <v>93</v>
      </c>
      <c r="F221" s="81">
        <v>4</v>
      </c>
      <c r="G221" s="81">
        <v>0</v>
      </c>
      <c r="H221" s="81">
        <v>4</v>
      </c>
      <c r="I221" s="101" t="s">
        <v>71</v>
      </c>
      <c r="J221" s="101" t="s">
        <v>71</v>
      </c>
      <c r="K221" s="101" t="s">
        <v>94</v>
      </c>
      <c r="L221" s="80" t="s">
        <v>1491</v>
      </c>
      <c r="M221" s="101" t="s">
        <v>1562</v>
      </c>
      <c r="N221" s="101">
        <v>1</v>
      </c>
      <c r="O221" s="101">
        <v>40</v>
      </c>
      <c r="P221" s="101">
        <v>40</v>
      </c>
      <c r="Q221" s="102">
        <v>4</v>
      </c>
      <c r="R221" s="102">
        <v>4</v>
      </c>
      <c r="S221" s="102"/>
      <c r="T221" s="80"/>
      <c r="U221" s="95"/>
      <c r="V221" s="78"/>
    </row>
    <row r="222" spans="2:23" ht="12.75">
      <c r="B222" s="40" t="s">
        <v>49</v>
      </c>
      <c r="C222" s="40" t="s">
        <v>22</v>
      </c>
      <c r="D222" s="81" t="s">
        <v>1278</v>
      </c>
      <c r="E222" s="80" t="s">
        <v>131</v>
      </c>
      <c r="F222" s="81">
        <v>4</v>
      </c>
      <c r="G222" s="81">
        <v>0</v>
      </c>
      <c r="H222" s="81">
        <v>4</v>
      </c>
      <c r="I222" s="101" t="s">
        <v>71</v>
      </c>
      <c r="J222" s="101" t="s">
        <v>71</v>
      </c>
      <c r="K222" s="101" t="s">
        <v>844</v>
      </c>
      <c r="L222" s="80" t="s">
        <v>1488</v>
      </c>
      <c r="M222" s="101" t="s">
        <v>1562</v>
      </c>
      <c r="N222" s="101">
        <v>1</v>
      </c>
      <c r="O222" s="101">
        <v>40</v>
      </c>
      <c r="P222" s="101">
        <v>40</v>
      </c>
      <c r="Q222" s="102">
        <v>4</v>
      </c>
      <c r="R222" s="102">
        <v>4</v>
      </c>
      <c r="S222" s="102"/>
      <c r="T222" s="80"/>
      <c r="U222" s="95"/>
      <c r="V222" s="78"/>
    </row>
    <row r="223" spans="2:23" ht="12.75">
      <c r="B223" s="40" t="s">
        <v>49</v>
      </c>
      <c r="C223" s="40" t="s">
        <v>22</v>
      </c>
      <c r="D223" s="81" t="s">
        <v>1278</v>
      </c>
      <c r="E223" s="80" t="s">
        <v>131</v>
      </c>
      <c r="F223" s="81">
        <v>4</v>
      </c>
      <c r="G223" s="81">
        <v>0</v>
      </c>
      <c r="H223" s="81">
        <v>4</v>
      </c>
      <c r="I223" s="101" t="s">
        <v>71</v>
      </c>
      <c r="J223" s="101" t="s">
        <v>71</v>
      </c>
      <c r="K223" s="101" t="s">
        <v>844</v>
      </c>
      <c r="L223" s="80" t="s">
        <v>1491</v>
      </c>
      <c r="M223" s="101" t="s">
        <v>1562</v>
      </c>
      <c r="N223" s="101">
        <v>1</v>
      </c>
      <c r="O223" s="101">
        <v>40</v>
      </c>
      <c r="P223" s="101">
        <v>40</v>
      </c>
      <c r="Q223" s="102">
        <v>4</v>
      </c>
      <c r="R223" s="102">
        <v>4</v>
      </c>
      <c r="S223" s="102"/>
      <c r="T223" s="80"/>
      <c r="U223" s="95"/>
      <c r="V223" s="78"/>
    </row>
    <row r="224" spans="2:23" ht="12.75">
      <c r="B224" s="40" t="s">
        <v>49</v>
      </c>
      <c r="C224" s="40" t="s">
        <v>22</v>
      </c>
      <c r="D224" s="81"/>
      <c r="E224" s="80" t="s">
        <v>223</v>
      </c>
      <c r="F224" s="81">
        <v>4</v>
      </c>
      <c r="G224" s="81">
        <v>0</v>
      </c>
      <c r="H224" s="81">
        <v>4</v>
      </c>
      <c r="I224" s="101" t="s">
        <v>1511</v>
      </c>
      <c r="J224" s="101" t="s">
        <v>1511</v>
      </c>
      <c r="K224" s="101" t="s">
        <v>1527</v>
      </c>
      <c r="L224" s="80" t="s">
        <v>1488</v>
      </c>
      <c r="M224" s="101" t="s">
        <v>1562</v>
      </c>
      <c r="N224" s="101">
        <v>1</v>
      </c>
      <c r="O224" s="101">
        <v>40</v>
      </c>
      <c r="P224" s="101" t="s">
        <v>1527</v>
      </c>
      <c r="Q224" s="102">
        <v>4</v>
      </c>
      <c r="R224" s="102">
        <v>4</v>
      </c>
      <c r="S224" s="102"/>
      <c r="T224" s="80"/>
      <c r="U224" s="95"/>
      <c r="V224" s="78"/>
    </row>
    <row r="225" spans="2:23" ht="12.75">
      <c r="B225" s="40" t="s">
        <v>49</v>
      </c>
      <c r="C225" s="40" t="s">
        <v>22</v>
      </c>
      <c r="D225" s="81"/>
      <c r="E225" s="80" t="s">
        <v>223</v>
      </c>
      <c r="F225" s="81">
        <v>4</v>
      </c>
      <c r="G225" s="81">
        <v>0</v>
      </c>
      <c r="H225" s="81">
        <v>4</v>
      </c>
      <c r="I225" s="101" t="s">
        <v>1511</v>
      </c>
      <c r="J225" s="101" t="s">
        <v>1511</v>
      </c>
      <c r="K225" s="101" t="s">
        <v>1527</v>
      </c>
      <c r="L225" s="80" t="s">
        <v>1491</v>
      </c>
      <c r="M225" s="101" t="s">
        <v>1562</v>
      </c>
      <c r="N225" s="101">
        <v>1</v>
      </c>
      <c r="O225" s="101">
        <v>40</v>
      </c>
      <c r="P225" s="101" t="s">
        <v>1527</v>
      </c>
      <c r="Q225" s="102">
        <v>4</v>
      </c>
      <c r="R225" s="102">
        <v>4</v>
      </c>
      <c r="S225" s="102"/>
      <c r="T225" s="80"/>
      <c r="U225" s="95"/>
      <c r="V225" s="78"/>
    </row>
    <row r="226" spans="2:23" ht="12.75">
      <c r="B226" s="40" t="s">
        <v>49</v>
      </c>
      <c r="C226" s="40" t="s">
        <v>22</v>
      </c>
      <c r="D226" s="81" t="s">
        <v>466</v>
      </c>
      <c r="E226" s="80" t="s">
        <v>467</v>
      </c>
      <c r="F226" s="81">
        <v>4</v>
      </c>
      <c r="G226" s="81">
        <v>0</v>
      </c>
      <c r="H226" s="81">
        <v>4</v>
      </c>
      <c r="I226" s="101" t="s">
        <v>71</v>
      </c>
      <c r="J226" s="101" t="s">
        <v>71</v>
      </c>
      <c r="K226" s="101" t="s">
        <v>468</v>
      </c>
      <c r="L226" s="80" t="s">
        <v>1488</v>
      </c>
      <c r="M226" s="101" t="s">
        <v>1562</v>
      </c>
      <c r="N226" s="101">
        <v>1</v>
      </c>
      <c r="O226" s="101">
        <v>40</v>
      </c>
      <c r="P226" s="101">
        <v>40</v>
      </c>
      <c r="Q226" s="102">
        <v>4</v>
      </c>
      <c r="R226" s="102">
        <v>4</v>
      </c>
      <c r="S226" s="102"/>
      <c r="T226" s="80"/>
      <c r="U226" s="95"/>
      <c r="V226" s="78"/>
    </row>
    <row r="227" spans="2:23" ht="12.75">
      <c r="B227" s="40" t="s">
        <v>49</v>
      </c>
      <c r="C227" s="40" t="s">
        <v>22</v>
      </c>
      <c r="D227" s="81" t="s">
        <v>466</v>
      </c>
      <c r="E227" s="80" t="s">
        <v>467</v>
      </c>
      <c r="F227" s="81">
        <v>4</v>
      </c>
      <c r="G227" s="81">
        <v>0</v>
      </c>
      <c r="H227" s="81">
        <v>4</v>
      </c>
      <c r="I227" s="101" t="s">
        <v>71</v>
      </c>
      <c r="J227" s="101" t="s">
        <v>71</v>
      </c>
      <c r="K227" s="101" t="s">
        <v>468</v>
      </c>
      <c r="L227" s="80" t="s">
        <v>1491</v>
      </c>
      <c r="M227" s="101" t="s">
        <v>1562</v>
      </c>
      <c r="N227" s="101">
        <v>1</v>
      </c>
      <c r="O227" s="101">
        <v>40</v>
      </c>
      <c r="P227" s="101">
        <v>40</v>
      </c>
      <c r="Q227" s="102">
        <v>4</v>
      </c>
      <c r="R227" s="102">
        <v>4</v>
      </c>
      <c r="S227" s="102"/>
      <c r="T227" s="80"/>
      <c r="U227" s="95"/>
      <c r="V227" s="78"/>
    </row>
    <row r="228" spans="2:23" ht="12.75">
      <c r="B228" s="40" t="s">
        <v>49</v>
      </c>
      <c r="C228" s="40" t="s">
        <v>22</v>
      </c>
      <c r="D228" s="81" t="s">
        <v>129</v>
      </c>
      <c r="E228" s="80" t="s">
        <v>130</v>
      </c>
      <c r="F228" s="81">
        <v>4</v>
      </c>
      <c r="G228" s="81">
        <v>0</v>
      </c>
      <c r="H228" s="81">
        <v>4</v>
      </c>
      <c r="I228" s="101" t="s">
        <v>71</v>
      </c>
      <c r="J228" s="101" t="s">
        <v>71</v>
      </c>
      <c r="K228" s="101" t="s">
        <v>131</v>
      </c>
      <c r="L228" s="80" t="s">
        <v>1488</v>
      </c>
      <c r="M228" s="101" t="s">
        <v>1562</v>
      </c>
      <c r="N228" s="101">
        <v>1</v>
      </c>
      <c r="O228" s="101">
        <v>40</v>
      </c>
      <c r="P228" s="101">
        <v>40</v>
      </c>
      <c r="Q228" s="102">
        <v>4</v>
      </c>
      <c r="R228" s="102">
        <v>4</v>
      </c>
      <c r="S228" s="102"/>
      <c r="T228" s="80"/>
      <c r="U228" s="95"/>
      <c r="V228" s="78"/>
    </row>
    <row r="229" spans="2:23" ht="12.75">
      <c r="B229" s="40" t="s">
        <v>49</v>
      </c>
      <c r="C229" s="40" t="s">
        <v>22</v>
      </c>
      <c r="D229" s="81" t="s">
        <v>129</v>
      </c>
      <c r="E229" s="80" t="s">
        <v>130</v>
      </c>
      <c r="F229" s="81">
        <v>4</v>
      </c>
      <c r="G229" s="81">
        <v>0</v>
      </c>
      <c r="H229" s="81">
        <v>4</v>
      </c>
      <c r="I229" s="101" t="s">
        <v>71</v>
      </c>
      <c r="J229" s="101" t="s">
        <v>71</v>
      </c>
      <c r="K229" s="101" t="s">
        <v>131</v>
      </c>
      <c r="L229" s="80" t="s">
        <v>1491</v>
      </c>
      <c r="M229" s="101" t="s">
        <v>1562</v>
      </c>
      <c r="N229" s="101">
        <v>1</v>
      </c>
      <c r="O229" s="101">
        <v>40</v>
      </c>
      <c r="P229" s="101">
        <v>40</v>
      </c>
      <c r="Q229" s="102">
        <v>4</v>
      </c>
      <c r="R229" s="102">
        <v>4</v>
      </c>
      <c r="S229" s="102"/>
      <c r="T229" s="80"/>
      <c r="U229" s="95"/>
      <c r="V229" s="78"/>
    </row>
    <row r="230" spans="2:23" ht="12.75">
      <c r="B230" s="40" t="s">
        <v>49</v>
      </c>
      <c r="C230" s="40" t="s">
        <v>22</v>
      </c>
      <c r="D230" s="81" t="s">
        <v>1285</v>
      </c>
      <c r="E230" s="80" t="s">
        <v>1286</v>
      </c>
      <c r="F230" s="81">
        <v>4</v>
      </c>
      <c r="G230" s="81">
        <v>0</v>
      </c>
      <c r="H230" s="81">
        <v>4</v>
      </c>
      <c r="I230" s="101" t="s">
        <v>71</v>
      </c>
      <c r="J230" s="101" t="s">
        <v>71</v>
      </c>
      <c r="K230" s="101" t="s">
        <v>128</v>
      </c>
      <c r="L230" s="80" t="s">
        <v>1488</v>
      </c>
      <c r="M230" s="101" t="s">
        <v>1562</v>
      </c>
      <c r="N230" s="101">
        <v>1</v>
      </c>
      <c r="O230" s="101">
        <v>40</v>
      </c>
      <c r="P230" s="101">
        <v>40</v>
      </c>
      <c r="Q230" s="102">
        <v>4</v>
      </c>
      <c r="R230" s="102">
        <v>4</v>
      </c>
      <c r="S230" s="102"/>
      <c r="T230" s="80"/>
      <c r="U230" s="95"/>
      <c r="V230" s="78"/>
    </row>
    <row r="231" spans="2:23" ht="12.75">
      <c r="B231" s="40" t="s">
        <v>49</v>
      </c>
      <c r="C231" s="40" t="s">
        <v>22</v>
      </c>
      <c r="D231" s="81" t="s">
        <v>1285</v>
      </c>
      <c r="E231" s="80" t="s">
        <v>1286</v>
      </c>
      <c r="F231" s="81">
        <v>4</v>
      </c>
      <c r="G231" s="81">
        <v>0</v>
      </c>
      <c r="H231" s="81">
        <v>4</v>
      </c>
      <c r="I231" s="101" t="s">
        <v>71</v>
      </c>
      <c r="J231" s="101" t="s">
        <v>71</v>
      </c>
      <c r="K231" s="101" t="s">
        <v>128</v>
      </c>
      <c r="L231" s="80" t="s">
        <v>1491</v>
      </c>
      <c r="M231" s="101" t="s">
        <v>1562</v>
      </c>
      <c r="N231" s="101">
        <v>1</v>
      </c>
      <c r="O231" s="101">
        <v>40</v>
      </c>
      <c r="P231" s="101">
        <v>40</v>
      </c>
      <c r="Q231" s="102">
        <v>4</v>
      </c>
      <c r="R231" s="102">
        <v>4</v>
      </c>
      <c r="S231" s="102"/>
      <c r="T231" s="80"/>
      <c r="U231" s="95"/>
      <c r="V231" s="78"/>
    </row>
    <row r="232" spans="2:23" ht="12.75">
      <c r="B232" s="40" t="s">
        <v>49</v>
      </c>
      <c r="C232" s="40" t="s">
        <v>22</v>
      </c>
      <c r="D232" s="81" t="s">
        <v>671</v>
      </c>
      <c r="E232" s="80" t="s">
        <v>672</v>
      </c>
      <c r="F232" s="81">
        <v>4</v>
      </c>
      <c r="G232" s="81">
        <v>0</v>
      </c>
      <c r="H232" s="81">
        <v>4</v>
      </c>
      <c r="I232" s="101" t="s">
        <v>71</v>
      </c>
      <c r="J232" s="101" t="s">
        <v>71</v>
      </c>
      <c r="K232" s="101" t="s">
        <v>673</v>
      </c>
      <c r="L232" s="80" t="s">
        <v>1488</v>
      </c>
      <c r="M232" s="101" t="s">
        <v>1562</v>
      </c>
      <c r="N232" s="101">
        <v>1</v>
      </c>
      <c r="O232" s="101">
        <v>40</v>
      </c>
      <c r="P232" s="101">
        <v>40</v>
      </c>
      <c r="Q232" s="102">
        <v>4</v>
      </c>
      <c r="R232" s="102">
        <v>4</v>
      </c>
      <c r="S232" s="102"/>
      <c r="T232" s="80"/>
      <c r="U232" s="95"/>
      <c r="V232" s="78"/>
    </row>
    <row r="233" spans="2:23" ht="12.75">
      <c r="B233" s="40" t="s">
        <v>49</v>
      </c>
      <c r="C233" s="40" t="s">
        <v>22</v>
      </c>
      <c r="D233" s="81" t="s">
        <v>671</v>
      </c>
      <c r="E233" s="80" t="s">
        <v>672</v>
      </c>
      <c r="F233" s="81">
        <v>4</v>
      </c>
      <c r="G233" s="81">
        <v>0</v>
      </c>
      <c r="H233" s="81">
        <v>4</v>
      </c>
      <c r="I233" s="101" t="s">
        <v>71</v>
      </c>
      <c r="J233" s="101" t="s">
        <v>71</v>
      </c>
      <c r="K233" s="101" t="s">
        <v>673</v>
      </c>
      <c r="L233" s="80" t="s">
        <v>1491</v>
      </c>
      <c r="M233" s="101" t="s">
        <v>1562</v>
      </c>
      <c r="N233" s="101">
        <v>1</v>
      </c>
      <c r="O233" s="101">
        <v>40</v>
      </c>
      <c r="P233" s="101">
        <v>40</v>
      </c>
      <c r="Q233" s="102">
        <v>4</v>
      </c>
      <c r="R233" s="102">
        <v>4</v>
      </c>
      <c r="S233" s="102"/>
      <c r="T233" s="80"/>
      <c r="U233" s="95"/>
      <c r="V233" s="78"/>
    </row>
    <row r="234" spans="2:23" ht="12.75">
      <c r="B234" s="40" t="s">
        <v>49</v>
      </c>
      <c r="C234" s="40" t="s">
        <v>22</v>
      </c>
      <c r="D234" s="81" t="s">
        <v>776</v>
      </c>
      <c r="E234" s="80" t="s">
        <v>777</v>
      </c>
      <c r="F234" s="81">
        <v>4</v>
      </c>
      <c r="G234" s="81">
        <v>0</v>
      </c>
      <c r="H234" s="81">
        <v>4</v>
      </c>
      <c r="I234" s="101" t="s">
        <v>73</v>
      </c>
      <c r="J234" s="101" t="s">
        <v>73</v>
      </c>
      <c r="K234" s="101" t="s">
        <v>778</v>
      </c>
      <c r="L234" s="80" t="s">
        <v>1488</v>
      </c>
      <c r="M234" s="101" t="s">
        <v>1562</v>
      </c>
      <c r="N234" s="101">
        <v>1</v>
      </c>
      <c r="O234" s="101">
        <v>40</v>
      </c>
      <c r="P234" s="101">
        <v>40</v>
      </c>
      <c r="Q234" s="102">
        <v>4</v>
      </c>
      <c r="R234" s="102">
        <v>4</v>
      </c>
      <c r="S234" s="102"/>
      <c r="T234" s="80"/>
      <c r="U234" s="95"/>
      <c r="V234" s="78"/>
    </row>
    <row r="235" spans="2:23" ht="12.75">
      <c r="B235" s="40" t="s">
        <v>49</v>
      </c>
      <c r="C235" s="40" t="s">
        <v>22</v>
      </c>
      <c r="D235" s="81" t="s">
        <v>700</v>
      </c>
      <c r="E235" s="80" t="s">
        <v>701</v>
      </c>
      <c r="F235" s="81">
        <v>4</v>
      </c>
      <c r="G235" s="81">
        <v>0</v>
      </c>
      <c r="H235" s="81">
        <v>4</v>
      </c>
      <c r="I235" s="101" t="s">
        <v>73</v>
      </c>
      <c r="J235" s="101" t="s">
        <v>73</v>
      </c>
      <c r="K235" s="101" t="s">
        <v>76</v>
      </c>
      <c r="L235" s="80" t="s">
        <v>1488</v>
      </c>
      <c r="M235" s="101" t="s">
        <v>1562</v>
      </c>
      <c r="N235" s="101">
        <v>1</v>
      </c>
      <c r="O235" s="101">
        <v>40</v>
      </c>
      <c r="P235" s="101">
        <v>40</v>
      </c>
      <c r="Q235" s="102">
        <v>4</v>
      </c>
      <c r="R235" s="102">
        <v>4</v>
      </c>
      <c r="S235" s="102"/>
      <c r="T235" s="80"/>
      <c r="U235" s="95"/>
      <c r="V235" s="78"/>
    </row>
    <row r="236" spans="2:23" ht="12.75">
      <c r="B236" s="40" t="s">
        <v>49</v>
      </c>
      <c r="C236" s="40" t="s">
        <v>22</v>
      </c>
      <c r="D236" s="81" t="s">
        <v>1097</v>
      </c>
      <c r="E236" s="80" t="s">
        <v>1098</v>
      </c>
      <c r="F236" s="81">
        <v>4</v>
      </c>
      <c r="G236" s="81">
        <v>0</v>
      </c>
      <c r="H236" s="81">
        <v>4</v>
      </c>
      <c r="I236" s="101" t="s">
        <v>73</v>
      </c>
      <c r="J236" s="101" t="s">
        <v>73</v>
      </c>
      <c r="K236" s="101" t="s">
        <v>1099</v>
      </c>
      <c r="L236" s="80" t="s">
        <v>1491</v>
      </c>
      <c r="M236" s="101" t="s">
        <v>1562</v>
      </c>
      <c r="N236" s="101">
        <v>1</v>
      </c>
      <c r="O236" s="101">
        <v>40</v>
      </c>
      <c r="P236" s="101">
        <v>40</v>
      </c>
      <c r="Q236" s="102">
        <v>4</v>
      </c>
      <c r="R236" s="102">
        <v>4</v>
      </c>
      <c r="S236" s="102"/>
      <c r="T236" s="80"/>
      <c r="U236" s="95"/>
      <c r="V236" s="78"/>
    </row>
    <row r="237" spans="2:23" ht="12.75">
      <c r="B237" s="40" t="s">
        <v>49</v>
      </c>
      <c r="C237" s="40" t="s">
        <v>22</v>
      </c>
      <c r="D237" s="81" t="s">
        <v>725</v>
      </c>
      <c r="E237" s="80" t="s">
        <v>726</v>
      </c>
      <c r="F237" s="81">
        <v>4</v>
      </c>
      <c r="G237" s="81">
        <v>0</v>
      </c>
      <c r="H237" s="81">
        <v>4</v>
      </c>
      <c r="I237" s="101" t="s">
        <v>73</v>
      </c>
      <c r="J237" s="101" t="s">
        <v>73</v>
      </c>
      <c r="K237" s="101" t="s">
        <v>76</v>
      </c>
      <c r="L237" s="80" t="s">
        <v>1491</v>
      </c>
      <c r="M237" s="101" t="s">
        <v>1562</v>
      </c>
      <c r="N237" s="101">
        <v>1</v>
      </c>
      <c r="O237" s="101">
        <v>40</v>
      </c>
      <c r="P237" s="101">
        <v>40</v>
      </c>
      <c r="Q237" s="102">
        <v>4</v>
      </c>
      <c r="R237" s="102">
        <v>4</v>
      </c>
      <c r="S237" s="102"/>
      <c r="T237" s="80"/>
      <c r="U237" s="95"/>
      <c r="V237" s="78"/>
    </row>
    <row r="238" spans="2:23" ht="12.75">
      <c r="B238" s="40" t="s">
        <v>49</v>
      </c>
      <c r="C238" s="40" t="s">
        <v>22</v>
      </c>
      <c r="D238" s="81" t="s">
        <v>124</v>
      </c>
      <c r="E238" s="80" t="s">
        <v>125</v>
      </c>
      <c r="F238" s="81">
        <v>4</v>
      </c>
      <c r="G238" s="81">
        <v>0</v>
      </c>
      <c r="H238" s="81">
        <v>4</v>
      </c>
      <c r="I238" s="101" t="s">
        <v>71</v>
      </c>
      <c r="J238" s="101" t="s">
        <v>71</v>
      </c>
      <c r="K238" s="101" t="s">
        <v>126</v>
      </c>
      <c r="L238" s="80" t="s">
        <v>1488</v>
      </c>
      <c r="M238" s="101" t="s">
        <v>1562</v>
      </c>
      <c r="N238" s="101">
        <v>1</v>
      </c>
      <c r="O238" s="101">
        <v>40</v>
      </c>
      <c r="P238" s="101">
        <v>40</v>
      </c>
      <c r="Q238" s="102">
        <v>4</v>
      </c>
      <c r="R238" s="102">
        <v>4</v>
      </c>
      <c r="S238" s="102"/>
      <c r="T238" s="102"/>
      <c r="U238" s="80"/>
      <c r="V238" s="95"/>
      <c r="W238" s="78"/>
    </row>
    <row r="239" spans="2:23" ht="12.75">
      <c r="B239" s="40" t="s">
        <v>49</v>
      </c>
      <c r="C239" s="40" t="s">
        <v>22</v>
      </c>
      <c r="D239" s="81" t="s">
        <v>124</v>
      </c>
      <c r="E239" s="80" t="s">
        <v>125</v>
      </c>
      <c r="F239" s="81">
        <v>4</v>
      </c>
      <c r="G239" s="81">
        <v>0</v>
      </c>
      <c r="H239" s="81">
        <v>4</v>
      </c>
      <c r="I239" s="101" t="s">
        <v>71</v>
      </c>
      <c r="J239" s="101" t="s">
        <v>71</v>
      </c>
      <c r="K239" s="101" t="s">
        <v>126</v>
      </c>
      <c r="L239" s="80" t="s">
        <v>1491</v>
      </c>
      <c r="M239" s="101" t="s">
        <v>1562</v>
      </c>
      <c r="N239" s="101">
        <v>1</v>
      </c>
      <c r="O239" s="101">
        <v>40</v>
      </c>
      <c r="P239" s="101">
        <v>40</v>
      </c>
      <c r="Q239" s="102">
        <v>4</v>
      </c>
      <c r="R239" s="102">
        <v>4</v>
      </c>
      <c r="S239" s="102"/>
      <c r="T239" s="102"/>
      <c r="U239" s="80"/>
      <c r="V239" s="95"/>
      <c r="W239" s="78"/>
    </row>
    <row r="240" spans="2:23" ht="12.75">
      <c r="B240" s="45" t="s">
        <v>50</v>
      </c>
      <c r="C240" s="45" t="s">
        <v>23</v>
      </c>
      <c r="D240" s="81" t="s">
        <v>992</v>
      </c>
      <c r="E240" s="80" t="s">
        <v>993</v>
      </c>
      <c r="F240" s="81">
        <v>2</v>
      </c>
      <c r="G240" s="81">
        <v>0</v>
      </c>
      <c r="H240" s="81">
        <v>2</v>
      </c>
      <c r="I240" s="101" t="s">
        <v>71</v>
      </c>
      <c r="J240" s="101" t="s">
        <v>71</v>
      </c>
      <c r="K240" s="101" t="s">
        <v>76</v>
      </c>
      <c r="L240" s="80" t="s">
        <v>1488</v>
      </c>
      <c r="M240" s="101" t="s">
        <v>1528</v>
      </c>
      <c r="N240" s="101">
        <v>1</v>
      </c>
      <c r="O240" s="101">
        <v>30</v>
      </c>
      <c r="P240" s="101">
        <v>30</v>
      </c>
      <c r="Q240" s="102">
        <v>2</v>
      </c>
      <c r="R240" s="102">
        <v>2</v>
      </c>
      <c r="S240" s="102"/>
      <c r="T240" s="102"/>
      <c r="U240" s="80"/>
      <c r="V240" s="95"/>
      <c r="W240" s="78"/>
    </row>
    <row r="241" spans="2:23" ht="12.75">
      <c r="B241" s="45" t="s">
        <v>50</v>
      </c>
      <c r="C241" s="45" t="s">
        <v>23</v>
      </c>
      <c r="D241" s="81" t="s">
        <v>992</v>
      </c>
      <c r="E241" s="80" t="s">
        <v>993</v>
      </c>
      <c r="F241" s="81">
        <v>2</v>
      </c>
      <c r="G241" s="81">
        <v>0</v>
      </c>
      <c r="H241" s="81">
        <v>2</v>
      </c>
      <c r="I241" s="101" t="s">
        <v>71</v>
      </c>
      <c r="J241" s="101" t="s">
        <v>71</v>
      </c>
      <c r="K241" s="101" t="s">
        <v>76</v>
      </c>
      <c r="L241" s="80" t="s">
        <v>1491</v>
      </c>
      <c r="M241" s="101" t="s">
        <v>1528</v>
      </c>
      <c r="N241" s="101">
        <v>1</v>
      </c>
      <c r="O241" s="101">
        <v>30</v>
      </c>
      <c r="P241" s="101">
        <v>30</v>
      </c>
      <c r="Q241" s="102">
        <v>2</v>
      </c>
      <c r="R241" s="102">
        <v>2</v>
      </c>
      <c r="S241" s="102"/>
      <c r="T241" s="102"/>
      <c r="U241" s="80"/>
      <c r="V241" s="95"/>
      <c r="W241" s="78"/>
    </row>
    <row r="242" spans="2:23" ht="12.75">
      <c r="B242" s="45" t="s">
        <v>50</v>
      </c>
      <c r="C242" s="45" t="s">
        <v>23</v>
      </c>
      <c r="D242" s="81" t="s">
        <v>992</v>
      </c>
      <c r="E242" s="80" t="s">
        <v>993</v>
      </c>
      <c r="F242" s="81">
        <v>2</v>
      </c>
      <c r="G242" s="81">
        <v>0</v>
      </c>
      <c r="H242" s="81">
        <v>2</v>
      </c>
      <c r="I242" s="101" t="s">
        <v>71</v>
      </c>
      <c r="J242" s="101" t="s">
        <v>71</v>
      </c>
      <c r="K242" s="101" t="s">
        <v>76</v>
      </c>
      <c r="L242" s="80" t="s">
        <v>1488</v>
      </c>
      <c r="M242" s="101" t="s">
        <v>1528</v>
      </c>
      <c r="N242" s="101">
        <v>1</v>
      </c>
      <c r="O242" s="101">
        <v>30</v>
      </c>
      <c r="P242" s="101">
        <v>30</v>
      </c>
      <c r="Q242" s="102">
        <v>2</v>
      </c>
      <c r="R242" s="102">
        <v>2</v>
      </c>
      <c r="S242" s="102"/>
      <c r="T242" s="102"/>
      <c r="U242" s="80" t="s">
        <v>1712</v>
      </c>
      <c r="V242" s="95"/>
      <c r="W242" s="78"/>
    </row>
    <row r="243" spans="2:23" ht="12.75">
      <c r="B243" s="45" t="s">
        <v>50</v>
      </c>
      <c r="C243" s="45" t="s">
        <v>23</v>
      </c>
      <c r="D243" s="81" t="s">
        <v>1134</v>
      </c>
      <c r="E243" s="80" t="s">
        <v>1135</v>
      </c>
      <c r="F243" s="81">
        <v>4</v>
      </c>
      <c r="G243" s="81">
        <v>2</v>
      </c>
      <c r="H243" s="81">
        <v>4</v>
      </c>
      <c r="I243" s="101" t="s">
        <v>71</v>
      </c>
      <c r="J243" s="101" t="s">
        <v>71</v>
      </c>
      <c r="K243" s="101" t="s">
        <v>76</v>
      </c>
      <c r="L243" s="80" t="s">
        <v>1488</v>
      </c>
      <c r="M243" s="101" t="s">
        <v>1528</v>
      </c>
      <c r="N243" s="101">
        <v>1</v>
      </c>
      <c r="O243" s="101">
        <v>30</v>
      </c>
      <c r="P243" s="101">
        <v>30</v>
      </c>
      <c r="Q243" s="102">
        <v>6</v>
      </c>
      <c r="R243" s="102">
        <v>6</v>
      </c>
      <c r="S243" s="102" t="s">
        <v>1713</v>
      </c>
      <c r="T243" s="102"/>
      <c r="U243" s="80"/>
      <c r="V243" s="95"/>
      <c r="W243" s="78"/>
    </row>
    <row r="244" spans="2:23" ht="12.75">
      <c r="B244" s="45" t="s">
        <v>50</v>
      </c>
      <c r="C244" s="45" t="s">
        <v>23</v>
      </c>
      <c r="D244" s="81" t="s">
        <v>1134</v>
      </c>
      <c r="E244" s="80" t="s">
        <v>1135</v>
      </c>
      <c r="F244" s="81">
        <v>4</v>
      </c>
      <c r="G244" s="81">
        <v>2</v>
      </c>
      <c r="H244" s="81">
        <v>4</v>
      </c>
      <c r="I244" s="101" t="s">
        <v>71</v>
      </c>
      <c r="J244" s="101" t="s">
        <v>71</v>
      </c>
      <c r="K244" s="101" t="s">
        <v>76</v>
      </c>
      <c r="L244" s="80" t="s">
        <v>1491</v>
      </c>
      <c r="M244" s="101" t="s">
        <v>1528</v>
      </c>
      <c r="N244" s="101">
        <v>1</v>
      </c>
      <c r="O244" s="101">
        <v>30</v>
      </c>
      <c r="P244" s="101">
        <v>30</v>
      </c>
      <c r="Q244" s="102">
        <v>6</v>
      </c>
      <c r="R244" s="102">
        <v>6</v>
      </c>
      <c r="S244" s="102" t="s">
        <v>1713</v>
      </c>
      <c r="T244" s="102"/>
      <c r="U244" s="80"/>
      <c r="V244" s="95"/>
      <c r="W244" s="78"/>
    </row>
    <row r="245" spans="2:23" ht="12.75">
      <c r="B245" s="45" t="s">
        <v>50</v>
      </c>
      <c r="C245" s="45" t="s">
        <v>23</v>
      </c>
      <c r="D245" s="81" t="s">
        <v>1134</v>
      </c>
      <c r="E245" s="80" t="s">
        <v>1135</v>
      </c>
      <c r="F245" s="81">
        <v>4</v>
      </c>
      <c r="G245" s="81">
        <v>2</v>
      </c>
      <c r="H245" s="81">
        <v>4</v>
      </c>
      <c r="I245" s="101" t="s">
        <v>71</v>
      </c>
      <c r="J245" s="101" t="s">
        <v>71</v>
      </c>
      <c r="K245" s="101" t="s">
        <v>76</v>
      </c>
      <c r="L245" s="80" t="s">
        <v>1488</v>
      </c>
      <c r="M245" s="101" t="s">
        <v>1562</v>
      </c>
      <c r="N245" s="101">
        <v>1</v>
      </c>
      <c r="O245" s="101">
        <v>30</v>
      </c>
      <c r="P245" s="101">
        <v>30</v>
      </c>
      <c r="Q245" s="102">
        <v>6</v>
      </c>
      <c r="R245" s="102">
        <v>6</v>
      </c>
      <c r="S245" s="102" t="s">
        <v>1713</v>
      </c>
      <c r="T245" s="102"/>
      <c r="U245" s="80" t="s">
        <v>1712</v>
      </c>
      <c r="V245" s="95"/>
      <c r="W245" s="78"/>
    </row>
    <row r="246" spans="2:23" ht="12.75">
      <c r="B246" s="45" t="s">
        <v>50</v>
      </c>
      <c r="C246" s="45" t="s">
        <v>23</v>
      </c>
      <c r="D246" s="81" t="s">
        <v>1130</v>
      </c>
      <c r="E246" s="80" t="s">
        <v>1131</v>
      </c>
      <c r="F246" s="81">
        <v>4</v>
      </c>
      <c r="G246" s="81">
        <v>0</v>
      </c>
      <c r="H246" s="81">
        <v>4</v>
      </c>
      <c r="I246" s="101" t="s">
        <v>71</v>
      </c>
      <c r="J246" s="101" t="s">
        <v>71</v>
      </c>
      <c r="K246" s="101" t="s">
        <v>76</v>
      </c>
      <c r="L246" s="80" t="s">
        <v>1488</v>
      </c>
      <c r="M246" s="101" t="s">
        <v>1528</v>
      </c>
      <c r="N246" s="101">
        <v>1</v>
      </c>
      <c r="O246" s="101">
        <v>30</v>
      </c>
      <c r="P246" s="101">
        <v>30</v>
      </c>
      <c r="Q246" s="102">
        <v>4</v>
      </c>
      <c r="R246" s="102">
        <v>4</v>
      </c>
      <c r="S246" s="102" t="s">
        <v>1714</v>
      </c>
      <c r="T246" s="102" t="s">
        <v>1505</v>
      </c>
      <c r="U246" s="80"/>
      <c r="V246" s="95"/>
      <c r="W246" s="78"/>
    </row>
    <row r="247" spans="2:23" ht="12.75">
      <c r="B247" s="45" t="s">
        <v>50</v>
      </c>
      <c r="C247" s="45" t="s">
        <v>23</v>
      </c>
      <c r="D247" s="81" t="s">
        <v>1130</v>
      </c>
      <c r="E247" s="80" t="s">
        <v>1131</v>
      </c>
      <c r="F247" s="81">
        <v>4</v>
      </c>
      <c r="G247" s="81">
        <v>0</v>
      </c>
      <c r="H247" s="81">
        <v>4</v>
      </c>
      <c r="I247" s="101" t="s">
        <v>71</v>
      </c>
      <c r="J247" s="101" t="s">
        <v>71</v>
      </c>
      <c r="K247" s="101" t="s">
        <v>76</v>
      </c>
      <c r="L247" s="80" t="s">
        <v>1491</v>
      </c>
      <c r="M247" s="101" t="s">
        <v>1528</v>
      </c>
      <c r="N247" s="101">
        <v>1</v>
      </c>
      <c r="O247" s="101">
        <v>30</v>
      </c>
      <c r="P247" s="101">
        <v>30</v>
      </c>
      <c r="Q247" s="102">
        <v>4</v>
      </c>
      <c r="R247" s="102">
        <v>4</v>
      </c>
      <c r="S247" s="102" t="s">
        <v>1714</v>
      </c>
      <c r="T247" s="102" t="s">
        <v>1505</v>
      </c>
      <c r="U247" s="80"/>
      <c r="V247" s="95"/>
      <c r="W247" s="78"/>
    </row>
    <row r="248" spans="2:23" ht="12.75">
      <c r="B248" s="45" t="s">
        <v>50</v>
      </c>
      <c r="C248" s="45" t="s">
        <v>23</v>
      </c>
      <c r="D248" s="81" t="s">
        <v>1130</v>
      </c>
      <c r="E248" s="80" t="s">
        <v>1131</v>
      </c>
      <c r="F248" s="81">
        <v>4</v>
      </c>
      <c r="G248" s="81">
        <v>0</v>
      </c>
      <c r="H248" s="81">
        <v>4</v>
      </c>
      <c r="I248" s="101" t="s">
        <v>71</v>
      </c>
      <c r="J248" s="101" t="s">
        <v>71</v>
      </c>
      <c r="K248" s="101" t="s">
        <v>76</v>
      </c>
      <c r="L248" s="80" t="s">
        <v>1488</v>
      </c>
      <c r="M248" s="101" t="s">
        <v>1562</v>
      </c>
      <c r="N248" s="101">
        <v>1</v>
      </c>
      <c r="O248" s="101">
        <v>30</v>
      </c>
      <c r="P248" s="101">
        <v>30</v>
      </c>
      <c r="Q248" s="102">
        <v>4</v>
      </c>
      <c r="R248" s="102">
        <v>4</v>
      </c>
      <c r="S248" s="102" t="s">
        <v>1714</v>
      </c>
      <c r="T248" s="102" t="s">
        <v>1505</v>
      </c>
      <c r="U248" s="80" t="s">
        <v>1712</v>
      </c>
      <c r="V248" s="95"/>
      <c r="W248" s="78"/>
    </row>
    <row r="249" spans="2:23" ht="12.75">
      <c r="B249" s="45" t="s">
        <v>50</v>
      </c>
      <c r="C249" s="45" t="s">
        <v>23</v>
      </c>
      <c r="D249" s="81" t="s">
        <v>986</v>
      </c>
      <c r="E249" s="80" t="s">
        <v>987</v>
      </c>
      <c r="F249" s="81">
        <v>4</v>
      </c>
      <c r="G249" s="81">
        <v>0</v>
      </c>
      <c r="H249" s="81">
        <v>4</v>
      </c>
      <c r="I249" s="101" t="s">
        <v>73</v>
      </c>
      <c r="J249" s="101" t="s">
        <v>73</v>
      </c>
      <c r="K249" s="101" t="s">
        <v>172</v>
      </c>
      <c r="L249" s="80" t="s">
        <v>1488</v>
      </c>
      <c r="M249" s="101" t="s">
        <v>1528</v>
      </c>
      <c r="N249" s="101">
        <v>1</v>
      </c>
      <c r="O249" s="101">
        <v>30</v>
      </c>
      <c r="P249" s="101">
        <v>30</v>
      </c>
      <c r="Q249" s="102">
        <v>4</v>
      </c>
      <c r="R249" s="102">
        <v>4</v>
      </c>
      <c r="S249" s="102"/>
      <c r="T249" s="102"/>
      <c r="U249" s="80"/>
      <c r="V249" s="95"/>
      <c r="W249" s="78"/>
    </row>
    <row r="250" spans="2:23" ht="12.75">
      <c r="B250" s="45" t="s">
        <v>50</v>
      </c>
      <c r="C250" s="45" t="s">
        <v>23</v>
      </c>
      <c r="D250" s="81" t="s">
        <v>986</v>
      </c>
      <c r="E250" s="80" t="s">
        <v>987</v>
      </c>
      <c r="F250" s="81">
        <v>4</v>
      </c>
      <c r="G250" s="81">
        <v>0</v>
      </c>
      <c r="H250" s="81">
        <v>4</v>
      </c>
      <c r="I250" s="101" t="s">
        <v>73</v>
      </c>
      <c r="J250" s="101" t="s">
        <v>73</v>
      </c>
      <c r="K250" s="101" t="s">
        <v>172</v>
      </c>
      <c r="L250" s="80" t="s">
        <v>1491</v>
      </c>
      <c r="M250" s="101" t="s">
        <v>1528</v>
      </c>
      <c r="N250" s="101">
        <v>1</v>
      </c>
      <c r="O250" s="101">
        <v>30</v>
      </c>
      <c r="P250" s="101">
        <v>30</v>
      </c>
      <c r="Q250" s="102">
        <v>4</v>
      </c>
      <c r="R250" s="102">
        <v>4</v>
      </c>
      <c r="S250" s="102"/>
      <c r="T250" s="102"/>
      <c r="U250" s="80"/>
      <c r="V250" s="95"/>
      <c r="W250" s="78"/>
    </row>
    <row r="251" spans="2:23" ht="12.75">
      <c r="B251" s="45" t="s">
        <v>50</v>
      </c>
      <c r="C251" s="45" t="s">
        <v>23</v>
      </c>
      <c r="D251" s="81" t="s">
        <v>986</v>
      </c>
      <c r="E251" s="80" t="s">
        <v>987</v>
      </c>
      <c r="F251" s="81">
        <v>4</v>
      </c>
      <c r="G251" s="81">
        <v>0</v>
      </c>
      <c r="H251" s="81">
        <v>4</v>
      </c>
      <c r="I251" s="101" t="s">
        <v>73</v>
      </c>
      <c r="J251" s="101" t="s">
        <v>73</v>
      </c>
      <c r="K251" s="101" t="s">
        <v>172</v>
      </c>
      <c r="L251" s="80" t="s">
        <v>1488</v>
      </c>
      <c r="M251" s="101" t="s">
        <v>1562</v>
      </c>
      <c r="N251" s="101">
        <v>1</v>
      </c>
      <c r="O251" s="101">
        <v>30</v>
      </c>
      <c r="P251" s="101">
        <v>30</v>
      </c>
      <c r="Q251" s="102">
        <v>4</v>
      </c>
      <c r="R251" s="102">
        <v>4</v>
      </c>
      <c r="S251" s="102"/>
      <c r="T251" s="102"/>
      <c r="U251" s="80" t="s">
        <v>1712</v>
      </c>
      <c r="V251" s="95"/>
      <c r="W251" s="78"/>
    </row>
    <row r="252" spans="2:23" ht="12.75">
      <c r="B252" s="45" t="s">
        <v>50</v>
      </c>
      <c r="C252" s="45" t="s">
        <v>23</v>
      </c>
      <c r="D252" s="81" t="s">
        <v>1715</v>
      </c>
      <c r="E252" s="80" t="s">
        <v>1189</v>
      </c>
      <c r="F252" s="81">
        <v>4</v>
      </c>
      <c r="G252" s="81">
        <v>0</v>
      </c>
      <c r="H252" s="81">
        <v>4</v>
      </c>
      <c r="I252" s="101" t="s">
        <v>71</v>
      </c>
      <c r="J252" s="101" t="s">
        <v>71</v>
      </c>
      <c r="K252" s="101" t="s">
        <v>172</v>
      </c>
      <c r="L252" s="80" t="s">
        <v>1488</v>
      </c>
      <c r="M252" s="101" t="s">
        <v>1562</v>
      </c>
      <c r="N252" s="101">
        <v>1</v>
      </c>
      <c r="O252" s="101">
        <v>30</v>
      </c>
      <c r="P252" s="101">
        <v>30</v>
      </c>
      <c r="Q252" s="102">
        <v>4</v>
      </c>
      <c r="R252" s="102">
        <v>4</v>
      </c>
      <c r="S252" s="102"/>
      <c r="T252" s="102"/>
      <c r="U252" s="80" t="s">
        <v>1712</v>
      </c>
      <c r="V252" s="95"/>
      <c r="W252" s="78"/>
    </row>
    <row r="253" spans="2:23" ht="12.75">
      <c r="B253" s="45" t="s">
        <v>50</v>
      </c>
      <c r="C253" s="45" t="s">
        <v>23</v>
      </c>
      <c r="D253" s="81" t="s">
        <v>793</v>
      </c>
      <c r="E253" s="80" t="s">
        <v>172</v>
      </c>
      <c r="F253" s="81">
        <v>4</v>
      </c>
      <c r="G253" s="81">
        <v>0</v>
      </c>
      <c r="H253" s="81">
        <v>5</v>
      </c>
      <c r="I253" s="101" t="s">
        <v>71</v>
      </c>
      <c r="J253" s="101" t="s">
        <v>71</v>
      </c>
      <c r="K253" s="101" t="s">
        <v>76</v>
      </c>
      <c r="L253" s="80" t="s">
        <v>1488</v>
      </c>
      <c r="M253" s="101" t="s">
        <v>1562</v>
      </c>
      <c r="N253" s="101">
        <v>1</v>
      </c>
      <c r="O253" s="101">
        <v>30</v>
      </c>
      <c r="P253" s="101">
        <v>30</v>
      </c>
      <c r="Q253" s="102">
        <v>4</v>
      </c>
      <c r="R253" s="102">
        <v>4</v>
      </c>
      <c r="S253" s="102"/>
      <c r="T253" s="102"/>
      <c r="U253" s="80"/>
      <c r="V253" s="95"/>
      <c r="W253" s="78"/>
    </row>
    <row r="254" spans="2:23" ht="12.75">
      <c r="B254" s="45" t="s">
        <v>50</v>
      </c>
      <c r="C254" s="45" t="s">
        <v>23</v>
      </c>
      <c r="D254" s="81" t="s">
        <v>793</v>
      </c>
      <c r="E254" s="80" t="s">
        <v>172</v>
      </c>
      <c r="F254" s="81">
        <v>4</v>
      </c>
      <c r="G254" s="81">
        <v>0</v>
      </c>
      <c r="H254" s="81">
        <v>5</v>
      </c>
      <c r="I254" s="101" t="s">
        <v>71</v>
      </c>
      <c r="J254" s="101" t="s">
        <v>71</v>
      </c>
      <c r="K254" s="101" t="s">
        <v>76</v>
      </c>
      <c r="L254" s="80" t="s">
        <v>1491</v>
      </c>
      <c r="M254" s="101" t="s">
        <v>1562</v>
      </c>
      <c r="N254" s="101">
        <v>1</v>
      </c>
      <c r="O254" s="101">
        <v>30</v>
      </c>
      <c r="P254" s="101">
        <v>30</v>
      </c>
      <c r="Q254" s="102">
        <v>4</v>
      </c>
      <c r="R254" s="102">
        <v>4</v>
      </c>
      <c r="S254" s="102"/>
      <c r="T254" s="102"/>
      <c r="U254" s="80"/>
      <c r="V254" s="95"/>
      <c r="W254" s="78"/>
    </row>
    <row r="255" spans="2:23" ht="12.75">
      <c r="B255" s="69" t="s">
        <v>52</v>
      </c>
      <c r="C255" s="69" t="s">
        <v>24</v>
      </c>
      <c r="D255" s="81" t="s">
        <v>1001</v>
      </c>
      <c r="E255" s="80" t="s">
        <v>1002</v>
      </c>
      <c r="F255" s="81">
        <v>4</v>
      </c>
      <c r="G255" s="81">
        <v>0</v>
      </c>
      <c r="H255" s="81">
        <v>4</v>
      </c>
      <c r="I255" s="101" t="s">
        <v>71</v>
      </c>
      <c r="J255" s="101" t="s">
        <v>71</v>
      </c>
      <c r="K255" s="80" t="s">
        <v>76</v>
      </c>
      <c r="L255" s="101" t="s">
        <v>1488</v>
      </c>
      <c r="M255" s="101" t="s">
        <v>1528</v>
      </c>
      <c r="N255" s="101">
        <v>1</v>
      </c>
      <c r="O255" s="101">
        <v>38</v>
      </c>
      <c r="P255" s="102">
        <v>38</v>
      </c>
      <c r="Q255" s="102">
        <v>4</v>
      </c>
      <c r="R255" s="102">
        <v>4</v>
      </c>
      <c r="S255" s="80"/>
      <c r="T255" s="101"/>
      <c r="U255" s="80"/>
    </row>
    <row r="256" spans="2:23" ht="12.75">
      <c r="B256" s="69" t="s">
        <v>52</v>
      </c>
      <c r="C256" s="69" t="s">
        <v>24</v>
      </c>
      <c r="D256" s="81" t="s">
        <v>711</v>
      </c>
      <c r="E256" s="80" t="s">
        <v>712</v>
      </c>
      <c r="F256" s="81">
        <v>4</v>
      </c>
      <c r="G256" s="81">
        <v>0</v>
      </c>
      <c r="H256" s="81">
        <v>4</v>
      </c>
      <c r="I256" s="101" t="s">
        <v>71</v>
      </c>
      <c r="J256" s="101" t="s">
        <v>71</v>
      </c>
      <c r="K256" s="80" t="s">
        <v>76</v>
      </c>
      <c r="L256" s="101" t="s">
        <v>1488</v>
      </c>
      <c r="M256" s="101" t="s">
        <v>1528</v>
      </c>
      <c r="N256" s="101">
        <v>1</v>
      </c>
      <c r="O256" s="101">
        <v>38</v>
      </c>
      <c r="P256" s="102">
        <v>38</v>
      </c>
      <c r="Q256" s="102">
        <v>4</v>
      </c>
      <c r="R256" s="102">
        <v>4</v>
      </c>
      <c r="S256" s="80"/>
      <c r="T256" s="101"/>
      <c r="U256" s="80"/>
    </row>
    <row r="257" spans="2:21" ht="12.75">
      <c r="B257" s="69" t="s">
        <v>52</v>
      </c>
      <c r="C257" s="69" t="s">
        <v>24</v>
      </c>
      <c r="D257" s="81" t="s">
        <v>908</v>
      </c>
      <c r="E257" s="80" t="s">
        <v>909</v>
      </c>
      <c r="F257" s="81">
        <v>3</v>
      </c>
      <c r="G257" s="81">
        <v>1</v>
      </c>
      <c r="H257" s="81">
        <v>4</v>
      </c>
      <c r="I257" s="101" t="s">
        <v>71</v>
      </c>
      <c r="J257" s="101" t="s">
        <v>71</v>
      </c>
      <c r="K257" s="80" t="s">
        <v>76</v>
      </c>
      <c r="L257" s="101" t="s">
        <v>1488</v>
      </c>
      <c r="M257" s="101" t="s">
        <v>1528</v>
      </c>
      <c r="N257" s="101">
        <v>1</v>
      </c>
      <c r="O257" s="101">
        <v>38</v>
      </c>
      <c r="P257" s="102">
        <v>38</v>
      </c>
      <c r="Q257" s="102">
        <v>4</v>
      </c>
      <c r="R257" s="102">
        <v>4</v>
      </c>
      <c r="S257" s="80" t="s">
        <v>1622</v>
      </c>
      <c r="T257" s="101" t="s">
        <v>1564</v>
      </c>
      <c r="U257" s="80" t="s">
        <v>1623</v>
      </c>
    </row>
    <row r="258" spans="2:21" ht="12.75">
      <c r="B258" s="69" t="s">
        <v>52</v>
      </c>
      <c r="C258" s="69" t="s">
        <v>24</v>
      </c>
      <c r="D258" s="81" t="s">
        <v>998</v>
      </c>
      <c r="E258" s="80" t="s">
        <v>999</v>
      </c>
      <c r="F258" s="81">
        <v>4</v>
      </c>
      <c r="G258" s="81">
        <v>0</v>
      </c>
      <c r="H258" s="81">
        <v>4</v>
      </c>
      <c r="I258" s="101" t="s">
        <v>71</v>
      </c>
      <c r="J258" s="101" t="s">
        <v>71</v>
      </c>
      <c r="K258" s="80" t="s">
        <v>1000</v>
      </c>
      <c r="L258" s="101" t="s">
        <v>1488</v>
      </c>
      <c r="M258" s="101" t="s">
        <v>1528</v>
      </c>
      <c r="N258" s="101">
        <v>1</v>
      </c>
      <c r="O258" s="101">
        <v>38</v>
      </c>
      <c r="P258" s="102">
        <v>38</v>
      </c>
      <c r="Q258" s="102">
        <v>4</v>
      </c>
      <c r="R258" s="102">
        <v>4</v>
      </c>
      <c r="S258" s="80"/>
      <c r="T258" s="101"/>
      <c r="U258" s="80"/>
    </row>
    <row r="259" spans="2:21" ht="12.75">
      <c r="B259" s="69" t="s">
        <v>52</v>
      </c>
      <c r="C259" s="69" t="s">
        <v>24</v>
      </c>
      <c r="D259" s="81" t="s">
        <v>1001</v>
      </c>
      <c r="E259" s="80" t="s">
        <v>1002</v>
      </c>
      <c r="F259" s="81">
        <v>4</v>
      </c>
      <c r="G259" s="81">
        <v>0</v>
      </c>
      <c r="H259" s="81">
        <v>4</v>
      </c>
      <c r="I259" s="101" t="s">
        <v>71</v>
      </c>
      <c r="J259" s="101" t="s">
        <v>71</v>
      </c>
      <c r="K259" s="80" t="s">
        <v>76</v>
      </c>
      <c r="L259" s="101" t="s">
        <v>1491</v>
      </c>
      <c r="M259" s="101" t="s">
        <v>1528</v>
      </c>
      <c r="N259" s="101">
        <v>1</v>
      </c>
      <c r="O259" s="101">
        <v>38</v>
      </c>
      <c r="P259" s="102">
        <v>38</v>
      </c>
      <c r="Q259" s="102">
        <v>4</v>
      </c>
      <c r="R259" s="102">
        <v>4</v>
      </c>
      <c r="S259" s="80"/>
      <c r="T259" s="101"/>
      <c r="U259" s="80"/>
    </row>
    <row r="260" spans="2:21" ht="12.75">
      <c r="B260" s="69" t="s">
        <v>52</v>
      </c>
      <c r="C260" s="69" t="s">
        <v>24</v>
      </c>
      <c r="D260" s="81" t="s">
        <v>711</v>
      </c>
      <c r="E260" s="80" t="s">
        <v>712</v>
      </c>
      <c r="F260" s="81">
        <v>4</v>
      </c>
      <c r="G260" s="81">
        <v>0</v>
      </c>
      <c r="H260" s="81">
        <v>4</v>
      </c>
      <c r="I260" s="101" t="s">
        <v>71</v>
      </c>
      <c r="J260" s="101" t="s">
        <v>71</v>
      </c>
      <c r="K260" s="80" t="s">
        <v>76</v>
      </c>
      <c r="L260" s="101" t="s">
        <v>1491</v>
      </c>
      <c r="M260" s="101" t="s">
        <v>1528</v>
      </c>
      <c r="N260" s="101">
        <v>1</v>
      </c>
      <c r="O260" s="101">
        <v>38</v>
      </c>
      <c r="P260" s="102">
        <v>38</v>
      </c>
      <c r="Q260" s="102">
        <v>4</v>
      </c>
      <c r="R260" s="102">
        <v>4</v>
      </c>
      <c r="S260" s="80"/>
      <c r="T260" s="101"/>
      <c r="U260" s="80"/>
    </row>
    <row r="261" spans="2:21" ht="12.75">
      <c r="B261" s="69" t="s">
        <v>52</v>
      </c>
      <c r="C261" s="69" t="s">
        <v>24</v>
      </c>
      <c r="D261" s="81" t="s">
        <v>908</v>
      </c>
      <c r="E261" s="80" t="s">
        <v>909</v>
      </c>
      <c r="F261" s="81">
        <v>3</v>
      </c>
      <c r="G261" s="81">
        <v>1</v>
      </c>
      <c r="H261" s="81">
        <v>4</v>
      </c>
      <c r="I261" s="101" t="s">
        <v>71</v>
      </c>
      <c r="J261" s="101" t="s">
        <v>71</v>
      </c>
      <c r="K261" s="80" t="s">
        <v>76</v>
      </c>
      <c r="L261" s="101" t="s">
        <v>1491</v>
      </c>
      <c r="M261" s="101" t="s">
        <v>1528</v>
      </c>
      <c r="N261" s="101">
        <v>1</v>
      </c>
      <c r="O261" s="101">
        <v>38</v>
      </c>
      <c r="P261" s="102">
        <v>38</v>
      </c>
      <c r="Q261" s="102">
        <v>4</v>
      </c>
      <c r="R261" s="102">
        <v>4</v>
      </c>
      <c r="S261" s="80" t="s">
        <v>1622</v>
      </c>
      <c r="T261" s="101" t="s">
        <v>1564</v>
      </c>
      <c r="U261" s="80" t="s">
        <v>1623</v>
      </c>
    </row>
    <row r="262" spans="2:21" ht="12.75">
      <c r="B262" s="69" t="s">
        <v>52</v>
      </c>
      <c r="C262" s="69" t="s">
        <v>24</v>
      </c>
      <c r="D262" s="81" t="s">
        <v>998</v>
      </c>
      <c r="E262" s="80" t="s">
        <v>999</v>
      </c>
      <c r="F262" s="81">
        <v>4</v>
      </c>
      <c r="G262" s="81">
        <v>0</v>
      </c>
      <c r="H262" s="81">
        <v>4</v>
      </c>
      <c r="I262" s="101" t="s">
        <v>71</v>
      </c>
      <c r="J262" s="101" t="s">
        <v>71</v>
      </c>
      <c r="K262" s="80" t="s">
        <v>1000</v>
      </c>
      <c r="L262" s="101" t="s">
        <v>1491</v>
      </c>
      <c r="M262" s="101" t="s">
        <v>1528</v>
      </c>
      <c r="N262" s="101">
        <v>1</v>
      </c>
      <c r="O262" s="101">
        <v>38</v>
      </c>
      <c r="P262" s="102">
        <v>38</v>
      </c>
      <c r="Q262" s="102">
        <v>4</v>
      </c>
      <c r="R262" s="102">
        <v>4</v>
      </c>
      <c r="S262" s="80"/>
      <c r="T262" s="101"/>
      <c r="U262" s="80"/>
    </row>
    <row r="263" spans="2:21" ht="12.75">
      <c r="B263" s="69" t="s">
        <v>52</v>
      </c>
      <c r="C263" s="69" t="s">
        <v>24</v>
      </c>
      <c r="D263" s="81" t="s">
        <v>1409</v>
      </c>
      <c r="E263" s="80" t="s">
        <v>1410</v>
      </c>
      <c r="F263" s="81">
        <v>4</v>
      </c>
      <c r="G263" s="81">
        <v>0</v>
      </c>
      <c r="H263" s="81">
        <v>4</v>
      </c>
      <c r="I263" s="101" t="s">
        <v>73</v>
      </c>
      <c r="J263" s="101" t="s">
        <v>73</v>
      </c>
      <c r="K263" s="80" t="e">
        <v>#N/A</v>
      </c>
      <c r="L263" s="101" t="s">
        <v>1488</v>
      </c>
      <c r="M263" s="101" t="s">
        <v>1528</v>
      </c>
      <c r="N263" s="101">
        <v>1</v>
      </c>
      <c r="O263" s="101">
        <v>38</v>
      </c>
      <c r="P263" s="102">
        <v>38</v>
      </c>
      <c r="Q263" s="102">
        <v>4</v>
      </c>
      <c r="R263" s="102">
        <v>4</v>
      </c>
      <c r="S263" s="80"/>
      <c r="T263" s="101"/>
      <c r="U263" s="80"/>
    </row>
    <row r="264" spans="2:21" ht="12.75">
      <c r="B264" s="69" t="s">
        <v>52</v>
      </c>
      <c r="C264" s="69" t="s">
        <v>24</v>
      </c>
      <c r="D264" s="81" t="s">
        <v>1409</v>
      </c>
      <c r="E264" s="80" t="s">
        <v>1410</v>
      </c>
      <c r="F264" s="81">
        <v>4</v>
      </c>
      <c r="G264" s="81">
        <v>0</v>
      </c>
      <c r="H264" s="81">
        <v>4</v>
      </c>
      <c r="I264" s="101" t="s">
        <v>73</v>
      </c>
      <c r="J264" s="101" t="s">
        <v>73</v>
      </c>
      <c r="K264" s="80" t="e">
        <v>#N/A</v>
      </c>
      <c r="L264" s="101" t="s">
        <v>1491</v>
      </c>
      <c r="M264" s="101" t="s">
        <v>1528</v>
      </c>
      <c r="N264" s="101">
        <v>1</v>
      </c>
      <c r="O264" s="101">
        <v>38</v>
      </c>
      <c r="P264" s="102">
        <v>38</v>
      </c>
      <c r="Q264" s="102">
        <v>4</v>
      </c>
      <c r="R264" s="102">
        <v>4</v>
      </c>
      <c r="S264" s="80"/>
      <c r="T264" s="101"/>
      <c r="U264" s="80"/>
    </row>
    <row r="265" spans="2:21" ht="12.75">
      <c r="B265" s="69" t="s">
        <v>52</v>
      </c>
      <c r="C265" s="69" t="s">
        <v>24</v>
      </c>
      <c r="D265" s="81" t="s">
        <v>1411</v>
      </c>
      <c r="E265" s="80" t="s">
        <v>1412</v>
      </c>
      <c r="F265" s="81">
        <v>1</v>
      </c>
      <c r="G265" s="81">
        <v>3</v>
      </c>
      <c r="H265" s="81">
        <v>4</v>
      </c>
      <c r="I265" s="101" t="s">
        <v>73</v>
      </c>
      <c r="J265" s="101" t="s">
        <v>73</v>
      </c>
      <c r="K265" s="80" t="e">
        <v>#N/A</v>
      </c>
      <c r="L265" s="101" t="s">
        <v>1488</v>
      </c>
      <c r="M265" s="101" t="s">
        <v>1528</v>
      </c>
      <c r="N265" s="101">
        <v>1</v>
      </c>
      <c r="O265" s="101">
        <v>38</v>
      </c>
      <c r="P265" s="102">
        <v>38</v>
      </c>
      <c r="Q265" s="102">
        <v>4</v>
      </c>
      <c r="R265" s="102">
        <v>4</v>
      </c>
      <c r="S265" s="80" t="s">
        <v>1622</v>
      </c>
      <c r="T265" s="101" t="s">
        <v>1564</v>
      </c>
      <c r="U265" s="80" t="s">
        <v>1623</v>
      </c>
    </row>
    <row r="266" spans="2:21" ht="12.75">
      <c r="B266" s="69" t="s">
        <v>52</v>
      </c>
      <c r="C266" s="69" t="s">
        <v>24</v>
      </c>
      <c r="D266" s="81" t="s">
        <v>1411</v>
      </c>
      <c r="E266" s="80" t="s">
        <v>1412</v>
      </c>
      <c r="F266" s="81">
        <v>1</v>
      </c>
      <c r="G266" s="81">
        <v>3</v>
      </c>
      <c r="H266" s="81">
        <v>4</v>
      </c>
      <c r="I266" s="101" t="s">
        <v>73</v>
      </c>
      <c r="J266" s="101" t="s">
        <v>73</v>
      </c>
      <c r="K266" s="80" t="e">
        <v>#N/A</v>
      </c>
      <c r="L266" s="101" t="s">
        <v>1491</v>
      </c>
      <c r="M266" s="101" t="s">
        <v>1528</v>
      </c>
      <c r="N266" s="101">
        <v>1</v>
      </c>
      <c r="O266" s="101">
        <v>38</v>
      </c>
      <c r="P266" s="102">
        <v>38</v>
      </c>
      <c r="Q266" s="102">
        <v>4</v>
      </c>
      <c r="R266" s="102">
        <v>4</v>
      </c>
      <c r="S266" s="80" t="s">
        <v>1622</v>
      </c>
      <c r="T266" s="101" t="s">
        <v>1564</v>
      </c>
      <c r="U266" s="80" t="s">
        <v>1623</v>
      </c>
    </row>
    <row r="267" spans="2:21" ht="12.75">
      <c r="B267" s="39" t="s">
        <v>51</v>
      </c>
      <c r="C267" s="39" t="s">
        <v>25</v>
      </c>
      <c r="D267" s="84" t="s">
        <v>696</v>
      </c>
      <c r="E267" s="85" t="s">
        <v>697</v>
      </c>
      <c r="F267" s="84">
        <v>4</v>
      </c>
      <c r="G267" s="84">
        <v>0</v>
      </c>
      <c r="H267" s="84">
        <v>4</v>
      </c>
      <c r="I267" s="97" t="s">
        <v>71</v>
      </c>
      <c r="J267" s="97" t="s">
        <v>71</v>
      </c>
      <c r="K267" s="85" t="s">
        <v>76</v>
      </c>
      <c r="L267" s="97" t="s">
        <v>1488</v>
      </c>
      <c r="M267" s="101" t="s">
        <v>1528</v>
      </c>
      <c r="N267" s="97">
        <v>1</v>
      </c>
      <c r="O267" s="97">
        <v>45</v>
      </c>
      <c r="P267" s="98">
        <v>45</v>
      </c>
      <c r="Q267" s="98">
        <v>4</v>
      </c>
      <c r="R267" s="98">
        <v>4</v>
      </c>
      <c r="S267" s="85"/>
      <c r="T267" s="97"/>
      <c r="U267" s="85"/>
    </row>
    <row r="268" spans="2:21" ht="12.75">
      <c r="B268" s="39" t="s">
        <v>51</v>
      </c>
      <c r="C268" s="39" t="s">
        <v>25</v>
      </c>
      <c r="D268" s="84" t="s">
        <v>696</v>
      </c>
      <c r="E268" s="85" t="s">
        <v>697</v>
      </c>
      <c r="F268" s="84">
        <v>4</v>
      </c>
      <c r="G268" s="84">
        <v>0</v>
      </c>
      <c r="H268" s="84">
        <v>4</v>
      </c>
      <c r="I268" s="97" t="s">
        <v>71</v>
      </c>
      <c r="J268" s="97" t="s">
        <v>71</v>
      </c>
      <c r="K268" s="85" t="s">
        <v>76</v>
      </c>
      <c r="L268" s="97" t="s">
        <v>1491</v>
      </c>
      <c r="M268" s="101" t="s">
        <v>1528</v>
      </c>
      <c r="N268" s="97">
        <v>1</v>
      </c>
      <c r="O268" s="97">
        <v>45</v>
      </c>
      <c r="P268" s="98">
        <v>45</v>
      </c>
      <c r="Q268" s="98">
        <v>4</v>
      </c>
      <c r="R268" s="98">
        <v>4</v>
      </c>
      <c r="S268" s="85"/>
      <c r="T268" s="97"/>
      <c r="U268" s="85"/>
    </row>
    <row r="269" spans="2:21" ht="12.75">
      <c r="B269" s="39" t="s">
        <v>51</v>
      </c>
      <c r="C269" s="39" t="s">
        <v>25</v>
      </c>
      <c r="D269" s="84" t="s">
        <v>475</v>
      </c>
      <c r="E269" s="85" t="s">
        <v>476</v>
      </c>
      <c r="F269" s="84">
        <v>4</v>
      </c>
      <c r="G269" s="84">
        <v>0</v>
      </c>
      <c r="H269" s="84">
        <v>4</v>
      </c>
      <c r="I269" s="97" t="s">
        <v>71</v>
      </c>
      <c r="J269" s="97" t="s">
        <v>71</v>
      </c>
      <c r="K269" s="85" t="s">
        <v>76</v>
      </c>
      <c r="L269" s="97" t="s">
        <v>1488</v>
      </c>
      <c r="M269" s="101" t="s">
        <v>1528</v>
      </c>
      <c r="N269" s="97">
        <v>1</v>
      </c>
      <c r="O269" s="97">
        <v>45</v>
      </c>
      <c r="P269" s="98">
        <v>45</v>
      </c>
      <c r="Q269" s="98">
        <v>4</v>
      </c>
      <c r="R269" s="98">
        <v>4</v>
      </c>
      <c r="S269" s="85"/>
      <c r="T269" s="97"/>
      <c r="U269" s="85"/>
    </row>
    <row r="270" spans="2:21" ht="12.75">
      <c r="B270" s="39" t="s">
        <v>51</v>
      </c>
      <c r="C270" s="39" t="s">
        <v>25</v>
      </c>
      <c r="D270" s="84" t="s">
        <v>475</v>
      </c>
      <c r="E270" s="85" t="s">
        <v>476</v>
      </c>
      <c r="F270" s="84">
        <v>4</v>
      </c>
      <c r="G270" s="84">
        <v>0</v>
      </c>
      <c r="H270" s="84">
        <v>4</v>
      </c>
      <c r="I270" s="97" t="s">
        <v>71</v>
      </c>
      <c r="J270" s="97" t="s">
        <v>71</v>
      </c>
      <c r="K270" s="85" t="s">
        <v>76</v>
      </c>
      <c r="L270" s="97" t="s">
        <v>1491</v>
      </c>
      <c r="M270" s="101" t="s">
        <v>1528</v>
      </c>
      <c r="N270" s="97">
        <v>1</v>
      </c>
      <c r="O270" s="97">
        <v>45</v>
      </c>
      <c r="P270" s="98">
        <v>45</v>
      </c>
      <c r="Q270" s="98">
        <v>4</v>
      </c>
      <c r="R270" s="98">
        <v>4</v>
      </c>
      <c r="S270" s="85"/>
      <c r="T270" s="97"/>
      <c r="U270" s="85"/>
    </row>
    <row r="271" spans="2:21" ht="12.75">
      <c r="B271" s="39" t="s">
        <v>51</v>
      </c>
      <c r="C271" s="39" t="s">
        <v>25</v>
      </c>
      <c r="D271" s="84" t="s">
        <v>1397</v>
      </c>
      <c r="E271" s="85" t="s">
        <v>1398</v>
      </c>
      <c r="F271" s="84">
        <v>4</v>
      </c>
      <c r="G271" s="84">
        <v>0</v>
      </c>
      <c r="H271" s="84">
        <v>4</v>
      </c>
      <c r="I271" s="97" t="s">
        <v>71</v>
      </c>
      <c r="J271" s="97" t="s">
        <v>71</v>
      </c>
      <c r="K271" s="85" t="s">
        <v>76</v>
      </c>
      <c r="L271" s="97" t="s">
        <v>1488</v>
      </c>
      <c r="M271" s="101" t="s">
        <v>1528</v>
      </c>
      <c r="N271" s="97">
        <v>1</v>
      </c>
      <c r="O271" s="97">
        <v>45</v>
      </c>
      <c r="P271" s="98">
        <v>45</v>
      </c>
      <c r="Q271" s="98">
        <v>4</v>
      </c>
      <c r="R271" s="98">
        <v>4</v>
      </c>
      <c r="S271" s="85"/>
      <c r="T271" s="97"/>
      <c r="U271" s="85"/>
    </row>
    <row r="272" spans="2:21" ht="12.75">
      <c r="B272" s="39" t="s">
        <v>51</v>
      </c>
      <c r="C272" s="39" t="s">
        <v>25</v>
      </c>
      <c r="D272" s="84" t="s">
        <v>1397</v>
      </c>
      <c r="E272" s="85" t="s">
        <v>1398</v>
      </c>
      <c r="F272" s="84">
        <v>4</v>
      </c>
      <c r="G272" s="84">
        <v>0</v>
      </c>
      <c r="H272" s="84">
        <v>4</v>
      </c>
      <c r="I272" s="97" t="s">
        <v>71</v>
      </c>
      <c r="J272" s="97" t="s">
        <v>71</v>
      </c>
      <c r="K272" s="85" t="s">
        <v>76</v>
      </c>
      <c r="L272" s="97" t="s">
        <v>1491</v>
      </c>
      <c r="M272" s="101" t="s">
        <v>1528</v>
      </c>
      <c r="N272" s="97">
        <v>1</v>
      </c>
      <c r="O272" s="97">
        <v>45</v>
      </c>
      <c r="P272" s="98">
        <v>45</v>
      </c>
      <c r="Q272" s="98">
        <v>4</v>
      </c>
      <c r="R272" s="98">
        <v>4</v>
      </c>
      <c r="S272" s="85"/>
      <c r="T272" s="97"/>
      <c r="U272" s="85"/>
    </row>
    <row r="273" spans="1:23" ht="12.75">
      <c r="B273" s="39" t="s">
        <v>51</v>
      </c>
      <c r="C273" s="39" t="s">
        <v>25</v>
      </c>
      <c r="D273" s="84" t="s">
        <v>309</v>
      </c>
      <c r="E273" s="85" t="s">
        <v>310</v>
      </c>
      <c r="F273" s="84">
        <v>4</v>
      </c>
      <c r="G273" s="84">
        <v>0</v>
      </c>
      <c r="H273" s="84">
        <v>4</v>
      </c>
      <c r="I273" s="97" t="s">
        <v>71</v>
      </c>
      <c r="J273" s="97" t="s">
        <v>71</v>
      </c>
      <c r="K273" s="85" t="s">
        <v>76</v>
      </c>
      <c r="L273" s="97" t="s">
        <v>1488</v>
      </c>
      <c r="M273" s="101" t="s">
        <v>1528</v>
      </c>
      <c r="N273" s="97">
        <v>1</v>
      </c>
      <c r="O273" s="97">
        <v>45</v>
      </c>
      <c r="P273" s="98">
        <v>45</v>
      </c>
      <c r="Q273" s="98">
        <v>4</v>
      </c>
      <c r="R273" s="98">
        <v>4</v>
      </c>
      <c r="S273" s="85"/>
      <c r="T273" s="97"/>
      <c r="U273" s="85"/>
    </row>
    <row r="274" spans="1:23" ht="12.75">
      <c r="B274" s="39" t="s">
        <v>51</v>
      </c>
      <c r="C274" s="39" t="s">
        <v>25</v>
      </c>
      <c r="D274" s="84" t="s">
        <v>309</v>
      </c>
      <c r="E274" s="85" t="s">
        <v>310</v>
      </c>
      <c r="F274" s="84">
        <v>4</v>
      </c>
      <c r="G274" s="84">
        <v>0</v>
      </c>
      <c r="H274" s="84">
        <v>4</v>
      </c>
      <c r="I274" s="97" t="s">
        <v>71</v>
      </c>
      <c r="J274" s="97" t="s">
        <v>71</v>
      </c>
      <c r="K274" s="85" t="s">
        <v>76</v>
      </c>
      <c r="L274" s="97" t="s">
        <v>1491</v>
      </c>
      <c r="M274" s="101" t="s">
        <v>1528</v>
      </c>
      <c r="N274" s="97">
        <v>1</v>
      </c>
      <c r="O274" s="97">
        <v>45</v>
      </c>
      <c r="P274" s="98">
        <v>45</v>
      </c>
      <c r="Q274" s="98">
        <v>4</v>
      </c>
      <c r="R274" s="98">
        <v>4</v>
      </c>
      <c r="S274" s="85"/>
      <c r="T274" s="97"/>
      <c r="U274" s="85"/>
    </row>
    <row r="275" spans="1:23" ht="12.75">
      <c r="B275" s="39" t="s">
        <v>51</v>
      </c>
      <c r="C275" s="39" t="s">
        <v>25</v>
      </c>
      <c r="D275" s="84" t="s">
        <v>1399</v>
      </c>
      <c r="E275" s="85" t="s">
        <v>1400</v>
      </c>
      <c r="F275" s="84">
        <v>4</v>
      </c>
      <c r="G275" s="84">
        <v>0</v>
      </c>
      <c r="H275" s="84">
        <v>4</v>
      </c>
      <c r="I275" s="97" t="s">
        <v>71</v>
      </c>
      <c r="J275" s="97" t="s">
        <v>71</v>
      </c>
      <c r="K275" s="85" t="s">
        <v>76</v>
      </c>
      <c r="L275" s="97" t="s">
        <v>1488</v>
      </c>
      <c r="M275" s="101" t="s">
        <v>1528</v>
      </c>
      <c r="N275" s="97">
        <v>1</v>
      </c>
      <c r="O275" s="97">
        <v>45</v>
      </c>
      <c r="P275" s="98">
        <v>45</v>
      </c>
      <c r="Q275" s="98">
        <v>4</v>
      </c>
      <c r="R275" s="98">
        <v>4</v>
      </c>
      <c r="S275" s="85"/>
      <c r="T275" s="97"/>
      <c r="U275" s="85"/>
    </row>
    <row r="276" spans="1:23" ht="12.75">
      <c r="B276" s="39" t="s">
        <v>51</v>
      </c>
      <c r="C276" s="39" t="s">
        <v>25</v>
      </c>
      <c r="D276" s="84" t="s">
        <v>1399</v>
      </c>
      <c r="E276" s="85" t="s">
        <v>1400</v>
      </c>
      <c r="F276" s="84">
        <v>4</v>
      </c>
      <c r="G276" s="84">
        <v>0</v>
      </c>
      <c r="H276" s="84">
        <v>4</v>
      </c>
      <c r="I276" s="97" t="s">
        <v>71</v>
      </c>
      <c r="J276" s="97" t="s">
        <v>71</v>
      </c>
      <c r="K276" s="85" t="s">
        <v>76</v>
      </c>
      <c r="L276" s="97" t="s">
        <v>1491</v>
      </c>
      <c r="M276" s="101" t="s">
        <v>1528</v>
      </c>
      <c r="N276" s="97">
        <v>1</v>
      </c>
      <c r="O276" s="97">
        <v>45</v>
      </c>
      <c r="P276" s="98">
        <v>45</v>
      </c>
      <c r="Q276" s="98">
        <v>4</v>
      </c>
      <c r="R276" s="98">
        <v>4</v>
      </c>
      <c r="S276" s="85"/>
      <c r="T276" s="97"/>
      <c r="U276" s="85"/>
    </row>
    <row r="277" spans="1:23" ht="12.75">
      <c r="A277" s="1" t="s">
        <v>1672</v>
      </c>
      <c r="B277" s="39" t="s">
        <v>51</v>
      </c>
      <c r="C277" s="39" t="s">
        <v>25</v>
      </c>
      <c r="D277" s="84" t="s">
        <v>1012</v>
      </c>
      <c r="E277" s="85" t="s">
        <v>1013</v>
      </c>
      <c r="F277" s="84">
        <v>4</v>
      </c>
      <c r="G277" s="84">
        <v>0</v>
      </c>
      <c r="H277" s="84">
        <v>4</v>
      </c>
      <c r="I277" s="101" t="s">
        <v>1511</v>
      </c>
      <c r="J277" s="101" t="s">
        <v>1511</v>
      </c>
      <c r="K277" s="85" t="s">
        <v>76</v>
      </c>
      <c r="L277" s="97" t="s">
        <v>1488</v>
      </c>
      <c r="M277" s="101" t="s">
        <v>1528</v>
      </c>
      <c r="N277" s="97">
        <v>1</v>
      </c>
      <c r="O277" s="97">
        <v>45</v>
      </c>
      <c r="P277" s="98">
        <v>45</v>
      </c>
      <c r="Q277" s="98">
        <v>4</v>
      </c>
      <c r="R277" s="98">
        <v>4</v>
      </c>
      <c r="S277" s="85"/>
      <c r="T277" s="97"/>
      <c r="U277" s="85"/>
    </row>
    <row r="278" spans="1:23" ht="12.75">
      <c r="A278" s="1" t="s">
        <v>1672</v>
      </c>
      <c r="B278" s="39" t="s">
        <v>51</v>
      </c>
      <c r="C278" s="39" t="s">
        <v>25</v>
      </c>
      <c r="D278" s="84" t="s">
        <v>1012</v>
      </c>
      <c r="E278" s="85" t="s">
        <v>1013</v>
      </c>
      <c r="F278" s="84">
        <v>4</v>
      </c>
      <c r="G278" s="84">
        <v>0</v>
      </c>
      <c r="H278" s="84">
        <v>4</v>
      </c>
      <c r="I278" s="101" t="s">
        <v>1511</v>
      </c>
      <c r="J278" s="101" t="s">
        <v>1511</v>
      </c>
      <c r="K278" s="85" t="s">
        <v>76</v>
      </c>
      <c r="L278" s="97" t="s">
        <v>1491</v>
      </c>
      <c r="M278" s="101" t="s">
        <v>1528</v>
      </c>
      <c r="N278" s="97">
        <v>1</v>
      </c>
      <c r="O278" s="97">
        <v>45</v>
      </c>
      <c r="P278" s="98">
        <v>45</v>
      </c>
      <c r="Q278" s="98">
        <v>4</v>
      </c>
      <c r="R278" s="98">
        <v>4</v>
      </c>
      <c r="S278" s="85"/>
      <c r="T278" s="97"/>
      <c r="U278" s="85"/>
    </row>
    <row r="279" spans="1:23" ht="12.75">
      <c r="B279" s="39" t="s">
        <v>51</v>
      </c>
      <c r="C279" s="39" t="s">
        <v>25</v>
      </c>
      <c r="D279" s="84" t="s">
        <v>1414</v>
      </c>
      <c r="E279" s="85" t="s">
        <v>1604</v>
      </c>
      <c r="F279" s="84">
        <v>4</v>
      </c>
      <c r="G279" s="84">
        <v>0</v>
      </c>
      <c r="H279" s="84">
        <v>4</v>
      </c>
      <c r="I279" s="97" t="s">
        <v>73</v>
      </c>
      <c r="J279" s="97" t="s">
        <v>73</v>
      </c>
      <c r="K279" s="85" t="s">
        <v>76</v>
      </c>
      <c r="L279" s="97" t="s">
        <v>1488</v>
      </c>
      <c r="M279" s="101" t="s">
        <v>1528</v>
      </c>
      <c r="N279" s="97">
        <v>1</v>
      </c>
      <c r="O279" s="97">
        <v>45</v>
      </c>
      <c r="P279" s="98">
        <v>45</v>
      </c>
      <c r="Q279" s="98">
        <v>4</v>
      </c>
      <c r="R279" s="98">
        <v>4</v>
      </c>
      <c r="S279" s="85"/>
      <c r="T279" s="97"/>
      <c r="U279" s="85"/>
    </row>
    <row r="280" spans="1:23" ht="12.75">
      <c r="B280" s="39" t="s">
        <v>51</v>
      </c>
      <c r="C280" s="39" t="s">
        <v>25</v>
      </c>
      <c r="D280" s="84" t="s">
        <v>1414</v>
      </c>
      <c r="E280" s="85" t="s">
        <v>1604</v>
      </c>
      <c r="F280" s="84">
        <v>4</v>
      </c>
      <c r="G280" s="84">
        <v>0</v>
      </c>
      <c r="H280" s="84">
        <v>4</v>
      </c>
      <c r="I280" s="97" t="s">
        <v>73</v>
      </c>
      <c r="J280" s="97" t="s">
        <v>73</v>
      </c>
      <c r="K280" s="85" t="s">
        <v>76</v>
      </c>
      <c r="L280" s="97" t="s">
        <v>1491</v>
      </c>
      <c r="M280" s="101" t="s">
        <v>1528</v>
      </c>
      <c r="N280" s="97">
        <v>1</v>
      </c>
      <c r="O280" s="97">
        <v>45</v>
      </c>
      <c r="P280" s="98">
        <v>45</v>
      </c>
      <c r="Q280" s="98">
        <v>4</v>
      </c>
      <c r="R280" s="98">
        <v>4</v>
      </c>
      <c r="S280" s="85"/>
      <c r="T280" s="97"/>
      <c r="U280" s="85"/>
    </row>
    <row r="281" spans="1:23" ht="12.75">
      <c r="B281" s="39" t="s">
        <v>51</v>
      </c>
      <c r="C281" s="39" t="s">
        <v>25</v>
      </c>
      <c r="D281" s="84" t="s">
        <v>1419</v>
      </c>
      <c r="E281" s="85" t="s">
        <v>1605</v>
      </c>
      <c r="F281" s="84">
        <v>4</v>
      </c>
      <c r="G281" s="84">
        <v>0</v>
      </c>
      <c r="H281" s="84">
        <v>4</v>
      </c>
      <c r="I281" s="97" t="s">
        <v>73</v>
      </c>
      <c r="J281" s="97" t="s">
        <v>73</v>
      </c>
      <c r="K281" s="85" t="s">
        <v>76</v>
      </c>
      <c r="L281" s="97" t="s">
        <v>1488</v>
      </c>
      <c r="M281" s="101" t="s">
        <v>1528</v>
      </c>
      <c r="N281" s="97">
        <v>1</v>
      </c>
      <c r="O281" s="97">
        <v>45</v>
      </c>
      <c r="P281" s="98">
        <v>45</v>
      </c>
      <c r="Q281" s="98">
        <v>4</v>
      </c>
      <c r="R281" s="98">
        <v>4</v>
      </c>
      <c r="S281" s="85"/>
      <c r="T281" s="97"/>
      <c r="U281" s="85"/>
    </row>
    <row r="282" spans="1:23" ht="12.75">
      <c r="B282" s="39" t="s">
        <v>51</v>
      </c>
      <c r="C282" s="39" t="s">
        <v>25</v>
      </c>
      <c r="D282" s="84" t="s">
        <v>1419</v>
      </c>
      <c r="E282" s="85" t="s">
        <v>1605</v>
      </c>
      <c r="F282" s="84">
        <v>4</v>
      </c>
      <c r="G282" s="84">
        <v>0</v>
      </c>
      <c r="H282" s="84">
        <v>4</v>
      </c>
      <c r="I282" s="97" t="s">
        <v>73</v>
      </c>
      <c r="J282" s="97" t="s">
        <v>73</v>
      </c>
      <c r="K282" s="85" t="s">
        <v>76</v>
      </c>
      <c r="L282" s="97" t="s">
        <v>1491</v>
      </c>
      <c r="M282" s="101" t="s">
        <v>1528</v>
      </c>
      <c r="N282" s="97">
        <v>1</v>
      </c>
      <c r="O282" s="97">
        <v>45</v>
      </c>
      <c r="P282" s="98">
        <v>45</v>
      </c>
      <c r="Q282" s="98">
        <v>4</v>
      </c>
      <c r="R282" s="98">
        <v>4</v>
      </c>
      <c r="S282" s="85"/>
      <c r="T282" s="97"/>
      <c r="U282" s="85"/>
    </row>
    <row r="283" spans="1:23" ht="12.75">
      <c r="A283" s="1" t="s">
        <v>1672</v>
      </c>
      <c r="B283" s="39" t="s">
        <v>51</v>
      </c>
      <c r="C283" s="39" t="s">
        <v>25</v>
      </c>
      <c r="D283" s="84" t="s">
        <v>1417</v>
      </c>
      <c r="E283" s="85" t="s">
        <v>1606</v>
      </c>
      <c r="F283" s="84">
        <v>4</v>
      </c>
      <c r="G283" s="84">
        <v>0</v>
      </c>
      <c r="H283" s="84">
        <v>4</v>
      </c>
      <c r="I283" s="97" t="s">
        <v>73</v>
      </c>
      <c r="J283" s="97" t="s">
        <v>73</v>
      </c>
      <c r="K283" s="85" t="s">
        <v>76</v>
      </c>
      <c r="L283" s="97" t="s">
        <v>1488</v>
      </c>
      <c r="M283" s="101" t="s">
        <v>1528</v>
      </c>
      <c r="N283" s="97">
        <v>1</v>
      </c>
      <c r="O283" s="97">
        <v>45</v>
      </c>
      <c r="P283" s="98">
        <v>45</v>
      </c>
      <c r="Q283" s="98">
        <v>4</v>
      </c>
      <c r="R283" s="98">
        <v>4</v>
      </c>
      <c r="S283" s="85"/>
      <c r="T283" s="97"/>
      <c r="U283" s="85"/>
    </row>
    <row r="284" spans="1:23" ht="12.75">
      <c r="A284" s="1" t="s">
        <v>1672</v>
      </c>
      <c r="B284" s="39" t="s">
        <v>51</v>
      </c>
      <c r="C284" s="39" t="s">
        <v>25</v>
      </c>
      <c r="D284" s="84" t="s">
        <v>1417</v>
      </c>
      <c r="E284" s="85" t="s">
        <v>1606</v>
      </c>
      <c r="F284" s="84">
        <v>4</v>
      </c>
      <c r="G284" s="84">
        <v>0</v>
      </c>
      <c r="H284" s="84">
        <v>4</v>
      </c>
      <c r="I284" s="97" t="s">
        <v>73</v>
      </c>
      <c r="J284" s="97" t="s">
        <v>73</v>
      </c>
      <c r="K284" s="85" t="s">
        <v>76</v>
      </c>
      <c r="L284" s="97" t="s">
        <v>1491</v>
      </c>
      <c r="M284" s="101" t="s">
        <v>1528</v>
      </c>
      <c r="N284" s="97">
        <v>1</v>
      </c>
      <c r="O284" s="97">
        <v>45</v>
      </c>
      <c r="P284" s="98">
        <v>45</v>
      </c>
      <c r="Q284" s="98">
        <v>4</v>
      </c>
      <c r="R284" s="98">
        <v>4</v>
      </c>
      <c r="S284" s="85"/>
      <c r="T284" s="97"/>
      <c r="U284" s="85"/>
    </row>
    <row r="285" spans="1:23" ht="12.75">
      <c r="B285" s="38" t="s">
        <v>1637</v>
      </c>
      <c r="C285" s="38" t="s">
        <v>26</v>
      </c>
      <c r="D285" s="84" t="s">
        <v>633</v>
      </c>
      <c r="E285" s="85" t="s">
        <v>634</v>
      </c>
      <c r="F285" s="84">
        <v>4</v>
      </c>
      <c r="G285" s="84">
        <v>0</v>
      </c>
      <c r="H285" s="84">
        <v>6</v>
      </c>
      <c r="I285" s="97" t="s">
        <v>71</v>
      </c>
      <c r="J285" s="101" t="s">
        <v>71</v>
      </c>
      <c r="K285" s="97" t="s">
        <v>76</v>
      </c>
      <c r="L285" s="85" t="s">
        <v>1488</v>
      </c>
      <c r="M285" s="101" t="s">
        <v>1562</v>
      </c>
      <c r="N285" s="101">
        <v>1</v>
      </c>
      <c r="O285" s="97">
        <v>50</v>
      </c>
      <c r="P285" s="97" t="s">
        <v>1527</v>
      </c>
      <c r="Q285" s="102">
        <v>4</v>
      </c>
      <c r="R285" s="102">
        <v>4</v>
      </c>
      <c r="S285" s="98"/>
      <c r="T285" s="98"/>
      <c r="U285" s="95"/>
      <c r="V285" s="95"/>
      <c r="W285" s="78"/>
    </row>
    <row r="286" spans="1:23" ht="12.75">
      <c r="B286" s="38" t="s">
        <v>1637</v>
      </c>
      <c r="C286" s="38" t="s">
        <v>26</v>
      </c>
      <c r="D286" s="84" t="s">
        <v>1312</v>
      </c>
      <c r="E286" s="85" t="s">
        <v>1313</v>
      </c>
      <c r="F286" s="84">
        <v>4</v>
      </c>
      <c r="G286" s="84">
        <v>0</v>
      </c>
      <c r="H286" s="84">
        <v>6</v>
      </c>
      <c r="I286" s="97" t="s">
        <v>71</v>
      </c>
      <c r="J286" s="101" t="s">
        <v>71</v>
      </c>
      <c r="K286" s="97" t="s">
        <v>76</v>
      </c>
      <c r="L286" s="85" t="s">
        <v>1488</v>
      </c>
      <c r="M286" s="101" t="s">
        <v>1562</v>
      </c>
      <c r="N286" s="101">
        <v>1</v>
      </c>
      <c r="O286" s="97">
        <v>50</v>
      </c>
      <c r="P286" s="97" t="s">
        <v>1527</v>
      </c>
      <c r="Q286" s="102">
        <v>4</v>
      </c>
      <c r="R286" s="102">
        <v>4</v>
      </c>
      <c r="S286" s="98"/>
      <c r="T286" s="98"/>
      <c r="U286" s="95"/>
      <c r="V286" s="95"/>
      <c r="W286" s="78"/>
    </row>
    <row r="287" spans="1:23" ht="12.75">
      <c r="B287" s="38" t="s">
        <v>1637</v>
      </c>
      <c r="C287" s="38" t="s">
        <v>26</v>
      </c>
      <c r="D287" s="84" t="s">
        <v>1144</v>
      </c>
      <c r="E287" s="85" t="s">
        <v>1145</v>
      </c>
      <c r="F287" s="84">
        <v>4</v>
      </c>
      <c r="G287" s="84">
        <v>2</v>
      </c>
      <c r="H287" s="84">
        <v>6</v>
      </c>
      <c r="I287" s="97" t="s">
        <v>71</v>
      </c>
      <c r="J287" s="101" t="s">
        <v>71</v>
      </c>
      <c r="K287" s="97" t="s">
        <v>76</v>
      </c>
      <c r="L287" s="85" t="s">
        <v>1488</v>
      </c>
      <c r="M287" s="101" t="s">
        <v>1562</v>
      </c>
      <c r="N287" s="101">
        <v>1</v>
      </c>
      <c r="O287" s="97">
        <v>30</v>
      </c>
      <c r="P287" s="97" t="s">
        <v>1527</v>
      </c>
      <c r="Q287" s="102">
        <v>6</v>
      </c>
      <c r="R287" s="102">
        <v>6</v>
      </c>
      <c r="S287" s="98" t="s">
        <v>1695</v>
      </c>
      <c r="T287" s="98" t="s">
        <v>1564</v>
      </c>
      <c r="U287" s="95"/>
      <c r="V287" s="95"/>
      <c r="W287" s="78"/>
    </row>
    <row r="288" spans="1:23" ht="12.75">
      <c r="B288" s="38" t="s">
        <v>1637</v>
      </c>
      <c r="C288" s="38" t="s">
        <v>26</v>
      </c>
      <c r="D288" s="84" t="s">
        <v>417</v>
      </c>
      <c r="E288" s="85" t="s">
        <v>418</v>
      </c>
      <c r="F288" s="84">
        <v>2</v>
      </c>
      <c r="G288" s="84">
        <v>4</v>
      </c>
      <c r="H288" s="84">
        <v>6</v>
      </c>
      <c r="I288" s="97" t="s">
        <v>71</v>
      </c>
      <c r="J288" s="101" t="s">
        <v>71</v>
      </c>
      <c r="K288" s="97" t="s">
        <v>76</v>
      </c>
      <c r="L288" s="85" t="s">
        <v>1488</v>
      </c>
      <c r="M288" s="101" t="s">
        <v>1562</v>
      </c>
      <c r="N288" s="101">
        <v>1</v>
      </c>
      <c r="O288" s="97">
        <v>30</v>
      </c>
      <c r="P288" s="97" t="s">
        <v>1527</v>
      </c>
      <c r="Q288" s="102">
        <v>6</v>
      </c>
      <c r="R288" s="102">
        <v>6</v>
      </c>
      <c r="S288" s="98" t="s">
        <v>1695</v>
      </c>
      <c r="T288" s="98" t="s">
        <v>1564</v>
      </c>
      <c r="U288" s="95"/>
      <c r="V288" s="95"/>
      <c r="W288" s="78"/>
    </row>
    <row r="289" spans="2:23" ht="12.75">
      <c r="B289" s="38" t="s">
        <v>1637</v>
      </c>
      <c r="C289" s="38" t="s">
        <v>26</v>
      </c>
      <c r="D289" s="84" t="s">
        <v>613</v>
      </c>
      <c r="E289" s="85" t="s">
        <v>614</v>
      </c>
      <c r="F289" s="84">
        <v>0</v>
      </c>
      <c r="G289" s="84">
        <v>6</v>
      </c>
      <c r="H289" s="84">
        <v>7</v>
      </c>
      <c r="I289" s="97" t="s">
        <v>71</v>
      </c>
      <c r="J289" s="101" t="s">
        <v>71</v>
      </c>
      <c r="K289" s="97" t="s">
        <v>76</v>
      </c>
      <c r="L289" s="85" t="s">
        <v>1488</v>
      </c>
      <c r="M289" s="101" t="s">
        <v>1562</v>
      </c>
      <c r="N289" s="101">
        <v>1</v>
      </c>
      <c r="O289" s="97">
        <v>30</v>
      </c>
      <c r="P289" s="97" t="s">
        <v>1527</v>
      </c>
      <c r="Q289" s="102">
        <v>6</v>
      </c>
      <c r="R289" s="102">
        <v>6</v>
      </c>
      <c r="S289" s="98" t="s">
        <v>1695</v>
      </c>
      <c r="T289" s="98" t="s">
        <v>1564</v>
      </c>
      <c r="U289" s="95"/>
      <c r="V289" s="95"/>
      <c r="W289" s="78"/>
    </row>
    <row r="290" spans="2:23" ht="12.75">
      <c r="B290" s="38" t="s">
        <v>1637</v>
      </c>
      <c r="C290" s="38" t="s">
        <v>26</v>
      </c>
      <c r="D290" s="84" t="s">
        <v>471</v>
      </c>
      <c r="E290" s="85" t="s">
        <v>472</v>
      </c>
      <c r="F290" s="84">
        <v>4</v>
      </c>
      <c r="G290" s="84">
        <v>2</v>
      </c>
      <c r="H290" s="84">
        <v>6</v>
      </c>
      <c r="I290" s="97" t="s">
        <v>71</v>
      </c>
      <c r="J290" s="101" t="s">
        <v>71</v>
      </c>
      <c r="K290" s="97" t="s">
        <v>76</v>
      </c>
      <c r="L290" s="85" t="s">
        <v>1488</v>
      </c>
      <c r="M290" s="101" t="s">
        <v>1562</v>
      </c>
      <c r="N290" s="101">
        <v>1</v>
      </c>
      <c r="O290" s="97">
        <v>30</v>
      </c>
      <c r="P290" s="97" t="s">
        <v>1527</v>
      </c>
      <c r="Q290" s="102">
        <v>6</v>
      </c>
      <c r="R290" s="102">
        <v>6</v>
      </c>
      <c r="S290" s="98" t="s">
        <v>1695</v>
      </c>
      <c r="T290" s="98" t="s">
        <v>1564</v>
      </c>
      <c r="U290" s="95"/>
      <c r="V290" s="95"/>
      <c r="W290" s="78"/>
    </row>
    <row r="291" spans="2:23" ht="12.75">
      <c r="B291" s="38" t="s">
        <v>1637</v>
      </c>
      <c r="C291" s="38" t="s">
        <v>26</v>
      </c>
      <c r="D291" s="84" t="s">
        <v>972</v>
      </c>
      <c r="E291" s="85" t="s">
        <v>973</v>
      </c>
      <c r="F291" s="84">
        <v>4</v>
      </c>
      <c r="G291" s="84">
        <v>0</v>
      </c>
      <c r="H291" s="84">
        <v>4</v>
      </c>
      <c r="I291" s="97" t="s">
        <v>73</v>
      </c>
      <c r="J291" s="101" t="s">
        <v>73</v>
      </c>
      <c r="K291" s="97" t="s">
        <v>76</v>
      </c>
      <c r="L291" s="85" t="s">
        <v>1488</v>
      </c>
      <c r="M291" s="101" t="s">
        <v>1562</v>
      </c>
      <c r="N291" s="101">
        <v>1</v>
      </c>
      <c r="O291" s="97">
        <v>50</v>
      </c>
      <c r="P291" s="97" t="s">
        <v>1527</v>
      </c>
      <c r="Q291" s="102">
        <v>4</v>
      </c>
      <c r="R291" s="102">
        <v>4</v>
      </c>
      <c r="S291" s="98"/>
      <c r="T291" s="98"/>
      <c r="U291" s="95"/>
      <c r="V291" s="95"/>
      <c r="W291" s="78"/>
    </row>
    <row r="292" spans="2:23" ht="12.75">
      <c r="B292" s="38" t="s">
        <v>1637</v>
      </c>
      <c r="C292" s="38" t="s">
        <v>26</v>
      </c>
      <c r="D292" s="84" t="s">
        <v>796</v>
      </c>
      <c r="E292" s="85" t="s">
        <v>797</v>
      </c>
      <c r="F292" s="84">
        <v>2</v>
      </c>
      <c r="G292" s="84">
        <v>0</v>
      </c>
      <c r="H292" s="84">
        <v>5</v>
      </c>
      <c r="I292" s="97" t="s">
        <v>73</v>
      </c>
      <c r="J292" s="101" t="s">
        <v>73</v>
      </c>
      <c r="K292" s="97" t="s">
        <v>76</v>
      </c>
      <c r="L292" s="85" t="s">
        <v>1488</v>
      </c>
      <c r="M292" s="101" t="s">
        <v>1562</v>
      </c>
      <c r="N292" s="101">
        <v>1</v>
      </c>
      <c r="O292" s="97">
        <v>50</v>
      </c>
      <c r="P292" s="97" t="s">
        <v>1527</v>
      </c>
      <c r="Q292" s="102">
        <v>2</v>
      </c>
      <c r="R292" s="102">
        <v>2</v>
      </c>
      <c r="S292" s="98"/>
      <c r="T292" s="98"/>
      <c r="U292" s="95"/>
      <c r="V292" s="95"/>
      <c r="W292" s="78"/>
    </row>
    <row r="293" spans="2:23" ht="12.75">
      <c r="B293" s="38" t="s">
        <v>1637</v>
      </c>
      <c r="C293" s="38" t="s">
        <v>26</v>
      </c>
      <c r="D293" s="84" t="s">
        <v>1718</v>
      </c>
      <c r="E293" s="85" t="s">
        <v>1719</v>
      </c>
      <c r="F293" s="84">
        <v>4</v>
      </c>
      <c r="G293" s="84">
        <v>0</v>
      </c>
      <c r="H293" s="84">
        <v>4</v>
      </c>
      <c r="I293" s="97" t="s">
        <v>73</v>
      </c>
      <c r="J293" s="101" t="s">
        <v>73</v>
      </c>
      <c r="K293" s="97" t="s">
        <v>76</v>
      </c>
      <c r="L293" s="85" t="s">
        <v>1488</v>
      </c>
      <c r="M293" s="101" t="s">
        <v>1562</v>
      </c>
      <c r="N293" s="101">
        <v>1</v>
      </c>
      <c r="O293" s="97">
        <v>50</v>
      </c>
      <c r="P293" s="97" t="s">
        <v>1527</v>
      </c>
      <c r="Q293" s="102">
        <v>4</v>
      </c>
      <c r="R293" s="102">
        <v>4</v>
      </c>
      <c r="S293" s="98"/>
      <c r="T293" s="98"/>
      <c r="U293" s="95"/>
      <c r="V293" s="95"/>
      <c r="W293" s="78"/>
    </row>
    <row r="294" spans="2:23" ht="12.75">
      <c r="B294" s="38" t="s">
        <v>1637</v>
      </c>
      <c r="C294" s="38" t="s">
        <v>26</v>
      </c>
      <c r="D294" s="84" t="s">
        <v>633</v>
      </c>
      <c r="E294" s="85" t="s">
        <v>634</v>
      </c>
      <c r="F294" s="84">
        <v>4</v>
      </c>
      <c r="G294" s="84">
        <v>0</v>
      </c>
      <c r="H294" s="84">
        <v>6</v>
      </c>
      <c r="I294" s="97" t="s">
        <v>71</v>
      </c>
      <c r="J294" s="101" t="s">
        <v>71</v>
      </c>
      <c r="K294" s="97" t="s">
        <v>76</v>
      </c>
      <c r="L294" s="85" t="s">
        <v>1491</v>
      </c>
      <c r="M294" s="101" t="s">
        <v>1562</v>
      </c>
      <c r="N294" s="101">
        <v>1</v>
      </c>
      <c r="O294" s="97">
        <v>50</v>
      </c>
      <c r="P294" s="97" t="s">
        <v>1527</v>
      </c>
      <c r="Q294" s="102">
        <v>4</v>
      </c>
      <c r="R294" s="102">
        <v>4</v>
      </c>
      <c r="S294" s="98"/>
      <c r="T294" s="98"/>
      <c r="U294" s="95"/>
      <c r="V294" s="95"/>
      <c r="W294" s="78"/>
    </row>
    <row r="295" spans="2:23" ht="12.75">
      <c r="B295" s="38" t="s">
        <v>1637</v>
      </c>
      <c r="C295" s="38" t="s">
        <v>26</v>
      </c>
      <c r="D295" s="84" t="s">
        <v>1312</v>
      </c>
      <c r="E295" s="85" t="s">
        <v>1313</v>
      </c>
      <c r="F295" s="84">
        <v>4</v>
      </c>
      <c r="G295" s="84">
        <v>0</v>
      </c>
      <c r="H295" s="84">
        <v>6</v>
      </c>
      <c r="I295" s="97" t="s">
        <v>71</v>
      </c>
      <c r="J295" s="101" t="s">
        <v>71</v>
      </c>
      <c r="K295" s="97" t="s">
        <v>76</v>
      </c>
      <c r="L295" s="85" t="s">
        <v>1491</v>
      </c>
      <c r="M295" s="101" t="s">
        <v>1562</v>
      </c>
      <c r="N295" s="101">
        <v>1</v>
      </c>
      <c r="O295" s="97">
        <v>50</v>
      </c>
      <c r="P295" s="97" t="s">
        <v>1527</v>
      </c>
      <c r="Q295" s="102">
        <v>4</v>
      </c>
      <c r="R295" s="102">
        <v>4</v>
      </c>
      <c r="S295" s="98"/>
      <c r="T295" s="98"/>
      <c r="U295" s="95"/>
      <c r="V295" s="95"/>
      <c r="W295" s="78"/>
    </row>
    <row r="296" spans="2:23" ht="12.75">
      <c r="B296" s="38" t="s">
        <v>1637</v>
      </c>
      <c r="C296" s="38" t="s">
        <v>26</v>
      </c>
      <c r="D296" s="84" t="s">
        <v>1144</v>
      </c>
      <c r="E296" s="85" t="s">
        <v>1145</v>
      </c>
      <c r="F296" s="84">
        <v>4</v>
      </c>
      <c r="G296" s="84">
        <v>2</v>
      </c>
      <c r="H296" s="84">
        <v>6</v>
      </c>
      <c r="I296" s="97" t="s">
        <v>71</v>
      </c>
      <c r="J296" s="101" t="s">
        <v>71</v>
      </c>
      <c r="K296" s="97" t="s">
        <v>76</v>
      </c>
      <c r="L296" s="85" t="s">
        <v>1491</v>
      </c>
      <c r="M296" s="101" t="s">
        <v>1562</v>
      </c>
      <c r="N296" s="101">
        <v>1</v>
      </c>
      <c r="O296" s="97">
        <v>30</v>
      </c>
      <c r="P296" s="97" t="s">
        <v>1527</v>
      </c>
      <c r="Q296" s="102">
        <v>6</v>
      </c>
      <c r="R296" s="102">
        <v>6</v>
      </c>
      <c r="S296" s="98" t="s">
        <v>1695</v>
      </c>
      <c r="T296" s="98" t="s">
        <v>1564</v>
      </c>
      <c r="U296" s="95"/>
      <c r="V296" s="95"/>
      <c r="W296" s="78"/>
    </row>
    <row r="297" spans="2:23" ht="12.75">
      <c r="B297" s="38" t="s">
        <v>1637</v>
      </c>
      <c r="C297" s="38" t="s">
        <v>26</v>
      </c>
      <c r="D297" s="84" t="s">
        <v>417</v>
      </c>
      <c r="E297" s="85" t="s">
        <v>418</v>
      </c>
      <c r="F297" s="84">
        <v>2</v>
      </c>
      <c r="G297" s="84">
        <v>4</v>
      </c>
      <c r="H297" s="84">
        <v>6</v>
      </c>
      <c r="I297" s="97" t="s">
        <v>71</v>
      </c>
      <c r="J297" s="101" t="s">
        <v>71</v>
      </c>
      <c r="K297" s="97" t="s">
        <v>76</v>
      </c>
      <c r="L297" s="85" t="s">
        <v>1491</v>
      </c>
      <c r="M297" s="101" t="s">
        <v>1562</v>
      </c>
      <c r="N297" s="101">
        <v>1</v>
      </c>
      <c r="O297" s="97">
        <v>30</v>
      </c>
      <c r="P297" s="97" t="s">
        <v>1527</v>
      </c>
      <c r="Q297" s="102">
        <v>6</v>
      </c>
      <c r="R297" s="102">
        <v>6</v>
      </c>
      <c r="S297" s="98" t="s">
        <v>1695</v>
      </c>
      <c r="T297" s="98" t="s">
        <v>1564</v>
      </c>
      <c r="U297" s="95"/>
      <c r="V297" s="95"/>
      <c r="W297" s="78"/>
    </row>
    <row r="298" spans="2:23" ht="12.75">
      <c r="B298" s="38" t="s">
        <v>1637</v>
      </c>
      <c r="C298" s="38" t="s">
        <v>26</v>
      </c>
      <c r="D298" s="84" t="s">
        <v>613</v>
      </c>
      <c r="E298" s="85" t="s">
        <v>614</v>
      </c>
      <c r="F298" s="84">
        <v>0</v>
      </c>
      <c r="G298" s="84">
        <v>6</v>
      </c>
      <c r="H298" s="84">
        <v>7</v>
      </c>
      <c r="I298" s="97" t="s">
        <v>71</v>
      </c>
      <c r="J298" s="101" t="s">
        <v>71</v>
      </c>
      <c r="K298" s="97" t="s">
        <v>76</v>
      </c>
      <c r="L298" s="85" t="s">
        <v>1491</v>
      </c>
      <c r="M298" s="101" t="s">
        <v>1562</v>
      </c>
      <c r="N298" s="101">
        <v>1</v>
      </c>
      <c r="O298" s="97">
        <v>30</v>
      </c>
      <c r="P298" s="97" t="s">
        <v>1527</v>
      </c>
      <c r="Q298" s="102">
        <v>6</v>
      </c>
      <c r="R298" s="102">
        <v>6</v>
      </c>
      <c r="S298" s="98" t="s">
        <v>1695</v>
      </c>
      <c r="T298" s="98" t="s">
        <v>1564</v>
      </c>
      <c r="U298" s="95"/>
      <c r="V298" s="95"/>
      <c r="W298" s="78"/>
    </row>
    <row r="299" spans="2:23" ht="12.75">
      <c r="B299" s="38" t="s">
        <v>1637</v>
      </c>
      <c r="C299" s="38" t="s">
        <v>26</v>
      </c>
      <c r="D299" s="84" t="s">
        <v>471</v>
      </c>
      <c r="E299" s="85" t="s">
        <v>472</v>
      </c>
      <c r="F299" s="84">
        <v>4</v>
      </c>
      <c r="G299" s="84">
        <v>2</v>
      </c>
      <c r="H299" s="84">
        <v>6</v>
      </c>
      <c r="I299" s="97" t="s">
        <v>71</v>
      </c>
      <c r="J299" s="101" t="s">
        <v>71</v>
      </c>
      <c r="K299" s="97" t="s">
        <v>76</v>
      </c>
      <c r="L299" s="85" t="s">
        <v>1491</v>
      </c>
      <c r="M299" s="101" t="s">
        <v>1562</v>
      </c>
      <c r="N299" s="101">
        <v>1</v>
      </c>
      <c r="O299" s="97">
        <v>30</v>
      </c>
      <c r="P299" s="97" t="s">
        <v>1527</v>
      </c>
      <c r="Q299" s="102">
        <v>6</v>
      </c>
      <c r="R299" s="102">
        <v>6</v>
      </c>
      <c r="S299" s="98" t="s">
        <v>1695</v>
      </c>
      <c r="T299" s="98" t="s">
        <v>1564</v>
      </c>
      <c r="U299" s="95"/>
      <c r="V299" s="95"/>
      <c r="W299" s="78"/>
    </row>
    <row r="300" spans="2:23" ht="12.75">
      <c r="B300" s="38" t="s">
        <v>1637</v>
      </c>
      <c r="C300" s="38" t="s">
        <v>26</v>
      </c>
      <c r="D300" s="84" t="s">
        <v>972</v>
      </c>
      <c r="E300" s="85" t="s">
        <v>973</v>
      </c>
      <c r="F300" s="84">
        <v>4</v>
      </c>
      <c r="G300" s="84">
        <v>0</v>
      </c>
      <c r="H300" s="84">
        <v>4</v>
      </c>
      <c r="I300" s="97" t="s">
        <v>73</v>
      </c>
      <c r="J300" s="101" t="s">
        <v>73</v>
      </c>
      <c r="K300" s="97" t="s">
        <v>76</v>
      </c>
      <c r="L300" s="85" t="s">
        <v>1491</v>
      </c>
      <c r="M300" s="101" t="s">
        <v>1562</v>
      </c>
      <c r="N300" s="101">
        <v>1</v>
      </c>
      <c r="O300" s="97">
        <v>50</v>
      </c>
      <c r="P300" s="97" t="s">
        <v>1527</v>
      </c>
      <c r="Q300" s="102">
        <v>4</v>
      </c>
      <c r="R300" s="102">
        <v>4</v>
      </c>
      <c r="S300" s="98"/>
      <c r="T300" s="98"/>
      <c r="U300" s="95"/>
      <c r="V300" s="95"/>
      <c r="W300" s="78"/>
    </row>
    <row r="301" spans="2:23" ht="12.75">
      <c r="B301" s="38" t="s">
        <v>1637</v>
      </c>
      <c r="C301" s="38" t="s">
        <v>26</v>
      </c>
      <c r="D301" s="84" t="s">
        <v>796</v>
      </c>
      <c r="E301" s="85" t="s">
        <v>797</v>
      </c>
      <c r="F301" s="84">
        <v>2</v>
      </c>
      <c r="G301" s="84">
        <v>0</v>
      </c>
      <c r="H301" s="84">
        <v>5</v>
      </c>
      <c r="I301" s="97" t="s">
        <v>73</v>
      </c>
      <c r="J301" s="101" t="s">
        <v>73</v>
      </c>
      <c r="K301" s="97" t="s">
        <v>76</v>
      </c>
      <c r="L301" s="85" t="s">
        <v>1491</v>
      </c>
      <c r="M301" s="101" t="s">
        <v>1562</v>
      </c>
      <c r="N301" s="101">
        <v>1</v>
      </c>
      <c r="O301" s="97">
        <v>50</v>
      </c>
      <c r="P301" s="97" t="s">
        <v>1527</v>
      </c>
      <c r="Q301" s="102">
        <v>2</v>
      </c>
      <c r="R301" s="102">
        <v>2</v>
      </c>
      <c r="S301" s="98"/>
      <c r="T301" s="98"/>
      <c r="U301" s="95"/>
      <c r="V301" s="95"/>
      <c r="W301" s="78"/>
    </row>
    <row r="302" spans="2:23" ht="12.75">
      <c r="B302" s="38" t="s">
        <v>1637</v>
      </c>
      <c r="C302" s="38" t="s">
        <v>26</v>
      </c>
      <c r="D302" s="84" t="s">
        <v>1718</v>
      </c>
      <c r="E302" s="85" t="s">
        <v>1719</v>
      </c>
      <c r="F302" s="84">
        <v>4</v>
      </c>
      <c r="G302" s="84">
        <v>0</v>
      </c>
      <c r="H302" s="84">
        <v>4</v>
      </c>
      <c r="I302" s="97" t="s">
        <v>73</v>
      </c>
      <c r="J302" s="101" t="s">
        <v>73</v>
      </c>
      <c r="K302" s="97" t="s">
        <v>76</v>
      </c>
      <c r="L302" s="85" t="s">
        <v>1491</v>
      </c>
      <c r="M302" s="101" t="s">
        <v>1562</v>
      </c>
      <c r="N302" s="101">
        <v>1</v>
      </c>
      <c r="O302" s="97">
        <v>50</v>
      </c>
      <c r="P302" s="97" t="s">
        <v>1527</v>
      </c>
      <c r="Q302" s="102">
        <v>4</v>
      </c>
      <c r="R302" s="102">
        <v>4</v>
      </c>
      <c r="S302" s="98"/>
      <c r="T302" s="98"/>
      <c r="U302" s="95"/>
      <c r="V302" s="95"/>
      <c r="W302" s="78"/>
    </row>
    <row r="303" spans="2:23" ht="12.75">
      <c r="B303" s="38" t="s">
        <v>1637</v>
      </c>
      <c r="C303" s="38" t="s">
        <v>26</v>
      </c>
      <c r="D303" s="84" t="s">
        <v>897</v>
      </c>
      <c r="E303" s="85" t="s">
        <v>898</v>
      </c>
      <c r="F303" s="84">
        <v>4</v>
      </c>
      <c r="G303" s="84">
        <v>0</v>
      </c>
      <c r="H303" s="84">
        <v>4</v>
      </c>
      <c r="I303" s="97" t="s">
        <v>73</v>
      </c>
      <c r="J303" s="101" t="s">
        <v>73</v>
      </c>
      <c r="K303" s="97" t="s">
        <v>76</v>
      </c>
      <c r="L303" s="85" t="s">
        <v>1488</v>
      </c>
      <c r="M303" s="101" t="s">
        <v>1562</v>
      </c>
      <c r="N303" s="101">
        <v>1</v>
      </c>
      <c r="O303" s="97">
        <v>50</v>
      </c>
      <c r="P303" s="97" t="s">
        <v>1527</v>
      </c>
      <c r="Q303" s="102">
        <v>4</v>
      </c>
      <c r="R303" s="102">
        <v>4</v>
      </c>
      <c r="S303" s="98"/>
      <c r="T303" s="98"/>
      <c r="U303" s="95"/>
      <c r="V303" s="95"/>
      <c r="W303" s="78"/>
    </row>
    <row r="304" spans="2:23" ht="12.75">
      <c r="B304" s="38" t="s">
        <v>1637</v>
      </c>
      <c r="C304" s="38" t="s">
        <v>26</v>
      </c>
      <c r="D304" s="84" t="s">
        <v>897</v>
      </c>
      <c r="E304" s="85" t="s">
        <v>898</v>
      </c>
      <c r="F304" s="84">
        <v>4</v>
      </c>
      <c r="G304" s="84">
        <v>0</v>
      </c>
      <c r="H304" s="84">
        <v>4</v>
      </c>
      <c r="I304" s="97" t="s">
        <v>73</v>
      </c>
      <c r="J304" s="101" t="s">
        <v>73</v>
      </c>
      <c r="K304" s="97" t="s">
        <v>76</v>
      </c>
      <c r="L304" s="85" t="s">
        <v>1491</v>
      </c>
      <c r="M304" s="101" t="s">
        <v>1562</v>
      </c>
      <c r="N304" s="101">
        <v>1</v>
      </c>
      <c r="O304" s="97">
        <v>50</v>
      </c>
      <c r="P304" s="97" t="s">
        <v>1527</v>
      </c>
      <c r="Q304" s="102">
        <v>4</v>
      </c>
      <c r="R304" s="102">
        <v>4</v>
      </c>
      <c r="S304" s="98"/>
      <c r="T304" s="98"/>
      <c r="U304" s="95"/>
      <c r="V304" s="95"/>
      <c r="W304" s="78"/>
    </row>
    <row r="305" spans="2:24" ht="12.75">
      <c r="B305" s="38" t="s">
        <v>1637</v>
      </c>
      <c r="C305" s="38" t="s">
        <v>26</v>
      </c>
      <c r="D305" s="84" t="s">
        <v>195</v>
      </c>
      <c r="E305" s="85" t="s">
        <v>196</v>
      </c>
      <c r="F305" s="84">
        <v>3</v>
      </c>
      <c r="G305" s="84">
        <v>0</v>
      </c>
      <c r="H305" s="84">
        <v>3</v>
      </c>
      <c r="I305" s="97" t="s">
        <v>73</v>
      </c>
      <c r="J305" s="101" t="s">
        <v>73</v>
      </c>
      <c r="K305" s="97" t="s">
        <v>197</v>
      </c>
      <c r="L305" s="85" t="s">
        <v>1491</v>
      </c>
      <c r="M305" s="101" t="s">
        <v>1562</v>
      </c>
      <c r="N305" s="101">
        <v>1</v>
      </c>
      <c r="O305" s="97">
        <v>50</v>
      </c>
      <c r="P305" s="97" t="s">
        <v>1527</v>
      </c>
      <c r="Q305" s="102">
        <v>3</v>
      </c>
      <c r="R305" s="102">
        <v>3</v>
      </c>
      <c r="S305" s="98"/>
      <c r="T305" s="98"/>
      <c r="U305" s="95"/>
      <c r="V305" s="95"/>
      <c r="W305" s="78"/>
    </row>
    <row r="306" spans="2:24" ht="12.75">
      <c r="B306" s="38" t="s">
        <v>1637</v>
      </c>
      <c r="C306" s="38" t="s">
        <v>26</v>
      </c>
      <c r="D306" s="84" t="s">
        <v>195</v>
      </c>
      <c r="E306" s="85" t="s">
        <v>196</v>
      </c>
      <c r="F306" s="84">
        <v>3</v>
      </c>
      <c r="G306" s="84">
        <v>0</v>
      </c>
      <c r="H306" s="84">
        <v>3</v>
      </c>
      <c r="I306" s="97" t="s">
        <v>73</v>
      </c>
      <c r="J306" s="101" t="s">
        <v>73</v>
      </c>
      <c r="K306" s="97" t="s">
        <v>197</v>
      </c>
      <c r="L306" s="85" t="s">
        <v>1488</v>
      </c>
      <c r="M306" s="101" t="s">
        <v>1562</v>
      </c>
      <c r="N306" s="101">
        <v>1</v>
      </c>
      <c r="O306" s="97">
        <v>50</v>
      </c>
      <c r="P306" s="97" t="s">
        <v>1527</v>
      </c>
      <c r="Q306" s="102">
        <v>3</v>
      </c>
      <c r="R306" s="102">
        <v>3</v>
      </c>
      <c r="S306" s="98"/>
      <c r="T306" s="98"/>
      <c r="U306" s="95"/>
      <c r="V306" s="95"/>
      <c r="W306" s="78"/>
    </row>
    <row r="307" spans="2:24" ht="12.75">
      <c r="B307" s="38" t="s">
        <v>1637</v>
      </c>
      <c r="C307" s="38" t="s">
        <v>26</v>
      </c>
      <c r="D307" s="84" t="s">
        <v>1187</v>
      </c>
      <c r="E307" s="85" t="s">
        <v>1188</v>
      </c>
      <c r="F307" s="84">
        <v>2</v>
      </c>
      <c r="G307" s="84">
        <v>0</v>
      </c>
      <c r="H307" s="84">
        <v>2</v>
      </c>
      <c r="I307" s="97" t="s">
        <v>73</v>
      </c>
      <c r="J307" s="101" t="s">
        <v>73</v>
      </c>
      <c r="K307" s="97" t="s">
        <v>76</v>
      </c>
      <c r="L307" s="85" t="s">
        <v>1491</v>
      </c>
      <c r="M307" s="101" t="s">
        <v>1562</v>
      </c>
      <c r="N307" s="101">
        <v>1</v>
      </c>
      <c r="O307" s="97">
        <v>20</v>
      </c>
      <c r="P307" s="97" t="s">
        <v>1527</v>
      </c>
      <c r="Q307" s="102">
        <v>2</v>
      </c>
      <c r="R307" s="102">
        <v>2</v>
      </c>
      <c r="S307" s="98"/>
      <c r="T307" s="98"/>
      <c r="U307" s="95"/>
      <c r="V307" s="95"/>
      <c r="W307" s="78"/>
    </row>
    <row r="308" spans="2:24" ht="12.75">
      <c r="B308" s="38" t="s">
        <v>1637</v>
      </c>
      <c r="C308" s="38" t="s">
        <v>26</v>
      </c>
      <c r="D308" s="84" t="s">
        <v>1187</v>
      </c>
      <c r="E308" s="85" t="s">
        <v>1188</v>
      </c>
      <c r="F308" s="84">
        <v>2</v>
      </c>
      <c r="G308" s="84">
        <v>0</v>
      </c>
      <c r="H308" s="84">
        <v>2</v>
      </c>
      <c r="I308" s="97" t="s">
        <v>73</v>
      </c>
      <c r="J308" s="101" t="s">
        <v>73</v>
      </c>
      <c r="K308" s="97" t="s">
        <v>76</v>
      </c>
      <c r="L308" s="85" t="s">
        <v>1488</v>
      </c>
      <c r="M308" s="101" t="s">
        <v>1562</v>
      </c>
      <c r="N308" s="101">
        <v>1</v>
      </c>
      <c r="O308" s="97">
        <v>20</v>
      </c>
      <c r="P308" s="97" t="s">
        <v>1527</v>
      </c>
      <c r="Q308" s="102">
        <v>2</v>
      </c>
      <c r="R308" s="102">
        <v>2</v>
      </c>
      <c r="S308" s="98"/>
      <c r="T308" s="98"/>
      <c r="U308" s="95"/>
      <c r="V308" s="95"/>
      <c r="W308" s="78"/>
    </row>
    <row r="309" spans="2:24" ht="12.75">
      <c r="B309" s="38" t="s">
        <v>1637</v>
      </c>
      <c r="C309" s="38" t="s">
        <v>26</v>
      </c>
      <c r="D309" s="84" t="s">
        <v>861</v>
      </c>
      <c r="E309" s="85" t="s">
        <v>862</v>
      </c>
      <c r="F309" s="84">
        <v>3</v>
      </c>
      <c r="G309" s="84">
        <v>1</v>
      </c>
      <c r="H309" s="84">
        <v>4</v>
      </c>
      <c r="I309" s="97" t="s">
        <v>73</v>
      </c>
      <c r="J309" s="101" t="s">
        <v>73</v>
      </c>
      <c r="K309" s="97" t="s">
        <v>250</v>
      </c>
      <c r="L309" s="85" t="s">
        <v>1491</v>
      </c>
      <c r="M309" s="101" t="s">
        <v>1562</v>
      </c>
      <c r="N309" s="101">
        <v>1</v>
      </c>
      <c r="O309" s="97">
        <v>30</v>
      </c>
      <c r="P309" s="97" t="s">
        <v>1527</v>
      </c>
      <c r="Q309" s="102">
        <v>4</v>
      </c>
      <c r="R309" s="102">
        <v>4</v>
      </c>
      <c r="S309" s="98" t="s">
        <v>1695</v>
      </c>
      <c r="T309" s="98" t="s">
        <v>1720</v>
      </c>
      <c r="U309" s="95"/>
      <c r="V309" s="95"/>
      <c r="W309" s="78"/>
    </row>
    <row r="310" spans="2:24" ht="12.75">
      <c r="B310" s="38" t="s">
        <v>1637</v>
      </c>
      <c r="C310" s="38" t="s">
        <v>26</v>
      </c>
      <c r="D310" s="84" t="s">
        <v>861</v>
      </c>
      <c r="E310" s="85" t="s">
        <v>862</v>
      </c>
      <c r="F310" s="84">
        <v>3</v>
      </c>
      <c r="G310" s="84">
        <v>1</v>
      </c>
      <c r="H310" s="84">
        <v>4</v>
      </c>
      <c r="I310" s="97" t="s">
        <v>73</v>
      </c>
      <c r="J310" s="101" t="s">
        <v>73</v>
      </c>
      <c r="K310" s="97" t="s">
        <v>250</v>
      </c>
      <c r="L310" s="85" t="s">
        <v>1488</v>
      </c>
      <c r="M310" s="101" t="s">
        <v>1562</v>
      </c>
      <c r="N310" s="101">
        <v>1</v>
      </c>
      <c r="O310" s="97">
        <v>30</v>
      </c>
      <c r="P310" s="97" t="s">
        <v>1527</v>
      </c>
      <c r="Q310" s="102">
        <v>4</v>
      </c>
      <c r="R310" s="102">
        <v>4</v>
      </c>
      <c r="S310" s="98" t="s">
        <v>1695</v>
      </c>
      <c r="T310" s="98" t="s">
        <v>1720</v>
      </c>
      <c r="U310" s="95"/>
      <c r="V310" s="95"/>
      <c r="W310" s="78"/>
    </row>
    <row r="311" spans="2:24" ht="12.75">
      <c r="B311" s="38" t="s">
        <v>1637</v>
      </c>
      <c r="C311" s="38" t="s">
        <v>26</v>
      </c>
      <c r="D311" s="84" t="s">
        <v>1057</v>
      </c>
      <c r="E311" s="85" t="s">
        <v>1058</v>
      </c>
      <c r="F311" s="84">
        <v>0</v>
      </c>
      <c r="G311" s="84">
        <v>4</v>
      </c>
      <c r="H311" s="84">
        <v>4</v>
      </c>
      <c r="I311" s="97" t="s">
        <v>73</v>
      </c>
      <c r="J311" s="101" t="s">
        <v>73</v>
      </c>
      <c r="K311" s="97" t="s">
        <v>76</v>
      </c>
      <c r="L311" s="85" t="s">
        <v>1488</v>
      </c>
      <c r="M311" s="101" t="s">
        <v>1562</v>
      </c>
      <c r="N311" s="101">
        <v>1</v>
      </c>
      <c r="O311" s="97">
        <v>30</v>
      </c>
      <c r="P311" s="97" t="s">
        <v>1527</v>
      </c>
      <c r="Q311" s="102">
        <v>4</v>
      </c>
      <c r="R311" s="102">
        <v>4</v>
      </c>
      <c r="S311" s="98" t="s">
        <v>1695</v>
      </c>
      <c r="T311" s="98" t="s">
        <v>1564</v>
      </c>
      <c r="U311" s="95"/>
      <c r="V311" s="95"/>
      <c r="W311" s="78"/>
    </row>
    <row r="312" spans="2:24" ht="12.75">
      <c r="B312" s="38" t="s">
        <v>1637</v>
      </c>
      <c r="C312" s="38" t="s">
        <v>26</v>
      </c>
      <c r="D312" s="84" t="s">
        <v>209</v>
      </c>
      <c r="E312" s="85" t="s">
        <v>210</v>
      </c>
      <c r="F312" s="84">
        <v>3</v>
      </c>
      <c r="G312" s="84">
        <v>1</v>
      </c>
      <c r="H312" s="84">
        <v>4</v>
      </c>
      <c r="I312" s="97" t="s">
        <v>73</v>
      </c>
      <c r="J312" s="101" t="s">
        <v>73</v>
      </c>
      <c r="K312" s="97" t="s">
        <v>211</v>
      </c>
      <c r="L312" s="85" t="s">
        <v>1488</v>
      </c>
      <c r="M312" s="101" t="s">
        <v>1562</v>
      </c>
      <c r="N312" s="101">
        <v>1</v>
      </c>
      <c r="O312" s="97">
        <v>30</v>
      </c>
      <c r="P312" s="97" t="s">
        <v>1527</v>
      </c>
      <c r="Q312" s="102">
        <v>4</v>
      </c>
      <c r="R312" s="102">
        <v>4</v>
      </c>
      <c r="S312" s="98" t="s">
        <v>1695</v>
      </c>
      <c r="T312" s="98" t="s">
        <v>1720</v>
      </c>
      <c r="U312" s="95"/>
      <c r="V312" s="95"/>
      <c r="W312" s="78"/>
    </row>
    <row r="313" spans="2:24" ht="12.75">
      <c r="B313" s="38" t="s">
        <v>1637</v>
      </c>
      <c r="C313" s="38" t="s">
        <v>26</v>
      </c>
      <c r="D313" s="84" t="s">
        <v>209</v>
      </c>
      <c r="E313" s="85" t="s">
        <v>210</v>
      </c>
      <c r="F313" s="84">
        <v>3</v>
      </c>
      <c r="G313" s="84">
        <v>1</v>
      </c>
      <c r="H313" s="84">
        <v>4</v>
      </c>
      <c r="I313" s="97" t="s">
        <v>73</v>
      </c>
      <c r="J313" s="101" t="s">
        <v>73</v>
      </c>
      <c r="K313" s="97" t="s">
        <v>211</v>
      </c>
      <c r="L313" s="85" t="s">
        <v>1491</v>
      </c>
      <c r="M313" s="101" t="s">
        <v>1562</v>
      </c>
      <c r="N313" s="101">
        <v>1</v>
      </c>
      <c r="O313" s="97">
        <v>30</v>
      </c>
      <c r="P313" s="97" t="s">
        <v>1527</v>
      </c>
      <c r="Q313" s="102">
        <v>4</v>
      </c>
      <c r="R313" s="102">
        <v>4</v>
      </c>
      <c r="S313" s="98" t="s">
        <v>1695</v>
      </c>
      <c r="T313" s="98" t="s">
        <v>1720</v>
      </c>
      <c r="U313" s="98"/>
      <c r="V313" s="95"/>
      <c r="W313" s="95"/>
      <c r="X313" s="78"/>
    </row>
    <row r="314" spans="2:24" ht="12.75">
      <c r="B314" s="41" t="s">
        <v>54</v>
      </c>
      <c r="C314" s="41" t="s">
        <v>27</v>
      </c>
      <c r="D314" s="81" t="s">
        <v>621</v>
      </c>
      <c r="E314" s="80" t="s">
        <v>622</v>
      </c>
      <c r="F314" s="81">
        <v>4</v>
      </c>
      <c r="G314" s="81">
        <v>0</v>
      </c>
      <c r="H314" s="81">
        <v>4</v>
      </c>
      <c r="I314" s="101" t="s">
        <v>71</v>
      </c>
      <c r="J314" s="101" t="s">
        <v>71</v>
      </c>
      <c r="K314" s="80" t="s">
        <v>76</v>
      </c>
      <c r="L314" s="101" t="s">
        <v>1488</v>
      </c>
      <c r="M314" s="101" t="s">
        <v>1528</v>
      </c>
      <c r="N314" s="101">
        <v>1</v>
      </c>
      <c r="O314" s="101">
        <v>80</v>
      </c>
      <c r="P314" s="102">
        <v>80</v>
      </c>
      <c r="Q314" s="102">
        <v>4</v>
      </c>
      <c r="R314" s="102">
        <v>4</v>
      </c>
      <c r="S314" s="80"/>
      <c r="T314" s="101"/>
      <c r="U314" s="80"/>
    </row>
    <row r="315" spans="2:24" ht="12.75">
      <c r="B315" s="41" t="s">
        <v>54</v>
      </c>
      <c r="C315" s="41" t="s">
        <v>27</v>
      </c>
      <c r="D315" s="81" t="s">
        <v>621</v>
      </c>
      <c r="E315" s="80" t="s">
        <v>622</v>
      </c>
      <c r="F315" s="81">
        <v>4</v>
      </c>
      <c r="G315" s="81">
        <v>0</v>
      </c>
      <c r="H315" s="81">
        <v>4</v>
      </c>
      <c r="I315" s="101" t="s">
        <v>71</v>
      </c>
      <c r="J315" s="101" t="s">
        <v>71</v>
      </c>
      <c r="K315" s="80" t="s">
        <v>76</v>
      </c>
      <c r="L315" s="101" t="s">
        <v>1491</v>
      </c>
      <c r="M315" s="101" t="s">
        <v>1528</v>
      </c>
      <c r="N315" s="101">
        <v>1</v>
      </c>
      <c r="O315" s="101">
        <v>80</v>
      </c>
      <c r="P315" s="102">
        <v>80</v>
      </c>
      <c r="Q315" s="102">
        <v>4</v>
      </c>
      <c r="R315" s="102">
        <v>4</v>
      </c>
      <c r="S315" s="80"/>
      <c r="T315" s="101"/>
      <c r="U315" s="80"/>
    </row>
    <row r="316" spans="2:24" ht="12.75">
      <c r="B316" s="41" t="s">
        <v>54</v>
      </c>
      <c r="C316" s="41" t="s">
        <v>27</v>
      </c>
      <c r="D316" s="81" t="s">
        <v>1209</v>
      </c>
      <c r="E316" s="80" t="s">
        <v>1210</v>
      </c>
      <c r="F316" s="81">
        <v>4</v>
      </c>
      <c r="G316" s="81">
        <v>0</v>
      </c>
      <c r="H316" s="81">
        <v>4</v>
      </c>
      <c r="I316" s="101" t="s">
        <v>71</v>
      </c>
      <c r="J316" s="101" t="s">
        <v>71</v>
      </c>
      <c r="K316" s="80" t="s">
        <v>1211</v>
      </c>
      <c r="L316" s="101" t="s">
        <v>1488</v>
      </c>
      <c r="M316" s="101" t="s">
        <v>1528</v>
      </c>
      <c r="N316" s="101">
        <v>1</v>
      </c>
      <c r="O316" s="101">
        <v>80</v>
      </c>
      <c r="P316" s="102">
        <v>80</v>
      </c>
      <c r="Q316" s="102">
        <v>4</v>
      </c>
      <c r="R316" s="102">
        <v>4</v>
      </c>
      <c r="S316" s="80"/>
      <c r="T316" s="101"/>
      <c r="U316" s="80"/>
    </row>
    <row r="317" spans="2:24" ht="12.75">
      <c r="B317" s="41" t="s">
        <v>54</v>
      </c>
      <c r="C317" s="41" t="s">
        <v>27</v>
      </c>
      <c r="D317" s="81" t="s">
        <v>1209</v>
      </c>
      <c r="E317" s="80" t="s">
        <v>1210</v>
      </c>
      <c r="F317" s="81">
        <v>4</v>
      </c>
      <c r="G317" s="81">
        <v>0</v>
      </c>
      <c r="H317" s="81">
        <v>4</v>
      </c>
      <c r="I317" s="101" t="s">
        <v>71</v>
      </c>
      <c r="J317" s="101" t="s">
        <v>71</v>
      </c>
      <c r="K317" s="80" t="s">
        <v>1211</v>
      </c>
      <c r="L317" s="101" t="s">
        <v>1491</v>
      </c>
      <c r="M317" s="101" t="s">
        <v>1528</v>
      </c>
      <c r="N317" s="101">
        <v>1</v>
      </c>
      <c r="O317" s="101">
        <v>80</v>
      </c>
      <c r="P317" s="102">
        <v>80</v>
      </c>
      <c r="Q317" s="102">
        <v>4</v>
      </c>
      <c r="R317" s="102">
        <v>4</v>
      </c>
      <c r="S317" s="80"/>
      <c r="T317" s="101"/>
      <c r="U317" s="80"/>
    </row>
    <row r="318" spans="2:24" ht="12.75">
      <c r="B318" s="41" t="s">
        <v>54</v>
      </c>
      <c r="C318" s="41" t="s">
        <v>27</v>
      </c>
      <c r="D318" s="81" t="s">
        <v>662</v>
      </c>
      <c r="E318" s="80" t="s">
        <v>663</v>
      </c>
      <c r="F318" s="81">
        <v>4</v>
      </c>
      <c r="G318" s="81">
        <v>0</v>
      </c>
      <c r="H318" s="81">
        <v>4</v>
      </c>
      <c r="I318" s="101" t="s">
        <v>71</v>
      </c>
      <c r="J318" s="101" t="s">
        <v>71</v>
      </c>
      <c r="K318" s="80" t="s">
        <v>76</v>
      </c>
      <c r="L318" s="101" t="s">
        <v>1488</v>
      </c>
      <c r="M318" s="101" t="s">
        <v>1528</v>
      </c>
      <c r="N318" s="101">
        <v>1</v>
      </c>
      <c r="O318" s="101">
        <v>80</v>
      </c>
      <c r="P318" s="102">
        <v>80</v>
      </c>
      <c r="Q318" s="102">
        <v>4</v>
      </c>
      <c r="R318" s="102">
        <v>4</v>
      </c>
      <c r="S318" s="80"/>
      <c r="T318" s="101"/>
      <c r="U318" s="80"/>
    </row>
    <row r="319" spans="2:24" ht="12.75">
      <c r="B319" s="41" t="s">
        <v>54</v>
      </c>
      <c r="C319" s="41" t="s">
        <v>27</v>
      </c>
      <c r="D319" s="81" t="s">
        <v>662</v>
      </c>
      <c r="E319" s="80" t="s">
        <v>663</v>
      </c>
      <c r="F319" s="81">
        <v>4</v>
      </c>
      <c r="G319" s="81">
        <v>0</v>
      </c>
      <c r="H319" s="81">
        <v>4</v>
      </c>
      <c r="I319" s="101" t="s">
        <v>71</v>
      </c>
      <c r="J319" s="101" t="s">
        <v>71</v>
      </c>
      <c r="K319" s="80" t="s">
        <v>76</v>
      </c>
      <c r="L319" s="101" t="s">
        <v>1491</v>
      </c>
      <c r="M319" s="101" t="s">
        <v>1528</v>
      </c>
      <c r="N319" s="101">
        <v>1</v>
      </c>
      <c r="O319" s="101">
        <v>80</v>
      </c>
      <c r="P319" s="102">
        <v>80</v>
      </c>
      <c r="Q319" s="102">
        <v>4</v>
      </c>
      <c r="R319" s="102">
        <v>4</v>
      </c>
      <c r="S319" s="80"/>
      <c r="T319" s="101"/>
      <c r="U319" s="80"/>
    </row>
    <row r="320" spans="2:24" ht="12.75">
      <c r="B320" s="41" t="s">
        <v>54</v>
      </c>
      <c r="C320" s="41" t="s">
        <v>27</v>
      </c>
      <c r="D320" s="81" t="s">
        <v>1612</v>
      </c>
      <c r="E320" s="80" t="s">
        <v>1613</v>
      </c>
      <c r="F320" s="81">
        <v>4</v>
      </c>
      <c r="G320" s="81">
        <v>0</v>
      </c>
      <c r="H320" s="81">
        <v>4</v>
      </c>
      <c r="I320" s="101" t="s">
        <v>71</v>
      </c>
      <c r="J320" s="101" t="s">
        <v>71</v>
      </c>
      <c r="K320" s="80" t="s">
        <v>76</v>
      </c>
      <c r="L320" s="101" t="s">
        <v>1488</v>
      </c>
      <c r="M320" s="101" t="s">
        <v>1528</v>
      </c>
      <c r="N320" s="101">
        <v>1</v>
      </c>
      <c r="O320" s="101">
        <v>80</v>
      </c>
      <c r="P320" s="102">
        <v>80</v>
      </c>
      <c r="Q320" s="102">
        <v>4</v>
      </c>
      <c r="R320" s="102">
        <v>4</v>
      </c>
      <c r="S320" s="80"/>
      <c r="T320" s="101"/>
      <c r="U320" s="80"/>
    </row>
    <row r="321" spans="2:21" ht="12.75">
      <c r="B321" s="41" t="s">
        <v>54</v>
      </c>
      <c r="C321" s="41" t="s">
        <v>27</v>
      </c>
      <c r="D321" s="81" t="s">
        <v>1612</v>
      </c>
      <c r="E321" s="80" t="s">
        <v>1613</v>
      </c>
      <c r="F321" s="81">
        <v>4</v>
      </c>
      <c r="G321" s="81">
        <v>0</v>
      </c>
      <c r="H321" s="81">
        <v>4</v>
      </c>
      <c r="I321" s="101" t="s">
        <v>71</v>
      </c>
      <c r="J321" s="101" t="s">
        <v>71</v>
      </c>
      <c r="K321" s="80" t="s">
        <v>76</v>
      </c>
      <c r="L321" s="101" t="s">
        <v>1491</v>
      </c>
      <c r="M321" s="101" t="s">
        <v>1528</v>
      </c>
      <c r="N321" s="101">
        <v>1</v>
      </c>
      <c r="O321" s="101">
        <v>80</v>
      </c>
      <c r="P321" s="102">
        <v>80</v>
      </c>
      <c r="Q321" s="102">
        <v>4</v>
      </c>
      <c r="R321" s="102">
        <v>4</v>
      </c>
      <c r="S321" s="80"/>
      <c r="T321" s="101"/>
      <c r="U321" s="80"/>
    </row>
    <row r="322" spans="2:21" ht="12.75">
      <c r="B322" s="41" t="s">
        <v>54</v>
      </c>
      <c r="C322" s="41" t="s">
        <v>27</v>
      </c>
      <c r="D322" s="81" t="s">
        <v>1614</v>
      </c>
      <c r="E322" s="80" t="s">
        <v>1013</v>
      </c>
      <c r="F322" s="81">
        <v>4</v>
      </c>
      <c r="G322" s="81">
        <v>0</v>
      </c>
      <c r="H322" s="81">
        <v>4</v>
      </c>
      <c r="I322" s="101" t="s">
        <v>73</v>
      </c>
      <c r="J322" s="101" t="s">
        <v>73</v>
      </c>
      <c r="K322" s="80" t="s">
        <v>76</v>
      </c>
      <c r="L322" s="101" t="s">
        <v>1488</v>
      </c>
      <c r="M322" s="101" t="s">
        <v>1528</v>
      </c>
      <c r="N322" s="101">
        <v>1</v>
      </c>
      <c r="O322" s="101">
        <v>40</v>
      </c>
      <c r="P322" s="102">
        <v>40</v>
      </c>
      <c r="Q322" s="102">
        <v>4</v>
      </c>
      <c r="R322" s="102">
        <v>4</v>
      </c>
      <c r="S322" s="80"/>
      <c r="T322" s="101"/>
      <c r="U322" s="80"/>
    </row>
    <row r="323" spans="2:21" ht="12.75">
      <c r="B323" s="41" t="s">
        <v>54</v>
      </c>
      <c r="C323" s="41" t="s">
        <v>27</v>
      </c>
      <c r="D323" s="81" t="s">
        <v>1614</v>
      </c>
      <c r="E323" s="80" t="s">
        <v>1013</v>
      </c>
      <c r="F323" s="81">
        <v>4</v>
      </c>
      <c r="G323" s="81">
        <v>0</v>
      </c>
      <c r="H323" s="81">
        <v>4</v>
      </c>
      <c r="I323" s="101" t="s">
        <v>73</v>
      </c>
      <c r="J323" s="101" t="s">
        <v>73</v>
      </c>
      <c r="K323" s="80" t="s">
        <v>76</v>
      </c>
      <c r="L323" s="101" t="s">
        <v>1491</v>
      </c>
      <c r="M323" s="101" t="s">
        <v>1528</v>
      </c>
      <c r="N323" s="101">
        <v>1</v>
      </c>
      <c r="O323" s="101">
        <v>40</v>
      </c>
      <c r="P323" s="102">
        <v>40</v>
      </c>
      <c r="Q323" s="102">
        <v>4</v>
      </c>
      <c r="R323" s="102">
        <v>4</v>
      </c>
      <c r="S323" s="80"/>
      <c r="T323" s="101"/>
      <c r="U323" s="80"/>
    </row>
    <row r="324" spans="2:21" ht="12.75">
      <c r="B324" s="41" t="s">
        <v>54</v>
      </c>
      <c r="C324" s="41" t="s">
        <v>27</v>
      </c>
      <c r="D324" s="81" t="s">
        <v>1615</v>
      </c>
      <c r="E324" s="80" t="s">
        <v>1616</v>
      </c>
      <c r="F324" s="81">
        <v>4</v>
      </c>
      <c r="G324" s="81">
        <v>0</v>
      </c>
      <c r="H324" s="81">
        <v>4</v>
      </c>
      <c r="I324" s="101" t="s">
        <v>73</v>
      </c>
      <c r="J324" s="101" t="s">
        <v>73</v>
      </c>
      <c r="K324" s="80" t="s">
        <v>76</v>
      </c>
      <c r="L324" s="101" t="s">
        <v>1488</v>
      </c>
      <c r="M324" s="101" t="s">
        <v>1528</v>
      </c>
      <c r="N324" s="101">
        <v>1</v>
      </c>
      <c r="O324" s="101">
        <v>40</v>
      </c>
      <c r="P324" s="102">
        <v>40</v>
      </c>
      <c r="Q324" s="102">
        <v>4</v>
      </c>
      <c r="R324" s="102">
        <v>4</v>
      </c>
      <c r="S324" s="80"/>
      <c r="T324" s="101"/>
      <c r="U324" s="80"/>
    </row>
    <row r="325" spans="2:21" ht="12.75">
      <c r="B325" s="46" t="s">
        <v>1773</v>
      </c>
      <c r="C325" s="46" t="s">
        <v>28</v>
      </c>
      <c r="D325" s="81" t="s">
        <v>893</v>
      </c>
      <c r="E325" s="80" t="s">
        <v>1516</v>
      </c>
      <c r="F325" s="81">
        <v>3</v>
      </c>
      <c r="G325" s="81">
        <v>1</v>
      </c>
      <c r="H325" s="81">
        <v>4</v>
      </c>
      <c r="I325" s="101" t="s">
        <v>1511</v>
      </c>
      <c r="J325" s="101" t="s">
        <v>1511</v>
      </c>
      <c r="K325" s="80" t="s">
        <v>894</v>
      </c>
      <c r="L325" s="101" t="s">
        <v>1488</v>
      </c>
      <c r="M325" s="101" t="s">
        <v>1562</v>
      </c>
      <c r="N325" s="101">
        <v>1</v>
      </c>
      <c r="O325" s="101">
        <v>60</v>
      </c>
      <c r="P325" s="102">
        <v>60</v>
      </c>
      <c r="Q325" s="102">
        <v>4</v>
      </c>
      <c r="R325" s="102">
        <v>4</v>
      </c>
      <c r="S325" s="80" t="s">
        <v>1509</v>
      </c>
      <c r="T325" s="101" t="s">
        <v>1505</v>
      </c>
      <c r="U325" s="80"/>
    </row>
    <row r="326" spans="2:21" ht="12.75">
      <c r="B326" s="46" t="s">
        <v>1773</v>
      </c>
      <c r="C326" s="46" t="s">
        <v>28</v>
      </c>
      <c r="D326" s="81" t="s">
        <v>893</v>
      </c>
      <c r="E326" s="80" t="s">
        <v>1516</v>
      </c>
      <c r="F326" s="81">
        <v>3</v>
      </c>
      <c r="G326" s="81">
        <v>1</v>
      </c>
      <c r="H326" s="81">
        <v>4</v>
      </c>
      <c r="I326" s="101" t="s">
        <v>1511</v>
      </c>
      <c r="J326" s="101" t="s">
        <v>1511</v>
      </c>
      <c r="K326" s="80" t="s">
        <v>894</v>
      </c>
      <c r="L326" s="101" t="s">
        <v>1491</v>
      </c>
      <c r="M326" s="101" t="s">
        <v>1562</v>
      </c>
      <c r="N326" s="101">
        <v>1</v>
      </c>
      <c r="O326" s="101">
        <v>60</v>
      </c>
      <c r="P326" s="102">
        <v>60</v>
      </c>
      <c r="Q326" s="102">
        <v>4</v>
      </c>
      <c r="R326" s="102">
        <v>4</v>
      </c>
      <c r="S326" s="80" t="s">
        <v>1509</v>
      </c>
      <c r="T326" s="101" t="s">
        <v>1505</v>
      </c>
      <c r="U326" s="80"/>
    </row>
    <row r="327" spans="2:21" ht="12.75">
      <c r="B327" s="46" t="s">
        <v>1773</v>
      </c>
      <c r="C327" s="46" t="s">
        <v>28</v>
      </c>
      <c r="D327" s="81" t="s">
        <v>1108</v>
      </c>
      <c r="E327" s="80" t="s">
        <v>1517</v>
      </c>
      <c r="F327" s="81">
        <v>3</v>
      </c>
      <c r="G327" s="81">
        <v>1</v>
      </c>
      <c r="H327" s="81">
        <v>5</v>
      </c>
      <c r="I327" s="101" t="s">
        <v>1511</v>
      </c>
      <c r="J327" s="101" t="s">
        <v>1511</v>
      </c>
      <c r="K327" s="80" t="s">
        <v>1109</v>
      </c>
      <c r="L327" s="101" t="s">
        <v>1491</v>
      </c>
      <c r="M327" s="101" t="s">
        <v>1562</v>
      </c>
      <c r="N327" s="101">
        <v>1</v>
      </c>
      <c r="O327" s="101">
        <v>60</v>
      </c>
      <c r="P327" s="102">
        <v>60</v>
      </c>
      <c r="Q327" s="102">
        <v>4</v>
      </c>
      <c r="R327" s="102">
        <v>4</v>
      </c>
      <c r="S327" s="80" t="s">
        <v>1504</v>
      </c>
      <c r="T327" s="101" t="s">
        <v>1505</v>
      </c>
      <c r="U327" s="80"/>
    </row>
    <row r="328" spans="2:21" ht="12.75">
      <c r="B328" s="46" t="s">
        <v>1773</v>
      </c>
      <c r="C328" s="46" t="s">
        <v>28</v>
      </c>
      <c r="D328" s="81" t="s">
        <v>1281</v>
      </c>
      <c r="E328" s="80" t="s">
        <v>1282</v>
      </c>
      <c r="F328" s="81">
        <v>4</v>
      </c>
      <c r="G328" s="81">
        <v>0</v>
      </c>
      <c r="H328" s="81">
        <v>5</v>
      </c>
      <c r="I328" s="101" t="s">
        <v>1508</v>
      </c>
      <c r="J328" s="101" t="s">
        <v>1508</v>
      </c>
      <c r="K328" s="80" t="s">
        <v>87</v>
      </c>
      <c r="L328" s="101" t="s">
        <v>1491</v>
      </c>
      <c r="M328" s="101" t="s">
        <v>1562</v>
      </c>
      <c r="N328" s="101">
        <v>1</v>
      </c>
      <c r="O328" s="101">
        <v>60</v>
      </c>
      <c r="P328" s="102">
        <v>60</v>
      </c>
      <c r="Q328" s="102">
        <v>4</v>
      </c>
      <c r="R328" s="102">
        <v>4</v>
      </c>
      <c r="S328" s="80"/>
      <c r="T328" s="101"/>
      <c r="U328" s="80"/>
    </row>
    <row r="329" spans="2:21" ht="12.75">
      <c r="B329" s="46" t="s">
        <v>1773</v>
      </c>
      <c r="C329" s="46" t="s">
        <v>28</v>
      </c>
      <c r="D329" s="81" t="s">
        <v>360</v>
      </c>
      <c r="E329" s="80" t="s">
        <v>260</v>
      </c>
      <c r="F329" s="81">
        <v>4</v>
      </c>
      <c r="G329" s="81">
        <v>0</v>
      </c>
      <c r="H329" s="81">
        <v>5</v>
      </c>
      <c r="I329" s="101" t="s">
        <v>1511</v>
      </c>
      <c r="J329" s="101" t="s">
        <v>1511</v>
      </c>
      <c r="K329" s="80" t="s">
        <v>361</v>
      </c>
      <c r="L329" s="101" t="s">
        <v>1488</v>
      </c>
      <c r="M329" s="101" t="s">
        <v>1528</v>
      </c>
      <c r="N329" s="101">
        <v>1</v>
      </c>
      <c r="O329" s="101">
        <v>60</v>
      </c>
      <c r="P329" s="102">
        <v>60</v>
      </c>
      <c r="Q329" s="102">
        <v>4</v>
      </c>
      <c r="R329" s="102">
        <v>4</v>
      </c>
      <c r="S329" s="80"/>
      <c r="T329" s="101"/>
      <c r="U329" s="80"/>
    </row>
    <row r="330" spans="2:21" ht="12.75">
      <c r="B330" s="46" t="s">
        <v>1773</v>
      </c>
      <c r="C330" s="46" t="s">
        <v>28</v>
      </c>
      <c r="D330" s="81" t="s">
        <v>362</v>
      </c>
      <c r="E330" s="80" t="s">
        <v>363</v>
      </c>
      <c r="F330" s="81">
        <v>4</v>
      </c>
      <c r="G330" s="81">
        <v>0</v>
      </c>
      <c r="H330" s="81">
        <v>5</v>
      </c>
      <c r="I330" s="101" t="s">
        <v>1511</v>
      </c>
      <c r="J330" s="101" t="s">
        <v>1511</v>
      </c>
      <c r="K330" s="80" t="s">
        <v>260</v>
      </c>
      <c r="L330" s="101" t="s">
        <v>1491</v>
      </c>
      <c r="M330" s="101" t="s">
        <v>1562</v>
      </c>
      <c r="N330" s="101">
        <v>1</v>
      </c>
      <c r="O330" s="101">
        <v>60</v>
      </c>
      <c r="P330" s="102">
        <v>60</v>
      </c>
      <c r="Q330" s="102">
        <v>4</v>
      </c>
      <c r="R330" s="102">
        <v>4</v>
      </c>
      <c r="S330" s="80"/>
      <c r="T330" s="101"/>
      <c r="U330" s="80"/>
    </row>
    <row r="331" spans="2:21" ht="12.75">
      <c r="B331" s="46" t="s">
        <v>1773</v>
      </c>
      <c r="C331" s="46" t="s">
        <v>28</v>
      </c>
      <c r="D331" s="81" t="s">
        <v>1223</v>
      </c>
      <c r="E331" s="80" t="s">
        <v>657</v>
      </c>
      <c r="F331" s="81">
        <v>3</v>
      </c>
      <c r="G331" s="81">
        <v>2</v>
      </c>
      <c r="H331" s="81">
        <v>4</v>
      </c>
      <c r="I331" s="101" t="s">
        <v>71</v>
      </c>
      <c r="J331" s="101" t="s">
        <v>71</v>
      </c>
      <c r="K331" s="80" t="s">
        <v>1061</v>
      </c>
      <c r="L331" s="101" t="s">
        <v>1491</v>
      </c>
      <c r="M331" s="101" t="s">
        <v>1562</v>
      </c>
      <c r="N331" s="101">
        <v>1</v>
      </c>
      <c r="O331" s="101">
        <v>60</v>
      </c>
      <c r="P331" s="102">
        <v>60</v>
      </c>
      <c r="Q331" s="102">
        <v>5</v>
      </c>
      <c r="R331" s="102">
        <v>5</v>
      </c>
      <c r="S331" s="80" t="s">
        <v>1504</v>
      </c>
      <c r="T331" s="101" t="s">
        <v>1518</v>
      </c>
      <c r="U331" s="80"/>
    </row>
    <row r="332" spans="2:21" ht="12.75">
      <c r="B332" s="46" t="s">
        <v>1773</v>
      </c>
      <c r="C332" s="46" t="s">
        <v>28</v>
      </c>
      <c r="D332" s="81" t="s">
        <v>820</v>
      </c>
      <c r="E332" s="80" t="s">
        <v>1519</v>
      </c>
      <c r="F332" s="81">
        <v>0</v>
      </c>
      <c r="G332" s="81">
        <v>4</v>
      </c>
      <c r="H332" s="81">
        <v>4</v>
      </c>
      <c r="I332" s="101" t="s">
        <v>1511</v>
      </c>
      <c r="J332" s="101" t="s">
        <v>1511</v>
      </c>
      <c r="K332" s="80" t="s">
        <v>358</v>
      </c>
      <c r="L332" s="101" t="s">
        <v>1491</v>
      </c>
      <c r="M332" s="101" t="s">
        <v>1562</v>
      </c>
      <c r="N332" s="101">
        <v>1</v>
      </c>
      <c r="O332" s="101">
        <v>30</v>
      </c>
      <c r="P332" s="102">
        <v>30</v>
      </c>
      <c r="Q332" s="102">
        <v>4</v>
      </c>
      <c r="R332" s="102">
        <v>4</v>
      </c>
      <c r="S332" s="80" t="s">
        <v>1504</v>
      </c>
      <c r="T332" s="101" t="s">
        <v>1518</v>
      </c>
      <c r="U332" s="80"/>
    </row>
    <row r="333" spans="2:21" ht="12.75">
      <c r="B333" s="46" t="s">
        <v>1773</v>
      </c>
      <c r="C333" s="46" t="s">
        <v>28</v>
      </c>
      <c r="D333" s="81" t="s">
        <v>357</v>
      </c>
      <c r="E333" s="80" t="s">
        <v>358</v>
      </c>
      <c r="F333" s="81">
        <v>4</v>
      </c>
      <c r="G333" s="81">
        <v>0</v>
      </c>
      <c r="H333" s="81">
        <v>4</v>
      </c>
      <c r="I333" s="101" t="s">
        <v>71</v>
      </c>
      <c r="J333" s="101" t="s">
        <v>71</v>
      </c>
      <c r="K333" s="80" t="s">
        <v>359</v>
      </c>
      <c r="L333" s="101" t="s">
        <v>1488</v>
      </c>
      <c r="M333" s="101" t="s">
        <v>1562</v>
      </c>
      <c r="N333" s="101">
        <v>1</v>
      </c>
      <c r="O333" s="101">
        <v>60</v>
      </c>
      <c r="P333" s="102">
        <v>60</v>
      </c>
      <c r="Q333" s="102">
        <v>4</v>
      </c>
      <c r="R333" s="102">
        <v>4</v>
      </c>
      <c r="S333" s="80"/>
      <c r="T333" s="101"/>
      <c r="U333" s="80"/>
    </row>
    <row r="334" spans="2:21" ht="12.75">
      <c r="B334" s="46" t="s">
        <v>1773</v>
      </c>
      <c r="C334" s="46" t="s">
        <v>28</v>
      </c>
      <c r="D334" s="81" t="s">
        <v>779</v>
      </c>
      <c r="E334" s="80" t="s">
        <v>1520</v>
      </c>
      <c r="F334" s="81">
        <v>2</v>
      </c>
      <c r="G334" s="81">
        <v>0</v>
      </c>
      <c r="H334" s="81">
        <v>3</v>
      </c>
      <c r="I334" s="101" t="s">
        <v>1508</v>
      </c>
      <c r="J334" s="101" t="s">
        <v>1508</v>
      </c>
      <c r="K334" s="80" t="s">
        <v>69</v>
      </c>
      <c r="L334" s="101" t="s">
        <v>1488</v>
      </c>
      <c r="M334" s="101" t="s">
        <v>1562</v>
      </c>
      <c r="N334" s="101">
        <v>1</v>
      </c>
      <c r="O334" s="101">
        <v>60</v>
      </c>
      <c r="P334" s="102">
        <v>60</v>
      </c>
      <c r="Q334" s="102">
        <v>2</v>
      </c>
      <c r="R334" s="102">
        <v>2</v>
      </c>
      <c r="S334" s="80"/>
      <c r="T334" s="101"/>
      <c r="U334" s="80"/>
    </row>
    <row r="335" spans="2:21" ht="12.75">
      <c r="B335" s="46" t="s">
        <v>1773</v>
      </c>
      <c r="C335" s="46" t="s">
        <v>28</v>
      </c>
      <c r="D335" s="81" t="s">
        <v>88</v>
      </c>
      <c r="E335" s="80" t="s">
        <v>1510</v>
      </c>
      <c r="F335" s="81">
        <v>4</v>
      </c>
      <c r="G335" s="81">
        <v>0</v>
      </c>
      <c r="H335" s="81">
        <v>4</v>
      </c>
      <c r="I335" s="101" t="s">
        <v>1511</v>
      </c>
      <c r="J335" s="101" t="s">
        <v>1511</v>
      </c>
      <c r="K335" s="80" t="s">
        <v>69</v>
      </c>
      <c r="L335" s="101" t="s">
        <v>1488</v>
      </c>
      <c r="M335" s="101" t="s">
        <v>1562</v>
      </c>
      <c r="N335" s="101">
        <v>1</v>
      </c>
      <c r="O335" s="101">
        <v>60</v>
      </c>
      <c r="P335" s="102">
        <v>60</v>
      </c>
      <c r="Q335" s="102">
        <v>4</v>
      </c>
      <c r="R335" s="102">
        <v>4</v>
      </c>
      <c r="S335" s="80"/>
      <c r="T335" s="101"/>
      <c r="U335" s="80"/>
    </row>
    <row r="336" spans="2:21" ht="12.75">
      <c r="B336" s="46" t="s">
        <v>1773</v>
      </c>
      <c r="C336" s="46" t="s">
        <v>28</v>
      </c>
      <c r="D336" s="81" t="s">
        <v>332</v>
      </c>
      <c r="E336" s="80" t="s">
        <v>1521</v>
      </c>
      <c r="F336" s="81">
        <v>4</v>
      </c>
      <c r="G336" s="81">
        <v>0</v>
      </c>
      <c r="H336" s="81">
        <v>4</v>
      </c>
      <c r="I336" s="101" t="s">
        <v>1508</v>
      </c>
      <c r="J336" s="101" t="s">
        <v>1508</v>
      </c>
      <c r="K336" s="80" t="s">
        <v>333</v>
      </c>
      <c r="L336" s="101" t="s">
        <v>1491</v>
      </c>
      <c r="M336" s="101" t="s">
        <v>1562</v>
      </c>
      <c r="N336" s="101">
        <v>1</v>
      </c>
      <c r="O336" s="101">
        <v>60</v>
      </c>
      <c r="P336" s="102">
        <v>60</v>
      </c>
      <c r="Q336" s="102">
        <v>4</v>
      </c>
      <c r="R336" s="102">
        <v>4</v>
      </c>
      <c r="S336" s="80"/>
      <c r="T336" s="101"/>
      <c r="U336" s="80"/>
    </row>
    <row r="337" spans="2:21" ht="12.75">
      <c r="B337" s="46" t="s">
        <v>1773</v>
      </c>
      <c r="C337" s="46" t="s">
        <v>28</v>
      </c>
      <c r="D337" s="81" t="s">
        <v>769</v>
      </c>
      <c r="E337" s="80" t="s">
        <v>770</v>
      </c>
      <c r="F337" s="81">
        <v>3</v>
      </c>
      <c r="G337" s="81">
        <v>1</v>
      </c>
      <c r="H337" s="81">
        <v>4</v>
      </c>
      <c r="I337" s="101" t="s">
        <v>73</v>
      </c>
      <c r="J337" s="101" t="s">
        <v>73</v>
      </c>
      <c r="K337" s="80" t="s">
        <v>109</v>
      </c>
      <c r="L337" s="101" t="s">
        <v>1491</v>
      </c>
      <c r="M337" s="101" t="s">
        <v>1528</v>
      </c>
      <c r="N337" s="101">
        <v>1</v>
      </c>
      <c r="O337" s="101">
        <v>60</v>
      </c>
      <c r="P337" s="102">
        <v>60</v>
      </c>
      <c r="Q337" s="102">
        <v>4</v>
      </c>
      <c r="R337" s="102">
        <v>4</v>
      </c>
      <c r="S337" s="80" t="s">
        <v>1504</v>
      </c>
      <c r="T337" s="101" t="s">
        <v>1505</v>
      </c>
      <c r="U337" s="80"/>
    </row>
    <row r="338" spans="2:21" ht="12.75">
      <c r="B338" s="46" t="s">
        <v>1773</v>
      </c>
      <c r="C338" s="46" t="s">
        <v>28</v>
      </c>
      <c r="D338" s="81" t="s">
        <v>85</v>
      </c>
      <c r="E338" s="80" t="s">
        <v>86</v>
      </c>
      <c r="F338" s="81">
        <v>4</v>
      </c>
      <c r="G338" s="81">
        <v>0</v>
      </c>
      <c r="H338" s="81">
        <v>5</v>
      </c>
      <c r="I338" s="101" t="s">
        <v>71</v>
      </c>
      <c r="J338" s="101" t="s">
        <v>71</v>
      </c>
      <c r="K338" s="80" t="s">
        <v>87</v>
      </c>
      <c r="L338" s="101" t="s">
        <v>1491</v>
      </c>
      <c r="M338" s="101" t="s">
        <v>1562</v>
      </c>
      <c r="N338" s="101">
        <v>1</v>
      </c>
      <c r="O338" s="101">
        <v>60</v>
      </c>
      <c r="P338" s="102">
        <v>60</v>
      </c>
      <c r="Q338" s="102">
        <v>4</v>
      </c>
      <c r="R338" s="102">
        <v>4</v>
      </c>
      <c r="S338" s="80"/>
      <c r="T338" s="101"/>
      <c r="U338" s="80"/>
    </row>
    <row r="339" spans="2:21" ht="12.75">
      <c r="B339" s="46" t="s">
        <v>1773</v>
      </c>
      <c r="C339" s="46" t="s">
        <v>28</v>
      </c>
      <c r="D339" s="81" t="s">
        <v>1355</v>
      </c>
      <c r="E339" s="80" t="s">
        <v>1356</v>
      </c>
      <c r="F339" s="81">
        <v>3</v>
      </c>
      <c r="G339" s="81">
        <v>1</v>
      </c>
      <c r="H339" s="81">
        <v>4</v>
      </c>
      <c r="I339" s="101" t="s">
        <v>73</v>
      </c>
      <c r="J339" s="101" t="s">
        <v>73</v>
      </c>
      <c r="K339" s="80" t="s">
        <v>1357</v>
      </c>
      <c r="L339" s="101" t="s">
        <v>1491</v>
      </c>
      <c r="M339" s="101" t="s">
        <v>1562</v>
      </c>
      <c r="N339" s="101">
        <v>1</v>
      </c>
      <c r="O339" s="101">
        <v>60</v>
      </c>
      <c r="P339" s="102">
        <v>60</v>
      </c>
      <c r="Q339" s="102">
        <v>4</v>
      </c>
      <c r="R339" s="102">
        <v>4</v>
      </c>
      <c r="S339" s="80" t="s">
        <v>1515</v>
      </c>
      <c r="T339" s="101" t="s">
        <v>1505</v>
      </c>
      <c r="U339" s="80"/>
    </row>
    <row r="340" spans="2:21" ht="12.75">
      <c r="B340" s="46" t="s">
        <v>1773</v>
      </c>
      <c r="C340" s="46" t="s">
        <v>28</v>
      </c>
      <c r="D340" s="81" t="s">
        <v>1230</v>
      </c>
      <c r="E340" s="80" t="s">
        <v>1522</v>
      </c>
      <c r="F340" s="81">
        <v>3</v>
      </c>
      <c r="G340" s="81">
        <v>1</v>
      </c>
      <c r="H340" s="81">
        <v>5</v>
      </c>
      <c r="I340" s="101" t="s">
        <v>1511</v>
      </c>
      <c r="J340" s="101" t="s">
        <v>1511</v>
      </c>
      <c r="K340" s="80" t="s">
        <v>1231</v>
      </c>
      <c r="L340" s="101" t="s">
        <v>1491</v>
      </c>
      <c r="M340" s="101" t="s">
        <v>1562</v>
      </c>
      <c r="N340" s="101">
        <v>1</v>
      </c>
      <c r="O340" s="101">
        <v>60</v>
      </c>
      <c r="P340" s="102">
        <v>60</v>
      </c>
      <c r="Q340" s="102">
        <v>4</v>
      </c>
      <c r="R340" s="102">
        <v>4</v>
      </c>
      <c r="S340" s="80" t="s">
        <v>1515</v>
      </c>
      <c r="T340" s="101" t="s">
        <v>1505</v>
      </c>
      <c r="U340" s="80"/>
    </row>
    <row r="341" spans="2:21" ht="12.75">
      <c r="B341" s="46" t="s">
        <v>1773</v>
      </c>
      <c r="C341" s="46" t="s">
        <v>28</v>
      </c>
      <c r="D341" s="81" t="s">
        <v>840</v>
      </c>
      <c r="E341" s="80" t="s">
        <v>1513</v>
      </c>
      <c r="F341" s="81">
        <v>4</v>
      </c>
      <c r="G341" s="81">
        <v>0</v>
      </c>
      <c r="H341" s="81">
        <v>4</v>
      </c>
      <c r="I341" s="101" t="s">
        <v>1511</v>
      </c>
      <c r="J341" s="101" t="s">
        <v>1511</v>
      </c>
      <c r="K341" s="80" t="s">
        <v>841</v>
      </c>
      <c r="L341" s="101" t="s">
        <v>1488</v>
      </c>
      <c r="M341" s="101" t="s">
        <v>1562</v>
      </c>
      <c r="N341" s="101">
        <v>1</v>
      </c>
      <c r="O341" s="101">
        <v>60</v>
      </c>
      <c r="P341" s="102">
        <v>60</v>
      </c>
      <c r="Q341" s="102">
        <v>4</v>
      </c>
      <c r="R341" s="102">
        <v>4</v>
      </c>
      <c r="S341" s="80"/>
      <c r="T341" s="101"/>
      <c r="U341" s="80"/>
    </row>
    <row r="342" spans="2:21" ht="12.75">
      <c r="B342" s="46" t="s">
        <v>1773</v>
      </c>
      <c r="C342" s="46" t="s">
        <v>28</v>
      </c>
      <c r="D342" s="81" t="s">
        <v>1523</v>
      </c>
      <c r="E342" s="80" t="s">
        <v>79</v>
      </c>
      <c r="F342" s="81">
        <v>3</v>
      </c>
      <c r="G342" s="81">
        <v>1</v>
      </c>
      <c r="H342" s="81">
        <v>4</v>
      </c>
      <c r="I342" s="101" t="s">
        <v>71</v>
      </c>
      <c r="J342" s="101" t="s">
        <v>71</v>
      </c>
      <c r="K342" s="80" t="s">
        <v>82</v>
      </c>
      <c r="L342" s="101" t="s">
        <v>1491</v>
      </c>
      <c r="M342" s="101" t="s">
        <v>1562</v>
      </c>
      <c r="N342" s="101">
        <v>1</v>
      </c>
      <c r="O342" s="101">
        <v>60</v>
      </c>
      <c r="P342" s="102">
        <v>60</v>
      </c>
      <c r="Q342" s="102">
        <v>4</v>
      </c>
      <c r="R342" s="102">
        <v>4</v>
      </c>
      <c r="S342" s="80" t="s">
        <v>1515</v>
      </c>
      <c r="T342" s="101" t="s">
        <v>1505</v>
      </c>
      <c r="U342" s="80"/>
    </row>
    <row r="343" spans="2:21" ht="12.75">
      <c r="B343" s="46" t="s">
        <v>1773</v>
      </c>
      <c r="C343" s="46" t="s">
        <v>28</v>
      </c>
      <c r="D343" s="81" t="s">
        <v>80</v>
      </c>
      <c r="E343" s="80" t="s">
        <v>81</v>
      </c>
      <c r="F343" s="81">
        <v>4</v>
      </c>
      <c r="G343" s="81">
        <v>0</v>
      </c>
      <c r="H343" s="81">
        <v>5</v>
      </c>
      <c r="I343" s="101" t="s">
        <v>71</v>
      </c>
      <c r="J343" s="101" t="s">
        <v>71</v>
      </c>
      <c r="K343" s="80" t="s">
        <v>82</v>
      </c>
      <c r="L343" s="101" t="s">
        <v>1488</v>
      </c>
      <c r="M343" s="101" t="s">
        <v>1562</v>
      </c>
      <c r="N343" s="101">
        <v>1</v>
      </c>
      <c r="O343" s="101">
        <v>60</v>
      </c>
      <c r="P343" s="102">
        <v>60</v>
      </c>
      <c r="Q343" s="102">
        <v>4</v>
      </c>
      <c r="R343" s="102">
        <v>4</v>
      </c>
      <c r="S343" s="80"/>
      <c r="T343" s="101"/>
      <c r="U343" s="80"/>
    </row>
    <row r="344" spans="2:21" ht="12.75">
      <c r="B344" s="46" t="s">
        <v>1773</v>
      </c>
      <c r="C344" s="46" t="s">
        <v>28</v>
      </c>
      <c r="D344" s="81" t="s">
        <v>1353</v>
      </c>
      <c r="E344" s="80" t="s">
        <v>1352</v>
      </c>
      <c r="F344" s="81">
        <v>3</v>
      </c>
      <c r="G344" s="81">
        <v>1</v>
      </c>
      <c r="H344" s="81">
        <v>4</v>
      </c>
      <c r="I344" s="101" t="s">
        <v>73</v>
      </c>
      <c r="J344" s="101" t="s">
        <v>73</v>
      </c>
      <c r="K344" s="80" t="s">
        <v>1354</v>
      </c>
      <c r="L344" s="101" t="s">
        <v>1488</v>
      </c>
      <c r="M344" s="101" t="s">
        <v>1562</v>
      </c>
      <c r="N344" s="101">
        <v>1</v>
      </c>
      <c r="O344" s="101">
        <v>60</v>
      </c>
      <c r="P344" s="102">
        <v>60</v>
      </c>
      <c r="Q344" s="102">
        <v>4</v>
      </c>
      <c r="R344" s="102">
        <v>4</v>
      </c>
      <c r="S344" s="80" t="s">
        <v>1515</v>
      </c>
      <c r="T344" s="101" t="s">
        <v>1505</v>
      </c>
      <c r="U344" s="80"/>
    </row>
    <row r="345" spans="2:21" ht="12.75">
      <c r="B345" s="47" t="s">
        <v>1639</v>
      </c>
      <c r="C345" s="47" t="s">
        <v>29</v>
      </c>
      <c r="D345" s="81" t="s">
        <v>151</v>
      </c>
      <c r="E345" s="80" t="s">
        <v>152</v>
      </c>
      <c r="F345" s="81">
        <v>4</v>
      </c>
      <c r="G345" s="81">
        <v>0</v>
      </c>
      <c r="H345" s="81">
        <v>3</v>
      </c>
      <c r="I345" s="101" t="s">
        <v>71</v>
      </c>
      <c r="J345" s="101" t="s">
        <v>71</v>
      </c>
      <c r="K345" s="80" t="s">
        <v>153</v>
      </c>
      <c r="L345" s="101" t="s">
        <v>1488</v>
      </c>
      <c r="M345" s="101" t="s">
        <v>1562</v>
      </c>
      <c r="N345" s="101">
        <v>1</v>
      </c>
      <c r="O345" s="101">
        <v>60</v>
      </c>
      <c r="P345" s="102">
        <v>60</v>
      </c>
      <c r="Q345" s="102">
        <v>4</v>
      </c>
      <c r="R345" s="102">
        <v>4</v>
      </c>
      <c r="S345" s="80"/>
      <c r="T345" s="101"/>
      <c r="U345" s="80"/>
    </row>
    <row r="346" spans="2:21" ht="12.75">
      <c r="B346" s="47" t="s">
        <v>1639</v>
      </c>
      <c r="C346" s="47" t="s">
        <v>29</v>
      </c>
      <c r="D346" s="81" t="s">
        <v>151</v>
      </c>
      <c r="E346" s="80" t="s">
        <v>152</v>
      </c>
      <c r="F346" s="81">
        <v>4</v>
      </c>
      <c r="G346" s="81">
        <v>0</v>
      </c>
      <c r="H346" s="81">
        <v>3</v>
      </c>
      <c r="I346" s="101" t="s">
        <v>71</v>
      </c>
      <c r="J346" s="101" t="s">
        <v>71</v>
      </c>
      <c r="K346" s="80" t="s">
        <v>153</v>
      </c>
      <c r="L346" s="101" t="s">
        <v>1491</v>
      </c>
      <c r="M346" s="101" t="s">
        <v>1562</v>
      </c>
      <c r="N346" s="101">
        <v>1</v>
      </c>
      <c r="O346" s="101">
        <v>60</v>
      </c>
      <c r="P346" s="102">
        <v>60</v>
      </c>
      <c r="Q346" s="102">
        <v>4</v>
      </c>
      <c r="R346" s="102">
        <v>4</v>
      </c>
      <c r="S346" s="80"/>
      <c r="T346" s="101"/>
      <c r="U346" s="80"/>
    </row>
    <row r="347" spans="2:21" ht="12.75">
      <c r="B347" s="47" t="s">
        <v>1639</v>
      </c>
      <c r="C347" s="47" t="s">
        <v>29</v>
      </c>
      <c r="D347" s="81" t="s">
        <v>206</v>
      </c>
      <c r="E347" s="80" t="s">
        <v>207</v>
      </c>
      <c r="F347" s="81">
        <v>2</v>
      </c>
      <c r="G347" s="81">
        <v>1</v>
      </c>
      <c r="H347" s="81">
        <v>3</v>
      </c>
      <c r="I347" s="101" t="s">
        <v>71</v>
      </c>
      <c r="J347" s="101" t="s">
        <v>71</v>
      </c>
      <c r="K347" s="80" t="s">
        <v>208</v>
      </c>
      <c r="L347" s="101" t="s">
        <v>1488</v>
      </c>
      <c r="M347" s="101" t="s">
        <v>1562</v>
      </c>
      <c r="N347" s="101">
        <v>1</v>
      </c>
      <c r="O347" s="101">
        <v>60</v>
      </c>
      <c r="P347" s="102">
        <v>60</v>
      </c>
      <c r="Q347" s="102">
        <v>3</v>
      </c>
      <c r="R347" s="102">
        <v>3</v>
      </c>
      <c r="S347" s="80"/>
      <c r="T347" s="101"/>
      <c r="U347" s="80"/>
    </row>
    <row r="348" spans="2:21" ht="12.75">
      <c r="B348" s="47" t="s">
        <v>1639</v>
      </c>
      <c r="C348" s="47" t="s">
        <v>29</v>
      </c>
      <c r="D348" s="81" t="s">
        <v>206</v>
      </c>
      <c r="E348" s="80" t="s">
        <v>207</v>
      </c>
      <c r="F348" s="81">
        <v>2</v>
      </c>
      <c r="G348" s="81">
        <v>1</v>
      </c>
      <c r="H348" s="81">
        <v>3</v>
      </c>
      <c r="I348" s="101" t="s">
        <v>71</v>
      </c>
      <c r="J348" s="101" t="s">
        <v>71</v>
      </c>
      <c r="K348" s="80" t="s">
        <v>208</v>
      </c>
      <c r="L348" s="101" t="s">
        <v>1491</v>
      </c>
      <c r="M348" s="101" t="s">
        <v>1562</v>
      </c>
      <c r="N348" s="101">
        <v>1</v>
      </c>
      <c r="O348" s="101">
        <v>60</v>
      </c>
      <c r="P348" s="102">
        <v>60</v>
      </c>
      <c r="Q348" s="102">
        <v>3</v>
      </c>
      <c r="R348" s="102">
        <v>3</v>
      </c>
      <c r="S348" s="80"/>
      <c r="T348" s="101"/>
      <c r="U348" s="80"/>
    </row>
    <row r="349" spans="2:21" ht="12.75">
      <c r="B349" s="47" t="s">
        <v>1639</v>
      </c>
      <c r="C349" s="47" t="s">
        <v>29</v>
      </c>
      <c r="D349" s="81" t="s">
        <v>233</v>
      </c>
      <c r="E349" s="80" t="s">
        <v>234</v>
      </c>
      <c r="F349" s="81">
        <v>0</v>
      </c>
      <c r="G349" s="81">
        <v>2</v>
      </c>
      <c r="H349" s="81">
        <v>4</v>
      </c>
      <c r="I349" s="101" t="s">
        <v>71</v>
      </c>
      <c r="J349" s="101" t="s">
        <v>71</v>
      </c>
      <c r="K349" s="80" t="s">
        <v>76</v>
      </c>
      <c r="L349" s="101" t="s">
        <v>1488</v>
      </c>
      <c r="M349" s="101" t="s">
        <v>1562</v>
      </c>
      <c r="N349" s="101">
        <v>2</v>
      </c>
      <c r="O349" s="101">
        <v>30</v>
      </c>
      <c r="P349" s="102">
        <v>60</v>
      </c>
      <c r="Q349" s="102">
        <v>4</v>
      </c>
      <c r="R349" s="102">
        <v>4</v>
      </c>
      <c r="S349" s="80" t="s">
        <v>1493</v>
      </c>
      <c r="T349" s="101" t="s">
        <v>1490</v>
      </c>
      <c r="U349" s="80"/>
    </row>
    <row r="350" spans="2:21" ht="12.75">
      <c r="B350" s="47" t="s">
        <v>1639</v>
      </c>
      <c r="C350" s="47" t="s">
        <v>29</v>
      </c>
      <c r="D350" s="81" t="s">
        <v>233</v>
      </c>
      <c r="E350" s="80" t="s">
        <v>234</v>
      </c>
      <c r="F350" s="81">
        <v>0</v>
      </c>
      <c r="G350" s="81">
        <v>2</v>
      </c>
      <c r="H350" s="81">
        <v>4</v>
      </c>
      <c r="I350" s="101" t="s">
        <v>71</v>
      </c>
      <c r="J350" s="101" t="s">
        <v>71</v>
      </c>
      <c r="K350" s="80" t="s">
        <v>76</v>
      </c>
      <c r="L350" s="101" t="s">
        <v>1491</v>
      </c>
      <c r="M350" s="101" t="s">
        <v>1562</v>
      </c>
      <c r="N350" s="101">
        <v>2</v>
      </c>
      <c r="O350" s="101">
        <v>30</v>
      </c>
      <c r="P350" s="102">
        <v>60</v>
      </c>
      <c r="Q350" s="102">
        <v>4</v>
      </c>
      <c r="R350" s="102">
        <v>4</v>
      </c>
      <c r="S350" s="80" t="s">
        <v>1493</v>
      </c>
      <c r="T350" s="101" t="s">
        <v>1490</v>
      </c>
      <c r="U350" s="80"/>
    </row>
    <row r="351" spans="2:21" ht="12.75">
      <c r="B351" s="47" t="s">
        <v>1639</v>
      </c>
      <c r="C351" s="47" t="s">
        <v>29</v>
      </c>
      <c r="D351" s="81" t="s">
        <v>1168</v>
      </c>
      <c r="E351" s="80" t="s">
        <v>1169</v>
      </c>
      <c r="F351" s="81">
        <v>3</v>
      </c>
      <c r="G351" s="81">
        <v>0</v>
      </c>
      <c r="H351" s="81">
        <v>4</v>
      </c>
      <c r="I351" s="101" t="s">
        <v>71</v>
      </c>
      <c r="J351" s="101" t="s">
        <v>71</v>
      </c>
      <c r="K351" s="80" t="s">
        <v>1170</v>
      </c>
      <c r="L351" s="101" t="s">
        <v>1488</v>
      </c>
      <c r="M351" s="101" t="s">
        <v>1562</v>
      </c>
      <c r="N351" s="101">
        <v>1</v>
      </c>
      <c r="O351" s="101">
        <v>30</v>
      </c>
      <c r="P351" s="102">
        <v>30</v>
      </c>
      <c r="Q351" s="102">
        <v>3</v>
      </c>
      <c r="R351" s="102">
        <v>3</v>
      </c>
      <c r="S351" s="80"/>
      <c r="T351" s="101"/>
      <c r="U351" s="80"/>
    </row>
    <row r="352" spans="2:21" ht="12.75">
      <c r="B352" s="47" t="s">
        <v>1639</v>
      </c>
      <c r="C352" s="47" t="s">
        <v>29</v>
      </c>
      <c r="D352" s="81" t="s">
        <v>1168</v>
      </c>
      <c r="E352" s="80" t="s">
        <v>1169</v>
      </c>
      <c r="F352" s="81">
        <v>3</v>
      </c>
      <c r="G352" s="81">
        <v>0</v>
      </c>
      <c r="H352" s="81">
        <v>4</v>
      </c>
      <c r="I352" s="101" t="s">
        <v>71</v>
      </c>
      <c r="J352" s="101" t="s">
        <v>71</v>
      </c>
      <c r="K352" s="80" t="s">
        <v>1170</v>
      </c>
      <c r="L352" s="101" t="s">
        <v>1491</v>
      </c>
      <c r="M352" s="101" t="s">
        <v>1562</v>
      </c>
      <c r="N352" s="101">
        <v>1</v>
      </c>
      <c r="O352" s="101">
        <v>30</v>
      </c>
      <c r="P352" s="102">
        <v>30</v>
      </c>
      <c r="Q352" s="102">
        <v>3</v>
      </c>
      <c r="R352" s="102">
        <v>3</v>
      </c>
      <c r="S352" s="80"/>
      <c r="T352" s="101"/>
      <c r="U352" s="80"/>
    </row>
    <row r="353" spans="2:21" ht="12.75">
      <c r="B353" s="47" t="s">
        <v>1639</v>
      </c>
      <c r="C353" s="47" t="s">
        <v>29</v>
      </c>
      <c r="D353" s="81" t="s">
        <v>1173</v>
      </c>
      <c r="E353" s="80" t="s">
        <v>1174</v>
      </c>
      <c r="F353" s="81">
        <v>2</v>
      </c>
      <c r="G353" s="81">
        <v>0</v>
      </c>
      <c r="H353" s="81">
        <v>3</v>
      </c>
      <c r="I353" s="101" t="s">
        <v>71</v>
      </c>
      <c r="J353" s="101" t="s">
        <v>71</v>
      </c>
      <c r="K353" s="80" t="s">
        <v>76</v>
      </c>
      <c r="L353" s="101" t="s">
        <v>1488</v>
      </c>
      <c r="M353" s="101" t="s">
        <v>1562</v>
      </c>
      <c r="N353" s="101">
        <v>1</v>
      </c>
      <c r="O353" s="101">
        <v>60</v>
      </c>
      <c r="P353" s="102">
        <v>60</v>
      </c>
      <c r="Q353" s="102">
        <v>2</v>
      </c>
      <c r="R353" s="102">
        <v>2</v>
      </c>
      <c r="S353" s="80"/>
      <c r="T353" s="101"/>
      <c r="U353" s="80"/>
    </row>
    <row r="354" spans="2:21" ht="12.75">
      <c r="B354" s="47" t="s">
        <v>1639</v>
      </c>
      <c r="C354" s="47" t="s">
        <v>29</v>
      </c>
      <c r="D354" s="81" t="s">
        <v>1173</v>
      </c>
      <c r="E354" s="80" t="s">
        <v>1174</v>
      </c>
      <c r="F354" s="81">
        <v>2</v>
      </c>
      <c r="G354" s="81">
        <v>0</v>
      </c>
      <c r="H354" s="81">
        <v>3</v>
      </c>
      <c r="I354" s="101" t="s">
        <v>71</v>
      </c>
      <c r="J354" s="101" t="s">
        <v>71</v>
      </c>
      <c r="K354" s="80" t="s">
        <v>76</v>
      </c>
      <c r="L354" s="101" t="s">
        <v>1491</v>
      </c>
      <c r="M354" s="101" t="s">
        <v>1562</v>
      </c>
      <c r="N354" s="101">
        <v>1</v>
      </c>
      <c r="O354" s="101">
        <v>60</v>
      </c>
      <c r="P354" s="102">
        <v>60</v>
      </c>
      <c r="Q354" s="102">
        <v>2</v>
      </c>
      <c r="R354" s="102">
        <v>2</v>
      </c>
      <c r="S354" s="80"/>
      <c r="T354" s="101"/>
      <c r="U354" s="80"/>
    </row>
    <row r="355" spans="2:21" ht="12.75">
      <c r="B355" s="47" t="s">
        <v>1639</v>
      </c>
      <c r="C355" s="47" t="s">
        <v>29</v>
      </c>
      <c r="D355" s="81" t="s">
        <v>1227</v>
      </c>
      <c r="E355" s="80" t="s">
        <v>1228</v>
      </c>
      <c r="F355" s="81">
        <v>2</v>
      </c>
      <c r="G355" s="81">
        <v>2</v>
      </c>
      <c r="H355" s="81">
        <v>5</v>
      </c>
      <c r="I355" s="101" t="s">
        <v>71</v>
      </c>
      <c r="J355" s="101" t="s">
        <v>71</v>
      </c>
      <c r="K355" s="80" t="s">
        <v>1229</v>
      </c>
      <c r="L355" s="101" t="s">
        <v>1488</v>
      </c>
      <c r="M355" s="101" t="s">
        <v>1562</v>
      </c>
      <c r="N355" s="101">
        <v>1</v>
      </c>
      <c r="O355" s="101">
        <v>30</v>
      </c>
      <c r="P355" s="102">
        <v>30</v>
      </c>
      <c r="Q355" s="102">
        <v>4</v>
      </c>
      <c r="R355" s="102">
        <v>4</v>
      </c>
      <c r="S355" s="80" t="s">
        <v>1493</v>
      </c>
      <c r="T355" s="101" t="s">
        <v>1490</v>
      </c>
      <c r="U355" s="80"/>
    </row>
    <row r="356" spans="2:21" ht="12.75">
      <c r="B356" s="47" t="s">
        <v>1639</v>
      </c>
      <c r="C356" s="47" t="s">
        <v>29</v>
      </c>
      <c r="D356" s="81" t="s">
        <v>1227</v>
      </c>
      <c r="E356" s="80" t="s">
        <v>1228</v>
      </c>
      <c r="F356" s="81">
        <v>2</v>
      </c>
      <c r="G356" s="81">
        <v>2</v>
      </c>
      <c r="H356" s="81">
        <v>5</v>
      </c>
      <c r="I356" s="101" t="s">
        <v>71</v>
      </c>
      <c r="J356" s="101" t="s">
        <v>71</v>
      </c>
      <c r="K356" s="80" t="s">
        <v>1229</v>
      </c>
      <c r="L356" s="101" t="s">
        <v>1491</v>
      </c>
      <c r="M356" s="101" t="s">
        <v>1562</v>
      </c>
      <c r="N356" s="101">
        <v>1</v>
      </c>
      <c r="O356" s="101">
        <v>30</v>
      </c>
      <c r="P356" s="102">
        <v>30</v>
      </c>
      <c r="Q356" s="102">
        <v>4</v>
      </c>
      <c r="R356" s="102">
        <v>4</v>
      </c>
      <c r="S356" s="80" t="s">
        <v>1493</v>
      </c>
      <c r="T356" s="101" t="s">
        <v>1490</v>
      </c>
      <c r="U356" s="80"/>
    </row>
    <row r="357" spans="2:21" ht="12.75">
      <c r="B357" s="47" t="s">
        <v>1639</v>
      </c>
      <c r="C357" s="47" t="s">
        <v>29</v>
      </c>
      <c r="D357" s="81" t="s">
        <v>1232</v>
      </c>
      <c r="E357" s="80" t="s">
        <v>1233</v>
      </c>
      <c r="F357" s="81">
        <v>2</v>
      </c>
      <c r="G357" s="81">
        <v>2</v>
      </c>
      <c r="H357" s="81">
        <v>4</v>
      </c>
      <c r="I357" s="101" t="s">
        <v>71</v>
      </c>
      <c r="J357" s="101" t="s">
        <v>71</v>
      </c>
      <c r="K357" s="80" t="s">
        <v>1234</v>
      </c>
      <c r="L357" s="101" t="s">
        <v>1488</v>
      </c>
      <c r="M357" s="101" t="s">
        <v>1562</v>
      </c>
      <c r="N357" s="101">
        <v>1</v>
      </c>
      <c r="O357" s="101">
        <v>30</v>
      </c>
      <c r="P357" s="102">
        <v>30</v>
      </c>
      <c r="Q357" s="102">
        <v>4</v>
      </c>
      <c r="R357" s="102">
        <v>4</v>
      </c>
      <c r="S357" s="80" t="s">
        <v>1493</v>
      </c>
      <c r="T357" s="101" t="s">
        <v>1490</v>
      </c>
      <c r="U357" s="80"/>
    </row>
    <row r="358" spans="2:21" ht="12.75">
      <c r="B358" s="47" t="s">
        <v>1639</v>
      </c>
      <c r="C358" s="47" t="s">
        <v>29</v>
      </c>
      <c r="D358" s="81" t="s">
        <v>1232</v>
      </c>
      <c r="E358" s="80" t="s">
        <v>1233</v>
      </c>
      <c r="F358" s="81">
        <v>2</v>
      </c>
      <c r="G358" s="81">
        <v>2</v>
      </c>
      <c r="H358" s="81">
        <v>4</v>
      </c>
      <c r="I358" s="101" t="s">
        <v>71</v>
      </c>
      <c r="J358" s="101" t="s">
        <v>71</v>
      </c>
      <c r="K358" s="80" t="s">
        <v>1234</v>
      </c>
      <c r="L358" s="101" t="s">
        <v>1491</v>
      </c>
      <c r="M358" s="101" t="s">
        <v>1562</v>
      </c>
      <c r="N358" s="101">
        <v>1</v>
      </c>
      <c r="O358" s="101">
        <v>30</v>
      </c>
      <c r="P358" s="102">
        <v>30</v>
      </c>
      <c r="Q358" s="102">
        <v>4</v>
      </c>
      <c r="R358" s="102">
        <v>4</v>
      </c>
      <c r="S358" s="80" t="s">
        <v>1493</v>
      </c>
      <c r="T358" s="101" t="s">
        <v>1490</v>
      </c>
      <c r="U358" s="80"/>
    </row>
    <row r="359" spans="2:21" ht="12.75">
      <c r="B359" s="47" t="s">
        <v>1639</v>
      </c>
      <c r="C359" s="47" t="s">
        <v>29</v>
      </c>
      <c r="D359" s="81" t="s">
        <v>1299</v>
      </c>
      <c r="E359" s="80" t="s">
        <v>1007</v>
      </c>
      <c r="F359" s="81">
        <v>3</v>
      </c>
      <c r="G359" s="81">
        <v>0</v>
      </c>
      <c r="H359" s="81">
        <v>4</v>
      </c>
      <c r="I359" s="101" t="s">
        <v>71</v>
      </c>
      <c r="J359" s="101" t="s">
        <v>71</v>
      </c>
      <c r="K359" s="80" t="s">
        <v>76</v>
      </c>
      <c r="L359" s="101" t="s">
        <v>1488</v>
      </c>
      <c r="M359" s="101" t="s">
        <v>1562</v>
      </c>
      <c r="N359" s="101">
        <v>1</v>
      </c>
      <c r="O359" s="101">
        <v>60</v>
      </c>
      <c r="P359" s="102">
        <v>60</v>
      </c>
      <c r="Q359" s="102">
        <v>3</v>
      </c>
      <c r="R359" s="102">
        <v>3</v>
      </c>
      <c r="S359" s="80"/>
      <c r="T359" s="101"/>
      <c r="U359" s="80"/>
    </row>
    <row r="360" spans="2:21" ht="12.75">
      <c r="B360" s="47" t="s">
        <v>1639</v>
      </c>
      <c r="C360" s="47" t="s">
        <v>29</v>
      </c>
      <c r="D360" s="81" t="s">
        <v>1299</v>
      </c>
      <c r="E360" s="80" t="s">
        <v>1007</v>
      </c>
      <c r="F360" s="81">
        <v>3</v>
      </c>
      <c r="G360" s="81">
        <v>0</v>
      </c>
      <c r="H360" s="81">
        <v>4</v>
      </c>
      <c r="I360" s="101" t="s">
        <v>71</v>
      </c>
      <c r="J360" s="101" t="s">
        <v>71</v>
      </c>
      <c r="K360" s="80" t="s">
        <v>76</v>
      </c>
      <c r="L360" s="101" t="s">
        <v>1491</v>
      </c>
      <c r="M360" s="101" t="s">
        <v>1562</v>
      </c>
      <c r="N360" s="101">
        <v>1</v>
      </c>
      <c r="O360" s="101">
        <v>60</v>
      </c>
      <c r="P360" s="102">
        <v>60</v>
      </c>
      <c r="Q360" s="102">
        <v>3</v>
      </c>
      <c r="R360" s="102">
        <v>3</v>
      </c>
      <c r="S360" s="80"/>
      <c r="T360" s="101"/>
      <c r="U360" s="80"/>
    </row>
    <row r="361" spans="2:21" ht="12.75">
      <c r="B361" s="47" t="s">
        <v>1639</v>
      </c>
      <c r="C361" s="47" t="s">
        <v>29</v>
      </c>
      <c r="D361" s="81" t="s">
        <v>1358</v>
      </c>
      <c r="E361" s="80" t="s">
        <v>969</v>
      </c>
      <c r="F361" s="81">
        <v>3</v>
      </c>
      <c r="G361" s="81">
        <v>1</v>
      </c>
      <c r="H361" s="81">
        <v>5</v>
      </c>
      <c r="I361" s="101" t="s">
        <v>71</v>
      </c>
      <c r="J361" s="101" t="s">
        <v>71</v>
      </c>
      <c r="K361" s="80" t="s">
        <v>76</v>
      </c>
      <c r="L361" s="101" t="s">
        <v>1488</v>
      </c>
      <c r="M361" s="101" t="s">
        <v>1562</v>
      </c>
      <c r="N361" s="101">
        <v>1</v>
      </c>
      <c r="O361" s="101">
        <v>60</v>
      </c>
      <c r="P361" s="102">
        <v>60</v>
      </c>
      <c r="Q361" s="102">
        <v>4</v>
      </c>
      <c r="R361" s="102">
        <v>4</v>
      </c>
      <c r="S361" s="80" t="s">
        <v>1489</v>
      </c>
      <c r="T361" s="101" t="s">
        <v>1490</v>
      </c>
      <c r="U361" s="80"/>
    </row>
    <row r="362" spans="2:21" ht="12.75">
      <c r="B362" s="47" t="s">
        <v>1639</v>
      </c>
      <c r="C362" s="47" t="s">
        <v>29</v>
      </c>
      <c r="D362" s="81" t="s">
        <v>1358</v>
      </c>
      <c r="E362" s="80" t="s">
        <v>969</v>
      </c>
      <c r="F362" s="81">
        <v>3</v>
      </c>
      <c r="G362" s="81">
        <v>1</v>
      </c>
      <c r="H362" s="81">
        <v>5</v>
      </c>
      <c r="I362" s="101" t="s">
        <v>71</v>
      </c>
      <c r="J362" s="101" t="s">
        <v>71</v>
      </c>
      <c r="K362" s="80" t="s">
        <v>76</v>
      </c>
      <c r="L362" s="101" t="s">
        <v>1491</v>
      </c>
      <c r="M362" s="101" t="s">
        <v>1562</v>
      </c>
      <c r="N362" s="101">
        <v>1</v>
      </c>
      <c r="O362" s="101">
        <v>60</v>
      </c>
      <c r="P362" s="102">
        <v>60</v>
      </c>
      <c r="Q362" s="102">
        <v>4</v>
      </c>
      <c r="R362" s="102">
        <v>4</v>
      </c>
      <c r="S362" s="80" t="s">
        <v>1489</v>
      </c>
      <c r="T362" s="101" t="s">
        <v>1490</v>
      </c>
      <c r="U362" s="80"/>
    </row>
    <row r="363" spans="2:21" ht="12.75">
      <c r="B363" s="47" t="s">
        <v>1639</v>
      </c>
      <c r="C363" s="47" t="s">
        <v>29</v>
      </c>
      <c r="D363" s="81" t="s">
        <v>1340</v>
      </c>
      <c r="E363" s="80" t="s">
        <v>1341</v>
      </c>
      <c r="F363" s="81">
        <v>0</v>
      </c>
      <c r="G363" s="81">
        <v>2</v>
      </c>
      <c r="H363" s="81">
        <v>4</v>
      </c>
      <c r="I363" s="101" t="s">
        <v>71</v>
      </c>
      <c r="J363" s="101" t="s">
        <v>71</v>
      </c>
      <c r="K363" s="80" t="s">
        <v>450</v>
      </c>
      <c r="L363" s="101" t="s">
        <v>1488</v>
      </c>
      <c r="M363" s="101" t="s">
        <v>1562</v>
      </c>
      <c r="N363" s="101">
        <v>1</v>
      </c>
      <c r="O363" s="101">
        <v>60</v>
      </c>
      <c r="P363" s="102">
        <v>60</v>
      </c>
      <c r="Q363" s="102">
        <v>2</v>
      </c>
      <c r="R363" s="102">
        <v>2</v>
      </c>
      <c r="S363" s="80"/>
      <c r="T363" s="101"/>
      <c r="U363" s="80"/>
    </row>
    <row r="364" spans="2:21" ht="12.75">
      <c r="B364" s="47" t="s">
        <v>1639</v>
      </c>
      <c r="C364" s="47" t="s">
        <v>29</v>
      </c>
      <c r="D364" s="81" t="s">
        <v>1340</v>
      </c>
      <c r="E364" s="80" t="s">
        <v>1341</v>
      </c>
      <c r="F364" s="81">
        <v>0</v>
      </c>
      <c r="G364" s="81">
        <v>2</v>
      </c>
      <c r="H364" s="81">
        <v>4</v>
      </c>
      <c r="I364" s="101" t="s">
        <v>71</v>
      </c>
      <c r="J364" s="101" t="s">
        <v>71</v>
      </c>
      <c r="K364" s="80" t="s">
        <v>450</v>
      </c>
      <c r="L364" s="101" t="s">
        <v>1491</v>
      </c>
      <c r="M364" s="101" t="s">
        <v>1562</v>
      </c>
      <c r="N364" s="101">
        <v>1</v>
      </c>
      <c r="O364" s="101">
        <v>60</v>
      </c>
      <c r="P364" s="102">
        <v>60</v>
      </c>
      <c r="Q364" s="102">
        <v>2</v>
      </c>
      <c r="R364" s="102">
        <v>2</v>
      </c>
      <c r="S364" s="80"/>
      <c r="T364" s="101"/>
      <c r="U364" s="80"/>
    </row>
    <row r="365" spans="2:21" ht="12.75">
      <c r="B365" s="47" t="s">
        <v>1639</v>
      </c>
      <c r="C365" s="47" t="s">
        <v>29</v>
      </c>
      <c r="D365" s="81" t="s">
        <v>1344</v>
      </c>
      <c r="E365" s="80" t="s">
        <v>1345</v>
      </c>
      <c r="F365" s="81">
        <v>0</v>
      </c>
      <c r="G365" s="81">
        <v>2</v>
      </c>
      <c r="H365" s="81">
        <v>4</v>
      </c>
      <c r="I365" s="101" t="s">
        <v>71</v>
      </c>
      <c r="J365" s="101" t="s">
        <v>71</v>
      </c>
      <c r="K365" s="80" t="s">
        <v>1494</v>
      </c>
      <c r="L365" s="101" t="s">
        <v>1488</v>
      </c>
      <c r="M365" s="101" t="s">
        <v>1562</v>
      </c>
      <c r="N365" s="101">
        <v>1</v>
      </c>
      <c r="O365" s="101">
        <v>60</v>
      </c>
      <c r="P365" s="102">
        <v>60</v>
      </c>
      <c r="Q365" s="102">
        <v>2</v>
      </c>
      <c r="R365" s="102">
        <v>2</v>
      </c>
      <c r="S365" s="80"/>
      <c r="T365" s="101"/>
      <c r="U365" s="80"/>
    </row>
    <row r="366" spans="2:21" ht="12.75">
      <c r="B366" s="47" t="s">
        <v>1639</v>
      </c>
      <c r="C366" s="47" t="s">
        <v>29</v>
      </c>
      <c r="D366" s="81" t="s">
        <v>1344</v>
      </c>
      <c r="E366" s="80" t="s">
        <v>1345</v>
      </c>
      <c r="F366" s="81">
        <v>0</v>
      </c>
      <c r="G366" s="81">
        <v>2</v>
      </c>
      <c r="H366" s="81">
        <v>4</v>
      </c>
      <c r="I366" s="101" t="s">
        <v>71</v>
      </c>
      <c r="J366" s="101" t="s">
        <v>71</v>
      </c>
      <c r="K366" s="80" t="s">
        <v>1494</v>
      </c>
      <c r="L366" s="101" t="s">
        <v>1491</v>
      </c>
      <c r="M366" s="101" t="s">
        <v>1562</v>
      </c>
      <c r="N366" s="101">
        <v>1</v>
      </c>
      <c r="O366" s="101">
        <v>60</v>
      </c>
      <c r="P366" s="102">
        <v>60</v>
      </c>
      <c r="Q366" s="102">
        <v>2</v>
      </c>
      <c r="R366" s="102">
        <v>2</v>
      </c>
      <c r="S366" s="80"/>
      <c r="T366" s="101"/>
      <c r="U366" s="80"/>
    </row>
    <row r="367" spans="2:21" ht="12.75">
      <c r="B367" s="47" t="s">
        <v>1639</v>
      </c>
      <c r="C367" s="47" t="s">
        <v>29</v>
      </c>
      <c r="D367" s="81" t="s">
        <v>1348</v>
      </c>
      <c r="E367" s="80" t="s">
        <v>1349</v>
      </c>
      <c r="F367" s="81">
        <v>0</v>
      </c>
      <c r="G367" s="81">
        <v>2</v>
      </c>
      <c r="H367" s="81">
        <v>4</v>
      </c>
      <c r="I367" s="101" t="s">
        <v>71</v>
      </c>
      <c r="J367" s="101" t="s">
        <v>71</v>
      </c>
      <c r="K367" s="80" t="s">
        <v>1495</v>
      </c>
      <c r="L367" s="101" t="s">
        <v>1488</v>
      </c>
      <c r="M367" s="101" t="s">
        <v>1562</v>
      </c>
      <c r="N367" s="101">
        <v>1</v>
      </c>
      <c r="O367" s="101">
        <v>60</v>
      </c>
      <c r="P367" s="102">
        <v>60</v>
      </c>
      <c r="Q367" s="102">
        <v>2</v>
      </c>
      <c r="R367" s="102">
        <v>2</v>
      </c>
      <c r="S367" s="80"/>
      <c r="T367" s="101"/>
      <c r="U367" s="80"/>
    </row>
    <row r="368" spans="2:21" ht="12.75">
      <c r="B368" s="47" t="s">
        <v>1639</v>
      </c>
      <c r="C368" s="47" t="s">
        <v>29</v>
      </c>
      <c r="D368" s="81" t="s">
        <v>1348</v>
      </c>
      <c r="E368" s="80" t="s">
        <v>1349</v>
      </c>
      <c r="F368" s="81">
        <v>0</v>
      </c>
      <c r="G368" s="81">
        <v>2</v>
      </c>
      <c r="H368" s="81">
        <v>4</v>
      </c>
      <c r="I368" s="101" t="s">
        <v>71</v>
      </c>
      <c r="J368" s="101" t="s">
        <v>71</v>
      </c>
      <c r="K368" s="80" t="s">
        <v>1495</v>
      </c>
      <c r="L368" s="101" t="s">
        <v>1491</v>
      </c>
      <c r="M368" s="101" t="s">
        <v>1562</v>
      </c>
      <c r="N368" s="101">
        <v>1</v>
      </c>
      <c r="O368" s="101">
        <v>60</v>
      </c>
      <c r="P368" s="102">
        <v>60</v>
      </c>
      <c r="Q368" s="102">
        <v>2</v>
      </c>
      <c r="R368" s="102">
        <v>2</v>
      </c>
      <c r="S368" s="80"/>
      <c r="T368" s="101"/>
      <c r="U368" s="80"/>
    </row>
    <row r="369" spans="1:21" ht="12.75">
      <c r="B369" s="47" t="s">
        <v>1639</v>
      </c>
      <c r="C369" s="47" t="s">
        <v>29</v>
      </c>
      <c r="D369" s="81" t="s">
        <v>246</v>
      </c>
      <c r="E369" s="80" t="s">
        <v>247</v>
      </c>
      <c r="F369" s="81">
        <v>3</v>
      </c>
      <c r="G369" s="81">
        <v>0</v>
      </c>
      <c r="H369" s="81">
        <v>3</v>
      </c>
      <c r="I369" s="101" t="s">
        <v>73</v>
      </c>
      <c r="J369" s="101" t="s">
        <v>73</v>
      </c>
      <c r="K369" s="80" t="s">
        <v>248</v>
      </c>
      <c r="L369" s="101" t="s">
        <v>1488</v>
      </c>
      <c r="M369" s="101" t="s">
        <v>1562</v>
      </c>
      <c r="N369" s="101">
        <v>1</v>
      </c>
      <c r="O369" s="101">
        <v>60</v>
      </c>
      <c r="P369" s="102">
        <v>60</v>
      </c>
      <c r="Q369" s="102">
        <v>3</v>
      </c>
      <c r="R369" s="102">
        <v>3</v>
      </c>
      <c r="S369" s="80"/>
      <c r="T369" s="101"/>
      <c r="U369" s="80"/>
    </row>
    <row r="370" spans="1:21" ht="12.75">
      <c r="B370" s="47" t="s">
        <v>1639</v>
      </c>
      <c r="C370" s="47" t="s">
        <v>29</v>
      </c>
      <c r="D370" s="81" t="s">
        <v>246</v>
      </c>
      <c r="E370" s="80" t="s">
        <v>247</v>
      </c>
      <c r="F370" s="81">
        <v>3</v>
      </c>
      <c r="G370" s="81">
        <v>0</v>
      </c>
      <c r="H370" s="81">
        <v>3</v>
      </c>
      <c r="I370" s="101" t="s">
        <v>73</v>
      </c>
      <c r="J370" s="101" t="s">
        <v>73</v>
      </c>
      <c r="K370" s="80" t="s">
        <v>248</v>
      </c>
      <c r="L370" s="101" t="s">
        <v>1491</v>
      </c>
      <c r="M370" s="101" t="s">
        <v>1562</v>
      </c>
      <c r="N370" s="101">
        <v>1</v>
      </c>
      <c r="O370" s="101">
        <v>60</v>
      </c>
      <c r="P370" s="102">
        <v>60</v>
      </c>
      <c r="Q370" s="102">
        <v>3</v>
      </c>
      <c r="R370" s="102">
        <v>3</v>
      </c>
      <c r="S370" s="80"/>
      <c r="T370" s="101"/>
      <c r="U370" s="80"/>
    </row>
    <row r="371" spans="1:21" ht="12.75">
      <c r="B371" s="47" t="s">
        <v>1639</v>
      </c>
      <c r="C371" s="47" t="s">
        <v>29</v>
      </c>
      <c r="D371" s="81" t="s">
        <v>679</v>
      </c>
      <c r="E371" s="80" t="s">
        <v>680</v>
      </c>
      <c r="F371" s="81">
        <v>3</v>
      </c>
      <c r="G371" s="81">
        <v>0</v>
      </c>
      <c r="H371" s="81">
        <v>3</v>
      </c>
      <c r="I371" s="101" t="s">
        <v>73</v>
      </c>
      <c r="J371" s="101" t="s">
        <v>73</v>
      </c>
      <c r="K371" s="80" t="s">
        <v>681</v>
      </c>
      <c r="L371" s="101" t="s">
        <v>1488</v>
      </c>
      <c r="M371" s="101" t="s">
        <v>1562</v>
      </c>
      <c r="N371" s="101">
        <v>1</v>
      </c>
      <c r="O371" s="101">
        <v>60</v>
      </c>
      <c r="P371" s="102">
        <v>60</v>
      </c>
      <c r="Q371" s="102">
        <v>3</v>
      </c>
      <c r="R371" s="102">
        <v>3</v>
      </c>
      <c r="S371" s="80"/>
      <c r="T371" s="101"/>
      <c r="U371" s="80"/>
    </row>
    <row r="372" spans="1:21" ht="12.75">
      <c r="B372" s="47" t="s">
        <v>1639</v>
      </c>
      <c r="C372" s="47" t="s">
        <v>29</v>
      </c>
      <c r="D372" s="81" t="s">
        <v>679</v>
      </c>
      <c r="E372" s="80" t="s">
        <v>680</v>
      </c>
      <c r="F372" s="81">
        <v>3</v>
      </c>
      <c r="G372" s="81">
        <v>0</v>
      </c>
      <c r="H372" s="81">
        <v>3</v>
      </c>
      <c r="I372" s="101" t="s">
        <v>73</v>
      </c>
      <c r="J372" s="101" t="s">
        <v>73</v>
      </c>
      <c r="K372" s="80" t="s">
        <v>681</v>
      </c>
      <c r="L372" s="101" t="s">
        <v>1491</v>
      </c>
      <c r="M372" s="101" t="s">
        <v>1562</v>
      </c>
      <c r="N372" s="101">
        <v>1</v>
      </c>
      <c r="O372" s="101">
        <v>60</v>
      </c>
      <c r="P372" s="102">
        <v>60</v>
      </c>
      <c r="Q372" s="102">
        <v>3</v>
      </c>
      <c r="R372" s="102">
        <v>3</v>
      </c>
      <c r="S372" s="80"/>
      <c r="T372" s="101"/>
      <c r="U372" s="80"/>
    </row>
    <row r="373" spans="1:21" ht="12.75">
      <c r="B373" s="47" t="s">
        <v>1639</v>
      </c>
      <c r="C373" s="47" t="s">
        <v>29</v>
      </c>
      <c r="D373" s="81" t="s">
        <v>734</v>
      </c>
      <c r="E373" s="80" t="s">
        <v>735</v>
      </c>
      <c r="F373" s="81">
        <v>2</v>
      </c>
      <c r="G373" s="81">
        <v>0</v>
      </c>
      <c r="H373" s="81">
        <v>4</v>
      </c>
      <c r="I373" s="101" t="s">
        <v>73</v>
      </c>
      <c r="J373" s="101" t="s">
        <v>73</v>
      </c>
      <c r="K373" s="80" t="s">
        <v>76</v>
      </c>
      <c r="L373" s="101" t="s">
        <v>1488</v>
      </c>
      <c r="M373" s="101" t="s">
        <v>1562</v>
      </c>
      <c r="N373" s="101">
        <v>1</v>
      </c>
      <c r="O373" s="101">
        <v>60</v>
      </c>
      <c r="P373" s="102">
        <v>60</v>
      </c>
      <c r="Q373" s="102">
        <v>2</v>
      </c>
      <c r="R373" s="102">
        <v>2</v>
      </c>
      <c r="S373" s="80"/>
      <c r="T373" s="101"/>
      <c r="U373" s="80"/>
    </row>
    <row r="374" spans="1:21" ht="12.75">
      <c r="B374" s="47" t="s">
        <v>1639</v>
      </c>
      <c r="C374" s="47" t="s">
        <v>29</v>
      </c>
      <c r="D374" s="81" t="s">
        <v>734</v>
      </c>
      <c r="E374" s="80" t="s">
        <v>735</v>
      </c>
      <c r="F374" s="81">
        <v>2</v>
      </c>
      <c r="G374" s="81">
        <v>0</v>
      </c>
      <c r="H374" s="81">
        <v>4</v>
      </c>
      <c r="I374" s="101" t="s">
        <v>73</v>
      </c>
      <c r="J374" s="101" t="s">
        <v>73</v>
      </c>
      <c r="K374" s="80" t="s">
        <v>76</v>
      </c>
      <c r="L374" s="101" t="s">
        <v>1491</v>
      </c>
      <c r="M374" s="101" t="s">
        <v>1562</v>
      </c>
      <c r="N374" s="101">
        <v>1</v>
      </c>
      <c r="O374" s="101">
        <v>60</v>
      </c>
      <c r="P374" s="102">
        <v>60</v>
      </c>
      <c r="Q374" s="102">
        <v>2</v>
      </c>
      <c r="R374" s="102">
        <v>2</v>
      </c>
      <c r="S374" s="80"/>
      <c r="T374" s="101"/>
      <c r="U374" s="80"/>
    </row>
    <row r="375" spans="1:21" ht="12.75">
      <c r="B375" s="47" t="s">
        <v>1639</v>
      </c>
      <c r="C375" s="47" t="s">
        <v>29</v>
      </c>
      <c r="D375" s="81" t="s">
        <v>905</v>
      </c>
      <c r="E375" s="80" t="s">
        <v>906</v>
      </c>
      <c r="F375" s="81">
        <v>1</v>
      </c>
      <c r="G375" s="81">
        <v>1</v>
      </c>
      <c r="H375" s="81">
        <v>4</v>
      </c>
      <c r="I375" s="101" t="s">
        <v>73</v>
      </c>
      <c r="J375" s="101" t="s">
        <v>73</v>
      </c>
      <c r="K375" s="80" t="s">
        <v>907</v>
      </c>
      <c r="L375" s="101" t="s">
        <v>1488</v>
      </c>
      <c r="M375" s="101" t="s">
        <v>1562</v>
      </c>
      <c r="N375" s="101">
        <v>1</v>
      </c>
      <c r="O375" s="101">
        <v>30</v>
      </c>
      <c r="P375" s="102">
        <v>30</v>
      </c>
      <c r="Q375" s="102">
        <v>2</v>
      </c>
      <c r="R375" s="102">
        <v>2</v>
      </c>
      <c r="S375" s="80"/>
      <c r="T375" s="101"/>
      <c r="U375" s="80"/>
    </row>
    <row r="376" spans="1:21" ht="12.75">
      <c r="B376" s="47" t="s">
        <v>1639</v>
      </c>
      <c r="C376" s="47" t="s">
        <v>29</v>
      </c>
      <c r="D376" s="81" t="s">
        <v>905</v>
      </c>
      <c r="E376" s="80" t="s">
        <v>906</v>
      </c>
      <c r="F376" s="81">
        <v>1</v>
      </c>
      <c r="G376" s="81">
        <v>1</v>
      </c>
      <c r="H376" s="81">
        <v>4</v>
      </c>
      <c r="I376" s="101" t="s">
        <v>73</v>
      </c>
      <c r="J376" s="101" t="s">
        <v>73</v>
      </c>
      <c r="K376" s="80" t="s">
        <v>907</v>
      </c>
      <c r="L376" s="101" t="s">
        <v>1491</v>
      </c>
      <c r="M376" s="101" t="s">
        <v>1562</v>
      </c>
      <c r="N376" s="101">
        <v>1</v>
      </c>
      <c r="O376" s="101">
        <v>30</v>
      </c>
      <c r="P376" s="102">
        <v>30</v>
      </c>
      <c r="Q376" s="102">
        <v>2</v>
      </c>
      <c r="R376" s="102">
        <v>2</v>
      </c>
      <c r="S376" s="80"/>
      <c r="T376" s="101"/>
      <c r="U376" s="80"/>
    </row>
    <row r="377" spans="1:21" ht="12.75">
      <c r="A377" s="1" t="s">
        <v>1672</v>
      </c>
      <c r="B377" s="47" t="s">
        <v>1639</v>
      </c>
      <c r="C377" s="47" t="s">
        <v>29</v>
      </c>
      <c r="D377" s="81"/>
      <c r="E377" s="80" t="s">
        <v>1499</v>
      </c>
      <c r="F377" s="81">
        <v>4</v>
      </c>
      <c r="G377" s="81">
        <v>0</v>
      </c>
      <c r="H377" s="81">
        <v>0</v>
      </c>
      <c r="I377" s="101" t="s">
        <v>70</v>
      </c>
      <c r="J377" s="101" t="s">
        <v>70</v>
      </c>
      <c r="K377" s="80" t="s">
        <v>1500</v>
      </c>
      <c r="L377" s="101" t="s">
        <v>1488</v>
      </c>
      <c r="M377" s="101" t="s">
        <v>1562</v>
      </c>
      <c r="N377" s="101">
        <v>1</v>
      </c>
      <c r="O377" s="101">
        <v>60</v>
      </c>
      <c r="P377" s="102">
        <v>60</v>
      </c>
      <c r="Q377" s="102">
        <v>4</v>
      </c>
      <c r="R377" s="102">
        <v>4</v>
      </c>
      <c r="S377" s="80"/>
      <c r="T377" s="101"/>
      <c r="U377" s="80"/>
    </row>
    <row r="378" spans="1:21" ht="12.75">
      <c r="A378" s="1" t="s">
        <v>1672</v>
      </c>
      <c r="B378" s="47" t="s">
        <v>1639</v>
      </c>
      <c r="C378" s="47" t="s">
        <v>29</v>
      </c>
      <c r="D378" s="81"/>
      <c r="E378" s="80" t="s">
        <v>1499</v>
      </c>
      <c r="F378" s="81">
        <v>4</v>
      </c>
      <c r="G378" s="81">
        <v>0</v>
      </c>
      <c r="H378" s="81">
        <v>0</v>
      </c>
      <c r="I378" s="101" t="s">
        <v>70</v>
      </c>
      <c r="J378" s="101" t="s">
        <v>70</v>
      </c>
      <c r="K378" s="80" t="s">
        <v>1500</v>
      </c>
      <c r="L378" s="101" t="s">
        <v>1488</v>
      </c>
      <c r="M378" s="101" t="s">
        <v>1562</v>
      </c>
      <c r="N378" s="101">
        <v>1</v>
      </c>
      <c r="O378" s="101">
        <v>60</v>
      </c>
      <c r="P378" s="102">
        <v>60</v>
      </c>
      <c r="Q378" s="102">
        <v>4</v>
      </c>
      <c r="R378" s="102">
        <v>4</v>
      </c>
      <c r="S378" s="80"/>
      <c r="T378" s="101"/>
      <c r="U378" s="80"/>
    </row>
    <row r="379" spans="1:21" ht="12.75">
      <c r="B379" s="42" t="s">
        <v>1774</v>
      </c>
      <c r="C379" s="42" t="s">
        <v>30</v>
      </c>
      <c r="D379" s="81" t="s">
        <v>913</v>
      </c>
      <c r="E379" s="80" t="s">
        <v>1540</v>
      </c>
      <c r="F379" s="81">
        <v>6</v>
      </c>
      <c r="G379" s="81">
        <v>0</v>
      </c>
      <c r="H379" s="81">
        <v>6</v>
      </c>
      <c r="I379" s="101" t="s">
        <v>71</v>
      </c>
      <c r="J379" s="101" t="s">
        <v>71</v>
      </c>
      <c r="K379" s="80" t="e">
        <v>#N/A</v>
      </c>
      <c r="L379" s="101" t="s">
        <v>1488</v>
      </c>
      <c r="M379" s="101" t="s">
        <v>1528</v>
      </c>
      <c r="N379" s="101">
        <v>1</v>
      </c>
      <c r="O379" s="101">
        <v>60</v>
      </c>
      <c r="P379" s="102">
        <v>60</v>
      </c>
      <c r="Q379" s="102">
        <v>6</v>
      </c>
      <c r="R379" s="102">
        <v>6</v>
      </c>
      <c r="S379" s="80"/>
      <c r="T379" s="101"/>
      <c r="U379" s="80"/>
    </row>
    <row r="380" spans="1:21" ht="12.75">
      <c r="B380" s="42" t="s">
        <v>1774</v>
      </c>
      <c r="C380" s="42" t="s">
        <v>30</v>
      </c>
      <c r="D380" s="81" t="s">
        <v>913</v>
      </c>
      <c r="E380" s="80" t="s">
        <v>1540</v>
      </c>
      <c r="F380" s="81">
        <v>6</v>
      </c>
      <c r="G380" s="81">
        <v>0</v>
      </c>
      <c r="H380" s="81">
        <v>6</v>
      </c>
      <c r="I380" s="101" t="s">
        <v>71</v>
      </c>
      <c r="J380" s="101" t="s">
        <v>71</v>
      </c>
      <c r="K380" s="80" t="e">
        <v>#N/A</v>
      </c>
      <c r="L380" s="101" t="s">
        <v>1491</v>
      </c>
      <c r="M380" s="101" t="s">
        <v>1528</v>
      </c>
      <c r="N380" s="101">
        <v>1</v>
      </c>
      <c r="O380" s="101">
        <v>60</v>
      </c>
      <c r="P380" s="102">
        <v>60</v>
      </c>
      <c r="Q380" s="102">
        <v>6</v>
      </c>
      <c r="R380" s="102">
        <v>6</v>
      </c>
      <c r="S380" s="80"/>
      <c r="T380" s="101"/>
      <c r="U380" s="80"/>
    </row>
    <row r="381" spans="1:21" ht="12.75">
      <c r="B381" s="42" t="s">
        <v>1774</v>
      </c>
      <c r="C381" s="42" t="s">
        <v>30</v>
      </c>
      <c r="D381" s="81" t="s">
        <v>649</v>
      </c>
      <c r="E381" s="80" t="s">
        <v>781</v>
      </c>
      <c r="F381" s="81">
        <v>3</v>
      </c>
      <c r="G381" s="81">
        <v>1</v>
      </c>
      <c r="H381" s="81">
        <v>5</v>
      </c>
      <c r="I381" s="101" t="s">
        <v>71</v>
      </c>
      <c r="J381" s="101" t="s">
        <v>71</v>
      </c>
      <c r="K381" s="80" t="s">
        <v>263</v>
      </c>
      <c r="L381" s="101" t="s">
        <v>1488</v>
      </c>
      <c r="M381" s="101" t="s">
        <v>1562</v>
      </c>
      <c r="N381" s="101">
        <v>1</v>
      </c>
      <c r="O381" s="101">
        <v>30</v>
      </c>
      <c r="P381" s="102">
        <v>30</v>
      </c>
      <c r="Q381" s="102">
        <v>4</v>
      </c>
      <c r="R381" s="102">
        <v>4</v>
      </c>
      <c r="S381" s="80" t="s">
        <v>1504</v>
      </c>
      <c r="T381" s="101"/>
      <c r="U381" s="80"/>
    </row>
    <row r="382" spans="1:21" ht="12.75">
      <c r="B382" s="42" t="s">
        <v>1774</v>
      </c>
      <c r="C382" s="42" t="s">
        <v>30</v>
      </c>
      <c r="D382" s="81" t="s">
        <v>649</v>
      </c>
      <c r="E382" s="80" t="s">
        <v>781</v>
      </c>
      <c r="F382" s="81">
        <v>3</v>
      </c>
      <c r="G382" s="81">
        <v>1</v>
      </c>
      <c r="H382" s="81">
        <v>5</v>
      </c>
      <c r="I382" s="101" t="s">
        <v>71</v>
      </c>
      <c r="J382" s="101" t="s">
        <v>71</v>
      </c>
      <c r="K382" s="80" t="s">
        <v>263</v>
      </c>
      <c r="L382" s="101" t="s">
        <v>1491</v>
      </c>
      <c r="M382" s="101" t="s">
        <v>1562</v>
      </c>
      <c r="N382" s="101">
        <v>1</v>
      </c>
      <c r="O382" s="101">
        <v>30</v>
      </c>
      <c r="P382" s="102">
        <v>30</v>
      </c>
      <c r="Q382" s="102">
        <v>4</v>
      </c>
      <c r="R382" s="102">
        <v>4</v>
      </c>
      <c r="S382" s="80"/>
      <c r="T382" s="101"/>
      <c r="U382" s="80"/>
    </row>
    <row r="383" spans="1:21" ht="12.75">
      <c r="B383" s="42" t="s">
        <v>1774</v>
      </c>
      <c r="C383" s="42" t="s">
        <v>30</v>
      </c>
      <c r="D383" s="81" t="s">
        <v>933</v>
      </c>
      <c r="E383" s="80" t="s">
        <v>113</v>
      </c>
      <c r="F383" s="81">
        <v>2</v>
      </c>
      <c r="G383" s="81">
        <v>2</v>
      </c>
      <c r="H383" s="81">
        <v>3</v>
      </c>
      <c r="I383" s="101" t="s">
        <v>71</v>
      </c>
      <c r="J383" s="101" t="s">
        <v>71</v>
      </c>
      <c r="K383" s="80" t="s">
        <v>1541</v>
      </c>
      <c r="L383" s="101" t="s">
        <v>1488</v>
      </c>
      <c r="M383" s="101" t="s">
        <v>1562</v>
      </c>
      <c r="N383" s="101">
        <v>1</v>
      </c>
      <c r="O383" s="101">
        <v>30</v>
      </c>
      <c r="P383" s="102">
        <v>30</v>
      </c>
      <c r="Q383" s="102">
        <v>4</v>
      </c>
      <c r="R383" s="102">
        <v>4</v>
      </c>
      <c r="S383" s="80" t="s">
        <v>1504</v>
      </c>
      <c r="T383" s="101"/>
      <c r="U383" s="80"/>
    </row>
    <row r="384" spans="1:21" ht="12.75">
      <c r="B384" s="42" t="s">
        <v>1774</v>
      </c>
      <c r="C384" s="42" t="s">
        <v>30</v>
      </c>
      <c r="D384" s="81" t="s">
        <v>933</v>
      </c>
      <c r="E384" s="80" t="s">
        <v>113</v>
      </c>
      <c r="F384" s="81">
        <v>2</v>
      </c>
      <c r="G384" s="81">
        <v>2</v>
      </c>
      <c r="H384" s="81">
        <v>3</v>
      </c>
      <c r="I384" s="101" t="s">
        <v>71</v>
      </c>
      <c r="J384" s="101" t="s">
        <v>71</v>
      </c>
      <c r="K384" s="80" t="s">
        <v>1541</v>
      </c>
      <c r="L384" s="101" t="s">
        <v>1491</v>
      </c>
      <c r="M384" s="101" t="s">
        <v>1562</v>
      </c>
      <c r="N384" s="101">
        <v>1</v>
      </c>
      <c r="O384" s="101">
        <v>30</v>
      </c>
      <c r="P384" s="102">
        <v>30</v>
      </c>
      <c r="Q384" s="102">
        <v>4</v>
      </c>
      <c r="R384" s="102">
        <v>4</v>
      </c>
      <c r="S384" s="80" t="s">
        <v>1504</v>
      </c>
      <c r="T384" s="101"/>
      <c r="U384" s="80"/>
    </row>
    <row r="385" spans="1:21" ht="12.75">
      <c r="B385" s="42" t="s">
        <v>1774</v>
      </c>
      <c r="C385" s="42" t="s">
        <v>30</v>
      </c>
      <c r="D385" s="81" t="s">
        <v>763</v>
      </c>
      <c r="E385" s="80" t="s">
        <v>764</v>
      </c>
      <c r="F385" s="81">
        <v>3</v>
      </c>
      <c r="G385" s="81">
        <v>2</v>
      </c>
      <c r="H385" s="81">
        <v>5</v>
      </c>
      <c r="I385" s="101" t="s">
        <v>71</v>
      </c>
      <c r="J385" s="101" t="s">
        <v>71</v>
      </c>
      <c r="K385" s="80" t="s">
        <v>762</v>
      </c>
      <c r="L385" s="101" t="s">
        <v>1488</v>
      </c>
      <c r="M385" s="101" t="s">
        <v>1562</v>
      </c>
      <c r="N385" s="101">
        <v>1</v>
      </c>
      <c r="O385" s="101">
        <v>30</v>
      </c>
      <c r="P385" s="102">
        <v>30</v>
      </c>
      <c r="Q385" s="102">
        <v>5</v>
      </c>
      <c r="R385" s="102">
        <v>5</v>
      </c>
      <c r="S385" s="80" t="s">
        <v>1504</v>
      </c>
      <c r="T385" s="101"/>
      <c r="U385" s="80"/>
    </row>
    <row r="386" spans="1:21" ht="12.75">
      <c r="B386" s="42" t="s">
        <v>1774</v>
      </c>
      <c r="C386" s="42" t="s">
        <v>30</v>
      </c>
      <c r="D386" s="81" t="s">
        <v>763</v>
      </c>
      <c r="E386" s="80" t="s">
        <v>764</v>
      </c>
      <c r="F386" s="81">
        <v>3</v>
      </c>
      <c r="G386" s="81">
        <v>2</v>
      </c>
      <c r="H386" s="81">
        <v>5</v>
      </c>
      <c r="I386" s="101" t="s">
        <v>71</v>
      </c>
      <c r="J386" s="101" t="s">
        <v>71</v>
      </c>
      <c r="K386" s="80" t="s">
        <v>762</v>
      </c>
      <c r="L386" s="101" t="s">
        <v>1491</v>
      </c>
      <c r="M386" s="101" t="s">
        <v>1562</v>
      </c>
      <c r="N386" s="101">
        <v>1</v>
      </c>
      <c r="O386" s="101">
        <v>30</v>
      </c>
      <c r="P386" s="102">
        <v>30</v>
      </c>
      <c r="Q386" s="102">
        <v>5</v>
      </c>
      <c r="R386" s="102">
        <v>5</v>
      </c>
      <c r="S386" s="80" t="s">
        <v>1504</v>
      </c>
      <c r="T386" s="101"/>
      <c r="U386" s="80"/>
    </row>
    <row r="387" spans="1:21" ht="12.75">
      <c r="B387" s="42" t="s">
        <v>1774</v>
      </c>
      <c r="C387" s="42" t="s">
        <v>30</v>
      </c>
      <c r="D387" s="81" t="s">
        <v>252</v>
      </c>
      <c r="E387" s="80" t="s">
        <v>253</v>
      </c>
      <c r="F387" s="81">
        <v>3</v>
      </c>
      <c r="G387" s="81">
        <v>1</v>
      </c>
      <c r="H387" s="81">
        <v>4</v>
      </c>
      <c r="I387" s="101" t="s">
        <v>71</v>
      </c>
      <c r="J387" s="101" t="s">
        <v>71</v>
      </c>
      <c r="K387" s="80" t="s">
        <v>851</v>
      </c>
      <c r="L387" s="101" t="s">
        <v>1488</v>
      </c>
      <c r="M387" s="101" t="s">
        <v>1562</v>
      </c>
      <c r="N387" s="101">
        <v>1</v>
      </c>
      <c r="O387" s="101">
        <v>30</v>
      </c>
      <c r="P387" s="102">
        <v>30</v>
      </c>
      <c r="Q387" s="102">
        <v>4</v>
      </c>
      <c r="R387" s="102">
        <v>4</v>
      </c>
      <c r="S387" s="80" t="s">
        <v>1515</v>
      </c>
      <c r="T387" s="101"/>
      <c r="U387" s="80"/>
    </row>
    <row r="388" spans="1:21" ht="12.75">
      <c r="B388" s="42" t="s">
        <v>1774</v>
      </c>
      <c r="C388" s="42" t="s">
        <v>30</v>
      </c>
      <c r="D388" s="81" t="s">
        <v>252</v>
      </c>
      <c r="E388" s="80" t="s">
        <v>253</v>
      </c>
      <c r="F388" s="81">
        <v>3</v>
      </c>
      <c r="G388" s="81">
        <v>1</v>
      </c>
      <c r="H388" s="81">
        <v>4</v>
      </c>
      <c r="I388" s="101" t="s">
        <v>71</v>
      </c>
      <c r="J388" s="101" t="s">
        <v>71</v>
      </c>
      <c r="K388" s="80" t="s">
        <v>851</v>
      </c>
      <c r="L388" s="101" t="s">
        <v>1491</v>
      </c>
      <c r="M388" s="101" t="s">
        <v>1562</v>
      </c>
      <c r="N388" s="101">
        <v>1</v>
      </c>
      <c r="O388" s="101">
        <v>30</v>
      </c>
      <c r="P388" s="102">
        <v>30</v>
      </c>
      <c r="Q388" s="102">
        <v>4</v>
      </c>
      <c r="R388" s="102">
        <v>4</v>
      </c>
      <c r="S388" s="80"/>
      <c r="T388" s="101"/>
      <c r="U388" s="80"/>
    </row>
    <row r="389" spans="1:21" ht="12.75">
      <c r="B389" s="42" t="s">
        <v>1774</v>
      </c>
      <c r="C389" s="42" t="s">
        <v>30</v>
      </c>
      <c r="D389" s="81" t="s">
        <v>218</v>
      </c>
      <c r="E389" s="80" t="s">
        <v>219</v>
      </c>
      <c r="F389" s="81">
        <v>4</v>
      </c>
      <c r="G389" s="81">
        <v>0</v>
      </c>
      <c r="H389" s="81">
        <v>4</v>
      </c>
      <c r="I389" s="101" t="s">
        <v>71</v>
      </c>
      <c r="J389" s="101" t="s">
        <v>71</v>
      </c>
      <c r="K389" s="80" t="s">
        <v>163</v>
      </c>
      <c r="L389" s="101" t="s">
        <v>1488</v>
      </c>
      <c r="M389" s="101" t="s">
        <v>1562</v>
      </c>
      <c r="N389" s="101">
        <v>1</v>
      </c>
      <c r="O389" s="101">
        <v>60</v>
      </c>
      <c r="P389" s="102">
        <v>60</v>
      </c>
      <c r="Q389" s="102">
        <v>4</v>
      </c>
      <c r="R389" s="102">
        <v>4</v>
      </c>
      <c r="S389" s="80"/>
      <c r="T389" s="101"/>
      <c r="U389" s="80"/>
    </row>
    <row r="390" spans="1:21" ht="12.75">
      <c r="B390" s="42" t="s">
        <v>1774</v>
      </c>
      <c r="C390" s="42" t="s">
        <v>30</v>
      </c>
      <c r="D390" s="81" t="s">
        <v>218</v>
      </c>
      <c r="E390" s="80" t="s">
        <v>219</v>
      </c>
      <c r="F390" s="81">
        <v>4</v>
      </c>
      <c r="G390" s="81">
        <v>0</v>
      </c>
      <c r="H390" s="81">
        <v>4</v>
      </c>
      <c r="I390" s="101" t="s">
        <v>71</v>
      </c>
      <c r="J390" s="101" t="s">
        <v>71</v>
      </c>
      <c r="K390" s="80" t="s">
        <v>163</v>
      </c>
      <c r="L390" s="101" t="s">
        <v>1491</v>
      </c>
      <c r="M390" s="101" t="s">
        <v>1562</v>
      </c>
      <c r="N390" s="101">
        <v>1</v>
      </c>
      <c r="O390" s="101">
        <v>60</v>
      </c>
      <c r="P390" s="102">
        <v>60</v>
      </c>
      <c r="Q390" s="102">
        <v>4</v>
      </c>
      <c r="R390" s="102">
        <v>4</v>
      </c>
      <c r="S390" s="80"/>
      <c r="T390" s="101"/>
      <c r="U390" s="80"/>
    </row>
    <row r="391" spans="1:21" ht="12.75">
      <c r="B391" s="42" t="s">
        <v>1774</v>
      </c>
      <c r="C391" s="42" t="s">
        <v>30</v>
      </c>
      <c r="D391" s="81" t="s">
        <v>443</v>
      </c>
      <c r="E391" s="80" t="s">
        <v>444</v>
      </c>
      <c r="F391" s="81">
        <v>3</v>
      </c>
      <c r="G391" s="81">
        <v>1</v>
      </c>
      <c r="H391" s="81">
        <v>4</v>
      </c>
      <c r="I391" s="101" t="s">
        <v>71</v>
      </c>
      <c r="J391" s="101" t="s">
        <v>71</v>
      </c>
      <c r="K391" s="80" t="s">
        <v>445</v>
      </c>
      <c r="L391" s="101" t="s">
        <v>1488</v>
      </c>
      <c r="M391" s="101" t="s">
        <v>1562</v>
      </c>
      <c r="N391" s="101">
        <v>1</v>
      </c>
      <c r="O391" s="101">
        <v>30</v>
      </c>
      <c r="P391" s="102">
        <v>30</v>
      </c>
      <c r="Q391" s="102">
        <v>4</v>
      </c>
      <c r="R391" s="102">
        <v>4</v>
      </c>
      <c r="S391" s="80" t="s">
        <v>1504</v>
      </c>
      <c r="T391" s="101"/>
      <c r="U391" s="80"/>
    </row>
    <row r="392" spans="1:21" ht="12.75">
      <c r="B392" s="42" t="s">
        <v>1774</v>
      </c>
      <c r="C392" s="42" t="s">
        <v>30</v>
      </c>
      <c r="D392" s="81" t="s">
        <v>443</v>
      </c>
      <c r="E392" s="80" t="s">
        <v>444</v>
      </c>
      <c r="F392" s="81">
        <v>3</v>
      </c>
      <c r="G392" s="81">
        <v>1</v>
      </c>
      <c r="H392" s="81">
        <v>4</v>
      </c>
      <c r="I392" s="101" t="s">
        <v>71</v>
      </c>
      <c r="J392" s="101" t="s">
        <v>71</v>
      </c>
      <c r="K392" s="80" t="s">
        <v>445</v>
      </c>
      <c r="L392" s="101" t="s">
        <v>1491</v>
      </c>
      <c r="M392" s="101" t="s">
        <v>1562</v>
      </c>
      <c r="N392" s="101">
        <v>1</v>
      </c>
      <c r="O392" s="101">
        <v>30</v>
      </c>
      <c r="P392" s="102">
        <v>30</v>
      </c>
      <c r="Q392" s="102">
        <v>4</v>
      </c>
      <c r="R392" s="102">
        <v>4</v>
      </c>
      <c r="S392" s="80" t="s">
        <v>1504</v>
      </c>
      <c r="T392" s="101"/>
      <c r="U392" s="80"/>
    </row>
    <row r="393" spans="1:21" ht="12.75">
      <c r="B393" s="42" t="s">
        <v>1774</v>
      </c>
      <c r="C393" s="42" t="s">
        <v>30</v>
      </c>
      <c r="D393" s="81" t="s">
        <v>758</v>
      </c>
      <c r="E393" s="80" t="s">
        <v>759</v>
      </c>
      <c r="F393" s="81">
        <v>2</v>
      </c>
      <c r="G393" s="81">
        <v>2</v>
      </c>
      <c r="H393" s="81">
        <v>4</v>
      </c>
      <c r="I393" s="101" t="s">
        <v>73</v>
      </c>
      <c r="J393" s="101" t="s">
        <v>73</v>
      </c>
      <c r="K393" s="80" t="s">
        <v>760</v>
      </c>
      <c r="L393" s="101" t="s">
        <v>1488</v>
      </c>
      <c r="M393" s="101" t="s">
        <v>1562</v>
      </c>
      <c r="N393" s="101">
        <v>1</v>
      </c>
      <c r="O393" s="101">
        <v>30</v>
      </c>
      <c r="P393" s="102">
        <v>30</v>
      </c>
      <c r="Q393" s="102">
        <v>4</v>
      </c>
      <c r="R393" s="102">
        <v>4</v>
      </c>
      <c r="S393" s="80" t="s">
        <v>1504</v>
      </c>
      <c r="T393" s="101"/>
      <c r="U393" s="80"/>
    </row>
    <row r="394" spans="1:21" ht="12.75">
      <c r="B394" s="42" t="s">
        <v>1774</v>
      </c>
      <c r="C394" s="42" t="s">
        <v>30</v>
      </c>
      <c r="D394" s="81" t="s">
        <v>1542</v>
      </c>
      <c r="E394" s="80" t="s">
        <v>1109</v>
      </c>
      <c r="F394" s="81">
        <v>3</v>
      </c>
      <c r="G394" s="81">
        <v>0</v>
      </c>
      <c r="H394" s="81">
        <v>4</v>
      </c>
      <c r="I394" s="101" t="s">
        <v>73</v>
      </c>
      <c r="J394" s="101" t="s">
        <v>73</v>
      </c>
      <c r="K394" s="80" t="s">
        <v>87</v>
      </c>
      <c r="L394" s="101" t="s">
        <v>1488</v>
      </c>
      <c r="M394" s="101" t="s">
        <v>1562</v>
      </c>
      <c r="N394" s="101">
        <v>1</v>
      </c>
      <c r="O394" s="101">
        <v>60</v>
      </c>
      <c r="P394" s="102">
        <v>60</v>
      </c>
      <c r="Q394" s="102">
        <v>3</v>
      </c>
      <c r="R394" s="102">
        <v>3</v>
      </c>
      <c r="S394" s="80"/>
      <c r="T394" s="101"/>
      <c r="U394" s="80"/>
    </row>
    <row r="395" spans="1:21" ht="12.75">
      <c r="B395" s="42" t="s">
        <v>1774</v>
      </c>
      <c r="C395" s="42" t="s">
        <v>30</v>
      </c>
      <c r="D395" s="81" t="s">
        <v>1542</v>
      </c>
      <c r="E395" s="80" t="s">
        <v>1109</v>
      </c>
      <c r="F395" s="81">
        <v>3</v>
      </c>
      <c r="G395" s="81">
        <v>0</v>
      </c>
      <c r="H395" s="81">
        <v>4</v>
      </c>
      <c r="I395" s="101" t="s">
        <v>73</v>
      </c>
      <c r="J395" s="101" t="s">
        <v>73</v>
      </c>
      <c r="K395" s="80" t="s">
        <v>87</v>
      </c>
      <c r="L395" s="101" t="s">
        <v>1491</v>
      </c>
      <c r="M395" s="101" t="s">
        <v>1562</v>
      </c>
      <c r="N395" s="101">
        <v>1</v>
      </c>
      <c r="O395" s="101">
        <v>60</v>
      </c>
      <c r="P395" s="102">
        <v>60</v>
      </c>
      <c r="Q395" s="102">
        <v>3</v>
      </c>
      <c r="R395" s="102">
        <v>3</v>
      </c>
      <c r="S395" s="80"/>
      <c r="T395" s="101"/>
      <c r="U395" s="80"/>
    </row>
    <row r="396" spans="1:21" ht="12.75">
      <c r="A396" s="1" t="s">
        <v>1672</v>
      </c>
      <c r="B396" s="42" t="s">
        <v>1774</v>
      </c>
      <c r="C396" s="42" t="s">
        <v>30</v>
      </c>
      <c r="D396" s="81" t="s">
        <v>548</v>
      </c>
      <c r="E396" s="80" t="s">
        <v>549</v>
      </c>
      <c r="F396" s="81">
        <v>2</v>
      </c>
      <c r="G396" s="81">
        <v>0</v>
      </c>
      <c r="H396" s="81">
        <v>3</v>
      </c>
      <c r="I396" s="101" t="s">
        <v>1511</v>
      </c>
      <c r="J396" s="101" t="s">
        <v>1511</v>
      </c>
      <c r="K396" s="80" t="s">
        <v>76</v>
      </c>
      <c r="L396" s="101" t="s">
        <v>1488</v>
      </c>
      <c r="M396" s="101" t="s">
        <v>1562</v>
      </c>
      <c r="N396" s="101">
        <v>1</v>
      </c>
      <c r="O396" s="101">
        <v>60</v>
      </c>
      <c r="P396" s="102">
        <v>60</v>
      </c>
      <c r="Q396" s="102">
        <v>2</v>
      </c>
      <c r="R396" s="102">
        <v>2</v>
      </c>
      <c r="S396" s="80"/>
      <c r="T396" s="101"/>
      <c r="U396" s="80"/>
    </row>
    <row r="397" spans="1:21" ht="12.75">
      <c r="A397" s="1" t="s">
        <v>1672</v>
      </c>
      <c r="B397" s="42" t="s">
        <v>1774</v>
      </c>
      <c r="C397" s="42" t="s">
        <v>30</v>
      </c>
      <c r="D397" s="81" t="s">
        <v>548</v>
      </c>
      <c r="E397" s="80" t="s">
        <v>549</v>
      </c>
      <c r="F397" s="81">
        <v>2</v>
      </c>
      <c r="G397" s="81">
        <v>0</v>
      </c>
      <c r="H397" s="81">
        <v>3</v>
      </c>
      <c r="I397" s="101" t="s">
        <v>1511</v>
      </c>
      <c r="J397" s="101" t="s">
        <v>1511</v>
      </c>
      <c r="K397" s="80" t="s">
        <v>76</v>
      </c>
      <c r="L397" s="101" t="s">
        <v>1491</v>
      </c>
      <c r="M397" s="101" t="s">
        <v>1562</v>
      </c>
      <c r="N397" s="101">
        <v>1</v>
      </c>
      <c r="O397" s="101">
        <v>60</v>
      </c>
      <c r="P397" s="102">
        <v>60</v>
      </c>
      <c r="Q397" s="102">
        <v>2</v>
      </c>
      <c r="R397" s="102">
        <v>2</v>
      </c>
      <c r="S397" s="80"/>
      <c r="T397" s="101"/>
      <c r="U397" s="80"/>
    </row>
    <row r="398" spans="1:21" ht="12.75">
      <c r="B398" s="42" t="s">
        <v>1774</v>
      </c>
      <c r="C398" s="42" t="s">
        <v>30</v>
      </c>
      <c r="D398" s="81" t="s">
        <v>782</v>
      </c>
      <c r="E398" s="80" t="s">
        <v>783</v>
      </c>
      <c r="F398" s="81">
        <v>3</v>
      </c>
      <c r="G398" s="81">
        <v>1</v>
      </c>
      <c r="H398" s="81">
        <v>4</v>
      </c>
      <c r="I398" s="101" t="s">
        <v>73</v>
      </c>
      <c r="J398" s="101" t="s">
        <v>73</v>
      </c>
      <c r="K398" s="80" t="s">
        <v>446</v>
      </c>
      <c r="L398" s="101" t="s">
        <v>1488</v>
      </c>
      <c r="M398" s="101" t="s">
        <v>1562</v>
      </c>
      <c r="N398" s="101">
        <v>1</v>
      </c>
      <c r="O398" s="101">
        <v>30</v>
      </c>
      <c r="P398" s="102">
        <v>30</v>
      </c>
      <c r="Q398" s="102">
        <v>4</v>
      </c>
      <c r="R398" s="102">
        <v>4</v>
      </c>
      <c r="S398" s="80" t="s">
        <v>1509</v>
      </c>
      <c r="T398" s="101"/>
      <c r="U398" s="80"/>
    </row>
    <row r="399" spans="1:21" ht="12.75">
      <c r="A399" s="1" t="s">
        <v>1672</v>
      </c>
      <c r="B399" s="42" t="s">
        <v>1774</v>
      </c>
      <c r="C399" s="42" t="s">
        <v>30</v>
      </c>
      <c r="D399" s="81" t="s">
        <v>1543</v>
      </c>
      <c r="E399" s="80" t="s">
        <v>176</v>
      </c>
      <c r="F399" s="81">
        <v>3</v>
      </c>
      <c r="G399" s="81">
        <v>0</v>
      </c>
      <c r="H399" s="81">
        <v>4</v>
      </c>
      <c r="I399" s="101" t="s">
        <v>73</v>
      </c>
      <c r="J399" s="101" t="s">
        <v>73</v>
      </c>
      <c r="K399" s="80" t="s">
        <v>140</v>
      </c>
      <c r="L399" s="101" t="s">
        <v>1488</v>
      </c>
      <c r="M399" s="101" t="s">
        <v>1562</v>
      </c>
      <c r="N399" s="101">
        <v>1</v>
      </c>
      <c r="O399" s="101">
        <v>30</v>
      </c>
      <c r="P399" s="102">
        <v>30</v>
      </c>
      <c r="Q399" s="102">
        <v>3</v>
      </c>
      <c r="R399" s="102">
        <v>3</v>
      </c>
      <c r="S399" s="80" t="s">
        <v>1509</v>
      </c>
      <c r="T399" s="101"/>
      <c r="U399" s="80"/>
    </row>
    <row r="400" spans="1:21" ht="12.75">
      <c r="B400" s="42" t="s">
        <v>1774</v>
      </c>
      <c r="C400" s="42" t="s">
        <v>30</v>
      </c>
      <c r="D400" s="81" t="s">
        <v>484</v>
      </c>
      <c r="E400" s="80" t="s">
        <v>485</v>
      </c>
      <c r="F400" s="81">
        <v>0</v>
      </c>
      <c r="G400" s="81">
        <v>7</v>
      </c>
      <c r="H400" s="81">
        <v>0</v>
      </c>
      <c r="I400" s="101" t="s">
        <v>71</v>
      </c>
      <c r="J400" s="101" t="s">
        <v>71</v>
      </c>
      <c r="K400" s="80" t="s">
        <v>76</v>
      </c>
      <c r="L400" s="101"/>
      <c r="M400" s="101" t="s">
        <v>1562</v>
      </c>
      <c r="N400" s="101"/>
      <c r="O400" s="101"/>
      <c r="P400" s="102">
        <v>60</v>
      </c>
      <c r="Q400" s="102">
        <v>3</v>
      </c>
      <c r="R400" s="102">
        <v>3</v>
      </c>
      <c r="S400" s="80"/>
      <c r="T400" s="101"/>
      <c r="U400" s="80"/>
    </row>
    <row r="401" spans="2:21" ht="12.75">
      <c r="B401" s="42" t="s">
        <v>1774</v>
      </c>
      <c r="C401" s="42" t="s">
        <v>30</v>
      </c>
      <c r="D401" s="81" t="s">
        <v>488</v>
      </c>
      <c r="E401" s="80" t="s">
        <v>489</v>
      </c>
      <c r="F401" s="81">
        <v>0</v>
      </c>
      <c r="G401" s="81">
        <v>7</v>
      </c>
      <c r="H401" s="81">
        <v>0</v>
      </c>
      <c r="I401" s="101" t="s">
        <v>71</v>
      </c>
      <c r="J401" s="101" t="s">
        <v>71</v>
      </c>
      <c r="K401" s="80" t="s">
        <v>485</v>
      </c>
      <c r="L401" s="101"/>
      <c r="M401" s="101" t="s">
        <v>1562</v>
      </c>
      <c r="N401" s="101"/>
      <c r="O401" s="101"/>
      <c r="P401" s="102">
        <v>60</v>
      </c>
      <c r="Q401" s="102">
        <v>3</v>
      </c>
      <c r="R401" s="102">
        <v>3</v>
      </c>
      <c r="S401" s="80"/>
      <c r="T401" s="101"/>
      <c r="U401" s="80"/>
    </row>
    <row r="402" spans="2:21" ht="12.75">
      <c r="B402" s="42" t="s">
        <v>1774</v>
      </c>
      <c r="C402" s="42" t="s">
        <v>30</v>
      </c>
      <c r="D402" s="81" t="s">
        <v>1342</v>
      </c>
      <c r="E402" s="80" t="s">
        <v>1343</v>
      </c>
      <c r="F402" s="81">
        <v>0</v>
      </c>
      <c r="G402" s="81">
        <v>2</v>
      </c>
      <c r="H402" s="81">
        <v>4</v>
      </c>
      <c r="I402" s="101" t="s">
        <v>71</v>
      </c>
      <c r="J402" s="101" t="s">
        <v>71</v>
      </c>
      <c r="K402" s="80" t="e">
        <v>#N/A</v>
      </c>
      <c r="L402" s="101"/>
      <c r="M402" s="101" t="s">
        <v>1562</v>
      </c>
      <c r="N402" s="101"/>
      <c r="O402" s="101"/>
      <c r="P402" s="102">
        <v>60</v>
      </c>
      <c r="Q402" s="102">
        <v>3</v>
      </c>
      <c r="R402" s="102">
        <v>3</v>
      </c>
      <c r="S402" s="80"/>
      <c r="T402" s="101"/>
      <c r="U402" s="80"/>
    </row>
    <row r="403" spans="2:21" ht="12.75">
      <c r="B403" s="42" t="s">
        <v>1774</v>
      </c>
      <c r="C403" s="42" t="s">
        <v>30</v>
      </c>
      <c r="D403" s="81" t="s">
        <v>1346</v>
      </c>
      <c r="E403" s="80" t="s">
        <v>1347</v>
      </c>
      <c r="F403" s="81">
        <v>0</v>
      </c>
      <c r="G403" s="81">
        <v>2</v>
      </c>
      <c r="H403" s="81">
        <v>4</v>
      </c>
      <c r="I403" s="101" t="s">
        <v>71</v>
      </c>
      <c r="J403" s="101" t="s">
        <v>71</v>
      </c>
      <c r="K403" s="80" t="s">
        <v>1343</v>
      </c>
      <c r="L403" s="101"/>
      <c r="M403" s="101" t="s">
        <v>1562</v>
      </c>
      <c r="N403" s="101"/>
      <c r="O403" s="101"/>
      <c r="P403" s="102">
        <v>60</v>
      </c>
      <c r="Q403" s="102">
        <v>3</v>
      </c>
      <c r="R403" s="102">
        <v>3</v>
      </c>
      <c r="S403" s="80"/>
      <c r="T403" s="101"/>
      <c r="U403" s="80"/>
    </row>
    <row r="404" spans="2:21" ht="12.75">
      <c r="B404" s="42" t="s">
        <v>1774</v>
      </c>
      <c r="C404" s="42" t="s">
        <v>30</v>
      </c>
      <c r="D404" s="81" t="s">
        <v>1350</v>
      </c>
      <c r="E404" s="80" t="s">
        <v>1351</v>
      </c>
      <c r="F404" s="81">
        <v>0</v>
      </c>
      <c r="G404" s="81">
        <v>2</v>
      </c>
      <c r="H404" s="81">
        <v>4</v>
      </c>
      <c r="I404" s="101" t="s">
        <v>71</v>
      </c>
      <c r="J404" s="101" t="s">
        <v>71</v>
      </c>
      <c r="K404" s="80" t="s">
        <v>1347</v>
      </c>
      <c r="L404" s="101"/>
      <c r="M404" s="101" t="s">
        <v>1562</v>
      </c>
      <c r="N404" s="101"/>
      <c r="O404" s="101"/>
      <c r="P404" s="102">
        <v>60</v>
      </c>
      <c r="Q404" s="102">
        <v>3</v>
      </c>
      <c r="R404" s="102">
        <v>3</v>
      </c>
      <c r="S404" s="80"/>
      <c r="T404" s="101"/>
      <c r="U404" s="80"/>
    </row>
    <row r="405" spans="2:21" ht="12.75">
      <c r="B405" s="49" t="s">
        <v>1775</v>
      </c>
      <c r="C405" s="49" t="s">
        <v>31</v>
      </c>
      <c r="D405" s="81" t="s">
        <v>1587</v>
      </c>
      <c r="E405" s="80" t="s">
        <v>429</v>
      </c>
      <c r="F405" s="81">
        <v>4</v>
      </c>
      <c r="G405" s="81">
        <v>0</v>
      </c>
      <c r="H405" s="81">
        <v>5</v>
      </c>
      <c r="I405" s="101" t="s">
        <v>71</v>
      </c>
      <c r="J405" s="101" t="s">
        <v>71</v>
      </c>
      <c r="K405" s="80" t="s">
        <v>72</v>
      </c>
      <c r="L405" s="101" t="s">
        <v>1491</v>
      </c>
      <c r="M405" s="101" t="s">
        <v>1562</v>
      </c>
      <c r="N405" s="101">
        <v>1</v>
      </c>
      <c r="O405" s="101">
        <v>60</v>
      </c>
      <c r="P405" s="102">
        <v>60</v>
      </c>
      <c r="Q405" s="102">
        <v>4</v>
      </c>
      <c r="R405" s="102">
        <v>4</v>
      </c>
      <c r="S405" s="80"/>
      <c r="T405" s="101"/>
      <c r="U405" s="80"/>
    </row>
    <row r="406" spans="2:21" ht="12.75">
      <c r="B406" s="49" t="s">
        <v>1775</v>
      </c>
      <c r="C406" s="49" t="s">
        <v>31</v>
      </c>
      <c r="D406" s="81" t="s">
        <v>842</v>
      </c>
      <c r="E406" s="80" t="s">
        <v>68</v>
      </c>
      <c r="F406" s="81">
        <v>3</v>
      </c>
      <c r="G406" s="81">
        <v>2</v>
      </c>
      <c r="H406" s="81">
        <v>4</v>
      </c>
      <c r="I406" s="101" t="s">
        <v>71</v>
      </c>
      <c r="J406" s="101" t="s">
        <v>71</v>
      </c>
      <c r="K406" s="80" t="s">
        <v>655</v>
      </c>
      <c r="L406" s="101" t="s">
        <v>1491</v>
      </c>
      <c r="M406" s="101" t="s">
        <v>1562</v>
      </c>
      <c r="N406" s="101">
        <v>2</v>
      </c>
      <c r="O406" s="101">
        <v>30</v>
      </c>
      <c r="P406" s="102">
        <v>60</v>
      </c>
      <c r="Q406" s="102">
        <v>10</v>
      </c>
      <c r="R406" s="102">
        <v>10</v>
      </c>
      <c r="S406" s="80"/>
      <c r="T406" s="101"/>
      <c r="U406" s="80"/>
    </row>
    <row r="407" spans="2:21" ht="12.75">
      <c r="B407" s="49" t="s">
        <v>1775</v>
      </c>
      <c r="C407" s="49" t="s">
        <v>31</v>
      </c>
      <c r="D407" s="81" t="s">
        <v>1588</v>
      </c>
      <c r="E407" s="80" t="s">
        <v>117</v>
      </c>
      <c r="F407" s="81">
        <v>3</v>
      </c>
      <c r="G407" s="81">
        <v>1</v>
      </c>
      <c r="H407" s="81">
        <v>5</v>
      </c>
      <c r="I407" s="101" t="s">
        <v>71</v>
      </c>
      <c r="J407" s="101" t="s">
        <v>71</v>
      </c>
      <c r="K407" s="80" t="s">
        <v>265</v>
      </c>
      <c r="L407" s="101" t="s">
        <v>1491</v>
      </c>
      <c r="M407" s="101" t="s">
        <v>1562</v>
      </c>
      <c r="N407" s="101">
        <v>1</v>
      </c>
      <c r="O407" s="101">
        <v>60</v>
      </c>
      <c r="P407" s="102">
        <v>60</v>
      </c>
      <c r="Q407" s="102">
        <v>4</v>
      </c>
      <c r="R407" s="102">
        <v>4</v>
      </c>
      <c r="S407" s="80"/>
      <c r="T407" s="101"/>
      <c r="U407" s="80"/>
    </row>
    <row r="408" spans="2:21" ht="12.75">
      <c r="B408" s="49" t="s">
        <v>1775</v>
      </c>
      <c r="C408" s="49" t="s">
        <v>31</v>
      </c>
      <c r="D408" s="81" t="s">
        <v>1589</v>
      </c>
      <c r="E408" s="80" t="s">
        <v>389</v>
      </c>
      <c r="F408" s="81">
        <v>2</v>
      </c>
      <c r="G408" s="81">
        <v>0</v>
      </c>
      <c r="H408" s="81">
        <v>4</v>
      </c>
      <c r="I408" s="101" t="s">
        <v>71</v>
      </c>
      <c r="J408" s="101" t="s">
        <v>71</v>
      </c>
      <c r="K408" s="80" t="s">
        <v>72</v>
      </c>
      <c r="L408" s="101" t="s">
        <v>1491</v>
      </c>
      <c r="M408" s="101" t="s">
        <v>1562</v>
      </c>
      <c r="N408" s="101">
        <v>1</v>
      </c>
      <c r="O408" s="101">
        <v>60</v>
      </c>
      <c r="P408" s="102">
        <v>60</v>
      </c>
      <c r="Q408" s="102">
        <v>2</v>
      </c>
      <c r="R408" s="102">
        <v>2</v>
      </c>
      <c r="S408" s="80"/>
      <c r="T408" s="101"/>
      <c r="U408" s="80"/>
    </row>
    <row r="409" spans="2:21" ht="12.75">
      <c r="B409" s="49" t="s">
        <v>1775</v>
      </c>
      <c r="C409" s="49" t="s">
        <v>31</v>
      </c>
      <c r="D409" s="81" t="s">
        <v>1355</v>
      </c>
      <c r="E409" s="80" t="s">
        <v>1356</v>
      </c>
      <c r="F409" s="81">
        <v>3</v>
      </c>
      <c r="G409" s="81">
        <v>1</v>
      </c>
      <c r="H409" s="81">
        <v>4</v>
      </c>
      <c r="I409" s="101" t="s">
        <v>71</v>
      </c>
      <c r="J409" s="101" t="s">
        <v>71</v>
      </c>
      <c r="K409" s="80" t="s">
        <v>1357</v>
      </c>
      <c r="L409" s="101" t="s">
        <v>1491</v>
      </c>
      <c r="M409" s="101" t="s">
        <v>1562</v>
      </c>
      <c r="N409" s="101">
        <v>1</v>
      </c>
      <c r="O409" s="101">
        <v>60</v>
      </c>
      <c r="P409" s="102">
        <v>60</v>
      </c>
      <c r="Q409" s="102">
        <v>4</v>
      </c>
      <c r="R409" s="102">
        <v>4</v>
      </c>
      <c r="S409" s="80"/>
      <c r="T409" s="101"/>
      <c r="U409" s="80"/>
    </row>
    <row r="410" spans="2:21" ht="12.75">
      <c r="B410" s="49" t="s">
        <v>1775</v>
      </c>
      <c r="C410" s="49" t="s">
        <v>31</v>
      </c>
      <c r="D410" s="81" t="s">
        <v>1590</v>
      </c>
      <c r="E410" s="80" t="s">
        <v>240</v>
      </c>
      <c r="F410" s="81">
        <v>3</v>
      </c>
      <c r="G410" s="81">
        <v>2</v>
      </c>
      <c r="H410" s="81">
        <v>4</v>
      </c>
      <c r="I410" s="101" t="s">
        <v>71</v>
      </c>
      <c r="J410" s="101" t="s">
        <v>71</v>
      </c>
      <c r="K410" s="80" t="s">
        <v>941</v>
      </c>
      <c r="L410" s="101" t="s">
        <v>1491</v>
      </c>
      <c r="M410" s="101" t="s">
        <v>1562</v>
      </c>
      <c r="N410" s="101">
        <v>2</v>
      </c>
      <c r="O410" s="101">
        <v>30</v>
      </c>
      <c r="P410" s="102">
        <v>60</v>
      </c>
      <c r="Q410" s="102">
        <v>10</v>
      </c>
      <c r="R410" s="102">
        <v>10</v>
      </c>
      <c r="S410" s="80"/>
      <c r="T410" s="101"/>
      <c r="U410" s="80"/>
    </row>
    <row r="411" spans="2:21" ht="12.75">
      <c r="B411" s="49" t="s">
        <v>1775</v>
      </c>
      <c r="C411" s="49" t="s">
        <v>31</v>
      </c>
      <c r="D411" s="81" t="s">
        <v>617</v>
      </c>
      <c r="E411" s="80" t="s">
        <v>618</v>
      </c>
      <c r="F411" s="81">
        <v>4</v>
      </c>
      <c r="G411" s="81">
        <v>0</v>
      </c>
      <c r="H411" s="81">
        <v>4</v>
      </c>
      <c r="I411" s="101" t="s">
        <v>71</v>
      </c>
      <c r="J411" s="101" t="s">
        <v>71</v>
      </c>
      <c r="K411" s="80" t="s">
        <v>72</v>
      </c>
      <c r="L411" s="101" t="s">
        <v>1488</v>
      </c>
      <c r="M411" s="101" t="s">
        <v>1562</v>
      </c>
      <c r="N411" s="101">
        <v>1</v>
      </c>
      <c r="O411" s="101">
        <v>60</v>
      </c>
      <c r="P411" s="102">
        <v>60</v>
      </c>
      <c r="Q411" s="102">
        <v>4</v>
      </c>
      <c r="R411" s="102">
        <v>4</v>
      </c>
      <c r="S411" s="80"/>
      <c r="T411" s="101"/>
      <c r="U411" s="80"/>
    </row>
    <row r="412" spans="2:21" ht="12.75">
      <c r="B412" s="49" t="s">
        <v>1775</v>
      </c>
      <c r="C412" s="49" t="s">
        <v>31</v>
      </c>
      <c r="D412" s="81" t="s">
        <v>1582</v>
      </c>
      <c r="E412" s="80" t="s">
        <v>941</v>
      </c>
      <c r="F412" s="81">
        <v>3</v>
      </c>
      <c r="G412" s="81">
        <v>1</v>
      </c>
      <c r="H412" s="81">
        <v>5</v>
      </c>
      <c r="I412" s="101" t="s">
        <v>71</v>
      </c>
      <c r="J412" s="101" t="s">
        <v>71</v>
      </c>
      <c r="K412" s="80" t="s">
        <v>1308</v>
      </c>
      <c r="L412" s="101" t="s">
        <v>1488</v>
      </c>
      <c r="M412" s="101" t="s">
        <v>1562</v>
      </c>
      <c r="N412" s="101">
        <v>1</v>
      </c>
      <c r="O412" s="101">
        <v>60</v>
      </c>
      <c r="P412" s="102">
        <v>60</v>
      </c>
      <c r="Q412" s="102">
        <v>4</v>
      </c>
      <c r="R412" s="102">
        <v>4</v>
      </c>
      <c r="S412" s="80"/>
      <c r="T412" s="101"/>
      <c r="U412" s="80"/>
    </row>
    <row r="413" spans="2:21" ht="12.75">
      <c r="B413" s="49" t="s">
        <v>1775</v>
      </c>
      <c r="C413" s="49" t="s">
        <v>31</v>
      </c>
      <c r="D413" s="81" t="s">
        <v>654</v>
      </c>
      <c r="E413" s="80" t="s">
        <v>655</v>
      </c>
      <c r="F413" s="81">
        <v>2</v>
      </c>
      <c r="G413" s="81">
        <v>2</v>
      </c>
      <c r="H413" s="81">
        <v>5</v>
      </c>
      <c r="I413" s="101" t="s">
        <v>71</v>
      </c>
      <c r="J413" s="101" t="s">
        <v>71</v>
      </c>
      <c r="K413" s="80" t="s">
        <v>265</v>
      </c>
      <c r="L413" s="101" t="s">
        <v>1488</v>
      </c>
      <c r="M413" s="101" t="s">
        <v>1562</v>
      </c>
      <c r="N413" s="101">
        <v>1</v>
      </c>
      <c r="O413" s="101">
        <v>60</v>
      </c>
      <c r="P413" s="102">
        <v>60</v>
      </c>
      <c r="Q413" s="102">
        <v>4</v>
      </c>
      <c r="R413" s="102">
        <v>4</v>
      </c>
      <c r="S413" s="80" t="s">
        <v>1583</v>
      </c>
      <c r="T413" s="101" t="s">
        <v>1564</v>
      </c>
      <c r="U413" s="80"/>
    </row>
    <row r="414" spans="2:21" ht="12.75">
      <c r="B414" s="49" t="s">
        <v>1775</v>
      </c>
      <c r="C414" s="49" t="s">
        <v>31</v>
      </c>
      <c r="D414" s="81" t="s">
        <v>756</v>
      </c>
      <c r="E414" s="80" t="s">
        <v>757</v>
      </c>
      <c r="F414" s="81">
        <v>2</v>
      </c>
      <c r="G414" s="81">
        <v>2</v>
      </c>
      <c r="H414" s="81">
        <v>4</v>
      </c>
      <c r="I414" s="101" t="s">
        <v>71</v>
      </c>
      <c r="J414" s="101" t="s">
        <v>71</v>
      </c>
      <c r="K414" s="80" t="s">
        <v>265</v>
      </c>
      <c r="L414" s="101" t="s">
        <v>1488</v>
      </c>
      <c r="M414" s="101" t="s">
        <v>1562</v>
      </c>
      <c r="N414" s="101">
        <v>1</v>
      </c>
      <c r="O414" s="101">
        <v>60</v>
      </c>
      <c r="P414" s="102">
        <v>60</v>
      </c>
      <c r="Q414" s="102">
        <v>4</v>
      </c>
      <c r="R414" s="102">
        <v>4</v>
      </c>
      <c r="S414" s="80" t="s">
        <v>1583</v>
      </c>
      <c r="T414" s="101" t="s">
        <v>1564</v>
      </c>
      <c r="U414" s="80"/>
    </row>
    <row r="415" spans="2:21" ht="12.75">
      <c r="B415" s="49" t="s">
        <v>1775</v>
      </c>
      <c r="C415" s="49" t="s">
        <v>31</v>
      </c>
      <c r="D415" s="81" t="s">
        <v>654</v>
      </c>
      <c r="E415" s="80" t="s">
        <v>655</v>
      </c>
      <c r="F415" s="81">
        <v>2</v>
      </c>
      <c r="G415" s="81">
        <v>2</v>
      </c>
      <c r="H415" s="81">
        <v>5</v>
      </c>
      <c r="I415" s="101" t="s">
        <v>71</v>
      </c>
      <c r="J415" s="101" t="s">
        <v>71</v>
      </c>
      <c r="K415" s="80" t="s">
        <v>265</v>
      </c>
      <c r="L415" s="101" t="s">
        <v>1491</v>
      </c>
      <c r="M415" s="101" t="s">
        <v>1562</v>
      </c>
      <c r="N415" s="101">
        <v>1</v>
      </c>
      <c r="O415" s="101"/>
      <c r="P415" s="102">
        <v>30</v>
      </c>
      <c r="Q415" s="102">
        <v>4</v>
      </c>
      <c r="R415" s="102">
        <v>4</v>
      </c>
      <c r="S415" s="80"/>
      <c r="T415" s="101"/>
      <c r="U415" s="80"/>
    </row>
    <row r="416" spans="2:21" ht="12.75">
      <c r="B416" s="49" t="s">
        <v>1775</v>
      </c>
      <c r="C416" s="49" t="s">
        <v>31</v>
      </c>
      <c r="D416" s="81" t="s">
        <v>756</v>
      </c>
      <c r="E416" s="80" t="s">
        <v>757</v>
      </c>
      <c r="F416" s="81">
        <v>2</v>
      </c>
      <c r="G416" s="81">
        <v>2</v>
      </c>
      <c r="H416" s="81">
        <v>4</v>
      </c>
      <c r="I416" s="101" t="s">
        <v>71</v>
      </c>
      <c r="J416" s="101" t="s">
        <v>71</v>
      </c>
      <c r="K416" s="80" t="s">
        <v>265</v>
      </c>
      <c r="L416" s="101" t="s">
        <v>1491</v>
      </c>
      <c r="M416" s="101" t="s">
        <v>1562</v>
      </c>
      <c r="N416" s="101">
        <v>1</v>
      </c>
      <c r="O416" s="101"/>
      <c r="P416" s="102">
        <v>30</v>
      </c>
      <c r="Q416" s="102">
        <v>4</v>
      </c>
      <c r="R416" s="102">
        <v>4</v>
      </c>
      <c r="S416" s="80"/>
      <c r="T416" s="101"/>
      <c r="U416" s="80"/>
    </row>
    <row r="417" spans="2:21" ht="12.75">
      <c r="B417" s="49" t="s">
        <v>1775</v>
      </c>
      <c r="C417" s="49" t="s">
        <v>31</v>
      </c>
      <c r="D417" s="81" t="s">
        <v>266</v>
      </c>
      <c r="E417" s="80" t="s">
        <v>267</v>
      </c>
      <c r="F417" s="81">
        <v>3</v>
      </c>
      <c r="G417" s="81">
        <v>2</v>
      </c>
      <c r="H417" s="81">
        <v>4</v>
      </c>
      <c r="I417" s="101" t="s">
        <v>71</v>
      </c>
      <c r="J417" s="101" t="s">
        <v>71</v>
      </c>
      <c r="K417" s="80" t="s">
        <v>265</v>
      </c>
      <c r="L417" s="101" t="s">
        <v>1488</v>
      </c>
      <c r="M417" s="101" t="s">
        <v>1562</v>
      </c>
      <c r="N417" s="101">
        <v>1</v>
      </c>
      <c r="O417" s="101"/>
      <c r="P417" s="102">
        <v>30</v>
      </c>
      <c r="Q417" s="102">
        <v>5</v>
      </c>
      <c r="R417" s="102">
        <v>5</v>
      </c>
      <c r="S417" s="80"/>
      <c r="T417" s="101"/>
      <c r="U417" s="80"/>
    </row>
    <row r="418" spans="2:21" ht="12.75">
      <c r="B418" s="49" t="s">
        <v>1775</v>
      </c>
      <c r="C418" s="49" t="s">
        <v>31</v>
      </c>
      <c r="D418" s="81" t="s">
        <v>1585</v>
      </c>
      <c r="E418" s="80" t="s">
        <v>1586</v>
      </c>
      <c r="F418" s="81">
        <v>4</v>
      </c>
      <c r="G418" s="81">
        <v>0</v>
      </c>
      <c r="H418" s="81">
        <v>4</v>
      </c>
      <c r="I418" s="101" t="s">
        <v>73</v>
      </c>
      <c r="J418" s="101" t="s">
        <v>73</v>
      </c>
      <c r="K418" s="80"/>
      <c r="L418" s="101" t="s">
        <v>1488</v>
      </c>
      <c r="M418" s="101" t="s">
        <v>1562</v>
      </c>
      <c r="N418" s="101">
        <v>3</v>
      </c>
      <c r="O418" s="101">
        <v>30</v>
      </c>
      <c r="P418" s="102">
        <v>90</v>
      </c>
      <c r="Q418" s="102">
        <v>12</v>
      </c>
      <c r="R418" s="102">
        <v>12</v>
      </c>
      <c r="S418" s="80"/>
      <c r="T418" s="101"/>
      <c r="U418" s="80"/>
    </row>
    <row r="419" spans="2:21" ht="12.75">
      <c r="B419" s="49" t="s">
        <v>1775</v>
      </c>
      <c r="C419" s="49" t="s">
        <v>31</v>
      </c>
      <c r="D419" s="81" t="s">
        <v>1585</v>
      </c>
      <c r="E419" s="80" t="s">
        <v>1586</v>
      </c>
      <c r="F419" s="81">
        <v>4</v>
      </c>
      <c r="G419" s="81">
        <v>0</v>
      </c>
      <c r="H419" s="81">
        <v>4</v>
      </c>
      <c r="I419" s="101" t="s">
        <v>73</v>
      </c>
      <c r="J419" s="101" t="s">
        <v>73</v>
      </c>
      <c r="K419" s="80"/>
      <c r="L419" s="101" t="s">
        <v>1491</v>
      </c>
      <c r="M419" s="101" t="s">
        <v>1562</v>
      </c>
      <c r="N419" s="101">
        <v>4</v>
      </c>
      <c r="O419" s="101">
        <v>30</v>
      </c>
      <c r="P419" s="102">
        <v>120</v>
      </c>
      <c r="Q419" s="102">
        <v>16</v>
      </c>
      <c r="R419" s="102">
        <v>16</v>
      </c>
      <c r="S419" s="80"/>
      <c r="T419" s="101"/>
      <c r="U419" s="80"/>
    </row>
    <row r="420" spans="2:21" ht="12.75">
      <c r="B420" s="48" t="s">
        <v>1776</v>
      </c>
      <c r="C420" s="48" t="s">
        <v>32</v>
      </c>
      <c r="D420" s="81" t="s">
        <v>1220</v>
      </c>
      <c r="E420" s="80" t="s">
        <v>149</v>
      </c>
      <c r="F420" s="81">
        <v>3</v>
      </c>
      <c r="G420" s="81">
        <v>1</v>
      </c>
      <c r="H420" s="81">
        <v>4</v>
      </c>
      <c r="I420" s="101" t="s">
        <v>71</v>
      </c>
      <c r="J420" s="101" t="s">
        <v>71</v>
      </c>
      <c r="K420" s="80" t="s">
        <v>237</v>
      </c>
      <c r="L420" s="101" t="s">
        <v>1491</v>
      </c>
      <c r="M420" s="101" t="s">
        <v>1562</v>
      </c>
      <c r="N420" s="101">
        <v>1</v>
      </c>
      <c r="O420" s="101">
        <v>30</v>
      </c>
      <c r="P420" s="102">
        <v>30</v>
      </c>
      <c r="Q420" s="102">
        <v>4</v>
      </c>
      <c r="R420" s="102">
        <v>4</v>
      </c>
      <c r="S420" s="80" t="s">
        <v>1552</v>
      </c>
      <c r="T420" s="101"/>
      <c r="U420" s="80"/>
    </row>
    <row r="421" spans="2:21" ht="12.75">
      <c r="B421" s="48" t="s">
        <v>1776</v>
      </c>
      <c r="C421" s="48" t="s">
        <v>32</v>
      </c>
      <c r="D421" s="81" t="s">
        <v>996</v>
      </c>
      <c r="E421" s="80" t="s">
        <v>106</v>
      </c>
      <c r="F421" s="81">
        <v>4</v>
      </c>
      <c r="G421" s="81">
        <v>2</v>
      </c>
      <c r="H421" s="81">
        <v>9</v>
      </c>
      <c r="I421" s="101" t="s">
        <v>71</v>
      </c>
      <c r="J421" s="101" t="s">
        <v>71</v>
      </c>
      <c r="K421" s="80" t="s">
        <v>1551</v>
      </c>
      <c r="L421" s="101" t="s">
        <v>1491</v>
      </c>
      <c r="M421" s="101" t="s">
        <v>1562</v>
      </c>
      <c r="N421" s="101">
        <v>1</v>
      </c>
      <c r="O421" s="101">
        <v>63</v>
      </c>
      <c r="P421" s="102">
        <v>63</v>
      </c>
      <c r="Q421" s="102">
        <v>6</v>
      </c>
      <c r="R421" s="102">
        <v>6</v>
      </c>
      <c r="S421" s="80"/>
      <c r="T421" s="101"/>
      <c r="U421" s="80"/>
    </row>
    <row r="422" spans="2:21" ht="12.75">
      <c r="B422" s="48" t="s">
        <v>1776</v>
      </c>
      <c r="C422" s="48" t="s">
        <v>32</v>
      </c>
      <c r="D422" s="81" t="s">
        <v>688</v>
      </c>
      <c r="E422" s="80" t="s">
        <v>346</v>
      </c>
      <c r="F422" s="81">
        <v>4</v>
      </c>
      <c r="G422" s="81">
        <v>0</v>
      </c>
      <c r="H422" s="81">
        <v>5</v>
      </c>
      <c r="I422" s="101" t="s">
        <v>71</v>
      </c>
      <c r="J422" s="101" t="s">
        <v>71</v>
      </c>
      <c r="K422" s="80" t="s">
        <v>459</v>
      </c>
      <c r="L422" s="101" t="s">
        <v>1491</v>
      </c>
      <c r="M422" s="101" t="s">
        <v>1562</v>
      </c>
      <c r="N422" s="101">
        <v>1</v>
      </c>
      <c r="O422" s="101">
        <v>63</v>
      </c>
      <c r="P422" s="102">
        <v>63</v>
      </c>
      <c r="Q422" s="102">
        <v>4</v>
      </c>
      <c r="R422" s="102">
        <v>4</v>
      </c>
      <c r="S422" s="80"/>
      <c r="T422" s="101"/>
      <c r="U422" s="80"/>
    </row>
    <row r="423" spans="2:21" ht="12.75">
      <c r="B423" s="48" t="s">
        <v>1776</v>
      </c>
      <c r="C423" s="48" t="s">
        <v>32</v>
      </c>
      <c r="D423" s="81" t="s">
        <v>754</v>
      </c>
      <c r="E423" s="80" t="s">
        <v>687</v>
      </c>
      <c r="F423" s="81">
        <v>2</v>
      </c>
      <c r="G423" s="81">
        <v>2</v>
      </c>
      <c r="H423" s="81">
        <v>2</v>
      </c>
      <c r="I423" s="101" t="s">
        <v>71</v>
      </c>
      <c r="J423" s="101" t="s">
        <v>71</v>
      </c>
      <c r="K423" s="80" t="s">
        <v>755</v>
      </c>
      <c r="L423" s="101" t="s">
        <v>1491</v>
      </c>
      <c r="M423" s="101" t="s">
        <v>1562</v>
      </c>
      <c r="N423" s="101">
        <v>1</v>
      </c>
      <c r="O423" s="101">
        <v>63</v>
      </c>
      <c r="P423" s="102">
        <v>63</v>
      </c>
      <c r="Q423" s="102">
        <v>4</v>
      </c>
      <c r="R423" s="102">
        <v>4</v>
      </c>
      <c r="S423" s="80"/>
      <c r="T423" s="101"/>
      <c r="U423" s="80"/>
    </row>
    <row r="424" spans="2:21" ht="12.75">
      <c r="B424" s="48" t="s">
        <v>1776</v>
      </c>
      <c r="C424" s="48" t="s">
        <v>32</v>
      </c>
      <c r="D424" s="81" t="s">
        <v>412</v>
      </c>
      <c r="E424" s="80" t="s">
        <v>413</v>
      </c>
      <c r="F424" s="81">
        <v>3</v>
      </c>
      <c r="G424" s="81">
        <v>1</v>
      </c>
      <c r="H424" s="81">
        <v>5</v>
      </c>
      <c r="I424" s="101" t="s">
        <v>71</v>
      </c>
      <c r="J424" s="101" t="s">
        <v>71</v>
      </c>
      <c r="K424" s="80" t="s">
        <v>76</v>
      </c>
      <c r="L424" s="101" t="s">
        <v>1491</v>
      </c>
      <c r="M424" s="101" t="s">
        <v>1562</v>
      </c>
      <c r="N424" s="101">
        <v>1</v>
      </c>
      <c r="O424" s="101">
        <v>63</v>
      </c>
      <c r="P424" s="102">
        <v>63</v>
      </c>
      <c r="Q424" s="102">
        <v>4</v>
      </c>
      <c r="R424" s="102">
        <v>4</v>
      </c>
      <c r="S424" s="80"/>
      <c r="T424" s="101"/>
      <c r="U424" s="80"/>
    </row>
    <row r="425" spans="2:21" ht="12.75">
      <c r="B425" s="48" t="s">
        <v>1776</v>
      </c>
      <c r="C425" s="48" t="s">
        <v>32</v>
      </c>
      <c r="D425" s="81" t="s">
        <v>996</v>
      </c>
      <c r="E425" s="80" t="s">
        <v>106</v>
      </c>
      <c r="F425" s="81">
        <v>4</v>
      </c>
      <c r="G425" s="81">
        <v>2</v>
      </c>
      <c r="H425" s="81">
        <v>9</v>
      </c>
      <c r="I425" s="101" t="s">
        <v>71</v>
      </c>
      <c r="J425" s="101" t="s">
        <v>71</v>
      </c>
      <c r="K425" s="80" t="s">
        <v>1551</v>
      </c>
      <c r="L425" s="101" t="s">
        <v>1491</v>
      </c>
      <c r="M425" s="101" t="s">
        <v>1562</v>
      </c>
      <c r="N425" s="101">
        <v>1</v>
      </c>
      <c r="O425" s="101">
        <v>63</v>
      </c>
      <c r="P425" s="102">
        <v>63</v>
      </c>
      <c r="Q425" s="102">
        <v>6</v>
      </c>
      <c r="R425" s="102">
        <v>6</v>
      </c>
      <c r="S425" s="80"/>
      <c r="T425" s="101"/>
      <c r="U425" s="80"/>
    </row>
    <row r="426" spans="2:21" ht="12.75">
      <c r="B426" s="48" t="s">
        <v>1776</v>
      </c>
      <c r="C426" s="48" t="s">
        <v>32</v>
      </c>
      <c r="D426" s="81" t="s">
        <v>682</v>
      </c>
      <c r="E426" s="80" t="s">
        <v>683</v>
      </c>
      <c r="F426" s="81">
        <v>2</v>
      </c>
      <c r="G426" s="81">
        <v>0</v>
      </c>
      <c r="H426" s="81">
        <v>3</v>
      </c>
      <c r="I426" s="101" t="s">
        <v>71</v>
      </c>
      <c r="J426" s="101" t="s">
        <v>71</v>
      </c>
      <c r="K426" s="80" t="s">
        <v>459</v>
      </c>
      <c r="L426" s="101" t="s">
        <v>1491</v>
      </c>
      <c r="M426" s="101" t="s">
        <v>1562</v>
      </c>
      <c r="N426" s="101">
        <v>1</v>
      </c>
      <c r="O426" s="101">
        <v>63</v>
      </c>
      <c r="P426" s="102">
        <v>63</v>
      </c>
      <c r="Q426" s="102">
        <v>2</v>
      </c>
      <c r="R426" s="102">
        <v>2</v>
      </c>
      <c r="S426" s="80"/>
      <c r="T426" s="101"/>
      <c r="U426" s="80"/>
    </row>
    <row r="427" spans="2:21" ht="12.75">
      <c r="B427" s="48" t="s">
        <v>1776</v>
      </c>
      <c r="C427" s="48" t="s">
        <v>32</v>
      </c>
      <c r="D427" s="81" t="s">
        <v>391</v>
      </c>
      <c r="E427" s="80" t="s">
        <v>318</v>
      </c>
      <c r="F427" s="81">
        <v>2</v>
      </c>
      <c r="G427" s="81">
        <v>0</v>
      </c>
      <c r="H427" s="81">
        <v>3</v>
      </c>
      <c r="I427" s="101" t="s">
        <v>71</v>
      </c>
      <c r="J427" s="101" t="s">
        <v>71</v>
      </c>
      <c r="K427" s="80" t="s">
        <v>76</v>
      </c>
      <c r="L427" s="101" t="s">
        <v>1491</v>
      </c>
      <c r="M427" s="101" t="s">
        <v>1562</v>
      </c>
      <c r="N427" s="101">
        <v>1</v>
      </c>
      <c r="O427" s="101">
        <v>63</v>
      </c>
      <c r="P427" s="102">
        <v>63</v>
      </c>
      <c r="Q427" s="102">
        <v>2</v>
      </c>
      <c r="R427" s="102">
        <v>2</v>
      </c>
      <c r="S427" s="80"/>
      <c r="T427" s="101"/>
      <c r="U427" s="80"/>
    </row>
    <row r="428" spans="2:21" ht="12.75">
      <c r="B428" s="48" t="s">
        <v>1776</v>
      </c>
      <c r="C428" s="48" t="s">
        <v>32</v>
      </c>
      <c r="D428" s="81" t="s">
        <v>427</v>
      </c>
      <c r="E428" s="80" t="s">
        <v>428</v>
      </c>
      <c r="F428" s="81">
        <v>2</v>
      </c>
      <c r="G428" s="81">
        <v>2</v>
      </c>
      <c r="H428" s="81">
        <v>2</v>
      </c>
      <c r="I428" s="101" t="s">
        <v>73</v>
      </c>
      <c r="J428" s="101" t="s">
        <v>73</v>
      </c>
      <c r="K428" s="80" t="s">
        <v>76</v>
      </c>
      <c r="L428" s="101" t="s">
        <v>1491</v>
      </c>
      <c r="M428" s="101" t="s">
        <v>1562</v>
      </c>
      <c r="N428" s="101">
        <v>1</v>
      </c>
      <c r="O428" s="101">
        <v>63</v>
      </c>
      <c r="P428" s="102">
        <v>63</v>
      </c>
      <c r="Q428" s="102">
        <v>4</v>
      </c>
      <c r="R428" s="102">
        <v>4</v>
      </c>
      <c r="S428" s="80"/>
      <c r="T428" s="101"/>
      <c r="U428" s="80"/>
    </row>
    <row r="429" spans="2:21" ht="12.75">
      <c r="B429" s="48" t="s">
        <v>1776</v>
      </c>
      <c r="C429" s="48" t="s">
        <v>32</v>
      </c>
      <c r="D429" s="81" t="s">
        <v>1096</v>
      </c>
      <c r="E429" s="80" t="s">
        <v>1553</v>
      </c>
      <c r="F429" s="81">
        <v>3</v>
      </c>
      <c r="G429" s="81">
        <v>0</v>
      </c>
      <c r="H429" s="81">
        <v>3</v>
      </c>
      <c r="I429" s="101" t="s">
        <v>73</v>
      </c>
      <c r="J429" s="101" t="s">
        <v>73</v>
      </c>
      <c r="K429" s="80" t="s">
        <v>76</v>
      </c>
      <c r="L429" s="101" t="s">
        <v>1491</v>
      </c>
      <c r="M429" s="101" t="s">
        <v>1562</v>
      </c>
      <c r="N429" s="101">
        <v>1</v>
      </c>
      <c r="O429" s="101">
        <v>63</v>
      </c>
      <c r="P429" s="102">
        <v>63</v>
      </c>
      <c r="Q429" s="102">
        <v>3</v>
      </c>
      <c r="R429" s="102">
        <v>3</v>
      </c>
      <c r="S429" s="80"/>
      <c r="T429" s="101"/>
      <c r="U429" s="80"/>
    </row>
    <row r="430" spans="2:21" ht="12.75">
      <c r="B430" s="48" t="s">
        <v>1776</v>
      </c>
      <c r="C430" s="48" t="s">
        <v>32</v>
      </c>
      <c r="D430" s="81" t="s">
        <v>1220</v>
      </c>
      <c r="E430" s="80" t="s">
        <v>149</v>
      </c>
      <c r="F430" s="81">
        <v>3</v>
      </c>
      <c r="G430" s="81">
        <v>1</v>
      </c>
      <c r="H430" s="81">
        <v>4</v>
      </c>
      <c r="I430" s="101" t="s">
        <v>71</v>
      </c>
      <c r="J430" s="101" t="s">
        <v>71</v>
      </c>
      <c r="K430" s="80" t="s">
        <v>237</v>
      </c>
      <c r="L430" s="101" t="s">
        <v>1488</v>
      </c>
      <c r="M430" s="101" t="s">
        <v>1562</v>
      </c>
      <c r="N430" s="101">
        <v>2</v>
      </c>
      <c r="O430" s="101">
        <v>30</v>
      </c>
      <c r="P430" s="102">
        <v>60</v>
      </c>
      <c r="Q430" s="102">
        <v>8</v>
      </c>
      <c r="R430" s="102">
        <v>8</v>
      </c>
      <c r="S430" s="80" t="s">
        <v>1552</v>
      </c>
      <c r="T430" s="101"/>
      <c r="U430" s="80"/>
    </row>
    <row r="431" spans="2:21" ht="12.75">
      <c r="B431" s="48" t="s">
        <v>1776</v>
      </c>
      <c r="C431" s="48" t="s">
        <v>32</v>
      </c>
      <c r="D431" s="81" t="s">
        <v>328</v>
      </c>
      <c r="E431" s="80" t="s">
        <v>105</v>
      </c>
      <c r="F431" s="81">
        <v>4</v>
      </c>
      <c r="G431" s="81">
        <v>2</v>
      </c>
      <c r="H431" s="81">
        <v>9</v>
      </c>
      <c r="I431" s="101" t="s">
        <v>71</v>
      </c>
      <c r="J431" s="101" t="s">
        <v>71</v>
      </c>
      <c r="K431" s="80" t="s">
        <v>329</v>
      </c>
      <c r="L431" s="101" t="s">
        <v>1488</v>
      </c>
      <c r="M431" s="101" t="s">
        <v>1562</v>
      </c>
      <c r="N431" s="101">
        <v>1</v>
      </c>
      <c r="O431" s="101">
        <v>62</v>
      </c>
      <c r="P431" s="102">
        <v>62</v>
      </c>
      <c r="Q431" s="102">
        <v>6</v>
      </c>
      <c r="R431" s="102">
        <v>6</v>
      </c>
      <c r="S431" s="80"/>
      <c r="T431" s="101"/>
      <c r="U431" s="80"/>
    </row>
    <row r="432" spans="2:21" ht="12.75">
      <c r="B432" s="48" t="s">
        <v>1776</v>
      </c>
      <c r="C432" s="48" t="s">
        <v>32</v>
      </c>
      <c r="D432" s="81" t="s">
        <v>456</v>
      </c>
      <c r="E432" s="80" t="s">
        <v>455</v>
      </c>
      <c r="F432" s="81">
        <v>4</v>
      </c>
      <c r="G432" s="81">
        <v>0</v>
      </c>
      <c r="H432" s="81">
        <v>4</v>
      </c>
      <c r="I432" s="101" t="s">
        <v>71</v>
      </c>
      <c r="J432" s="101" t="s">
        <v>71</v>
      </c>
      <c r="K432" s="80" t="s">
        <v>346</v>
      </c>
      <c r="L432" s="101" t="s">
        <v>1488</v>
      </c>
      <c r="M432" s="101" t="s">
        <v>1562</v>
      </c>
      <c r="N432" s="101">
        <v>1</v>
      </c>
      <c r="O432" s="101">
        <v>62</v>
      </c>
      <c r="P432" s="102">
        <v>62</v>
      </c>
      <c r="Q432" s="102">
        <v>4</v>
      </c>
      <c r="R432" s="102">
        <v>4</v>
      </c>
      <c r="S432" s="80"/>
      <c r="T432" s="101"/>
      <c r="U432" s="80"/>
    </row>
    <row r="433" spans="2:21" ht="12.75">
      <c r="B433" s="48" t="s">
        <v>1776</v>
      </c>
      <c r="C433" s="48" t="s">
        <v>32</v>
      </c>
      <c r="D433" s="81" t="s">
        <v>754</v>
      </c>
      <c r="E433" s="80" t="s">
        <v>687</v>
      </c>
      <c r="F433" s="81">
        <v>2</v>
      </c>
      <c r="G433" s="81">
        <v>2</v>
      </c>
      <c r="H433" s="81">
        <v>2</v>
      </c>
      <c r="I433" s="101" t="s">
        <v>71</v>
      </c>
      <c r="J433" s="101" t="s">
        <v>71</v>
      </c>
      <c r="K433" s="80" t="s">
        <v>755</v>
      </c>
      <c r="L433" s="101" t="s">
        <v>1488</v>
      </c>
      <c r="M433" s="101" t="s">
        <v>1562</v>
      </c>
      <c r="N433" s="101">
        <v>1</v>
      </c>
      <c r="O433" s="101">
        <v>62</v>
      </c>
      <c r="P433" s="102">
        <v>62</v>
      </c>
      <c r="Q433" s="102">
        <v>4</v>
      </c>
      <c r="R433" s="102">
        <v>4</v>
      </c>
      <c r="S433" s="80"/>
      <c r="T433" s="101"/>
      <c r="U433" s="80"/>
    </row>
    <row r="434" spans="2:21" ht="12.75">
      <c r="B434" s="48" t="s">
        <v>1776</v>
      </c>
      <c r="C434" s="48" t="s">
        <v>32</v>
      </c>
      <c r="D434" s="81" t="s">
        <v>682</v>
      </c>
      <c r="E434" s="80" t="s">
        <v>683</v>
      </c>
      <c r="F434" s="81">
        <v>2</v>
      </c>
      <c r="G434" s="81">
        <v>0</v>
      </c>
      <c r="H434" s="81">
        <v>3</v>
      </c>
      <c r="I434" s="101" t="s">
        <v>71</v>
      </c>
      <c r="J434" s="101" t="s">
        <v>71</v>
      </c>
      <c r="K434" s="80" t="s">
        <v>459</v>
      </c>
      <c r="L434" s="101" t="s">
        <v>1488</v>
      </c>
      <c r="M434" s="101" t="s">
        <v>1562</v>
      </c>
      <c r="N434" s="101">
        <v>1</v>
      </c>
      <c r="O434" s="101">
        <v>62</v>
      </c>
      <c r="P434" s="102">
        <v>62</v>
      </c>
      <c r="Q434" s="102">
        <v>2</v>
      </c>
      <c r="R434" s="102">
        <v>2</v>
      </c>
      <c r="S434" s="80"/>
      <c r="T434" s="101"/>
      <c r="U434" s="80"/>
    </row>
    <row r="435" spans="2:21" ht="12.75">
      <c r="B435" s="48" t="s">
        <v>1776</v>
      </c>
      <c r="C435" s="48" t="s">
        <v>32</v>
      </c>
      <c r="D435" s="81" t="s">
        <v>688</v>
      </c>
      <c r="E435" s="80" t="s">
        <v>346</v>
      </c>
      <c r="F435" s="81">
        <v>4</v>
      </c>
      <c r="G435" s="81">
        <v>0</v>
      </c>
      <c r="H435" s="81">
        <v>5</v>
      </c>
      <c r="I435" s="101" t="s">
        <v>71</v>
      </c>
      <c r="J435" s="101" t="s">
        <v>71</v>
      </c>
      <c r="K435" s="80" t="s">
        <v>459</v>
      </c>
      <c r="L435" s="101" t="s">
        <v>1488</v>
      </c>
      <c r="M435" s="101" t="s">
        <v>1562</v>
      </c>
      <c r="N435" s="101">
        <v>1</v>
      </c>
      <c r="O435" s="101">
        <v>62</v>
      </c>
      <c r="P435" s="102">
        <v>62</v>
      </c>
      <c r="Q435" s="102">
        <v>4</v>
      </c>
      <c r="R435" s="102">
        <v>4</v>
      </c>
      <c r="S435" s="80"/>
      <c r="T435" s="101"/>
      <c r="U435" s="80"/>
    </row>
    <row r="436" spans="2:21" ht="12.75">
      <c r="B436" s="48" t="s">
        <v>1776</v>
      </c>
      <c r="C436" s="48" t="s">
        <v>32</v>
      </c>
      <c r="D436" s="81" t="s">
        <v>391</v>
      </c>
      <c r="E436" s="80" t="s">
        <v>318</v>
      </c>
      <c r="F436" s="81">
        <v>2</v>
      </c>
      <c r="G436" s="81">
        <v>0</v>
      </c>
      <c r="H436" s="81">
        <v>3</v>
      </c>
      <c r="I436" s="101" t="s">
        <v>71</v>
      </c>
      <c r="J436" s="101" t="s">
        <v>71</v>
      </c>
      <c r="K436" s="80" t="s">
        <v>76</v>
      </c>
      <c r="L436" s="101" t="s">
        <v>1488</v>
      </c>
      <c r="M436" s="101" t="s">
        <v>1562</v>
      </c>
      <c r="N436" s="101">
        <v>1</v>
      </c>
      <c r="O436" s="101">
        <v>62</v>
      </c>
      <c r="P436" s="102">
        <v>62</v>
      </c>
      <c r="Q436" s="102">
        <v>2</v>
      </c>
      <c r="R436" s="102">
        <v>2</v>
      </c>
      <c r="S436" s="80"/>
      <c r="T436" s="101"/>
      <c r="U436" s="80"/>
    </row>
    <row r="437" spans="2:21" ht="12.75">
      <c r="B437" s="48" t="s">
        <v>1776</v>
      </c>
      <c r="C437" s="48" t="s">
        <v>32</v>
      </c>
      <c r="D437" s="81" t="s">
        <v>427</v>
      </c>
      <c r="E437" s="80" t="s">
        <v>428</v>
      </c>
      <c r="F437" s="81">
        <v>2</v>
      </c>
      <c r="G437" s="81">
        <v>2</v>
      </c>
      <c r="H437" s="81">
        <v>2</v>
      </c>
      <c r="I437" s="101" t="s">
        <v>73</v>
      </c>
      <c r="J437" s="101" t="s">
        <v>73</v>
      </c>
      <c r="K437" s="80" t="s">
        <v>76</v>
      </c>
      <c r="L437" s="101" t="s">
        <v>1488</v>
      </c>
      <c r="M437" s="101" t="s">
        <v>1562</v>
      </c>
      <c r="N437" s="101">
        <v>1</v>
      </c>
      <c r="O437" s="101">
        <v>62</v>
      </c>
      <c r="P437" s="102">
        <v>62</v>
      </c>
      <c r="Q437" s="102">
        <v>4</v>
      </c>
      <c r="R437" s="102">
        <v>4</v>
      </c>
      <c r="S437" s="80"/>
      <c r="T437" s="101"/>
      <c r="U437" s="80"/>
    </row>
    <row r="438" spans="2:21" ht="12.75">
      <c r="B438" s="48" t="s">
        <v>1776</v>
      </c>
      <c r="C438" s="48" t="s">
        <v>32</v>
      </c>
      <c r="D438" s="81" t="s">
        <v>1096</v>
      </c>
      <c r="E438" s="80" t="s">
        <v>1553</v>
      </c>
      <c r="F438" s="81">
        <v>3</v>
      </c>
      <c r="G438" s="81">
        <v>0</v>
      </c>
      <c r="H438" s="81">
        <v>3</v>
      </c>
      <c r="I438" s="101" t="s">
        <v>73</v>
      </c>
      <c r="J438" s="101" t="s">
        <v>73</v>
      </c>
      <c r="K438" s="80" t="s">
        <v>76</v>
      </c>
      <c r="L438" s="101" t="s">
        <v>1488</v>
      </c>
      <c r="M438" s="101" t="s">
        <v>1562</v>
      </c>
      <c r="N438" s="101">
        <v>1</v>
      </c>
      <c r="O438" s="101">
        <v>62</v>
      </c>
      <c r="P438" s="102">
        <v>62</v>
      </c>
      <c r="Q438" s="102">
        <v>3</v>
      </c>
      <c r="R438" s="102">
        <v>3</v>
      </c>
      <c r="S438" s="80"/>
      <c r="T438" s="101"/>
      <c r="U438" s="80"/>
    </row>
    <row r="439" spans="2:21" ht="12.75">
      <c r="B439" s="52" t="s">
        <v>1777</v>
      </c>
      <c r="C439" s="52" t="s">
        <v>33</v>
      </c>
      <c r="D439" s="81" t="s">
        <v>1102</v>
      </c>
      <c r="E439" s="80" t="s">
        <v>1103</v>
      </c>
      <c r="F439" s="81">
        <v>2</v>
      </c>
      <c r="G439" s="81">
        <v>2</v>
      </c>
      <c r="H439" s="81">
        <v>4</v>
      </c>
      <c r="I439" s="101" t="s">
        <v>71</v>
      </c>
      <c r="J439" s="101" t="s">
        <v>71</v>
      </c>
      <c r="K439" s="80" t="s">
        <v>1569</v>
      </c>
      <c r="L439" s="101" t="s">
        <v>1488</v>
      </c>
      <c r="M439" s="101" t="s">
        <v>1562</v>
      </c>
      <c r="N439" s="101">
        <v>1</v>
      </c>
      <c r="O439" s="101">
        <v>30</v>
      </c>
      <c r="P439" s="102">
        <v>30</v>
      </c>
      <c r="Q439" s="102">
        <v>4</v>
      </c>
      <c r="R439" s="102">
        <v>4</v>
      </c>
      <c r="S439" s="80" t="s">
        <v>1509</v>
      </c>
      <c r="T439" s="101" t="s">
        <v>1518</v>
      </c>
      <c r="U439" s="80"/>
    </row>
    <row r="440" spans="2:21" ht="12.75">
      <c r="B440" s="52" t="s">
        <v>1777</v>
      </c>
      <c r="C440" s="52" t="s">
        <v>33</v>
      </c>
      <c r="D440" s="81" t="s">
        <v>1102</v>
      </c>
      <c r="E440" s="80" t="s">
        <v>1103</v>
      </c>
      <c r="F440" s="81">
        <v>2</v>
      </c>
      <c r="G440" s="81">
        <v>2</v>
      </c>
      <c r="H440" s="81">
        <v>4</v>
      </c>
      <c r="I440" s="101" t="s">
        <v>71</v>
      </c>
      <c r="J440" s="101" t="s">
        <v>71</v>
      </c>
      <c r="K440" s="80" t="s">
        <v>1569</v>
      </c>
      <c r="L440" s="101" t="s">
        <v>1491</v>
      </c>
      <c r="M440" s="101" t="s">
        <v>1562</v>
      </c>
      <c r="N440" s="101">
        <v>1</v>
      </c>
      <c r="O440" s="101">
        <v>30</v>
      </c>
      <c r="P440" s="102">
        <v>30</v>
      </c>
      <c r="Q440" s="102">
        <v>4</v>
      </c>
      <c r="R440" s="102">
        <v>4</v>
      </c>
      <c r="S440" s="80" t="s">
        <v>1509</v>
      </c>
      <c r="T440" s="101" t="s">
        <v>1518</v>
      </c>
      <c r="U440" s="80"/>
    </row>
    <row r="441" spans="2:21" ht="12.75">
      <c r="B441" s="52" t="s">
        <v>1777</v>
      </c>
      <c r="C441" s="52" t="s">
        <v>33</v>
      </c>
      <c r="D441" s="81" t="s">
        <v>423</v>
      </c>
      <c r="E441" s="80" t="s">
        <v>424</v>
      </c>
      <c r="F441" s="81">
        <v>4</v>
      </c>
      <c r="G441" s="81">
        <v>2</v>
      </c>
      <c r="H441" s="81">
        <v>4</v>
      </c>
      <c r="I441" s="101" t="s">
        <v>71</v>
      </c>
      <c r="J441" s="101" t="s">
        <v>71</v>
      </c>
      <c r="K441" s="80" t="s">
        <v>156</v>
      </c>
      <c r="L441" s="101" t="s">
        <v>1491</v>
      </c>
      <c r="M441" s="101" t="s">
        <v>1562</v>
      </c>
      <c r="N441" s="101">
        <v>1</v>
      </c>
      <c r="O441" s="101">
        <v>60</v>
      </c>
      <c r="P441" s="102">
        <v>60</v>
      </c>
      <c r="Q441" s="102">
        <v>6</v>
      </c>
      <c r="R441" s="102">
        <v>6</v>
      </c>
      <c r="S441" s="80" t="s">
        <v>1504</v>
      </c>
      <c r="T441" s="101" t="s">
        <v>1518</v>
      </c>
      <c r="U441" s="80"/>
    </row>
    <row r="442" spans="2:21" ht="12.75">
      <c r="B442" s="52" t="s">
        <v>1777</v>
      </c>
      <c r="C442" s="52" t="s">
        <v>33</v>
      </c>
      <c r="D442" s="81" t="s">
        <v>1059</v>
      </c>
      <c r="E442" s="80" t="s">
        <v>1060</v>
      </c>
      <c r="F442" s="81">
        <v>3</v>
      </c>
      <c r="G442" s="81">
        <v>1</v>
      </c>
      <c r="H442" s="81">
        <v>4</v>
      </c>
      <c r="I442" s="101" t="s">
        <v>71</v>
      </c>
      <c r="J442" s="101" t="s">
        <v>71</v>
      </c>
      <c r="K442" s="80" t="s">
        <v>1061</v>
      </c>
      <c r="L442" s="101" t="s">
        <v>1488</v>
      </c>
      <c r="M442" s="101" t="s">
        <v>1562</v>
      </c>
      <c r="N442" s="101">
        <v>1</v>
      </c>
      <c r="O442" s="101">
        <v>30</v>
      </c>
      <c r="P442" s="102">
        <v>30</v>
      </c>
      <c r="Q442" s="102">
        <v>4</v>
      </c>
      <c r="R442" s="102">
        <v>4</v>
      </c>
      <c r="S442" s="80" t="s">
        <v>1504</v>
      </c>
      <c r="T442" s="101" t="s">
        <v>1505</v>
      </c>
      <c r="U442" s="80"/>
    </row>
    <row r="443" spans="2:21" ht="12.75">
      <c r="B443" s="52" t="s">
        <v>1777</v>
      </c>
      <c r="C443" s="52" t="s">
        <v>33</v>
      </c>
      <c r="D443" s="81" t="s">
        <v>1059</v>
      </c>
      <c r="E443" s="80" t="s">
        <v>1060</v>
      </c>
      <c r="F443" s="81">
        <v>3</v>
      </c>
      <c r="G443" s="81">
        <v>1</v>
      </c>
      <c r="H443" s="81">
        <v>4</v>
      </c>
      <c r="I443" s="101" t="s">
        <v>71</v>
      </c>
      <c r="J443" s="101" t="s">
        <v>71</v>
      </c>
      <c r="K443" s="80" t="s">
        <v>1061</v>
      </c>
      <c r="L443" s="101" t="s">
        <v>1491</v>
      </c>
      <c r="M443" s="101" t="s">
        <v>1562</v>
      </c>
      <c r="N443" s="101">
        <v>1</v>
      </c>
      <c r="O443" s="101">
        <v>30</v>
      </c>
      <c r="P443" s="102">
        <v>30</v>
      </c>
      <c r="Q443" s="102">
        <v>4</v>
      </c>
      <c r="R443" s="102">
        <v>4</v>
      </c>
      <c r="S443" s="80" t="s">
        <v>1504</v>
      </c>
      <c r="T443" s="101" t="s">
        <v>1505</v>
      </c>
      <c r="U443" s="80"/>
    </row>
    <row r="444" spans="2:21" ht="12.75">
      <c r="B444" s="52" t="s">
        <v>1777</v>
      </c>
      <c r="C444" s="52" t="s">
        <v>33</v>
      </c>
      <c r="D444" s="81" t="s">
        <v>1091</v>
      </c>
      <c r="E444" s="80" t="s">
        <v>303</v>
      </c>
      <c r="F444" s="81">
        <v>4</v>
      </c>
      <c r="G444" s="81">
        <v>0</v>
      </c>
      <c r="H444" s="81">
        <v>4</v>
      </c>
      <c r="I444" s="101" t="s">
        <v>71</v>
      </c>
      <c r="J444" s="101" t="s">
        <v>71</v>
      </c>
      <c r="K444" s="80" t="s">
        <v>1061</v>
      </c>
      <c r="L444" s="101" t="s">
        <v>1488</v>
      </c>
      <c r="M444" s="101" t="s">
        <v>1562</v>
      </c>
      <c r="N444" s="101">
        <v>1</v>
      </c>
      <c r="O444" s="101">
        <v>60</v>
      </c>
      <c r="P444" s="102">
        <v>60</v>
      </c>
      <c r="Q444" s="102">
        <v>4</v>
      </c>
      <c r="R444" s="102">
        <v>4</v>
      </c>
      <c r="S444" s="80"/>
      <c r="T444" s="101"/>
      <c r="U444" s="80"/>
    </row>
    <row r="445" spans="2:21" ht="12.75">
      <c r="B445" s="52" t="s">
        <v>1777</v>
      </c>
      <c r="C445" s="52" t="s">
        <v>33</v>
      </c>
      <c r="D445" s="81" t="s">
        <v>1091</v>
      </c>
      <c r="E445" s="80" t="s">
        <v>303</v>
      </c>
      <c r="F445" s="81">
        <v>4</v>
      </c>
      <c r="G445" s="81">
        <v>0</v>
      </c>
      <c r="H445" s="81">
        <v>4</v>
      </c>
      <c r="I445" s="101" t="s">
        <v>71</v>
      </c>
      <c r="J445" s="101" t="s">
        <v>71</v>
      </c>
      <c r="K445" s="80" t="s">
        <v>1061</v>
      </c>
      <c r="L445" s="101" t="s">
        <v>1491</v>
      </c>
      <c r="M445" s="101" t="s">
        <v>1562</v>
      </c>
      <c r="N445" s="101">
        <v>1</v>
      </c>
      <c r="O445" s="101">
        <v>60</v>
      </c>
      <c r="P445" s="102">
        <v>60</v>
      </c>
      <c r="Q445" s="102">
        <v>4</v>
      </c>
      <c r="R445" s="102">
        <v>4</v>
      </c>
      <c r="S445" s="80"/>
      <c r="T445" s="101"/>
      <c r="U445" s="80"/>
    </row>
    <row r="446" spans="2:21" ht="12.75">
      <c r="B446" s="52" t="s">
        <v>1777</v>
      </c>
      <c r="C446" s="52" t="s">
        <v>33</v>
      </c>
      <c r="D446" s="81" t="s">
        <v>419</v>
      </c>
      <c r="E446" s="80" t="s">
        <v>420</v>
      </c>
      <c r="F446" s="81">
        <v>3</v>
      </c>
      <c r="G446" s="81">
        <v>2</v>
      </c>
      <c r="H446" s="81">
        <v>4</v>
      </c>
      <c r="I446" s="101" t="s">
        <v>71</v>
      </c>
      <c r="J446" s="101" t="s">
        <v>71</v>
      </c>
      <c r="K446" s="80" t="s">
        <v>373</v>
      </c>
      <c r="L446" s="101" t="s">
        <v>1491</v>
      </c>
      <c r="M446" s="101" t="s">
        <v>1562</v>
      </c>
      <c r="N446" s="101">
        <v>1</v>
      </c>
      <c r="O446" s="101">
        <v>60</v>
      </c>
      <c r="P446" s="102">
        <v>60</v>
      </c>
      <c r="Q446" s="102">
        <v>5</v>
      </c>
      <c r="R446" s="102">
        <v>5</v>
      </c>
      <c r="S446" s="80" t="s">
        <v>1504</v>
      </c>
      <c r="T446" s="101" t="s">
        <v>1518</v>
      </c>
      <c r="U446" s="80"/>
    </row>
    <row r="447" spans="2:21" ht="12.75">
      <c r="B447" s="52" t="s">
        <v>1777</v>
      </c>
      <c r="C447" s="52" t="s">
        <v>33</v>
      </c>
      <c r="D447" s="81" t="s">
        <v>1261</v>
      </c>
      <c r="E447" s="80" t="s">
        <v>1262</v>
      </c>
      <c r="F447" s="81">
        <v>3</v>
      </c>
      <c r="G447" s="81">
        <v>1</v>
      </c>
      <c r="H447" s="81">
        <v>4</v>
      </c>
      <c r="I447" s="101" t="s">
        <v>71</v>
      </c>
      <c r="J447" s="101" t="s">
        <v>71</v>
      </c>
      <c r="K447" s="80" t="s">
        <v>1263</v>
      </c>
      <c r="L447" s="101" t="s">
        <v>1488</v>
      </c>
      <c r="M447" s="101" t="s">
        <v>1562</v>
      </c>
      <c r="N447" s="101">
        <v>1</v>
      </c>
      <c r="O447" s="101">
        <v>30</v>
      </c>
      <c r="P447" s="102">
        <v>30</v>
      </c>
      <c r="Q447" s="102">
        <v>4</v>
      </c>
      <c r="R447" s="102">
        <v>4</v>
      </c>
      <c r="S447" s="80" t="s">
        <v>1504</v>
      </c>
      <c r="T447" s="101" t="s">
        <v>1505</v>
      </c>
      <c r="U447" s="80"/>
    </row>
    <row r="448" spans="2:21" ht="12.75">
      <c r="B448" s="52" t="s">
        <v>1777</v>
      </c>
      <c r="C448" s="52" t="s">
        <v>33</v>
      </c>
      <c r="D448" s="81" t="s">
        <v>1261</v>
      </c>
      <c r="E448" s="80" t="s">
        <v>1262</v>
      </c>
      <c r="F448" s="81">
        <v>3</v>
      </c>
      <c r="G448" s="81">
        <v>1</v>
      </c>
      <c r="H448" s="81">
        <v>4</v>
      </c>
      <c r="I448" s="101" t="s">
        <v>71</v>
      </c>
      <c r="J448" s="101" t="s">
        <v>71</v>
      </c>
      <c r="K448" s="80" t="s">
        <v>1263</v>
      </c>
      <c r="L448" s="101" t="s">
        <v>1491</v>
      </c>
      <c r="M448" s="101" t="s">
        <v>1562</v>
      </c>
      <c r="N448" s="101">
        <v>1</v>
      </c>
      <c r="O448" s="101">
        <v>30</v>
      </c>
      <c r="P448" s="102">
        <v>30</v>
      </c>
      <c r="Q448" s="102">
        <v>4</v>
      </c>
      <c r="R448" s="102">
        <v>4</v>
      </c>
      <c r="S448" s="80" t="s">
        <v>1504</v>
      </c>
      <c r="T448" s="101" t="s">
        <v>1505</v>
      </c>
      <c r="U448" s="80"/>
    </row>
    <row r="449" spans="1:21" ht="12.75">
      <c r="B449" s="52" t="s">
        <v>1777</v>
      </c>
      <c r="C449" s="52" t="s">
        <v>33</v>
      </c>
      <c r="D449" s="81" t="s">
        <v>299</v>
      </c>
      <c r="E449" s="80" t="s">
        <v>300</v>
      </c>
      <c r="F449" s="81">
        <v>3</v>
      </c>
      <c r="G449" s="81">
        <v>1</v>
      </c>
      <c r="H449" s="81">
        <v>4</v>
      </c>
      <c r="I449" s="101" t="s">
        <v>71</v>
      </c>
      <c r="J449" s="101" t="s">
        <v>71</v>
      </c>
      <c r="K449" s="80" t="s">
        <v>301</v>
      </c>
      <c r="L449" s="101" t="s">
        <v>1488</v>
      </c>
      <c r="M449" s="101" t="s">
        <v>1562</v>
      </c>
      <c r="N449" s="101">
        <v>1</v>
      </c>
      <c r="O449" s="101">
        <v>30</v>
      </c>
      <c r="P449" s="102">
        <v>30</v>
      </c>
      <c r="Q449" s="102">
        <v>4</v>
      </c>
      <c r="R449" s="102">
        <v>4</v>
      </c>
      <c r="S449" s="80" t="s">
        <v>1504</v>
      </c>
      <c r="T449" s="101" t="s">
        <v>1505</v>
      </c>
      <c r="U449" s="80"/>
    </row>
    <row r="450" spans="1:21" ht="12.75">
      <c r="B450" s="52" t="s">
        <v>1777</v>
      </c>
      <c r="C450" s="52" t="s">
        <v>33</v>
      </c>
      <c r="D450" s="81" t="s">
        <v>299</v>
      </c>
      <c r="E450" s="80" t="s">
        <v>300</v>
      </c>
      <c r="F450" s="81">
        <v>3</v>
      </c>
      <c r="G450" s="81">
        <v>1</v>
      </c>
      <c r="H450" s="81">
        <v>4</v>
      </c>
      <c r="I450" s="101" t="s">
        <v>71</v>
      </c>
      <c r="J450" s="101" t="s">
        <v>71</v>
      </c>
      <c r="K450" s="80" t="s">
        <v>301</v>
      </c>
      <c r="L450" s="101" t="s">
        <v>1491</v>
      </c>
      <c r="M450" s="101" t="s">
        <v>1562</v>
      </c>
      <c r="N450" s="101">
        <v>1</v>
      </c>
      <c r="O450" s="101">
        <v>30</v>
      </c>
      <c r="P450" s="102">
        <v>30</v>
      </c>
      <c r="Q450" s="102">
        <v>4</v>
      </c>
      <c r="R450" s="102">
        <v>4</v>
      </c>
      <c r="S450" s="80" t="s">
        <v>1504</v>
      </c>
      <c r="T450" s="101" t="s">
        <v>1505</v>
      </c>
      <c r="U450" s="80"/>
    </row>
    <row r="451" spans="1:21" ht="12.75">
      <c r="A451" s="1" t="s">
        <v>1672</v>
      </c>
      <c r="B451" s="52" t="s">
        <v>1777</v>
      </c>
      <c r="C451" s="52" t="s">
        <v>33</v>
      </c>
      <c r="D451" s="81" t="s">
        <v>1570</v>
      </c>
      <c r="E451" s="80" t="s">
        <v>1571</v>
      </c>
      <c r="F451" s="81">
        <v>3</v>
      </c>
      <c r="G451" s="81">
        <v>1</v>
      </c>
      <c r="H451" s="81">
        <v>4</v>
      </c>
      <c r="I451" s="101" t="s">
        <v>73</v>
      </c>
      <c r="J451" s="101" t="s">
        <v>73</v>
      </c>
      <c r="K451" s="80" t="s">
        <v>1572</v>
      </c>
      <c r="L451" s="101" t="s">
        <v>1488</v>
      </c>
      <c r="M451" s="101" t="s">
        <v>1562</v>
      </c>
      <c r="N451" s="101">
        <v>1</v>
      </c>
      <c r="O451" s="101">
        <v>30</v>
      </c>
      <c r="P451" s="102">
        <v>30</v>
      </c>
      <c r="Q451" s="102">
        <v>4</v>
      </c>
      <c r="R451" s="102">
        <v>4</v>
      </c>
      <c r="S451" s="80" t="s">
        <v>1504</v>
      </c>
      <c r="T451" s="101" t="s">
        <v>1505</v>
      </c>
      <c r="U451" s="80"/>
    </row>
    <row r="452" spans="1:21" ht="12.75">
      <c r="A452" s="1" t="s">
        <v>1672</v>
      </c>
      <c r="B452" s="52" t="s">
        <v>1777</v>
      </c>
      <c r="C452" s="52" t="s">
        <v>33</v>
      </c>
      <c r="D452" s="81" t="s">
        <v>1570</v>
      </c>
      <c r="E452" s="80" t="s">
        <v>1571</v>
      </c>
      <c r="F452" s="81">
        <v>3</v>
      </c>
      <c r="G452" s="81">
        <v>1</v>
      </c>
      <c r="H452" s="81">
        <v>4</v>
      </c>
      <c r="I452" s="101" t="s">
        <v>73</v>
      </c>
      <c r="J452" s="101" t="s">
        <v>73</v>
      </c>
      <c r="K452" s="80" t="s">
        <v>1572</v>
      </c>
      <c r="L452" s="101" t="s">
        <v>1491</v>
      </c>
      <c r="M452" s="101" t="s">
        <v>1562</v>
      </c>
      <c r="N452" s="101">
        <v>1</v>
      </c>
      <c r="O452" s="101">
        <v>30</v>
      </c>
      <c r="P452" s="102">
        <v>30</v>
      </c>
      <c r="Q452" s="102">
        <v>4</v>
      </c>
      <c r="R452" s="102">
        <v>4</v>
      </c>
      <c r="S452" s="80" t="s">
        <v>1504</v>
      </c>
      <c r="T452" s="101" t="s">
        <v>1505</v>
      </c>
      <c r="U452" s="80"/>
    </row>
    <row r="453" spans="1:21" ht="12.75">
      <c r="A453" s="1" t="s">
        <v>1672</v>
      </c>
      <c r="B453" s="52" t="s">
        <v>1777</v>
      </c>
      <c r="C453" s="52" t="s">
        <v>33</v>
      </c>
      <c r="D453" s="81" t="s">
        <v>1088</v>
      </c>
      <c r="E453" s="80" t="s">
        <v>1089</v>
      </c>
      <c r="F453" s="81">
        <v>3</v>
      </c>
      <c r="G453" s="81">
        <v>1</v>
      </c>
      <c r="H453" s="81">
        <v>4</v>
      </c>
      <c r="I453" s="101" t="s">
        <v>73</v>
      </c>
      <c r="J453" s="101" t="s">
        <v>73</v>
      </c>
      <c r="K453" s="80" t="s">
        <v>1090</v>
      </c>
      <c r="L453" s="101" t="s">
        <v>1488</v>
      </c>
      <c r="M453" s="101" t="s">
        <v>1562</v>
      </c>
      <c r="N453" s="101">
        <v>1</v>
      </c>
      <c r="O453" s="101">
        <v>30</v>
      </c>
      <c r="P453" s="102">
        <v>30</v>
      </c>
      <c r="Q453" s="102">
        <v>4</v>
      </c>
      <c r="R453" s="102">
        <v>4</v>
      </c>
      <c r="S453" s="80" t="s">
        <v>1509</v>
      </c>
      <c r="T453" s="101" t="s">
        <v>1505</v>
      </c>
      <c r="U453" s="80"/>
    </row>
    <row r="454" spans="1:21" ht="12.75">
      <c r="A454" s="1" t="s">
        <v>1672</v>
      </c>
      <c r="B454" s="52" t="s">
        <v>1777</v>
      </c>
      <c r="C454" s="52" t="s">
        <v>33</v>
      </c>
      <c r="D454" s="81" t="s">
        <v>1088</v>
      </c>
      <c r="E454" s="80" t="s">
        <v>1089</v>
      </c>
      <c r="F454" s="81">
        <v>3</v>
      </c>
      <c r="G454" s="81">
        <v>1</v>
      </c>
      <c r="H454" s="81">
        <v>4</v>
      </c>
      <c r="I454" s="101" t="s">
        <v>73</v>
      </c>
      <c r="J454" s="101" t="s">
        <v>73</v>
      </c>
      <c r="K454" s="80" t="s">
        <v>1090</v>
      </c>
      <c r="L454" s="101" t="s">
        <v>1491</v>
      </c>
      <c r="M454" s="101" t="s">
        <v>1562</v>
      </c>
      <c r="N454" s="101">
        <v>1</v>
      </c>
      <c r="O454" s="101">
        <v>30</v>
      </c>
      <c r="P454" s="102">
        <v>30</v>
      </c>
      <c r="Q454" s="102">
        <v>4</v>
      </c>
      <c r="R454" s="102">
        <v>4</v>
      </c>
      <c r="S454" s="80" t="s">
        <v>1509</v>
      </c>
      <c r="T454" s="101" t="s">
        <v>1505</v>
      </c>
      <c r="U454" s="80"/>
    </row>
    <row r="455" spans="1:21" ht="12.75">
      <c r="A455" s="1" t="s">
        <v>1672</v>
      </c>
      <c r="B455" s="52" t="s">
        <v>1777</v>
      </c>
      <c r="C455" s="52" t="s">
        <v>33</v>
      </c>
      <c r="D455" s="81" t="s">
        <v>1565</v>
      </c>
      <c r="E455" s="80" t="s">
        <v>1494</v>
      </c>
      <c r="F455" s="81">
        <v>0</v>
      </c>
      <c r="G455" s="81">
        <v>2</v>
      </c>
      <c r="H455" s="81">
        <v>4</v>
      </c>
      <c r="I455" s="101" t="s">
        <v>1511</v>
      </c>
      <c r="J455" s="101" t="s">
        <v>1511</v>
      </c>
      <c r="K455" s="80" t="s">
        <v>76</v>
      </c>
      <c r="L455" s="101" t="s">
        <v>1488</v>
      </c>
      <c r="M455" s="101" t="s">
        <v>1562</v>
      </c>
      <c r="N455" s="101">
        <v>1</v>
      </c>
      <c r="O455" s="101">
        <v>30</v>
      </c>
      <c r="P455" s="102">
        <v>30</v>
      </c>
      <c r="Q455" s="102">
        <v>2</v>
      </c>
      <c r="R455" s="102">
        <v>2</v>
      </c>
      <c r="S455" s="80"/>
      <c r="T455" s="101"/>
      <c r="U455" s="80"/>
    </row>
    <row r="456" spans="1:21" ht="12.75">
      <c r="A456" s="1" t="s">
        <v>1672</v>
      </c>
      <c r="B456" s="52" t="s">
        <v>1777</v>
      </c>
      <c r="C456" s="52" t="s">
        <v>33</v>
      </c>
      <c r="D456" s="81" t="s">
        <v>1565</v>
      </c>
      <c r="E456" s="80" t="s">
        <v>1494</v>
      </c>
      <c r="F456" s="81">
        <v>0</v>
      </c>
      <c r="G456" s="81">
        <v>2</v>
      </c>
      <c r="H456" s="81">
        <v>4</v>
      </c>
      <c r="I456" s="101" t="s">
        <v>1511</v>
      </c>
      <c r="J456" s="101" t="s">
        <v>1511</v>
      </c>
      <c r="K456" s="80" t="s">
        <v>76</v>
      </c>
      <c r="L456" s="101" t="s">
        <v>1491</v>
      </c>
      <c r="M456" s="101" t="s">
        <v>1562</v>
      </c>
      <c r="N456" s="101">
        <v>1</v>
      </c>
      <c r="O456" s="101">
        <v>30</v>
      </c>
      <c r="P456" s="102">
        <v>30</v>
      </c>
      <c r="Q456" s="102">
        <v>2</v>
      </c>
      <c r="R456" s="102">
        <v>2</v>
      </c>
      <c r="S456" s="80"/>
      <c r="T456" s="101"/>
      <c r="U456" s="80"/>
    </row>
    <row r="457" spans="1:21" ht="12.75">
      <c r="B457" s="52" t="s">
        <v>1777</v>
      </c>
      <c r="C457" s="52" t="s">
        <v>33</v>
      </c>
      <c r="D457" s="81" t="s">
        <v>486</v>
      </c>
      <c r="E457" s="80" t="s">
        <v>487</v>
      </c>
      <c r="F457" s="81">
        <v>0</v>
      </c>
      <c r="G457" s="81">
        <v>7</v>
      </c>
      <c r="H457" s="81">
        <v>0</v>
      </c>
      <c r="I457" s="101" t="s">
        <v>71</v>
      </c>
      <c r="J457" s="101" t="s">
        <v>71</v>
      </c>
      <c r="K457" s="80" t="s">
        <v>76</v>
      </c>
      <c r="L457" s="101" t="s">
        <v>1488</v>
      </c>
      <c r="M457" s="101" t="s">
        <v>1562</v>
      </c>
      <c r="N457" s="101">
        <v>1</v>
      </c>
      <c r="O457" s="101">
        <v>30</v>
      </c>
      <c r="P457" s="102">
        <v>30</v>
      </c>
      <c r="Q457" s="102">
        <v>3</v>
      </c>
      <c r="R457" s="102">
        <v>3</v>
      </c>
      <c r="S457" s="80"/>
      <c r="T457" s="101"/>
      <c r="U457" s="80"/>
    </row>
    <row r="458" spans="1:21" ht="12.75">
      <c r="B458" s="52" t="s">
        <v>1777</v>
      </c>
      <c r="C458" s="52" t="s">
        <v>33</v>
      </c>
      <c r="D458" s="81" t="s">
        <v>486</v>
      </c>
      <c r="E458" s="80" t="s">
        <v>487</v>
      </c>
      <c r="F458" s="81">
        <v>0</v>
      </c>
      <c r="G458" s="81">
        <v>7</v>
      </c>
      <c r="H458" s="81">
        <v>0</v>
      </c>
      <c r="I458" s="101" t="s">
        <v>71</v>
      </c>
      <c r="J458" s="101" t="s">
        <v>71</v>
      </c>
      <c r="K458" s="80" t="s">
        <v>76</v>
      </c>
      <c r="L458" s="101" t="s">
        <v>1491</v>
      </c>
      <c r="M458" s="101" t="s">
        <v>1562</v>
      </c>
      <c r="N458" s="101">
        <v>1</v>
      </c>
      <c r="O458" s="101">
        <v>30</v>
      </c>
      <c r="P458" s="102">
        <v>30</v>
      </c>
      <c r="Q458" s="102">
        <v>3</v>
      </c>
      <c r="R458" s="102">
        <v>3</v>
      </c>
      <c r="S458" s="80"/>
      <c r="T458" s="101"/>
      <c r="U458" s="80"/>
    </row>
    <row r="459" spans="1:21" ht="12.75">
      <c r="A459" s="1" t="s">
        <v>1672</v>
      </c>
      <c r="B459" s="52" t="s">
        <v>1777</v>
      </c>
      <c r="C459" s="52" t="s">
        <v>33</v>
      </c>
      <c r="D459" s="81" t="s">
        <v>1566</v>
      </c>
      <c r="E459" s="80" t="s">
        <v>1495</v>
      </c>
      <c r="F459" s="81">
        <v>0</v>
      </c>
      <c r="G459" s="81">
        <v>2</v>
      </c>
      <c r="H459" s="81">
        <v>4</v>
      </c>
      <c r="I459" s="101" t="s">
        <v>1511</v>
      </c>
      <c r="J459" s="101" t="s">
        <v>1511</v>
      </c>
      <c r="K459" s="80" t="s">
        <v>1494</v>
      </c>
      <c r="L459" s="101" t="s">
        <v>1488</v>
      </c>
      <c r="M459" s="101" t="s">
        <v>1562</v>
      </c>
      <c r="N459" s="101">
        <v>1</v>
      </c>
      <c r="O459" s="101">
        <v>30</v>
      </c>
      <c r="P459" s="102">
        <v>30</v>
      </c>
      <c r="Q459" s="102">
        <v>2</v>
      </c>
      <c r="R459" s="102">
        <v>2</v>
      </c>
      <c r="S459" s="80"/>
      <c r="T459" s="101"/>
      <c r="U459" s="80"/>
    </row>
    <row r="460" spans="1:21" ht="12.75">
      <c r="A460" s="1" t="s">
        <v>1672</v>
      </c>
      <c r="B460" s="52" t="s">
        <v>1777</v>
      </c>
      <c r="C460" s="52" t="s">
        <v>33</v>
      </c>
      <c r="D460" s="81" t="s">
        <v>1566</v>
      </c>
      <c r="E460" s="80" t="s">
        <v>1495</v>
      </c>
      <c r="F460" s="81">
        <v>0</v>
      </c>
      <c r="G460" s="81">
        <v>2</v>
      </c>
      <c r="H460" s="81">
        <v>4</v>
      </c>
      <c r="I460" s="101" t="s">
        <v>1511</v>
      </c>
      <c r="J460" s="101" t="s">
        <v>1511</v>
      </c>
      <c r="K460" s="80" t="s">
        <v>1494</v>
      </c>
      <c r="L460" s="101" t="s">
        <v>1491</v>
      </c>
      <c r="M460" s="101" t="s">
        <v>1562</v>
      </c>
      <c r="N460" s="101">
        <v>1</v>
      </c>
      <c r="O460" s="101">
        <v>30</v>
      </c>
      <c r="P460" s="102">
        <v>30</v>
      </c>
      <c r="Q460" s="102">
        <v>2</v>
      </c>
      <c r="R460" s="102">
        <v>2</v>
      </c>
      <c r="S460" s="80"/>
      <c r="T460" s="101"/>
      <c r="U460" s="80"/>
    </row>
    <row r="461" spans="1:21" ht="12.75">
      <c r="B461" s="52" t="s">
        <v>1777</v>
      </c>
      <c r="C461" s="52" t="s">
        <v>33</v>
      </c>
      <c r="D461" s="81" t="s">
        <v>490</v>
      </c>
      <c r="E461" s="80" t="s">
        <v>491</v>
      </c>
      <c r="F461" s="81">
        <v>0</v>
      </c>
      <c r="G461" s="81">
        <v>7</v>
      </c>
      <c r="H461" s="81">
        <v>0</v>
      </c>
      <c r="I461" s="101" t="s">
        <v>71</v>
      </c>
      <c r="J461" s="101" t="s">
        <v>71</v>
      </c>
      <c r="K461" s="80" t="s">
        <v>487</v>
      </c>
      <c r="L461" s="101" t="s">
        <v>1488</v>
      </c>
      <c r="M461" s="101" t="s">
        <v>1562</v>
      </c>
      <c r="N461" s="101">
        <v>1</v>
      </c>
      <c r="O461" s="101">
        <v>30</v>
      </c>
      <c r="P461" s="102">
        <v>30</v>
      </c>
      <c r="Q461" s="102">
        <v>3</v>
      </c>
      <c r="R461" s="102">
        <v>3</v>
      </c>
      <c r="S461" s="80"/>
      <c r="T461" s="101"/>
      <c r="U461" s="80"/>
    </row>
    <row r="462" spans="1:21" ht="12.75">
      <c r="B462" s="52" t="s">
        <v>1777</v>
      </c>
      <c r="C462" s="52" t="s">
        <v>33</v>
      </c>
      <c r="D462" s="81" t="s">
        <v>490</v>
      </c>
      <c r="E462" s="80" t="s">
        <v>491</v>
      </c>
      <c r="F462" s="81">
        <v>0</v>
      </c>
      <c r="G462" s="81">
        <v>7</v>
      </c>
      <c r="H462" s="81">
        <v>0</v>
      </c>
      <c r="I462" s="101" t="s">
        <v>71</v>
      </c>
      <c r="J462" s="101" t="s">
        <v>71</v>
      </c>
      <c r="K462" s="80" t="s">
        <v>487</v>
      </c>
      <c r="L462" s="101" t="s">
        <v>1491</v>
      </c>
      <c r="M462" s="101" t="s">
        <v>1562</v>
      </c>
      <c r="N462" s="101">
        <v>1</v>
      </c>
      <c r="O462" s="101">
        <v>30</v>
      </c>
      <c r="P462" s="102">
        <v>30</v>
      </c>
      <c r="Q462" s="102">
        <v>3</v>
      </c>
      <c r="R462" s="102">
        <v>3</v>
      </c>
      <c r="S462" s="80"/>
      <c r="T462" s="101"/>
      <c r="U462" s="80"/>
    </row>
    <row r="463" spans="1:21" ht="12.75">
      <c r="A463" s="1" t="s">
        <v>1672</v>
      </c>
      <c r="B463" s="52" t="s">
        <v>1777</v>
      </c>
      <c r="C463" s="52" t="s">
        <v>33</v>
      </c>
      <c r="D463" s="81" t="s">
        <v>1567</v>
      </c>
      <c r="E463" s="80" t="s">
        <v>1568</v>
      </c>
      <c r="F463" s="81">
        <v>0</v>
      </c>
      <c r="G463" s="81">
        <v>2</v>
      </c>
      <c r="H463" s="81">
        <v>4</v>
      </c>
      <c r="I463" s="101" t="s">
        <v>1511</v>
      </c>
      <c r="J463" s="101" t="s">
        <v>1511</v>
      </c>
      <c r="K463" s="80" t="s">
        <v>1495</v>
      </c>
      <c r="L463" s="101" t="s">
        <v>1488</v>
      </c>
      <c r="M463" s="101" t="s">
        <v>1562</v>
      </c>
      <c r="N463" s="101">
        <v>1</v>
      </c>
      <c r="O463" s="101">
        <v>30</v>
      </c>
      <c r="P463" s="102">
        <v>30</v>
      </c>
      <c r="Q463" s="102">
        <v>2</v>
      </c>
      <c r="R463" s="102">
        <v>2</v>
      </c>
      <c r="S463" s="80"/>
      <c r="T463" s="101"/>
      <c r="U463" s="80"/>
    </row>
    <row r="464" spans="1:21" ht="12.75">
      <c r="A464" s="1" t="s">
        <v>1672</v>
      </c>
      <c r="B464" s="52" t="s">
        <v>1777</v>
      </c>
      <c r="C464" s="52" t="s">
        <v>33</v>
      </c>
      <c r="D464" s="81" t="s">
        <v>1567</v>
      </c>
      <c r="E464" s="80" t="s">
        <v>1568</v>
      </c>
      <c r="F464" s="81">
        <v>0</v>
      </c>
      <c r="G464" s="81">
        <v>2</v>
      </c>
      <c r="H464" s="81">
        <v>4</v>
      </c>
      <c r="I464" s="101" t="s">
        <v>1511</v>
      </c>
      <c r="J464" s="101" t="s">
        <v>1511</v>
      </c>
      <c r="K464" s="80" t="s">
        <v>1495</v>
      </c>
      <c r="L464" s="101" t="s">
        <v>1491</v>
      </c>
      <c r="M464" s="101" t="s">
        <v>1562</v>
      </c>
      <c r="N464" s="101">
        <v>1</v>
      </c>
      <c r="O464" s="101">
        <v>30</v>
      </c>
      <c r="P464" s="102">
        <v>30</v>
      </c>
      <c r="Q464" s="102">
        <v>2</v>
      </c>
      <c r="R464" s="102">
        <v>2</v>
      </c>
      <c r="S464" s="80"/>
      <c r="T464" s="101"/>
      <c r="U464" s="80"/>
    </row>
    <row r="465" spans="2:21" ht="12.75">
      <c r="B465" s="54" t="s">
        <v>1644</v>
      </c>
      <c r="C465" s="54" t="s">
        <v>34</v>
      </c>
      <c r="D465" s="81" t="s">
        <v>423</v>
      </c>
      <c r="E465" s="80" t="s">
        <v>424</v>
      </c>
      <c r="F465" s="81">
        <v>4</v>
      </c>
      <c r="G465" s="81">
        <v>2</v>
      </c>
      <c r="H465" s="81">
        <v>4</v>
      </c>
      <c r="I465" s="101" t="s">
        <v>71</v>
      </c>
      <c r="J465" s="101" t="s">
        <v>71</v>
      </c>
      <c r="K465" s="80" t="s">
        <v>156</v>
      </c>
      <c r="L465" s="101" t="s">
        <v>1488</v>
      </c>
      <c r="M465" s="101" t="s">
        <v>1562</v>
      </c>
      <c r="N465" s="101">
        <v>1</v>
      </c>
      <c r="O465" s="101">
        <v>30</v>
      </c>
      <c r="P465" s="102">
        <v>30</v>
      </c>
      <c r="Q465" s="102">
        <v>6</v>
      </c>
      <c r="R465" s="102">
        <v>6</v>
      </c>
      <c r="S465" s="80" t="s">
        <v>1504</v>
      </c>
      <c r="T465" s="101" t="s">
        <v>1518</v>
      </c>
      <c r="U465" s="80"/>
    </row>
    <row r="466" spans="2:21" ht="12.75">
      <c r="B466" s="54" t="s">
        <v>1644</v>
      </c>
      <c r="C466" s="54" t="s">
        <v>34</v>
      </c>
      <c r="D466" s="81" t="s">
        <v>423</v>
      </c>
      <c r="E466" s="80" t="s">
        <v>424</v>
      </c>
      <c r="F466" s="81">
        <v>4</v>
      </c>
      <c r="G466" s="81">
        <v>2</v>
      </c>
      <c r="H466" s="81">
        <v>4</v>
      </c>
      <c r="I466" s="101" t="s">
        <v>71</v>
      </c>
      <c r="J466" s="101" t="s">
        <v>71</v>
      </c>
      <c r="K466" s="80" t="s">
        <v>156</v>
      </c>
      <c r="L466" s="101" t="s">
        <v>1491</v>
      </c>
      <c r="M466" s="101" t="s">
        <v>1562</v>
      </c>
      <c r="N466" s="101">
        <v>1</v>
      </c>
      <c r="O466" s="101">
        <v>30</v>
      </c>
      <c r="P466" s="102">
        <v>30</v>
      </c>
      <c r="Q466" s="102">
        <v>6</v>
      </c>
      <c r="R466" s="102">
        <v>6</v>
      </c>
      <c r="S466" s="80" t="s">
        <v>1504</v>
      </c>
      <c r="T466" s="101" t="s">
        <v>1518</v>
      </c>
      <c r="U466" s="80"/>
    </row>
    <row r="467" spans="2:21" ht="12.75">
      <c r="B467" s="54" t="s">
        <v>1644</v>
      </c>
      <c r="C467" s="54" t="s">
        <v>34</v>
      </c>
      <c r="D467" s="81" t="s">
        <v>1091</v>
      </c>
      <c r="E467" s="80" t="s">
        <v>303</v>
      </c>
      <c r="F467" s="81">
        <v>4</v>
      </c>
      <c r="G467" s="81">
        <v>0</v>
      </c>
      <c r="H467" s="81">
        <v>4</v>
      </c>
      <c r="I467" s="101" t="s">
        <v>71</v>
      </c>
      <c r="J467" s="101" t="s">
        <v>71</v>
      </c>
      <c r="K467" s="80" t="s">
        <v>1061</v>
      </c>
      <c r="L467" s="101" t="s">
        <v>1488</v>
      </c>
      <c r="M467" s="101" t="s">
        <v>1562</v>
      </c>
      <c r="N467" s="101">
        <v>1</v>
      </c>
      <c r="O467" s="101">
        <v>60</v>
      </c>
      <c r="P467" s="102">
        <v>60</v>
      </c>
      <c r="Q467" s="102">
        <v>4</v>
      </c>
      <c r="R467" s="102">
        <v>4</v>
      </c>
      <c r="S467" s="80" t="s">
        <v>1558</v>
      </c>
      <c r="T467" s="101"/>
      <c r="U467" s="80"/>
    </row>
    <row r="468" spans="2:21" ht="12.75">
      <c r="B468" s="54" t="s">
        <v>1644</v>
      </c>
      <c r="C468" s="54" t="s">
        <v>34</v>
      </c>
      <c r="D468" s="81" t="s">
        <v>1091</v>
      </c>
      <c r="E468" s="80" t="s">
        <v>303</v>
      </c>
      <c r="F468" s="81">
        <v>4</v>
      </c>
      <c r="G468" s="81">
        <v>0</v>
      </c>
      <c r="H468" s="81">
        <v>4</v>
      </c>
      <c r="I468" s="101" t="s">
        <v>71</v>
      </c>
      <c r="J468" s="101" t="s">
        <v>71</v>
      </c>
      <c r="K468" s="80" t="s">
        <v>1061</v>
      </c>
      <c r="L468" s="101" t="s">
        <v>1491</v>
      </c>
      <c r="M468" s="101" t="s">
        <v>1562</v>
      </c>
      <c r="N468" s="101">
        <v>1</v>
      </c>
      <c r="O468" s="101">
        <v>60</v>
      </c>
      <c r="P468" s="102">
        <v>60</v>
      </c>
      <c r="Q468" s="102">
        <v>4</v>
      </c>
      <c r="R468" s="102">
        <v>4</v>
      </c>
      <c r="S468" s="80" t="s">
        <v>1558</v>
      </c>
      <c r="T468" s="101"/>
      <c r="U468" s="80"/>
    </row>
    <row r="469" spans="2:21" ht="12.75">
      <c r="B469" s="54" t="s">
        <v>1644</v>
      </c>
      <c r="C469" s="54" t="s">
        <v>34</v>
      </c>
      <c r="D469" s="81" t="s">
        <v>1223</v>
      </c>
      <c r="E469" s="80" t="s">
        <v>657</v>
      </c>
      <c r="F469" s="81">
        <v>3</v>
      </c>
      <c r="G469" s="81">
        <v>2</v>
      </c>
      <c r="H469" s="81">
        <v>4</v>
      </c>
      <c r="I469" s="101" t="s">
        <v>71</v>
      </c>
      <c r="J469" s="101" t="s">
        <v>71</v>
      </c>
      <c r="K469" s="80" t="s">
        <v>1061</v>
      </c>
      <c r="L469" s="101" t="s">
        <v>1488</v>
      </c>
      <c r="M469" s="101" t="s">
        <v>1562</v>
      </c>
      <c r="N469" s="101">
        <v>1</v>
      </c>
      <c r="O469" s="101">
        <v>30</v>
      </c>
      <c r="P469" s="102">
        <v>30</v>
      </c>
      <c r="Q469" s="102">
        <v>5</v>
      </c>
      <c r="R469" s="102">
        <v>5</v>
      </c>
      <c r="S469" s="80" t="s">
        <v>1504</v>
      </c>
      <c r="T469" s="101" t="s">
        <v>1518</v>
      </c>
      <c r="U469" s="80"/>
    </row>
    <row r="470" spans="2:21" ht="12.75">
      <c r="B470" s="54" t="s">
        <v>1644</v>
      </c>
      <c r="C470" s="54" t="s">
        <v>34</v>
      </c>
      <c r="D470" s="81" t="s">
        <v>1223</v>
      </c>
      <c r="E470" s="80" t="s">
        <v>657</v>
      </c>
      <c r="F470" s="81">
        <v>3</v>
      </c>
      <c r="G470" s="81">
        <v>2</v>
      </c>
      <c r="H470" s="81">
        <v>4</v>
      </c>
      <c r="I470" s="101" t="s">
        <v>71</v>
      </c>
      <c r="J470" s="101" t="s">
        <v>71</v>
      </c>
      <c r="K470" s="80" t="s">
        <v>1061</v>
      </c>
      <c r="L470" s="101" t="s">
        <v>1491</v>
      </c>
      <c r="M470" s="101" t="s">
        <v>1562</v>
      </c>
      <c r="N470" s="101">
        <v>1</v>
      </c>
      <c r="O470" s="101">
        <v>30</v>
      </c>
      <c r="P470" s="102">
        <v>30</v>
      </c>
      <c r="Q470" s="102">
        <v>5</v>
      </c>
      <c r="R470" s="102">
        <v>5</v>
      </c>
      <c r="S470" s="80" t="s">
        <v>1504</v>
      </c>
      <c r="T470" s="101" t="s">
        <v>1518</v>
      </c>
      <c r="U470" s="80"/>
    </row>
    <row r="471" spans="2:21" ht="12.75">
      <c r="B471" s="54" t="s">
        <v>1644</v>
      </c>
      <c r="C471" s="54" t="s">
        <v>34</v>
      </c>
      <c r="D471" s="81" t="s">
        <v>419</v>
      </c>
      <c r="E471" s="80" t="s">
        <v>420</v>
      </c>
      <c r="F471" s="81">
        <v>3</v>
      </c>
      <c r="G471" s="81">
        <v>2</v>
      </c>
      <c r="H471" s="81">
        <v>4</v>
      </c>
      <c r="I471" s="101" t="s">
        <v>71</v>
      </c>
      <c r="J471" s="101" t="s">
        <v>71</v>
      </c>
      <c r="K471" s="80" t="s">
        <v>373</v>
      </c>
      <c r="L471" s="101" t="s">
        <v>1488</v>
      </c>
      <c r="M471" s="101" t="s">
        <v>1562</v>
      </c>
      <c r="N471" s="101">
        <v>2</v>
      </c>
      <c r="O471" s="101">
        <v>30</v>
      </c>
      <c r="P471" s="102">
        <v>60</v>
      </c>
      <c r="Q471" s="102">
        <v>10</v>
      </c>
      <c r="R471" s="102">
        <v>10</v>
      </c>
      <c r="S471" s="80" t="s">
        <v>1504</v>
      </c>
      <c r="T471" s="101" t="s">
        <v>1518</v>
      </c>
      <c r="U471" s="80" t="s">
        <v>1556</v>
      </c>
    </row>
    <row r="472" spans="2:21" ht="12.75">
      <c r="B472" s="54" t="s">
        <v>1644</v>
      </c>
      <c r="C472" s="54" t="s">
        <v>34</v>
      </c>
      <c r="D472" s="81" t="s">
        <v>419</v>
      </c>
      <c r="E472" s="80" t="s">
        <v>420</v>
      </c>
      <c r="F472" s="81">
        <v>3</v>
      </c>
      <c r="G472" s="81">
        <v>2</v>
      </c>
      <c r="H472" s="81">
        <v>4</v>
      </c>
      <c r="I472" s="101" t="s">
        <v>71</v>
      </c>
      <c r="J472" s="101" t="s">
        <v>71</v>
      </c>
      <c r="K472" s="80" t="s">
        <v>373</v>
      </c>
      <c r="L472" s="101" t="s">
        <v>1491</v>
      </c>
      <c r="M472" s="101" t="s">
        <v>1562</v>
      </c>
      <c r="N472" s="101">
        <v>1</v>
      </c>
      <c r="O472" s="101">
        <v>30</v>
      </c>
      <c r="P472" s="102">
        <v>30</v>
      </c>
      <c r="Q472" s="102">
        <v>5</v>
      </c>
      <c r="R472" s="102">
        <v>5</v>
      </c>
      <c r="S472" s="80" t="s">
        <v>1504</v>
      </c>
      <c r="T472" s="101" t="s">
        <v>1518</v>
      </c>
      <c r="U472" s="80"/>
    </row>
    <row r="473" spans="2:21" ht="12.75">
      <c r="B473" s="54" t="s">
        <v>1644</v>
      </c>
      <c r="C473" s="54" t="s">
        <v>34</v>
      </c>
      <c r="D473" s="81" t="s">
        <v>756</v>
      </c>
      <c r="E473" s="80" t="s">
        <v>757</v>
      </c>
      <c r="F473" s="81">
        <v>2</v>
      </c>
      <c r="G473" s="81">
        <v>2</v>
      </c>
      <c r="H473" s="81">
        <v>4</v>
      </c>
      <c r="I473" s="101" t="s">
        <v>73</v>
      </c>
      <c r="J473" s="101" t="s">
        <v>73</v>
      </c>
      <c r="K473" s="80" t="s">
        <v>265</v>
      </c>
      <c r="L473" s="101" t="s">
        <v>1491</v>
      </c>
      <c r="M473" s="101" t="s">
        <v>1562</v>
      </c>
      <c r="N473" s="101">
        <v>1</v>
      </c>
      <c r="O473" s="101">
        <v>30</v>
      </c>
      <c r="P473" s="102">
        <v>30</v>
      </c>
      <c r="Q473" s="102">
        <v>4</v>
      </c>
      <c r="R473" s="102">
        <v>4</v>
      </c>
      <c r="S473" s="80" t="s">
        <v>1504</v>
      </c>
      <c r="T473" s="101" t="s">
        <v>1518</v>
      </c>
      <c r="U473" s="80"/>
    </row>
    <row r="474" spans="2:21" ht="12.75">
      <c r="B474" s="54" t="s">
        <v>1644</v>
      </c>
      <c r="C474" s="54" t="s">
        <v>34</v>
      </c>
      <c r="D474" s="81" t="s">
        <v>326</v>
      </c>
      <c r="E474" s="80" t="s">
        <v>327</v>
      </c>
      <c r="F474" s="81">
        <v>3</v>
      </c>
      <c r="G474" s="81">
        <v>1</v>
      </c>
      <c r="H474" s="81">
        <v>4</v>
      </c>
      <c r="I474" s="101" t="s">
        <v>73</v>
      </c>
      <c r="J474" s="101" t="s">
        <v>73</v>
      </c>
      <c r="K474" s="80" t="s">
        <v>146</v>
      </c>
      <c r="L474" s="101" t="s">
        <v>1491</v>
      </c>
      <c r="M474" s="101" t="s">
        <v>1562</v>
      </c>
      <c r="N474" s="101">
        <v>1</v>
      </c>
      <c r="O474" s="101">
        <v>30</v>
      </c>
      <c r="P474" s="102">
        <v>30</v>
      </c>
      <c r="Q474" s="102">
        <v>4</v>
      </c>
      <c r="R474" s="102">
        <v>4</v>
      </c>
      <c r="S474" s="80" t="s">
        <v>1504</v>
      </c>
      <c r="T474" s="101" t="s">
        <v>1505</v>
      </c>
      <c r="U474" s="80"/>
    </row>
    <row r="475" spans="2:21" ht="12.75">
      <c r="B475" s="54" t="s">
        <v>1644</v>
      </c>
      <c r="C475" s="54" t="s">
        <v>34</v>
      </c>
      <c r="D475" s="81" t="s">
        <v>324</v>
      </c>
      <c r="E475" s="80" t="s">
        <v>325</v>
      </c>
      <c r="F475" s="81">
        <v>3</v>
      </c>
      <c r="G475" s="81">
        <v>1</v>
      </c>
      <c r="H475" s="81">
        <v>4</v>
      </c>
      <c r="I475" s="101" t="s">
        <v>73</v>
      </c>
      <c r="J475" s="101" t="s">
        <v>73</v>
      </c>
      <c r="K475" s="80" t="s">
        <v>146</v>
      </c>
      <c r="L475" s="101" t="s">
        <v>1491</v>
      </c>
      <c r="M475" s="101" t="s">
        <v>1562</v>
      </c>
      <c r="N475" s="101">
        <v>1</v>
      </c>
      <c r="O475" s="101">
        <v>30</v>
      </c>
      <c r="P475" s="102">
        <v>30</v>
      </c>
      <c r="Q475" s="102">
        <v>4</v>
      </c>
      <c r="R475" s="102">
        <v>4</v>
      </c>
      <c r="S475" s="80" t="s">
        <v>1504</v>
      </c>
      <c r="T475" s="101" t="s">
        <v>1505</v>
      </c>
      <c r="U475" s="80"/>
    </row>
    <row r="476" spans="2:21" ht="12.75">
      <c r="B476" s="54" t="s">
        <v>1644</v>
      </c>
      <c r="C476" s="54" t="s">
        <v>34</v>
      </c>
      <c r="D476" s="81" t="s">
        <v>1171</v>
      </c>
      <c r="E476" s="80" t="s">
        <v>1172</v>
      </c>
      <c r="F476" s="81">
        <v>3</v>
      </c>
      <c r="G476" s="81">
        <v>1</v>
      </c>
      <c r="H476" s="81">
        <v>4</v>
      </c>
      <c r="I476" s="101" t="s">
        <v>73</v>
      </c>
      <c r="J476" s="101" t="s">
        <v>73</v>
      </c>
      <c r="K476" s="80" t="s">
        <v>321</v>
      </c>
      <c r="L476" s="101" t="s">
        <v>1491</v>
      </c>
      <c r="M476" s="101" t="s">
        <v>1562</v>
      </c>
      <c r="N476" s="101">
        <v>1</v>
      </c>
      <c r="O476" s="101">
        <v>30</v>
      </c>
      <c r="P476" s="102">
        <v>30</v>
      </c>
      <c r="Q476" s="102">
        <v>4</v>
      </c>
      <c r="R476" s="102">
        <v>4</v>
      </c>
      <c r="S476" s="80" t="s">
        <v>1504</v>
      </c>
      <c r="T476" s="101" t="s">
        <v>1518</v>
      </c>
      <c r="U476" s="80"/>
    </row>
    <row r="477" spans="2:21" ht="12.75">
      <c r="B477" s="54" t="s">
        <v>1644</v>
      </c>
      <c r="C477" s="54" t="s">
        <v>34</v>
      </c>
      <c r="D477" s="81" t="s">
        <v>1194</v>
      </c>
      <c r="E477" s="80" t="s">
        <v>1195</v>
      </c>
      <c r="F477" s="81">
        <v>3</v>
      </c>
      <c r="G477" s="81">
        <v>1</v>
      </c>
      <c r="H477" s="81">
        <v>4</v>
      </c>
      <c r="I477" s="101" t="s">
        <v>73</v>
      </c>
      <c r="J477" s="101" t="s">
        <v>73</v>
      </c>
      <c r="K477" s="80" t="s">
        <v>321</v>
      </c>
      <c r="L477" s="101" t="s">
        <v>1491</v>
      </c>
      <c r="M477" s="101" t="s">
        <v>1562</v>
      </c>
      <c r="N477" s="101">
        <v>1</v>
      </c>
      <c r="O477" s="101">
        <v>30</v>
      </c>
      <c r="P477" s="102">
        <v>30</v>
      </c>
      <c r="Q477" s="102">
        <v>4</v>
      </c>
      <c r="R477" s="102">
        <v>4</v>
      </c>
      <c r="S477" s="80" t="s">
        <v>1504</v>
      </c>
      <c r="T477" s="101" t="s">
        <v>1505</v>
      </c>
      <c r="U477" s="80"/>
    </row>
    <row r="478" spans="2:21" ht="12.75">
      <c r="B478" s="54" t="s">
        <v>1644</v>
      </c>
      <c r="C478" s="54" t="s">
        <v>34</v>
      </c>
      <c r="D478" s="81" t="s">
        <v>268</v>
      </c>
      <c r="E478" s="80" t="s">
        <v>269</v>
      </c>
      <c r="F478" s="81">
        <v>3</v>
      </c>
      <c r="G478" s="81">
        <v>1</v>
      </c>
      <c r="H478" s="81">
        <v>4</v>
      </c>
      <c r="I478" s="101" t="s">
        <v>73</v>
      </c>
      <c r="J478" s="101" t="s">
        <v>73</v>
      </c>
      <c r="K478" s="80" t="s">
        <v>270</v>
      </c>
      <c r="L478" s="101" t="s">
        <v>1488</v>
      </c>
      <c r="M478" s="101" t="s">
        <v>1562</v>
      </c>
      <c r="N478" s="101">
        <v>1</v>
      </c>
      <c r="O478" s="101">
        <v>30</v>
      </c>
      <c r="P478" s="102">
        <v>30</v>
      </c>
      <c r="Q478" s="102">
        <v>4</v>
      </c>
      <c r="R478" s="102">
        <v>4</v>
      </c>
      <c r="S478" s="80" t="s">
        <v>1504</v>
      </c>
      <c r="T478" s="101" t="s">
        <v>1505</v>
      </c>
      <c r="U478" s="80"/>
    </row>
    <row r="479" spans="2:21" ht="12.75">
      <c r="B479" s="54" t="s">
        <v>1644</v>
      </c>
      <c r="C479" s="54" t="s">
        <v>34</v>
      </c>
      <c r="D479" s="81" t="s">
        <v>268</v>
      </c>
      <c r="E479" s="80" t="s">
        <v>269</v>
      </c>
      <c r="F479" s="81">
        <v>3</v>
      </c>
      <c r="G479" s="81">
        <v>1</v>
      </c>
      <c r="H479" s="81">
        <v>4</v>
      </c>
      <c r="I479" s="101" t="s">
        <v>73</v>
      </c>
      <c r="J479" s="101" t="s">
        <v>73</v>
      </c>
      <c r="K479" s="80" t="s">
        <v>270</v>
      </c>
      <c r="L479" s="101" t="s">
        <v>1491</v>
      </c>
      <c r="M479" s="101" t="s">
        <v>1562</v>
      </c>
      <c r="N479" s="101">
        <v>1</v>
      </c>
      <c r="O479" s="101">
        <v>30</v>
      </c>
      <c r="P479" s="102">
        <v>30</v>
      </c>
      <c r="Q479" s="102">
        <v>4</v>
      </c>
      <c r="R479" s="102">
        <v>4</v>
      </c>
      <c r="S479" s="80" t="s">
        <v>1504</v>
      </c>
      <c r="T479" s="101" t="s">
        <v>1505</v>
      </c>
      <c r="U479" s="80"/>
    </row>
    <row r="480" spans="2:21" ht="12.75">
      <c r="B480" s="54" t="s">
        <v>1644</v>
      </c>
      <c r="C480" s="54" t="s">
        <v>34</v>
      </c>
      <c r="D480" s="81" t="s">
        <v>322</v>
      </c>
      <c r="E480" s="80" t="s">
        <v>323</v>
      </c>
      <c r="F480" s="81">
        <v>3</v>
      </c>
      <c r="G480" s="81">
        <v>1</v>
      </c>
      <c r="H480" s="81">
        <v>4</v>
      </c>
      <c r="I480" s="101" t="s">
        <v>73</v>
      </c>
      <c r="J480" s="101" t="s">
        <v>73</v>
      </c>
      <c r="K480" s="80" t="s">
        <v>146</v>
      </c>
      <c r="L480" s="101" t="s">
        <v>1491</v>
      </c>
      <c r="M480" s="101" t="s">
        <v>1562</v>
      </c>
      <c r="N480" s="101">
        <v>1</v>
      </c>
      <c r="O480" s="101">
        <v>30</v>
      </c>
      <c r="P480" s="102">
        <v>30</v>
      </c>
      <c r="Q480" s="102">
        <v>4</v>
      </c>
      <c r="R480" s="102">
        <v>4</v>
      </c>
      <c r="S480" s="80" t="s">
        <v>1504</v>
      </c>
      <c r="T480" s="101" t="s">
        <v>1505</v>
      </c>
      <c r="U480" s="80"/>
    </row>
    <row r="481" spans="1:21" ht="12.75">
      <c r="B481" s="54" t="s">
        <v>1644</v>
      </c>
      <c r="C481" s="54" t="s">
        <v>34</v>
      </c>
      <c r="D481" s="81" t="s">
        <v>306</v>
      </c>
      <c r="E481" s="80" t="s">
        <v>307</v>
      </c>
      <c r="F481" s="81">
        <v>3</v>
      </c>
      <c r="G481" s="81">
        <v>0</v>
      </c>
      <c r="H481" s="81">
        <v>4</v>
      </c>
      <c r="I481" s="101" t="s">
        <v>73</v>
      </c>
      <c r="J481" s="101" t="s">
        <v>73</v>
      </c>
      <c r="K481" s="80" t="s">
        <v>308</v>
      </c>
      <c r="L481" s="101" t="s">
        <v>1488</v>
      </c>
      <c r="M481" s="101" t="s">
        <v>1562</v>
      </c>
      <c r="N481" s="101">
        <v>1</v>
      </c>
      <c r="O481" s="101">
        <v>60</v>
      </c>
      <c r="P481" s="102">
        <v>60</v>
      </c>
      <c r="Q481" s="102">
        <v>3</v>
      </c>
      <c r="R481" s="102">
        <v>3</v>
      </c>
      <c r="S481" s="80" t="s">
        <v>1558</v>
      </c>
      <c r="T481" s="101"/>
      <c r="U481" s="80"/>
    </row>
    <row r="482" spans="1:21" ht="12.75">
      <c r="B482" s="54" t="s">
        <v>1644</v>
      </c>
      <c r="C482" s="54" t="s">
        <v>34</v>
      </c>
      <c r="D482" s="81" t="s">
        <v>306</v>
      </c>
      <c r="E482" s="80" t="s">
        <v>307</v>
      </c>
      <c r="F482" s="81">
        <v>3</v>
      </c>
      <c r="G482" s="81">
        <v>0</v>
      </c>
      <c r="H482" s="81">
        <v>4</v>
      </c>
      <c r="I482" s="101" t="s">
        <v>73</v>
      </c>
      <c r="J482" s="101" t="s">
        <v>73</v>
      </c>
      <c r="K482" s="80" t="s">
        <v>308</v>
      </c>
      <c r="L482" s="101" t="s">
        <v>1491</v>
      </c>
      <c r="M482" s="101" t="s">
        <v>1562</v>
      </c>
      <c r="N482" s="101">
        <v>1</v>
      </c>
      <c r="O482" s="101">
        <v>60</v>
      </c>
      <c r="P482" s="102">
        <v>60</v>
      </c>
      <c r="Q482" s="102">
        <v>3</v>
      </c>
      <c r="R482" s="102">
        <v>3</v>
      </c>
      <c r="S482" s="80" t="s">
        <v>1558</v>
      </c>
      <c r="T482" s="101"/>
      <c r="U482" s="80"/>
    </row>
    <row r="483" spans="1:21" ht="12.75">
      <c r="B483" s="54" t="s">
        <v>1644</v>
      </c>
      <c r="C483" s="54" t="s">
        <v>34</v>
      </c>
      <c r="D483" s="81" t="s">
        <v>767</v>
      </c>
      <c r="E483" s="80" t="s">
        <v>768</v>
      </c>
      <c r="F483" s="81">
        <v>3</v>
      </c>
      <c r="G483" s="81">
        <v>1</v>
      </c>
      <c r="H483" s="81">
        <v>4</v>
      </c>
      <c r="I483" s="101" t="s">
        <v>73</v>
      </c>
      <c r="J483" s="101" t="s">
        <v>73</v>
      </c>
      <c r="K483" s="80" t="s">
        <v>626</v>
      </c>
      <c r="L483" s="101" t="s">
        <v>1488</v>
      </c>
      <c r="M483" s="101" t="s">
        <v>1562</v>
      </c>
      <c r="N483" s="101">
        <v>1</v>
      </c>
      <c r="O483" s="101">
        <v>30</v>
      </c>
      <c r="P483" s="102">
        <v>30</v>
      </c>
      <c r="Q483" s="102">
        <v>4</v>
      </c>
      <c r="R483" s="102">
        <v>4</v>
      </c>
      <c r="S483" s="80" t="s">
        <v>1504</v>
      </c>
      <c r="T483" s="101" t="s">
        <v>1505</v>
      </c>
      <c r="U483" s="80"/>
    </row>
    <row r="484" spans="1:21" ht="12.75">
      <c r="B484" s="54" t="s">
        <v>1644</v>
      </c>
      <c r="C484" s="54" t="s">
        <v>34</v>
      </c>
      <c r="D484" s="81" t="s">
        <v>767</v>
      </c>
      <c r="E484" s="80" t="s">
        <v>768</v>
      </c>
      <c r="F484" s="81">
        <v>3</v>
      </c>
      <c r="G484" s="81">
        <v>1</v>
      </c>
      <c r="H484" s="81">
        <v>4</v>
      </c>
      <c r="I484" s="101" t="s">
        <v>73</v>
      </c>
      <c r="J484" s="101" t="s">
        <v>73</v>
      </c>
      <c r="K484" s="80" t="s">
        <v>626</v>
      </c>
      <c r="L484" s="101" t="s">
        <v>1491</v>
      </c>
      <c r="M484" s="101" t="s">
        <v>1562</v>
      </c>
      <c r="N484" s="101">
        <v>1</v>
      </c>
      <c r="O484" s="101">
        <v>30</v>
      </c>
      <c r="P484" s="102">
        <v>30</v>
      </c>
      <c r="Q484" s="102">
        <v>4</v>
      </c>
      <c r="R484" s="102">
        <v>4</v>
      </c>
      <c r="S484" s="80" t="s">
        <v>1504</v>
      </c>
      <c r="T484" s="101" t="s">
        <v>1505</v>
      </c>
      <c r="U484" s="80"/>
    </row>
    <row r="485" spans="1:21" ht="12.75">
      <c r="B485" s="54" t="s">
        <v>1644</v>
      </c>
      <c r="C485" s="54" t="s">
        <v>34</v>
      </c>
      <c r="D485" s="81" t="s">
        <v>1117</v>
      </c>
      <c r="E485" s="80" t="s">
        <v>1118</v>
      </c>
      <c r="F485" s="81">
        <v>3</v>
      </c>
      <c r="G485" s="81">
        <v>1</v>
      </c>
      <c r="H485" s="81">
        <v>4</v>
      </c>
      <c r="I485" s="101" t="s">
        <v>73</v>
      </c>
      <c r="J485" s="101" t="s">
        <v>73</v>
      </c>
      <c r="K485" s="80" t="s">
        <v>1119</v>
      </c>
      <c r="L485" s="101" t="s">
        <v>1488</v>
      </c>
      <c r="M485" s="101" t="s">
        <v>1562</v>
      </c>
      <c r="N485" s="101">
        <v>1</v>
      </c>
      <c r="O485" s="101">
        <v>30</v>
      </c>
      <c r="P485" s="102">
        <v>30</v>
      </c>
      <c r="Q485" s="102">
        <v>4</v>
      </c>
      <c r="R485" s="102">
        <v>4</v>
      </c>
      <c r="S485" s="80" t="s">
        <v>1504</v>
      </c>
      <c r="T485" s="101" t="s">
        <v>1505</v>
      </c>
      <c r="U485" s="80"/>
    </row>
    <row r="486" spans="1:21" ht="12.75">
      <c r="A486" s="1" t="s">
        <v>1672</v>
      </c>
      <c r="B486" s="54" t="s">
        <v>1644</v>
      </c>
      <c r="C486" s="54" t="s">
        <v>34</v>
      </c>
      <c r="D486" s="81" t="s">
        <v>1560</v>
      </c>
      <c r="E486" s="80" t="s">
        <v>1249</v>
      </c>
      <c r="F486" s="81">
        <v>3</v>
      </c>
      <c r="G486" s="81">
        <v>1</v>
      </c>
      <c r="H486" s="81">
        <v>4</v>
      </c>
      <c r="I486" s="101" t="s">
        <v>73</v>
      </c>
      <c r="J486" s="101" t="s">
        <v>73</v>
      </c>
      <c r="K486" s="80" t="s">
        <v>109</v>
      </c>
      <c r="L486" s="101" t="s">
        <v>1488</v>
      </c>
      <c r="M486" s="101" t="s">
        <v>1562</v>
      </c>
      <c r="N486" s="101">
        <v>1</v>
      </c>
      <c r="O486" s="101">
        <v>30</v>
      </c>
      <c r="P486" s="102">
        <v>30</v>
      </c>
      <c r="Q486" s="102">
        <v>4</v>
      </c>
      <c r="R486" s="102">
        <v>4</v>
      </c>
      <c r="S486" s="80" t="s">
        <v>1504</v>
      </c>
      <c r="T486" s="101" t="s">
        <v>1505</v>
      </c>
      <c r="U486" s="80"/>
    </row>
    <row r="487" spans="1:21" ht="12.75">
      <c r="B487" s="55" t="s">
        <v>55</v>
      </c>
      <c r="C487" s="55" t="s">
        <v>35</v>
      </c>
      <c r="D487" s="81" t="s">
        <v>852</v>
      </c>
      <c r="E487" s="80" t="s">
        <v>439</v>
      </c>
      <c r="F487" s="81">
        <v>3</v>
      </c>
      <c r="G487" s="81">
        <v>1</v>
      </c>
      <c r="H487" s="81">
        <v>4</v>
      </c>
      <c r="I487" s="101" t="s">
        <v>71</v>
      </c>
      <c r="J487" s="101" t="s">
        <v>71</v>
      </c>
      <c r="K487" s="80" t="s">
        <v>250</v>
      </c>
      <c r="L487" s="101" t="s">
        <v>1488</v>
      </c>
      <c r="M487" s="101" t="s">
        <v>1562</v>
      </c>
      <c r="N487" s="101">
        <v>1</v>
      </c>
      <c r="O487" s="101">
        <v>30</v>
      </c>
      <c r="P487" s="102">
        <v>30</v>
      </c>
      <c r="Q487" s="102">
        <v>4</v>
      </c>
      <c r="R487" s="102">
        <v>4</v>
      </c>
      <c r="S487" s="80" t="s">
        <v>1504</v>
      </c>
      <c r="T487" s="101" t="s">
        <v>1505</v>
      </c>
      <c r="U487" s="80"/>
    </row>
    <row r="488" spans="1:21" ht="12.75">
      <c r="B488" s="55" t="s">
        <v>55</v>
      </c>
      <c r="C488" s="55" t="s">
        <v>35</v>
      </c>
      <c r="D488" s="81" t="s">
        <v>852</v>
      </c>
      <c r="E488" s="80" t="s">
        <v>439</v>
      </c>
      <c r="F488" s="81">
        <v>3</v>
      </c>
      <c r="G488" s="81">
        <v>1</v>
      </c>
      <c r="H488" s="81">
        <v>4</v>
      </c>
      <c r="I488" s="101" t="s">
        <v>71</v>
      </c>
      <c r="J488" s="101" t="s">
        <v>71</v>
      </c>
      <c r="K488" s="80" t="s">
        <v>250</v>
      </c>
      <c r="L488" s="101" t="s">
        <v>1491</v>
      </c>
      <c r="M488" s="101" t="s">
        <v>1562</v>
      </c>
      <c r="N488" s="101">
        <v>1</v>
      </c>
      <c r="O488" s="101">
        <v>30</v>
      </c>
      <c r="P488" s="102">
        <v>30</v>
      </c>
      <c r="Q488" s="102">
        <v>4</v>
      </c>
      <c r="R488" s="102">
        <v>4</v>
      </c>
      <c r="S488" s="80" t="s">
        <v>1504</v>
      </c>
      <c r="T488" s="101" t="s">
        <v>1505</v>
      </c>
      <c r="U488" s="80"/>
    </row>
    <row r="489" spans="1:21" ht="12.75">
      <c r="B489" s="55" t="s">
        <v>55</v>
      </c>
      <c r="C489" s="55" t="s">
        <v>35</v>
      </c>
      <c r="D489" s="81" t="s">
        <v>861</v>
      </c>
      <c r="E489" s="80" t="s">
        <v>862</v>
      </c>
      <c r="F489" s="81">
        <v>3</v>
      </c>
      <c r="G489" s="81">
        <v>1</v>
      </c>
      <c r="H489" s="81">
        <v>4</v>
      </c>
      <c r="I489" s="101" t="s">
        <v>71</v>
      </c>
      <c r="J489" s="101" t="s">
        <v>71</v>
      </c>
      <c r="K489" s="80" t="s">
        <v>250</v>
      </c>
      <c r="L489" s="101" t="s">
        <v>1488</v>
      </c>
      <c r="M489" s="101" t="s">
        <v>1562</v>
      </c>
      <c r="N489" s="101">
        <v>1</v>
      </c>
      <c r="O489" s="101">
        <v>30</v>
      </c>
      <c r="P489" s="102">
        <v>30</v>
      </c>
      <c r="Q489" s="102">
        <v>4</v>
      </c>
      <c r="R489" s="102">
        <v>4</v>
      </c>
      <c r="S489" s="80" t="s">
        <v>1515</v>
      </c>
      <c r="T489" s="101" t="s">
        <v>1505</v>
      </c>
      <c r="U489" s="80"/>
    </row>
    <row r="490" spans="1:21" ht="12.75">
      <c r="B490" s="55" t="s">
        <v>55</v>
      </c>
      <c r="C490" s="55" t="s">
        <v>35</v>
      </c>
      <c r="D490" s="81" t="s">
        <v>861</v>
      </c>
      <c r="E490" s="80" t="s">
        <v>862</v>
      </c>
      <c r="F490" s="81">
        <v>3</v>
      </c>
      <c r="G490" s="81">
        <v>1</v>
      </c>
      <c r="H490" s="81">
        <v>4</v>
      </c>
      <c r="I490" s="101" t="s">
        <v>71</v>
      </c>
      <c r="J490" s="101" t="s">
        <v>71</v>
      </c>
      <c r="K490" s="80" t="s">
        <v>250</v>
      </c>
      <c r="L490" s="101" t="s">
        <v>1491</v>
      </c>
      <c r="M490" s="101" t="s">
        <v>1562</v>
      </c>
      <c r="N490" s="101">
        <v>1</v>
      </c>
      <c r="O490" s="101">
        <v>30</v>
      </c>
      <c r="P490" s="102">
        <v>30</v>
      </c>
      <c r="Q490" s="102">
        <v>4</v>
      </c>
      <c r="R490" s="102">
        <v>4</v>
      </c>
      <c r="S490" s="80" t="s">
        <v>1515</v>
      </c>
      <c r="T490" s="101" t="s">
        <v>1505</v>
      </c>
      <c r="U490" s="80"/>
    </row>
    <row r="491" spans="1:21" ht="12.75">
      <c r="B491" s="55" t="s">
        <v>55</v>
      </c>
      <c r="C491" s="55" t="s">
        <v>35</v>
      </c>
      <c r="D491" s="81" t="s">
        <v>846</v>
      </c>
      <c r="E491" s="80" t="s">
        <v>243</v>
      </c>
      <c r="F491" s="81">
        <v>3</v>
      </c>
      <c r="G491" s="81">
        <v>1</v>
      </c>
      <c r="H491" s="81">
        <v>4</v>
      </c>
      <c r="I491" s="101" t="s">
        <v>71</v>
      </c>
      <c r="J491" s="101" t="s">
        <v>71</v>
      </c>
      <c r="K491" s="80" t="s">
        <v>250</v>
      </c>
      <c r="L491" s="101" t="s">
        <v>1488</v>
      </c>
      <c r="M491" s="101" t="s">
        <v>1562</v>
      </c>
      <c r="N491" s="101">
        <v>1</v>
      </c>
      <c r="O491" s="101">
        <v>30</v>
      </c>
      <c r="P491" s="102">
        <v>30</v>
      </c>
      <c r="Q491" s="102">
        <v>4</v>
      </c>
      <c r="R491" s="102">
        <v>4</v>
      </c>
      <c r="S491" s="80" t="s">
        <v>1504</v>
      </c>
      <c r="T491" s="101" t="s">
        <v>1505</v>
      </c>
      <c r="U491" s="80"/>
    </row>
    <row r="492" spans="1:21" ht="12.75">
      <c r="B492" s="55" t="s">
        <v>55</v>
      </c>
      <c r="C492" s="55" t="s">
        <v>35</v>
      </c>
      <c r="D492" s="81" t="s">
        <v>846</v>
      </c>
      <c r="E492" s="80" t="s">
        <v>243</v>
      </c>
      <c r="F492" s="81">
        <v>3</v>
      </c>
      <c r="G492" s="81">
        <v>1</v>
      </c>
      <c r="H492" s="81">
        <v>4</v>
      </c>
      <c r="I492" s="101" t="s">
        <v>71</v>
      </c>
      <c r="J492" s="101" t="s">
        <v>71</v>
      </c>
      <c r="K492" s="80" t="s">
        <v>250</v>
      </c>
      <c r="L492" s="101" t="s">
        <v>1491</v>
      </c>
      <c r="M492" s="101" t="s">
        <v>1562</v>
      </c>
      <c r="N492" s="101">
        <v>1</v>
      </c>
      <c r="O492" s="101">
        <v>30</v>
      </c>
      <c r="P492" s="102">
        <v>30</v>
      </c>
      <c r="Q492" s="102">
        <v>4</v>
      </c>
      <c r="R492" s="102">
        <v>4</v>
      </c>
      <c r="S492" s="80" t="s">
        <v>1504</v>
      </c>
      <c r="T492" s="101" t="s">
        <v>1505</v>
      </c>
      <c r="U492" s="80"/>
    </row>
    <row r="493" spans="1:21" ht="12.75">
      <c r="B493" s="55" t="s">
        <v>55</v>
      </c>
      <c r="C493" s="55" t="s">
        <v>35</v>
      </c>
      <c r="D493" s="81" t="s">
        <v>847</v>
      </c>
      <c r="E493" s="80" t="s">
        <v>848</v>
      </c>
      <c r="F493" s="81">
        <v>3</v>
      </c>
      <c r="G493" s="81">
        <v>1</v>
      </c>
      <c r="H493" s="81">
        <v>4</v>
      </c>
      <c r="I493" s="101" t="s">
        <v>71</v>
      </c>
      <c r="J493" s="101" t="s">
        <v>71</v>
      </c>
      <c r="K493" s="80" t="s">
        <v>251</v>
      </c>
      <c r="L493" s="101" t="s">
        <v>1488</v>
      </c>
      <c r="M493" s="101" t="s">
        <v>1562</v>
      </c>
      <c r="N493" s="101">
        <v>1</v>
      </c>
      <c r="O493" s="101">
        <v>30</v>
      </c>
      <c r="P493" s="102">
        <v>30</v>
      </c>
      <c r="Q493" s="102">
        <v>4</v>
      </c>
      <c r="R493" s="102">
        <v>4</v>
      </c>
      <c r="S493" s="80" t="s">
        <v>1515</v>
      </c>
      <c r="T493" s="101" t="s">
        <v>1505</v>
      </c>
      <c r="U493" s="80"/>
    </row>
    <row r="494" spans="1:21" ht="12.75">
      <c r="B494" s="55" t="s">
        <v>55</v>
      </c>
      <c r="C494" s="55" t="s">
        <v>35</v>
      </c>
      <c r="D494" s="81" t="s">
        <v>847</v>
      </c>
      <c r="E494" s="80" t="s">
        <v>848</v>
      </c>
      <c r="F494" s="81">
        <v>3</v>
      </c>
      <c r="G494" s="81">
        <v>1</v>
      </c>
      <c r="H494" s="81">
        <v>4</v>
      </c>
      <c r="I494" s="101" t="s">
        <v>71</v>
      </c>
      <c r="J494" s="101" t="s">
        <v>71</v>
      </c>
      <c r="K494" s="80" t="s">
        <v>251</v>
      </c>
      <c r="L494" s="101" t="s">
        <v>1491</v>
      </c>
      <c r="M494" s="101" t="s">
        <v>1562</v>
      </c>
      <c r="N494" s="101">
        <v>1</v>
      </c>
      <c r="O494" s="101">
        <v>30</v>
      </c>
      <c r="P494" s="102">
        <v>30</v>
      </c>
      <c r="Q494" s="102">
        <v>4</v>
      </c>
      <c r="R494" s="102">
        <v>4</v>
      </c>
      <c r="S494" s="80" t="s">
        <v>1515</v>
      </c>
      <c r="T494" s="101" t="s">
        <v>1505</v>
      </c>
      <c r="U494" s="80"/>
    </row>
    <row r="495" spans="1:21" ht="12.75">
      <c r="B495" s="55" t="s">
        <v>55</v>
      </c>
      <c r="C495" s="55" t="s">
        <v>35</v>
      </c>
      <c r="D495" s="81" t="s">
        <v>1179</v>
      </c>
      <c r="E495" s="80" t="s">
        <v>1180</v>
      </c>
      <c r="F495" s="81">
        <v>4</v>
      </c>
      <c r="G495" s="81">
        <v>0</v>
      </c>
      <c r="H495" s="81">
        <v>4</v>
      </c>
      <c r="I495" s="101" t="s">
        <v>71</v>
      </c>
      <c r="J495" s="101" t="s">
        <v>71</v>
      </c>
      <c r="K495" s="80" t="s">
        <v>1181</v>
      </c>
      <c r="L495" s="101" t="s">
        <v>1488</v>
      </c>
      <c r="M495" s="101" t="s">
        <v>1562</v>
      </c>
      <c r="N495" s="101">
        <v>1</v>
      </c>
      <c r="O495" s="101">
        <v>60</v>
      </c>
      <c r="P495" s="102">
        <v>60</v>
      </c>
      <c r="Q495" s="102">
        <v>4</v>
      </c>
      <c r="R495" s="102">
        <v>4</v>
      </c>
      <c r="S495" s="80"/>
      <c r="T495" s="101"/>
      <c r="U495" s="80"/>
    </row>
    <row r="496" spans="1:21" ht="12.75">
      <c r="B496" s="55" t="s">
        <v>55</v>
      </c>
      <c r="C496" s="55" t="s">
        <v>35</v>
      </c>
      <c r="D496" s="81" t="s">
        <v>1179</v>
      </c>
      <c r="E496" s="80" t="s">
        <v>1180</v>
      </c>
      <c r="F496" s="81">
        <v>4</v>
      </c>
      <c r="G496" s="81">
        <v>0</v>
      </c>
      <c r="H496" s="81">
        <v>4</v>
      </c>
      <c r="I496" s="101" t="s">
        <v>71</v>
      </c>
      <c r="J496" s="101" t="s">
        <v>71</v>
      </c>
      <c r="K496" s="80" t="s">
        <v>1181</v>
      </c>
      <c r="L496" s="101" t="s">
        <v>1491</v>
      </c>
      <c r="M496" s="101" t="s">
        <v>1562</v>
      </c>
      <c r="N496" s="101">
        <v>1</v>
      </c>
      <c r="O496" s="101">
        <v>60</v>
      </c>
      <c r="P496" s="102">
        <v>60</v>
      </c>
      <c r="Q496" s="102">
        <v>4</v>
      </c>
      <c r="R496" s="102">
        <v>4</v>
      </c>
      <c r="S496" s="80"/>
      <c r="T496" s="101"/>
      <c r="U496" s="80"/>
    </row>
    <row r="497" spans="1:21" ht="12.75">
      <c r="B497" s="55" t="s">
        <v>55</v>
      </c>
      <c r="C497" s="55" t="s">
        <v>35</v>
      </c>
      <c r="D497" s="81" t="s">
        <v>352</v>
      </c>
      <c r="E497" s="80" t="s">
        <v>353</v>
      </c>
      <c r="F497" s="81">
        <v>4</v>
      </c>
      <c r="G497" s="81">
        <v>0</v>
      </c>
      <c r="H497" s="81">
        <v>4</v>
      </c>
      <c r="I497" s="101" t="s">
        <v>73</v>
      </c>
      <c r="J497" s="101" t="s">
        <v>73</v>
      </c>
      <c r="K497" s="80" t="s">
        <v>354</v>
      </c>
      <c r="L497" s="101" t="s">
        <v>1491</v>
      </c>
      <c r="M497" s="101" t="s">
        <v>1562</v>
      </c>
      <c r="N497" s="101">
        <v>1</v>
      </c>
      <c r="O497" s="101">
        <v>60</v>
      </c>
      <c r="P497" s="102">
        <v>60</v>
      </c>
      <c r="Q497" s="102">
        <v>4</v>
      </c>
      <c r="R497" s="102">
        <v>4</v>
      </c>
      <c r="S497" s="80"/>
      <c r="T497" s="101"/>
      <c r="U497" s="80"/>
    </row>
    <row r="498" spans="1:21" ht="12.75">
      <c r="B498" s="55" t="s">
        <v>55</v>
      </c>
      <c r="C498" s="55" t="s">
        <v>35</v>
      </c>
      <c r="D498" s="81" t="s">
        <v>1207</v>
      </c>
      <c r="E498" s="80" t="s">
        <v>1208</v>
      </c>
      <c r="F498" s="81">
        <v>3</v>
      </c>
      <c r="G498" s="81">
        <v>1</v>
      </c>
      <c r="H498" s="81">
        <v>4</v>
      </c>
      <c r="I498" s="101" t="s">
        <v>73</v>
      </c>
      <c r="J498" s="101" t="s">
        <v>73</v>
      </c>
      <c r="K498" s="80" t="s">
        <v>634</v>
      </c>
      <c r="L498" s="101" t="s">
        <v>1491</v>
      </c>
      <c r="M498" s="101" t="s">
        <v>1562</v>
      </c>
      <c r="N498" s="101">
        <v>1</v>
      </c>
      <c r="O498" s="101">
        <v>30</v>
      </c>
      <c r="P498" s="102">
        <v>30</v>
      </c>
      <c r="Q498" s="102">
        <v>4</v>
      </c>
      <c r="R498" s="102">
        <v>4</v>
      </c>
      <c r="S498" s="80" t="s">
        <v>1515</v>
      </c>
      <c r="T498" s="101" t="s">
        <v>1505</v>
      </c>
      <c r="U498" s="80"/>
    </row>
    <row r="499" spans="1:21" ht="12.75">
      <c r="B499" s="55" t="s">
        <v>55</v>
      </c>
      <c r="C499" s="55" t="s">
        <v>35</v>
      </c>
      <c r="D499" s="81" t="s">
        <v>1084</v>
      </c>
      <c r="E499" s="80" t="s">
        <v>1085</v>
      </c>
      <c r="F499" s="81">
        <v>3</v>
      </c>
      <c r="G499" s="81">
        <v>1</v>
      </c>
      <c r="H499" s="81">
        <v>4</v>
      </c>
      <c r="I499" s="101" t="s">
        <v>73</v>
      </c>
      <c r="J499" s="101" t="s">
        <v>73</v>
      </c>
      <c r="K499" s="80" t="s">
        <v>243</v>
      </c>
      <c r="L499" s="101" t="s">
        <v>1491</v>
      </c>
      <c r="M499" s="101" t="s">
        <v>1562</v>
      </c>
      <c r="N499" s="101">
        <v>1</v>
      </c>
      <c r="O499" s="101">
        <v>30</v>
      </c>
      <c r="P499" s="102">
        <v>30</v>
      </c>
      <c r="Q499" s="102">
        <v>4</v>
      </c>
      <c r="R499" s="102">
        <v>4</v>
      </c>
      <c r="S499" s="80" t="s">
        <v>1515</v>
      </c>
      <c r="T499" s="101" t="s">
        <v>1505</v>
      </c>
      <c r="U499" s="80"/>
    </row>
    <row r="500" spans="1:21" ht="12.75">
      <c r="B500" s="55" t="s">
        <v>55</v>
      </c>
      <c r="C500" s="55" t="s">
        <v>35</v>
      </c>
      <c r="D500" s="81" t="s">
        <v>1094</v>
      </c>
      <c r="E500" s="80" t="s">
        <v>1095</v>
      </c>
      <c r="F500" s="81">
        <v>3</v>
      </c>
      <c r="G500" s="81">
        <v>1</v>
      </c>
      <c r="H500" s="81">
        <v>4</v>
      </c>
      <c r="I500" s="101" t="s">
        <v>73</v>
      </c>
      <c r="J500" s="101" t="s">
        <v>73</v>
      </c>
      <c r="K500" s="80" t="s">
        <v>439</v>
      </c>
      <c r="L500" s="101" t="s">
        <v>1491</v>
      </c>
      <c r="M500" s="101" t="s">
        <v>1562</v>
      </c>
      <c r="N500" s="101">
        <v>1</v>
      </c>
      <c r="O500" s="101">
        <v>30</v>
      </c>
      <c r="P500" s="102">
        <v>30</v>
      </c>
      <c r="Q500" s="102">
        <v>4</v>
      </c>
      <c r="R500" s="102">
        <v>4</v>
      </c>
      <c r="S500" s="80" t="s">
        <v>1504</v>
      </c>
      <c r="T500" s="101" t="s">
        <v>1505</v>
      </c>
      <c r="U500" s="80"/>
    </row>
    <row r="501" spans="1:21" s="87" customFormat="1" ht="12.75">
      <c r="A501" s="4"/>
      <c r="B501" s="55" t="s">
        <v>55</v>
      </c>
      <c r="C501" s="55" t="s">
        <v>35</v>
      </c>
      <c r="D501" s="81" t="s">
        <v>853</v>
      </c>
      <c r="E501" s="80" t="s">
        <v>854</v>
      </c>
      <c r="F501" s="81">
        <v>4</v>
      </c>
      <c r="G501" s="81">
        <v>0</v>
      </c>
      <c r="H501" s="81">
        <v>4</v>
      </c>
      <c r="I501" s="101" t="s">
        <v>73</v>
      </c>
      <c r="J501" s="101" t="s">
        <v>73</v>
      </c>
      <c r="K501" s="80" t="s">
        <v>855</v>
      </c>
      <c r="L501" s="101" t="s">
        <v>1491</v>
      </c>
      <c r="M501" s="101" t="s">
        <v>1562</v>
      </c>
      <c r="N501" s="101">
        <v>1</v>
      </c>
      <c r="O501" s="101">
        <v>60</v>
      </c>
      <c r="P501" s="102">
        <v>60</v>
      </c>
      <c r="Q501" s="102">
        <v>4</v>
      </c>
      <c r="R501" s="102">
        <v>4</v>
      </c>
      <c r="S501" s="80"/>
      <c r="T501" s="101"/>
      <c r="U501" s="80"/>
    </row>
    <row r="502" spans="1:21" s="87" customFormat="1" ht="12.75">
      <c r="A502" s="4"/>
      <c r="B502" s="55" t="s">
        <v>55</v>
      </c>
      <c r="C502" s="55" t="s">
        <v>35</v>
      </c>
      <c r="D502" s="81" t="s">
        <v>209</v>
      </c>
      <c r="E502" s="80" t="s">
        <v>210</v>
      </c>
      <c r="F502" s="81">
        <v>3</v>
      </c>
      <c r="G502" s="81">
        <v>1</v>
      </c>
      <c r="H502" s="81">
        <v>4</v>
      </c>
      <c r="I502" s="101" t="s">
        <v>73</v>
      </c>
      <c r="J502" s="101" t="s">
        <v>73</v>
      </c>
      <c r="K502" s="80" t="s">
        <v>211</v>
      </c>
      <c r="L502" s="101" t="s">
        <v>1491</v>
      </c>
      <c r="M502" s="101" t="s">
        <v>1562</v>
      </c>
      <c r="N502" s="101">
        <v>1</v>
      </c>
      <c r="O502" s="101">
        <v>30</v>
      </c>
      <c r="P502" s="102">
        <v>30</v>
      </c>
      <c r="Q502" s="102">
        <v>4</v>
      </c>
      <c r="R502" s="102">
        <v>4</v>
      </c>
      <c r="S502" s="80" t="s">
        <v>1515</v>
      </c>
      <c r="T502" s="101" t="s">
        <v>1505</v>
      </c>
      <c r="U502" s="80"/>
    </row>
    <row r="503" spans="1:21" s="87" customFormat="1" ht="12.75">
      <c r="A503" s="4"/>
      <c r="B503" s="44" t="s">
        <v>1646</v>
      </c>
      <c r="C503" s="44" t="s">
        <v>1485</v>
      </c>
      <c r="D503" s="81" t="s">
        <v>262</v>
      </c>
      <c r="E503" s="80" t="s">
        <v>156</v>
      </c>
      <c r="F503" s="81">
        <v>3</v>
      </c>
      <c r="G503" s="81">
        <v>1</v>
      </c>
      <c r="H503" s="81">
        <v>5</v>
      </c>
      <c r="I503" s="101" t="s">
        <v>71</v>
      </c>
      <c r="J503" s="101" t="s">
        <v>71</v>
      </c>
      <c r="K503" s="80" t="s">
        <v>263</v>
      </c>
      <c r="L503" s="101" t="s">
        <v>1488</v>
      </c>
      <c r="M503" s="101" t="s">
        <v>1562</v>
      </c>
      <c r="N503" s="101">
        <v>2</v>
      </c>
      <c r="O503" s="101">
        <v>60</v>
      </c>
      <c r="P503" s="102">
        <v>120</v>
      </c>
      <c r="Q503" s="102">
        <v>16</v>
      </c>
      <c r="R503" s="102">
        <v>10</v>
      </c>
      <c r="S503" s="80" t="s">
        <v>1498</v>
      </c>
      <c r="T503" s="101" t="s">
        <v>1580</v>
      </c>
      <c r="U503" s="80"/>
    </row>
    <row r="504" spans="1:21" s="87" customFormat="1" ht="12.75">
      <c r="A504" s="4"/>
      <c r="B504" s="44" t="s">
        <v>1646</v>
      </c>
      <c r="C504" s="44" t="s">
        <v>1485</v>
      </c>
      <c r="D504" s="81" t="s">
        <v>262</v>
      </c>
      <c r="E504" s="80" t="s">
        <v>156</v>
      </c>
      <c r="F504" s="81">
        <v>3</v>
      </c>
      <c r="G504" s="81">
        <v>1</v>
      </c>
      <c r="H504" s="81">
        <v>5</v>
      </c>
      <c r="I504" s="101" t="s">
        <v>71</v>
      </c>
      <c r="J504" s="101" t="s">
        <v>71</v>
      </c>
      <c r="K504" s="80" t="s">
        <v>263</v>
      </c>
      <c r="L504" s="101" t="s">
        <v>1491</v>
      </c>
      <c r="M504" s="101" t="s">
        <v>1562</v>
      </c>
      <c r="N504" s="101">
        <v>2</v>
      </c>
      <c r="O504" s="101">
        <v>60</v>
      </c>
      <c r="P504" s="102">
        <v>120</v>
      </c>
      <c r="Q504" s="102">
        <v>16</v>
      </c>
      <c r="R504" s="102">
        <v>10</v>
      </c>
      <c r="S504" s="80" t="s">
        <v>1498</v>
      </c>
      <c r="T504" s="101" t="s">
        <v>1580</v>
      </c>
      <c r="U504" s="80"/>
    </row>
    <row r="505" spans="1:21" s="87" customFormat="1" ht="12.75">
      <c r="A505" s="4"/>
      <c r="B505" s="44" t="s">
        <v>1646</v>
      </c>
      <c r="C505" s="44" t="s">
        <v>1485</v>
      </c>
      <c r="D505" s="81" t="s">
        <v>262</v>
      </c>
      <c r="E505" s="80" t="s">
        <v>156</v>
      </c>
      <c r="F505" s="81">
        <v>3</v>
      </c>
      <c r="G505" s="81">
        <v>1</v>
      </c>
      <c r="H505" s="81">
        <v>5</v>
      </c>
      <c r="I505" s="101" t="s">
        <v>71</v>
      </c>
      <c r="J505" s="101" t="s">
        <v>71</v>
      </c>
      <c r="K505" s="80" t="s">
        <v>263</v>
      </c>
      <c r="L505" s="101" t="s">
        <v>1491</v>
      </c>
      <c r="M505" s="101" t="s">
        <v>1528</v>
      </c>
      <c r="N505" s="101">
        <v>1</v>
      </c>
      <c r="O505" s="101">
        <v>60</v>
      </c>
      <c r="P505" s="102">
        <v>60</v>
      </c>
      <c r="Q505" s="102">
        <v>8</v>
      </c>
      <c r="R505" s="102">
        <v>5</v>
      </c>
      <c r="S505" s="80" t="s">
        <v>1498</v>
      </c>
      <c r="T505" s="101" t="s">
        <v>1580</v>
      </c>
      <c r="U505" s="80"/>
    </row>
    <row r="506" spans="1:21" s="87" customFormat="1" ht="12.75">
      <c r="A506" s="4"/>
      <c r="B506" s="44" t="s">
        <v>1646</v>
      </c>
      <c r="C506" s="44" t="s">
        <v>1485</v>
      </c>
      <c r="D506" s="81" t="s">
        <v>449</v>
      </c>
      <c r="E506" s="80" t="s">
        <v>329</v>
      </c>
      <c r="F506" s="81">
        <v>2</v>
      </c>
      <c r="G506" s="81">
        <v>1</v>
      </c>
      <c r="H506" s="81">
        <v>3</v>
      </c>
      <c r="I506" s="101" t="s">
        <v>71</v>
      </c>
      <c r="J506" s="101" t="s">
        <v>71</v>
      </c>
      <c r="K506" s="80" t="s">
        <v>450</v>
      </c>
      <c r="L506" s="101" t="s">
        <v>1488</v>
      </c>
      <c r="M506" s="101" t="s">
        <v>1562</v>
      </c>
      <c r="N506" s="101">
        <v>2</v>
      </c>
      <c r="O506" s="101">
        <v>60</v>
      </c>
      <c r="P506" s="102">
        <v>120</v>
      </c>
      <c r="Q506" s="102">
        <v>6</v>
      </c>
      <c r="R506" s="102">
        <v>6</v>
      </c>
      <c r="S506" s="80" t="s">
        <v>1498</v>
      </c>
      <c r="T506" s="101" t="s">
        <v>1580</v>
      </c>
      <c r="U506" s="80"/>
    </row>
    <row r="507" spans="1:21" s="87" customFormat="1" ht="12.75">
      <c r="A507" s="4"/>
      <c r="B507" s="44" t="s">
        <v>1646</v>
      </c>
      <c r="C507" s="44" t="s">
        <v>1485</v>
      </c>
      <c r="D507" s="81" t="s">
        <v>449</v>
      </c>
      <c r="E507" s="80" t="s">
        <v>329</v>
      </c>
      <c r="F507" s="81">
        <v>2</v>
      </c>
      <c r="G507" s="81">
        <v>1</v>
      </c>
      <c r="H507" s="81">
        <v>3</v>
      </c>
      <c r="I507" s="101" t="s">
        <v>71</v>
      </c>
      <c r="J507" s="101" t="s">
        <v>71</v>
      </c>
      <c r="K507" s="80" t="s">
        <v>450</v>
      </c>
      <c r="L507" s="101" t="s">
        <v>1491</v>
      </c>
      <c r="M507" s="101" t="s">
        <v>1562</v>
      </c>
      <c r="N507" s="101">
        <v>2</v>
      </c>
      <c r="O507" s="101">
        <v>60</v>
      </c>
      <c r="P507" s="102">
        <v>120</v>
      </c>
      <c r="Q507" s="102">
        <v>6</v>
      </c>
      <c r="R507" s="102">
        <v>6</v>
      </c>
      <c r="S507" s="80"/>
      <c r="T507" s="101"/>
      <c r="U507" s="80"/>
    </row>
    <row r="508" spans="1:21" s="87" customFormat="1" ht="12.75">
      <c r="A508" s="4"/>
      <c r="B508" s="44" t="s">
        <v>1646</v>
      </c>
      <c r="C508" s="44" t="s">
        <v>1485</v>
      </c>
      <c r="D508" s="81" t="s">
        <v>449</v>
      </c>
      <c r="E508" s="80" t="s">
        <v>329</v>
      </c>
      <c r="F508" s="81">
        <v>2</v>
      </c>
      <c r="G508" s="81">
        <v>1</v>
      </c>
      <c r="H508" s="81">
        <v>3</v>
      </c>
      <c r="I508" s="101" t="s">
        <v>71</v>
      </c>
      <c r="J508" s="101" t="s">
        <v>71</v>
      </c>
      <c r="K508" s="80" t="s">
        <v>450</v>
      </c>
      <c r="L508" s="101" t="s">
        <v>1488</v>
      </c>
      <c r="M508" s="101" t="s">
        <v>1528</v>
      </c>
      <c r="N508" s="101">
        <v>1</v>
      </c>
      <c r="O508" s="101">
        <v>60</v>
      </c>
      <c r="P508" s="102">
        <v>60</v>
      </c>
      <c r="Q508" s="102">
        <v>3</v>
      </c>
      <c r="R508" s="102">
        <v>3</v>
      </c>
      <c r="S508" s="80"/>
      <c r="T508" s="101"/>
      <c r="U508" s="80"/>
    </row>
    <row r="509" spans="1:21" s="87" customFormat="1" ht="12.75">
      <c r="A509" s="4"/>
      <c r="B509" s="44" t="s">
        <v>1646</v>
      </c>
      <c r="C509" s="44" t="s">
        <v>1485</v>
      </c>
      <c r="D509" s="81" t="s">
        <v>462</v>
      </c>
      <c r="E509" s="80" t="s">
        <v>463</v>
      </c>
      <c r="F509" s="81">
        <v>0</v>
      </c>
      <c r="G509" s="81">
        <v>3</v>
      </c>
      <c r="H509" s="81">
        <v>5</v>
      </c>
      <c r="I509" s="101" t="s">
        <v>71</v>
      </c>
      <c r="J509" s="101" t="s">
        <v>71</v>
      </c>
      <c r="K509" s="80" t="s">
        <v>450</v>
      </c>
      <c r="L509" s="101" t="s">
        <v>1488</v>
      </c>
      <c r="M509" s="101" t="s">
        <v>1562</v>
      </c>
      <c r="N509" s="101">
        <v>2</v>
      </c>
      <c r="O509" s="101">
        <v>30</v>
      </c>
      <c r="P509" s="102">
        <v>60</v>
      </c>
      <c r="Q509" s="102">
        <v>6</v>
      </c>
      <c r="R509" s="102">
        <v>6</v>
      </c>
      <c r="S509" s="80" t="s">
        <v>1498</v>
      </c>
      <c r="T509" s="101" t="s">
        <v>1490</v>
      </c>
      <c r="U509" s="80"/>
    </row>
    <row r="510" spans="1:21" s="87" customFormat="1" ht="12.75">
      <c r="A510" s="4"/>
      <c r="B510" s="44" t="s">
        <v>1646</v>
      </c>
      <c r="C510" s="44" t="s">
        <v>1485</v>
      </c>
      <c r="D510" s="81" t="s">
        <v>462</v>
      </c>
      <c r="E510" s="80" t="s">
        <v>463</v>
      </c>
      <c r="F510" s="81">
        <v>0</v>
      </c>
      <c r="G510" s="81">
        <v>3</v>
      </c>
      <c r="H510" s="81">
        <v>5</v>
      </c>
      <c r="I510" s="101" t="s">
        <v>71</v>
      </c>
      <c r="J510" s="101" t="s">
        <v>71</v>
      </c>
      <c r="K510" s="80" t="s">
        <v>450</v>
      </c>
      <c r="L510" s="101" t="s">
        <v>1491</v>
      </c>
      <c r="M510" s="101" t="s">
        <v>1562</v>
      </c>
      <c r="N510" s="101">
        <v>3</v>
      </c>
      <c r="O510" s="101">
        <v>30</v>
      </c>
      <c r="P510" s="102">
        <v>90</v>
      </c>
      <c r="Q510" s="102">
        <v>9</v>
      </c>
      <c r="R510" s="102">
        <v>9</v>
      </c>
      <c r="S510" s="80" t="s">
        <v>1498</v>
      </c>
      <c r="T510" s="101" t="s">
        <v>1490</v>
      </c>
      <c r="U510" s="80"/>
    </row>
    <row r="511" spans="1:21" s="87" customFormat="1" ht="12.75">
      <c r="A511" s="4"/>
      <c r="B511" s="44" t="s">
        <v>1646</v>
      </c>
      <c r="C511" s="44" t="s">
        <v>1485</v>
      </c>
      <c r="D511" s="81" t="s">
        <v>464</v>
      </c>
      <c r="E511" s="80" t="s">
        <v>465</v>
      </c>
      <c r="F511" s="81">
        <v>0</v>
      </c>
      <c r="G511" s="81">
        <v>3</v>
      </c>
      <c r="H511" s="81">
        <v>5</v>
      </c>
      <c r="I511" s="101" t="s">
        <v>71</v>
      </c>
      <c r="J511" s="101" t="s">
        <v>71</v>
      </c>
      <c r="K511" s="80" t="s">
        <v>450</v>
      </c>
      <c r="L511" s="101" t="s">
        <v>1488</v>
      </c>
      <c r="M511" s="101" t="s">
        <v>1562</v>
      </c>
      <c r="N511" s="101">
        <v>2</v>
      </c>
      <c r="O511" s="101">
        <v>30</v>
      </c>
      <c r="P511" s="102">
        <v>60</v>
      </c>
      <c r="Q511" s="102">
        <v>6</v>
      </c>
      <c r="R511" s="102">
        <v>6</v>
      </c>
      <c r="S511" s="80" t="s">
        <v>1498</v>
      </c>
      <c r="T511" s="101" t="s">
        <v>1490</v>
      </c>
      <c r="U511" s="80"/>
    </row>
    <row r="512" spans="1:21" s="87" customFormat="1" ht="12.75">
      <c r="A512" s="4"/>
      <c r="B512" s="44" t="s">
        <v>1646</v>
      </c>
      <c r="C512" s="44" t="s">
        <v>1485</v>
      </c>
      <c r="D512" s="81" t="s">
        <v>464</v>
      </c>
      <c r="E512" s="80" t="s">
        <v>465</v>
      </c>
      <c r="F512" s="81">
        <v>0</v>
      </c>
      <c r="G512" s="81">
        <v>3</v>
      </c>
      <c r="H512" s="81">
        <v>5</v>
      </c>
      <c r="I512" s="101" t="s">
        <v>71</v>
      </c>
      <c r="J512" s="101" t="s">
        <v>71</v>
      </c>
      <c r="K512" s="80" t="s">
        <v>450</v>
      </c>
      <c r="L512" s="101" t="s">
        <v>1491</v>
      </c>
      <c r="M512" s="101" t="s">
        <v>1562</v>
      </c>
      <c r="N512" s="101">
        <v>3</v>
      </c>
      <c r="O512" s="101">
        <v>30</v>
      </c>
      <c r="P512" s="102">
        <v>90</v>
      </c>
      <c r="Q512" s="102">
        <v>9</v>
      </c>
      <c r="R512" s="102">
        <v>9</v>
      </c>
      <c r="S512" s="80" t="s">
        <v>1498</v>
      </c>
      <c r="T512" s="101" t="s">
        <v>1490</v>
      </c>
      <c r="U512" s="80"/>
    </row>
    <row r="513" spans="1:21" s="87" customFormat="1" ht="12.75">
      <c r="A513" s="4"/>
      <c r="B513" s="44" t="s">
        <v>1646</v>
      </c>
      <c r="C513" s="44" t="s">
        <v>1485</v>
      </c>
      <c r="D513" s="81" t="s">
        <v>648</v>
      </c>
      <c r="E513" s="80" t="s">
        <v>237</v>
      </c>
      <c r="F513" s="81">
        <v>1</v>
      </c>
      <c r="G513" s="81">
        <v>3</v>
      </c>
      <c r="H513" s="81">
        <v>4</v>
      </c>
      <c r="I513" s="101" t="s">
        <v>71</v>
      </c>
      <c r="J513" s="101" t="s">
        <v>71</v>
      </c>
      <c r="K513" s="80" t="s">
        <v>76</v>
      </c>
      <c r="L513" s="101" t="s">
        <v>1488</v>
      </c>
      <c r="M513" s="101" t="s">
        <v>1562</v>
      </c>
      <c r="N513" s="101">
        <v>3</v>
      </c>
      <c r="O513" s="101">
        <v>30</v>
      </c>
      <c r="P513" s="102">
        <v>90</v>
      </c>
      <c r="Q513" s="102">
        <v>12</v>
      </c>
      <c r="R513" s="102">
        <v>12</v>
      </c>
      <c r="S513" s="80" t="s">
        <v>1581</v>
      </c>
      <c r="T513" s="101" t="s">
        <v>1490</v>
      </c>
      <c r="U513" s="80"/>
    </row>
    <row r="514" spans="1:21" s="87" customFormat="1" ht="12.75">
      <c r="A514" s="4"/>
      <c r="B514" s="44" t="s">
        <v>1646</v>
      </c>
      <c r="C514" s="44" t="s">
        <v>1485</v>
      </c>
      <c r="D514" s="81" t="s">
        <v>648</v>
      </c>
      <c r="E514" s="80" t="s">
        <v>237</v>
      </c>
      <c r="F514" s="81">
        <v>1</v>
      </c>
      <c r="G514" s="81">
        <v>3</v>
      </c>
      <c r="H514" s="81">
        <v>4</v>
      </c>
      <c r="I514" s="101" t="s">
        <v>71</v>
      </c>
      <c r="J514" s="101" t="s">
        <v>71</v>
      </c>
      <c r="K514" s="80" t="s">
        <v>76</v>
      </c>
      <c r="L514" s="101" t="s">
        <v>1491</v>
      </c>
      <c r="M514" s="101" t="s">
        <v>1562</v>
      </c>
      <c r="N514" s="101">
        <v>3</v>
      </c>
      <c r="O514" s="101">
        <v>30</v>
      </c>
      <c r="P514" s="102">
        <v>90</v>
      </c>
      <c r="Q514" s="102">
        <v>12</v>
      </c>
      <c r="R514" s="102">
        <v>12</v>
      </c>
      <c r="S514" s="80" t="s">
        <v>1581</v>
      </c>
      <c r="T514" s="101" t="s">
        <v>1490</v>
      </c>
      <c r="U514" s="80"/>
    </row>
    <row r="515" spans="1:21" s="87" customFormat="1" ht="12.75">
      <c r="A515" s="4"/>
      <c r="B515" s="44" t="s">
        <v>1646</v>
      </c>
      <c r="C515" s="44" t="s">
        <v>1485</v>
      </c>
      <c r="D515" s="81" t="s">
        <v>648</v>
      </c>
      <c r="E515" s="80" t="s">
        <v>237</v>
      </c>
      <c r="F515" s="81">
        <v>1</v>
      </c>
      <c r="G515" s="81">
        <v>3</v>
      </c>
      <c r="H515" s="81">
        <v>4</v>
      </c>
      <c r="I515" s="101" t="s">
        <v>71</v>
      </c>
      <c r="J515" s="101" t="s">
        <v>71</v>
      </c>
      <c r="K515" s="80" t="s">
        <v>76</v>
      </c>
      <c r="L515" s="101" t="s">
        <v>1488</v>
      </c>
      <c r="M515" s="101" t="s">
        <v>1528</v>
      </c>
      <c r="N515" s="101">
        <v>1</v>
      </c>
      <c r="O515" s="101">
        <v>30</v>
      </c>
      <c r="P515" s="102">
        <v>30</v>
      </c>
      <c r="Q515" s="102">
        <v>4</v>
      </c>
      <c r="R515" s="102">
        <v>4</v>
      </c>
      <c r="S515" s="80" t="s">
        <v>1581</v>
      </c>
      <c r="T515" s="101" t="s">
        <v>1490</v>
      </c>
      <c r="U515" s="80"/>
    </row>
    <row r="516" spans="1:21" s="87" customFormat="1" ht="12.75">
      <c r="A516" s="4"/>
      <c r="B516" s="44" t="s">
        <v>1646</v>
      </c>
      <c r="C516" s="44" t="s">
        <v>1485</v>
      </c>
      <c r="D516" s="81" t="s">
        <v>648</v>
      </c>
      <c r="E516" s="80" t="s">
        <v>237</v>
      </c>
      <c r="F516" s="81">
        <v>1</v>
      </c>
      <c r="G516" s="81">
        <v>3</v>
      </c>
      <c r="H516" s="81">
        <v>4</v>
      </c>
      <c r="I516" s="101" t="s">
        <v>71</v>
      </c>
      <c r="J516" s="101" t="s">
        <v>71</v>
      </c>
      <c r="K516" s="80" t="s">
        <v>76</v>
      </c>
      <c r="L516" s="101" t="s">
        <v>1491</v>
      </c>
      <c r="M516" s="101" t="s">
        <v>1528</v>
      </c>
      <c r="N516" s="101">
        <v>1</v>
      </c>
      <c r="O516" s="101">
        <v>30</v>
      </c>
      <c r="P516" s="102">
        <v>30</v>
      </c>
      <c r="Q516" s="102">
        <v>4</v>
      </c>
      <c r="R516" s="102">
        <v>4</v>
      </c>
      <c r="S516" s="80" t="s">
        <v>1581</v>
      </c>
      <c r="T516" s="101" t="s">
        <v>1490</v>
      </c>
      <c r="U516" s="80"/>
    </row>
    <row r="517" spans="1:21" s="87" customFormat="1" ht="12.75">
      <c r="A517" s="4"/>
      <c r="B517" s="44" t="s">
        <v>1646</v>
      </c>
      <c r="C517" s="44" t="s">
        <v>1485</v>
      </c>
      <c r="D517" s="81" t="s">
        <v>765</v>
      </c>
      <c r="E517" s="80" t="s">
        <v>109</v>
      </c>
      <c r="F517" s="81">
        <v>3</v>
      </c>
      <c r="G517" s="81">
        <v>1</v>
      </c>
      <c r="H517" s="81">
        <v>5</v>
      </c>
      <c r="I517" s="101" t="s">
        <v>71</v>
      </c>
      <c r="J517" s="101" t="s">
        <v>71</v>
      </c>
      <c r="K517" s="80" t="s">
        <v>766</v>
      </c>
      <c r="L517" s="101" t="s">
        <v>1488</v>
      </c>
      <c r="M517" s="101" t="s">
        <v>1562</v>
      </c>
      <c r="N517" s="101">
        <v>2</v>
      </c>
      <c r="O517" s="101">
        <v>30</v>
      </c>
      <c r="P517" s="102">
        <v>60</v>
      </c>
      <c r="Q517" s="102">
        <v>8</v>
      </c>
      <c r="R517" s="102">
        <v>5</v>
      </c>
      <c r="S517" s="80" t="s">
        <v>1498</v>
      </c>
      <c r="T517" s="101" t="s">
        <v>1580</v>
      </c>
      <c r="U517" s="80"/>
    </row>
    <row r="518" spans="1:21" ht="12.75">
      <c r="B518" s="44" t="s">
        <v>1646</v>
      </c>
      <c r="C518" s="44" t="s">
        <v>1485</v>
      </c>
      <c r="D518" s="81" t="s">
        <v>765</v>
      </c>
      <c r="E518" s="80" t="s">
        <v>109</v>
      </c>
      <c r="F518" s="81">
        <v>3</v>
      </c>
      <c r="G518" s="81">
        <v>1</v>
      </c>
      <c r="H518" s="81">
        <v>5</v>
      </c>
      <c r="I518" s="101" t="s">
        <v>71</v>
      </c>
      <c r="J518" s="101" t="s">
        <v>71</v>
      </c>
      <c r="K518" s="80" t="s">
        <v>766</v>
      </c>
      <c r="L518" s="101" t="s">
        <v>1491</v>
      </c>
      <c r="M518" s="101" t="s">
        <v>1562</v>
      </c>
      <c r="N518" s="101">
        <v>2</v>
      </c>
      <c r="O518" s="101">
        <v>30</v>
      </c>
      <c r="P518" s="102">
        <v>60</v>
      </c>
      <c r="Q518" s="102">
        <v>8</v>
      </c>
      <c r="R518" s="102">
        <v>5</v>
      </c>
      <c r="S518" s="80" t="s">
        <v>1498</v>
      </c>
      <c r="T518" s="101" t="s">
        <v>1580</v>
      </c>
      <c r="U518" s="80"/>
    </row>
    <row r="519" spans="1:21" ht="12.75">
      <c r="B519" s="44" t="s">
        <v>1646</v>
      </c>
      <c r="C519" s="44" t="s">
        <v>1485</v>
      </c>
      <c r="D519" s="81" t="s">
        <v>765</v>
      </c>
      <c r="E519" s="80" t="s">
        <v>109</v>
      </c>
      <c r="F519" s="81">
        <v>3</v>
      </c>
      <c r="G519" s="81">
        <v>1</v>
      </c>
      <c r="H519" s="81">
        <v>5</v>
      </c>
      <c r="I519" s="101" t="s">
        <v>71</v>
      </c>
      <c r="J519" s="101" t="s">
        <v>71</v>
      </c>
      <c r="K519" s="80" t="s">
        <v>766</v>
      </c>
      <c r="L519" s="101" t="s">
        <v>1491</v>
      </c>
      <c r="M519" s="101" t="s">
        <v>1528</v>
      </c>
      <c r="N519" s="101">
        <v>1</v>
      </c>
      <c r="O519" s="101">
        <v>30</v>
      </c>
      <c r="P519" s="102">
        <v>30</v>
      </c>
      <c r="Q519" s="102">
        <v>4</v>
      </c>
      <c r="R519" s="102">
        <v>4</v>
      </c>
      <c r="S519" s="80" t="s">
        <v>1498</v>
      </c>
      <c r="T519" s="101" t="s">
        <v>1580</v>
      </c>
      <c r="U519" s="80"/>
    </row>
    <row r="520" spans="1:21" ht="12.75">
      <c r="B520" s="44" t="s">
        <v>1646</v>
      </c>
      <c r="C520" s="44" t="s">
        <v>1485</v>
      </c>
      <c r="D520" s="81" t="s">
        <v>806</v>
      </c>
      <c r="E520" s="80" t="s">
        <v>807</v>
      </c>
      <c r="F520" s="81">
        <v>2</v>
      </c>
      <c r="G520" s="81">
        <v>0</v>
      </c>
      <c r="H520" s="81">
        <v>4</v>
      </c>
      <c r="I520" s="101" t="s">
        <v>71</v>
      </c>
      <c r="J520" s="101" t="s">
        <v>71</v>
      </c>
      <c r="K520" s="80" t="s">
        <v>76</v>
      </c>
      <c r="L520" s="101" t="s">
        <v>1488</v>
      </c>
      <c r="M520" s="101" t="s">
        <v>1562</v>
      </c>
      <c r="N520" s="101">
        <v>2</v>
      </c>
      <c r="O520" s="101">
        <v>30</v>
      </c>
      <c r="P520" s="102">
        <v>60</v>
      </c>
      <c r="Q520" s="102">
        <v>4</v>
      </c>
      <c r="R520" s="102">
        <v>4</v>
      </c>
      <c r="S520" s="80"/>
      <c r="T520" s="101"/>
      <c r="U520" s="80"/>
    </row>
    <row r="521" spans="1:21" ht="12.75">
      <c r="B521" s="44" t="s">
        <v>1646</v>
      </c>
      <c r="C521" s="44" t="s">
        <v>1485</v>
      </c>
      <c r="D521" s="81" t="s">
        <v>806</v>
      </c>
      <c r="E521" s="80" t="s">
        <v>807</v>
      </c>
      <c r="F521" s="81">
        <v>2</v>
      </c>
      <c r="G521" s="81">
        <v>0</v>
      </c>
      <c r="H521" s="81">
        <v>4</v>
      </c>
      <c r="I521" s="101" t="s">
        <v>71</v>
      </c>
      <c r="J521" s="101" t="s">
        <v>71</v>
      </c>
      <c r="K521" s="80" t="s">
        <v>76</v>
      </c>
      <c r="L521" s="101" t="s">
        <v>1491</v>
      </c>
      <c r="M521" s="101" t="s">
        <v>1562</v>
      </c>
      <c r="N521" s="101">
        <v>2</v>
      </c>
      <c r="O521" s="101">
        <v>30</v>
      </c>
      <c r="P521" s="102">
        <v>60</v>
      </c>
      <c r="Q521" s="102">
        <v>4</v>
      </c>
      <c r="R521" s="102">
        <v>4</v>
      </c>
      <c r="S521" s="80"/>
      <c r="T521" s="101"/>
      <c r="U521" s="80"/>
    </row>
    <row r="522" spans="1:21" ht="12.75">
      <c r="B522" s="44" t="s">
        <v>1646</v>
      </c>
      <c r="C522" s="44" t="s">
        <v>1485</v>
      </c>
      <c r="D522" s="81" t="s">
        <v>806</v>
      </c>
      <c r="E522" s="80" t="s">
        <v>807</v>
      </c>
      <c r="F522" s="81">
        <v>2</v>
      </c>
      <c r="G522" s="81">
        <v>0</v>
      </c>
      <c r="H522" s="81">
        <v>4</v>
      </c>
      <c r="I522" s="101" t="s">
        <v>71</v>
      </c>
      <c r="J522" s="101" t="s">
        <v>71</v>
      </c>
      <c r="K522" s="80" t="s">
        <v>76</v>
      </c>
      <c r="L522" s="101" t="s">
        <v>1488</v>
      </c>
      <c r="M522" s="101" t="s">
        <v>1528</v>
      </c>
      <c r="N522" s="101">
        <v>1</v>
      </c>
      <c r="O522" s="101">
        <v>30</v>
      </c>
      <c r="P522" s="102">
        <v>30</v>
      </c>
      <c r="Q522" s="102">
        <v>2</v>
      </c>
      <c r="R522" s="102">
        <v>2</v>
      </c>
      <c r="S522" s="80"/>
      <c r="T522" s="101"/>
      <c r="U522" s="80"/>
    </row>
    <row r="523" spans="1:21" ht="12.75">
      <c r="B523" s="44" t="s">
        <v>1646</v>
      </c>
      <c r="C523" s="44" t="s">
        <v>1485</v>
      </c>
      <c r="D523" s="81" t="s">
        <v>806</v>
      </c>
      <c r="E523" s="80" t="s">
        <v>807</v>
      </c>
      <c r="F523" s="81">
        <v>2</v>
      </c>
      <c r="G523" s="81">
        <v>0</v>
      </c>
      <c r="H523" s="81">
        <v>4</v>
      </c>
      <c r="I523" s="101" t="s">
        <v>71</v>
      </c>
      <c r="J523" s="101" t="s">
        <v>71</v>
      </c>
      <c r="K523" s="80" t="s">
        <v>76</v>
      </c>
      <c r="L523" s="101" t="s">
        <v>1491</v>
      </c>
      <c r="M523" s="101" t="s">
        <v>1528</v>
      </c>
      <c r="N523" s="101">
        <v>1</v>
      </c>
      <c r="O523" s="101">
        <v>30</v>
      </c>
      <c r="P523" s="102">
        <v>30</v>
      </c>
      <c r="Q523" s="102">
        <v>2</v>
      </c>
      <c r="R523" s="102">
        <v>2</v>
      </c>
      <c r="S523" s="80"/>
      <c r="T523" s="101"/>
      <c r="U523" s="80"/>
    </row>
    <row r="524" spans="1:21" ht="12.75">
      <c r="B524" s="44" t="s">
        <v>1646</v>
      </c>
      <c r="C524" s="44" t="s">
        <v>1485</v>
      </c>
      <c r="D524" s="81" t="s">
        <v>850</v>
      </c>
      <c r="E524" s="80" t="s">
        <v>851</v>
      </c>
      <c r="F524" s="81">
        <v>3</v>
      </c>
      <c r="G524" s="81">
        <v>1</v>
      </c>
      <c r="H524" s="81">
        <v>5</v>
      </c>
      <c r="I524" s="101" t="s">
        <v>71</v>
      </c>
      <c r="J524" s="101" t="s">
        <v>71</v>
      </c>
      <c r="K524" s="80" t="s">
        <v>76</v>
      </c>
      <c r="L524" s="101" t="s">
        <v>1488</v>
      </c>
      <c r="M524" s="101" t="s">
        <v>1562</v>
      </c>
      <c r="N524" s="101">
        <v>4</v>
      </c>
      <c r="O524" s="101">
        <v>60</v>
      </c>
      <c r="P524" s="102">
        <v>240</v>
      </c>
      <c r="Q524" s="102">
        <v>32</v>
      </c>
      <c r="R524" s="102">
        <v>20</v>
      </c>
      <c r="S524" s="80" t="s">
        <v>1498</v>
      </c>
      <c r="T524" s="101" t="s">
        <v>1580</v>
      </c>
      <c r="U524" s="80"/>
    </row>
    <row r="525" spans="1:21" ht="12.75">
      <c r="B525" s="44" t="s">
        <v>1646</v>
      </c>
      <c r="C525" s="44" t="s">
        <v>1485</v>
      </c>
      <c r="D525" s="81" t="s">
        <v>850</v>
      </c>
      <c r="E525" s="80" t="s">
        <v>851</v>
      </c>
      <c r="F525" s="81">
        <v>3</v>
      </c>
      <c r="G525" s="81">
        <v>1</v>
      </c>
      <c r="H525" s="81">
        <v>5</v>
      </c>
      <c r="I525" s="101" t="s">
        <v>71</v>
      </c>
      <c r="J525" s="101" t="s">
        <v>71</v>
      </c>
      <c r="K525" s="80" t="s">
        <v>76</v>
      </c>
      <c r="L525" s="101" t="s">
        <v>1491</v>
      </c>
      <c r="M525" s="101" t="s">
        <v>1562</v>
      </c>
      <c r="N525" s="101">
        <v>2</v>
      </c>
      <c r="O525" s="101">
        <v>60</v>
      </c>
      <c r="P525" s="102">
        <v>120</v>
      </c>
      <c r="Q525" s="102">
        <v>16</v>
      </c>
      <c r="R525" s="102">
        <v>10</v>
      </c>
      <c r="S525" s="80" t="s">
        <v>1498</v>
      </c>
      <c r="T525" s="101" t="s">
        <v>1580</v>
      </c>
      <c r="U525" s="80"/>
    </row>
    <row r="526" spans="1:21" ht="12.75">
      <c r="B526" s="44" t="s">
        <v>1646</v>
      </c>
      <c r="C526" s="44" t="s">
        <v>1485</v>
      </c>
      <c r="D526" s="81" t="s">
        <v>872</v>
      </c>
      <c r="E526" s="80" t="s">
        <v>270</v>
      </c>
      <c r="F526" s="81">
        <v>3</v>
      </c>
      <c r="G526" s="81">
        <v>1</v>
      </c>
      <c r="H526" s="81">
        <v>5</v>
      </c>
      <c r="I526" s="101" t="s">
        <v>71</v>
      </c>
      <c r="J526" s="101" t="s">
        <v>71</v>
      </c>
      <c r="K526" s="80" t="s">
        <v>584</v>
      </c>
      <c r="L526" s="101" t="s">
        <v>1488</v>
      </c>
      <c r="M526" s="101" t="s">
        <v>1562</v>
      </c>
      <c r="N526" s="101">
        <v>2</v>
      </c>
      <c r="O526" s="101">
        <v>90</v>
      </c>
      <c r="P526" s="102">
        <v>180</v>
      </c>
      <c r="Q526" s="102">
        <v>8</v>
      </c>
      <c r="R526" s="102">
        <v>8</v>
      </c>
      <c r="S526" s="80"/>
      <c r="T526" s="101"/>
      <c r="U526" s="80"/>
    </row>
    <row r="527" spans="1:21" ht="12.75">
      <c r="B527" s="44" t="s">
        <v>1646</v>
      </c>
      <c r="C527" s="44" t="s">
        <v>1485</v>
      </c>
      <c r="D527" s="81" t="s">
        <v>872</v>
      </c>
      <c r="E527" s="80" t="s">
        <v>270</v>
      </c>
      <c r="F527" s="81">
        <v>3</v>
      </c>
      <c r="G527" s="81">
        <v>1</v>
      </c>
      <c r="H527" s="81">
        <v>5</v>
      </c>
      <c r="I527" s="101" t="s">
        <v>71</v>
      </c>
      <c r="J527" s="101" t="s">
        <v>71</v>
      </c>
      <c r="K527" s="80" t="s">
        <v>584</v>
      </c>
      <c r="L527" s="101" t="s">
        <v>1491</v>
      </c>
      <c r="M527" s="101" t="s">
        <v>1562</v>
      </c>
      <c r="N527" s="101">
        <v>2</v>
      </c>
      <c r="O527" s="101">
        <v>90</v>
      </c>
      <c r="P527" s="102">
        <v>180</v>
      </c>
      <c r="Q527" s="102">
        <v>8</v>
      </c>
      <c r="R527" s="102">
        <v>8</v>
      </c>
      <c r="S527" s="80"/>
      <c r="T527" s="101"/>
      <c r="U527" s="80"/>
    </row>
    <row r="528" spans="1:21" ht="12.75">
      <c r="B528" s="44" t="s">
        <v>1646</v>
      </c>
      <c r="C528" s="44" t="s">
        <v>1485</v>
      </c>
      <c r="D528" s="81" t="s">
        <v>875</v>
      </c>
      <c r="E528" s="80" t="s">
        <v>87</v>
      </c>
      <c r="F528" s="81">
        <v>3</v>
      </c>
      <c r="G528" s="81">
        <v>1</v>
      </c>
      <c r="H528" s="81">
        <v>5</v>
      </c>
      <c r="I528" s="101" t="s">
        <v>71</v>
      </c>
      <c r="J528" s="101" t="s">
        <v>71</v>
      </c>
      <c r="K528" s="80" t="s">
        <v>876</v>
      </c>
      <c r="L528" s="101" t="s">
        <v>1488</v>
      </c>
      <c r="M528" s="101" t="s">
        <v>1562</v>
      </c>
      <c r="N528" s="101">
        <v>2</v>
      </c>
      <c r="O528" s="101">
        <v>90</v>
      </c>
      <c r="P528" s="102">
        <v>180</v>
      </c>
      <c r="Q528" s="102">
        <v>8</v>
      </c>
      <c r="R528" s="102">
        <v>8</v>
      </c>
      <c r="S528" s="80"/>
      <c r="T528" s="101"/>
      <c r="U528" s="80"/>
    </row>
    <row r="529" spans="2:23" ht="12.75">
      <c r="B529" s="44" t="s">
        <v>1646</v>
      </c>
      <c r="C529" s="44" t="s">
        <v>1485</v>
      </c>
      <c r="D529" s="81" t="s">
        <v>875</v>
      </c>
      <c r="E529" s="80" t="s">
        <v>87</v>
      </c>
      <c r="F529" s="81">
        <v>3</v>
      </c>
      <c r="G529" s="81">
        <v>1</v>
      </c>
      <c r="H529" s="81">
        <v>5</v>
      </c>
      <c r="I529" s="101" t="s">
        <v>71</v>
      </c>
      <c r="J529" s="101" t="s">
        <v>71</v>
      </c>
      <c r="K529" s="80" t="s">
        <v>876</v>
      </c>
      <c r="L529" s="101" t="s">
        <v>1491</v>
      </c>
      <c r="M529" s="101" t="s">
        <v>1562</v>
      </c>
      <c r="N529" s="101">
        <v>2</v>
      </c>
      <c r="O529" s="101">
        <v>90</v>
      </c>
      <c r="P529" s="102">
        <v>180</v>
      </c>
      <c r="Q529" s="102">
        <v>8</v>
      </c>
      <c r="R529" s="102">
        <v>8</v>
      </c>
      <c r="S529" s="80"/>
      <c r="T529" s="101"/>
      <c r="U529" s="80"/>
    </row>
    <row r="530" spans="2:23" ht="12.75">
      <c r="B530" s="44" t="s">
        <v>1646</v>
      </c>
      <c r="C530" s="44" t="s">
        <v>1485</v>
      </c>
      <c r="D530" s="81" t="s">
        <v>910</v>
      </c>
      <c r="E530" s="80" t="s">
        <v>911</v>
      </c>
      <c r="F530" s="81">
        <v>0</v>
      </c>
      <c r="G530" s="81">
        <v>3</v>
      </c>
      <c r="H530" s="81">
        <v>2</v>
      </c>
      <c r="I530" s="101" t="s">
        <v>71</v>
      </c>
      <c r="J530" s="101" t="s">
        <v>71</v>
      </c>
      <c r="K530" s="80" t="s">
        <v>912</v>
      </c>
      <c r="L530" s="101" t="s">
        <v>1488</v>
      </c>
      <c r="M530" s="101" t="s">
        <v>1562</v>
      </c>
      <c r="N530" s="101">
        <v>4</v>
      </c>
      <c r="O530" s="101">
        <v>30</v>
      </c>
      <c r="P530" s="102">
        <v>120</v>
      </c>
      <c r="Q530" s="102">
        <v>12</v>
      </c>
      <c r="R530" s="102">
        <v>12</v>
      </c>
      <c r="S530" s="80" t="s">
        <v>1498</v>
      </c>
      <c r="T530" s="101" t="s">
        <v>1490</v>
      </c>
      <c r="U530" s="80"/>
    </row>
    <row r="531" spans="2:23" ht="12.75">
      <c r="B531" s="44" t="s">
        <v>1646</v>
      </c>
      <c r="C531" s="44" t="s">
        <v>1485</v>
      </c>
      <c r="D531" s="81" t="s">
        <v>910</v>
      </c>
      <c r="E531" s="80" t="s">
        <v>911</v>
      </c>
      <c r="F531" s="81">
        <v>0</v>
      </c>
      <c r="G531" s="81">
        <v>3</v>
      </c>
      <c r="H531" s="81">
        <v>2</v>
      </c>
      <c r="I531" s="101" t="s">
        <v>71</v>
      </c>
      <c r="J531" s="101" t="s">
        <v>71</v>
      </c>
      <c r="K531" s="80" t="s">
        <v>912</v>
      </c>
      <c r="L531" s="101" t="s">
        <v>1491</v>
      </c>
      <c r="M531" s="101" t="s">
        <v>1562</v>
      </c>
      <c r="N531" s="101">
        <v>4</v>
      </c>
      <c r="O531" s="101">
        <v>30</v>
      </c>
      <c r="P531" s="102">
        <v>120</v>
      </c>
      <c r="Q531" s="102">
        <v>12</v>
      </c>
      <c r="R531" s="102">
        <v>12</v>
      </c>
      <c r="S531" s="80" t="s">
        <v>1498</v>
      </c>
      <c r="T531" s="101" t="s">
        <v>1490</v>
      </c>
      <c r="U531" s="80"/>
    </row>
    <row r="532" spans="2:23" ht="12.75">
      <c r="B532" s="44" t="s">
        <v>1646</v>
      </c>
      <c r="C532" s="44" t="s">
        <v>1485</v>
      </c>
      <c r="D532" s="81" t="s">
        <v>910</v>
      </c>
      <c r="E532" s="80" t="s">
        <v>911</v>
      </c>
      <c r="F532" s="81">
        <v>0</v>
      </c>
      <c r="G532" s="81">
        <v>3</v>
      </c>
      <c r="H532" s="81">
        <v>2</v>
      </c>
      <c r="I532" s="101" t="s">
        <v>71</v>
      </c>
      <c r="J532" s="101" t="s">
        <v>71</v>
      </c>
      <c r="K532" s="80" t="s">
        <v>912</v>
      </c>
      <c r="L532" s="101" t="s">
        <v>1488</v>
      </c>
      <c r="M532" s="101" t="s">
        <v>1528</v>
      </c>
      <c r="N532" s="101">
        <v>1</v>
      </c>
      <c r="O532" s="101">
        <v>30</v>
      </c>
      <c r="P532" s="102">
        <v>30</v>
      </c>
      <c r="Q532" s="102">
        <v>3</v>
      </c>
      <c r="R532" s="102">
        <v>3</v>
      </c>
      <c r="S532" s="80" t="s">
        <v>1498</v>
      </c>
      <c r="T532" s="101" t="s">
        <v>1490</v>
      </c>
      <c r="U532" s="80"/>
    </row>
    <row r="533" spans="2:23" ht="12.75">
      <c r="B533" s="44" t="s">
        <v>1646</v>
      </c>
      <c r="C533" s="44" t="s">
        <v>1485</v>
      </c>
      <c r="D533" s="81" t="s">
        <v>910</v>
      </c>
      <c r="E533" s="80" t="s">
        <v>911</v>
      </c>
      <c r="F533" s="81">
        <v>0</v>
      </c>
      <c r="G533" s="81">
        <v>3</v>
      </c>
      <c r="H533" s="81">
        <v>2</v>
      </c>
      <c r="I533" s="101" t="s">
        <v>71</v>
      </c>
      <c r="J533" s="101" t="s">
        <v>71</v>
      </c>
      <c r="K533" s="80" t="s">
        <v>912</v>
      </c>
      <c r="L533" s="101" t="s">
        <v>1491</v>
      </c>
      <c r="M533" s="101" t="s">
        <v>1528</v>
      </c>
      <c r="N533" s="101">
        <v>1</v>
      </c>
      <c r="O533" s="101">
        <v>30</v>
      </c>
      <c r="P533" s="102">
        <v>30</v>
      </c>
      <c r="Q533" s="102">
        <v>3</v>
      </c>
      <c r="R533" s="102">
        <v>3</v>
      </c>
      <c r="S533" s="80" t="s">
        <v>1498</v>
      </c>
      <c r="T533" s="101" t="s">
        <v>1490</v>
      </c>
      <c r="U533" s="80"/>
    </row>
    <row r="534" spans="2:23" ht="12.75">
      <c r="B534" s="44" t="s">
        <v>1646</v>
      </c>
      <c r="C534" s="44" t="s">
        <v>1485</v>
      </c>
      <c r="D534" s="81" t="s">
        <v>1306</v>
      </c>
      <c r="E534" s="80" t="s">
        <v>1307</v>
      </c>
      <c r="F534" s="81">
        <v>3</v>
      </c>
      <c r="G534" s="81">
        <v>1</v>
      </c>
      <c r="H534" s="81">
        <v>5</v>
      </c>
      <c r="I534" s="101" t="s">
        <v>71</v>
      </c>
      <c r="J534" s="101" t="s">
        <v>71</v>
      </c>
      <c r="K534" s="80" t="s">
        <v>584</v>
      </c>
      <c r="L534" s="101" t="s">
        <v>1488</v>
      </c>
      <c r="M534" s="101" t="s">
        <v>1562</v>
      </c>
      <c r="N534" s="101">
        <v>2</v>
      </c>
      <c r="O534" s="101">
        <v>90</v>
      </c>
      <c r="P534" s="102">
        <v>180</v>
      </c>
      <c r="Q534" s="102">
        <v>8</v>
      </c>
      <c r="R534" s="102">
        <v>8</v>
      </c>
      <c r="S534" s="80"/>
      <c r="T534" s="101"/>
      <c r="U534" s="80"/>
    </row>
    <row r="535" spans="2:23" ht="12.75">
      <c r="B535" s="44" t="s">
        <v>1646</v>
      </c>
      <c r="C535" s="44" t="s">
        <v>1485</v>
      </c>
      <c r="D535" s="81" t="s">
        <v>1306</v>
      </c>
      <c r="E535" s="80" t="s">
        <v>1307</v>
      </c>
      <c r="F535" s="81">
        <v>3</v>
      </c>
      <c r="G535" s="81">
        <v>1</v>
      </c>
      <c r="H535" s="81">
        <v>5</v>
      </c>
      <c r="I535" s="101" t="s">
        <v>71</v>
      </c>
      <c r="J535" s="101" t="s">
        <v>71</v>
      </c>
      <c r="K535" s="80" t="s">
        <v>584</v>
      </c>
      <c r="L535" s="101" t="s">
        <v>1491</v>
      </c>
      <c r="M535" s="101" t="s">
        <v>1562</v>
      </c>
      <c r="N535" s="101">
        <v>2</v>
      </c>
      <c r="O535" s="101">
        <v>90</v>
      </c>
      <c r="P535" s="102">
        <v>180</v>
      </c>
      <c r="Q535" s="102">
        <v>8</v>
      </c>
      <c r="R535" s="102">
        <v>8</v>
      </c>
      <c r="S535" s="80"/>
      <c r="T535" s="101"/>
      <c r="U535" s="80"/>
    </row>
    <row r="536" spans="2:23" ht="12.75">
      <c r="B536" s="44" t="s">
        <v>1646</v>
      </c>
      <c r="C536" s="44" t="s">
        <v>1485</v>
      </c>
      <c r="D536" s="81" t="s">
        <v>1306</v>
      </c>
      <c r="E536" s="80" t="s">
        <v>1307</v>
      </c>
      <c r="F536" s="81">
        <v>3</v>
      </c>
      <c r="G536" s="81">
        <v>1</v>
      </c>
      <c r="H536" s="81">
        <v>5</v>
      </c>
      <c r="I536" s="101" t="s">
        <v>71</v>
      </c>
      <c r="J536" s="101" t="s">
        <v>71</v>
      </c>
      <c r="K536" s="80" t="s">
        <v>584</v>
      </c>
      <c r="L536" s="101" t="s">
        <v>1488</v>
      </c>
      <c r="M536" s="101" t="s">
        <v>1528</v>
      </c>
      <c r="N536" s="101">
        <v>1</v>
      </c>
      <c r="O536" s="101">
        <v>90</v>
      </c>
      <c r="P536" s="102">
        <v>90</v>
      </c>
      <c r="Q536" s="102">
        <v>4</v>
      </c>
      <c r="R536" s="102">
        <v>4</v>
      </c>
      <c r="S536" s="80"/>
      <c r="T536" s="101"/>
      <c r="U536" s="80"/>
    </row>
    <row r="537" spans="2:23" s="4" customFormat="1" ht="12.75">
      <c r="B537" s="43" t="s">
        <v>60</v>
      </c>
      <c r="C537" s="43" t="s">
        <v>36</v>
      </c>
      <c r="D537" s="3" t="s">
        <v>1029</v>
      </c>
      <c r="E537" s="80" t="s">
        <v>1030</v>
      </c>
      <c r="F537" s="81">
        <v>3</v>
      </c>
      <c r="G537" s="81">
        <v>0</v>
      </c>
      <c r="H537" s="81">
        <v>4</v>
      </c>
      <c r="I537" s="101" t="s">
        <v>71</v>
      </c>
      <c r="J537" s="101" t="s">
        <v>71</v>
      </c>
      <c r="K537" s="101" t="s">
        <v>76</v>
      </c>
      <c r="L537" s="80" t="s">
        <v>1488</v>
      </c>
      <c r="M537" s="101" t="s">
        <v>1562</v>
      </c>
      <c r="N537" s="97">
        <v>1</v>
      </c>
      <c r="O537" s="101">
        <v>20</v>
      </c>
      <c r="P537" s="101">
        <v>20</v>
      </c>
      <c r="Q537" s="102">
        <v>3</v>
      </c>
      <c r="R537" s="102">
        <v>3</v>
      </c>
      <c r="S537" s="98"/>
      <c r="T537" s="98"/>
      <c r="U537" s="80"/>
      <c r="V537" s="78"/>
      <c r="W537" s="78"/>
    </row>
    <row r="538" spans="2:23" s="4" customFormat="1" ht="12.75">
      <c r="B538" s="43" t="s">
        <v>60</v>
      </c>
      <c r="C538" s="43" t="s">
        <v>36</v>
      </c>
      <c r="D538" s="3" t="s">
        <v>1029</v>
      </c>
      <c r="E538" s="80" t="s">
        <v>1030</v>
      </c>
      <c r="F538" s="81">
        <v>3</v>
      </c>
      <c r="G538" s="81">
        <v>0</v>
      </c>
      <c r="H538" s="81">
        <v>4</v>
      </c>
      <c r="I538" s="101" t="s">
        <v>71</v>
      </c>
      <c r="J538" s="101" t="s">
        <v>71</v>
      </c>
      <c r="K538" s="101" t="s">
        <v>76</v>
      </c>
      <c r="L538" s="80" t="s">
        <v>1491</v>
      </c>
      <c r="M538" s="101" t="s">
        <v>1562</v>
      </c>
      <c r="N538" s="97">
        <v>1</v>
      </c>
      <c r="O538" s="101">
        <v>20</v>
      </c>
      <c r="P538" s="101">
        <v>20</v>
      </c>
      <c r="Q538" s="102">
        <v>3</v>
      </c>
      <c r="R538" s="102">
        <v>3</v>
      </c>
      <c r="S538" s="98"/>
      <c r="T538" s="98"/>
      <c r="U538" s="80"/>
      <c r="V538" s="78"/>
      <c r="W538" s="78"/>
    </row>
    <row r="539" spans="2:23" s="4" customFormat="1" ht="12.75">
      <c r="B539" s="117" t="s">
        <v>1727</v>
      </c>
      <c r="C539" s="117" t="s">
        <v>1728</v>
      </c>
      <c r="D539" s="3" t="s">
        <v>722</v>
      </c>
      <c r="E539" s="80" t="s">
        <v>1681</v>
      </c>
      <c r="F539" s="81">
        <v>4</v>
      </c>
      <c r="G539" s="81">
        <v>0</v>
      </c>
      <c r="H539" s="81">
        <v>4</v>
      </c>
      <c r="I539" s="101" t="s">
        <v>71</v>
      </c>
      <c r="J539" s="101" t="s">
        <v>71</v>
      </c>
      <c r="K539" s="101" t="s">
        <v>76</v>
      </c>
      <c r="L539" s="80" t="s">
        <v>1488</v>
      </c>
      <c r="M539" s="101" t="s">
        <v>1528</v>
      </c>
      <c r="N539" s="97">
        <v>1</v>
      </c>
      <c r="O539" s="101">
        <v>20</v>
      </c>
      <c r="P539" s="101">
        <v>20</v>
      </c>
      <c r="Q539" s="102">
        <v>4</v>
      </c>
      <c r="R539" s="102">
        <v>4</v>
      </c>
      <c r="S539" s="98"/>
      <c r="T539" s="98"/>
      <c r="U539" s="80"/>
      <c r="V539" s="78"/>
      <c r="W539" s="78"/>
    </row>
    <row r="540" spans="2:23" s="4" customFormat="1" ht="12.75">
      <c r="B540" s="117" t="s">
        <v>1727</v>
      </c>
      <c r="C540" s="117" t="s">
        <v>1728</v>
      </c>
      <c r="D540" s="3" t="s">
        <v>722</v>
      </c>
      <c r="E540" s="80" t="s">
        <v>1681</v>
      </c>
      <c r="F540" s="81">
        <v>4</v>
      </c>
      <c r="G540" s="81">
        <v>0</v>
      </c>
      <c r="H540" s="81">
        <v>4</v>
      </c>
      <c r="I540" s="101" t="s">
        <v>71</v>
      </c>
      <c r="J540" s="101" t="s">
        <v>71</v>
      </c>
      <c r="K540" s="101" t="s">
        <v>76</v>
      </c>
      <c r="L540" s="80" t="s">
        <v>1491</v>
      </c>
      <c r="M540" s="101" t="s">
        <v>1528</v>
      </c>
      <c r="N540" s="97">
        <v>1</v>
      </c>
      <c r="O540" s="101">
        <v>20</v>
      </c>
      <c r="P540" s="101">
        <v>20</v>
      </c>
      <c r="Q540" s="102">
        <v>4</v>
      </c>
      <c r="R540" s="102">
        <v>4</v>
      </c>
      <c r="S540" s="98"/>
      <c r="T540" s="98"/>
      <c r="U540" s="80"/>
      <c r="V540" s="78"/>
      <c r="W540" s="78"/>
    </row>
    <row r="541" spans="2:23" s="4" customFormat="1" ht="12.75">
      <c r="B541" s="117" t="s">
        <v>1727</v>
      </c>
      <c r="C541" s="117" t="s">
        <v>1728</v>
      </c>
      <c r="D541" s="3" t="s">
        <v>593</v>
      </c>
      <c r="E541" s="80" t="s">
        <v>594</v>
      </c>
      <c r="F541" s="81">
        <v>4</v>
      </c>
      <c r="G541" s="81">
        <v>0</v>
      </c>
      <c r="H541" s="81">
        <v>4</v>
      </c>
      <c r="I541" s="101" t="s">
        <v>71</v>
      </c>
      <c r="J541" s="101" t="s">
        <v>71</v>
      </c>
      <c r="K541" s="101" t="s">
        <v>76</v>
      </c>
      <c r="L541" s="80" t="s">
        <v>1488</v>
      </c>
      <c r="M541" s="101" t="s">
        <v>1528</v>
      </c>
      <c r="N541" s="97">
        <v>1</v>
      </c>
      <c r="O541" s="101">
        <v>20</v>
      </c>
      <c r="P541" s="101">
        <v>20</v>
      </c>
      <c r="Q541" s="102">
        <v>4</v>
      </c>
      <c r="R541" s="102">
        <v>4</v>
      </c>
      <c r="S541" s="98"/>
      <c r="T541" s="98"/>
      <c r="U541" s="80"/>
      <c r="V541" s="78"/>
      <c r="W541" s="78"/>
    </row>
    <row r="542" spans="2:23" s="4" customFormat="1" ht="12.75">
      <c r="B542" s="117" t="s">
        <v>1727</v>
      </c>
      <c r="C542" s="117" t="s">
        <v>1728</v>
      </c>
      <c r="D542" s="3" t="s">
        <v>593</v>
      </c>
      <c r="E542" s="80" t="s">
        <v>594</v>
      </c>
      <c r="F542" s="81">
        <v>4</v>
      </c>
      <c r="G542" s="81">
        <v>0</v>
      </c>
      <c r="H542" s="81">
        <v>4</v>
      </c>
      <c r="I542" s="101" t="s">
        <v>71</v>
      </c>
      <c r="J542" s="101" t="s">
        <v>71</v>
      </c>
      <c r="K542" s="101" t="s">
        <v>76</v>
      </c>
      <c r="L542" s="80" t="s">
        <v>1491</v>
      </c>
      <c r="M542" s="101" t="s">
        <v>1528</v>
      </c>
      <c r="N542" s="97">
        <v>1</v>
      </c>
      <c r="O542" s="101">
        <v>20</v>
      </c>
      <c r="P542" s="101">
        <v>20</v>
      </c>
      <c r="Q542" s="102">
        <v>4</v>
      </c>
      <c r="R542" s="102">
        <v>4</v>
      </c>
      <c r="S542" s="98"/>
      <c r="T542" s="98"/>
      <c r="U542" s="80"/>
      <c r="V542" s="78"/>
      <c r="W542" s="78"/>
    </row>
    <row r="543" spans="2:23" s="4" customFormat="1" ht="12.75">
      <c r="B543" s="117" t="s">
        <v>1727</v>
      </c>
      <c r="C543" s="117" t="s">
        <v>1728</v>
      </c>
      <c r="D543" s="3" t="s">
        <v>1270</v>
      </c>
      <c r="E543" s="80" t="s">
        <v>1271</v>
      </c>
      <c r="F543" s="81">
        <v>4</v>
      </c>
      <c r="G543" s="81">
        <v>0</v>
      </c>
      <c r="H543" s="81">
        <v>4</v>
      </c>
      <c r="I543" s="101" t="s">
        <v>73</v>
      </c>
      <c r="J543" s="101" t="s">
        <v>73</v>
      </c>
      <c r="K543" s="101" t="s">
        <v>76</v>
      </c>
      <c r="L543" s="80" t="s">
        <v>1488</v>
      </c>
      <c r="M543" s="101" t="s">
        <v>1528</v>
      </c>
      <c r="N543" s="97">
        <v>1</v>
      </c>
      <c r="O543" s="101">
        <v>20</v>
      </c>
      <c r="P543" s="101">
        <v>20</v>
      </c>
      <c r="Q543" s="102">
        <v>4</v>
      </c>
      <c r="R543" s="102">
        <v>4</v>
      </c>
      <c r="S543" s="98"/>
      <c r="T543" s="98"/>
      <c r="U543" s="80"/>
      <c r="V543" s="78"/>
      <c r="W543" s="78"/>
    </row>
    <row r="544" spans="2:23" s="4" customFormat="1" ht="12.75">
      <c r="B544" s="117" t="s">
        <v>1727</v>
      </c>
      <c r="C544" s="117" t="s">
        <v>1728</v>
      </c>
      <c r="D544" s="3" t="s">
        <v>1270</v>
      </c>
      <c r="E544" s="80" t="s">
        <v>1271</v>
      </c>
      <c r="F544" s="81">
        <v>4</v>
      </c>
      <c r="G544" s="81">
        <v>0</v>
      </c>
      <c r="H544" s="81">
        <v>4</v>
      </c>
      <c r="I544" s="101" t="s">
        <v>73</v>
      </c>
      <c r="J544" s="101" t="s">
        <v>73</v>
      </c>
      <c r="K544" s="101" t="s">
        <v>76</v>
      </c>
      <c r="L544" s="80" t="s">
        <v>1491</v>
      </c>
      <c r="M544" s="101" t="s">
        <v>1528</v>
      </c>
      <c r="N544" s="97">
        <v>1</v>
      </c>
      <c r="O544" s="101">
        <v>20</v>
      </c>
      <c r="P544" s="101">
        <v>20</v>
      </c>
      <c r="Q544" s="102">
        <v>4</v>
      </c>
      <c r="R544" s="102">
        <v>4</v>
      </c>
      <c r="S544" s="98"/>
      <c r="T544" s="98"/>
      <c r="U544" s="80"/>
      <c r="V544" s="78"/>
      <c r="W544" s="78"/>
    </row>
    <row r="545" spans="2:23" s="4" customFormat="1" ht="12.75">
      <c r="B545" s="117" t="s">
        <v>1727</v>
      </c>
      <c r="C545" s="117" t="s">
        <v>1728</v>
      </c>
      <c r="D545" s="3" t="s">
        <v>1266</v>
      </c>
      <c r="E545" s="80" t="s">
        <v>1267</v>
      </c>
      <c r="F545" s="81">
        <v>4</v>
      </c>
      <c r="G545" s="81">
        <v>0</v>
      </c>
      <c r="H545" s="81">
        <v>4</v>
      </c>
      <c r="I545" s="101" t="s">
        <v>73</v>
      </c>
      <c r="J545" s="101" t="s">
        <v>73</v>
      </c>
      <c r="K545" s="101" t="s">
        <v>76</v>
      </c>
      <c r="L545" s="80" t="s">
        <v>1488</v>
      </c>
      <c r="M545" s="101" t="s">
        <v>1528</v>
      </c>
      <c r="N545" s="97">
        <v>1</v>
      </c>
      <c r="O545" s="101">
        <v>20</v>
      </c>
      <c r="P545" s="101">
        <v>20</v>
      </c>
      <c r="Q545" s="102">
        <v>4</v>
      </c>
      <c r="R545" s="102">
        <v>4</v>
      </c>
      <c r="S545" s="98"/>
      <c r="T545" s="98"/>
      <c r="U545" s="80"/>
      <c r="V545" s="78"/>
      <c r="W545" s="78"/>
    </row>
    <row r="546" spans="2:23" s="4" customFormat="1" ht="12.75">
      <c r="B546" s="117" t="s">
        <v>1727</v>
      </c>
      <c r="C546" s="117" t="s">
        <v>1728</v>
      </c>
      <c r="D546" s="3" t="s">
        <v>1266</v>
      </c>
      <c r="E546" s="80" t="s">
        <v>1267</v>
      </c>
      <c r="F546" s="81">
        <v>4</v>
      </c>
      <c r="G546" s="81">
        <v>0</v>
      </c>
      <c r="H546" s="81">
        <v>4</v>
      </c>
      <c r="I546" s="101" t="s">
        <v>73</v>
      </c>
      <c r="J546" s="101" t="s">
        <v>73</v>
      </c>
      <c r="K546" s="101" t="s">
        <v>76</v>
      </c>
      <c r="L546" s="80" t="s">
        <v>1491</v>
      </c>
      <c r="M546" s="101" t="s">
        <v>1528</v>
      </c>
      <c r="N546" s="97">
        <v>1</v>
      </c>
      <c r="O546" s="101">
        <v>20</v>
      </c>
      <c r="P546" s="101">
        <v>20</v>
      </c>
      <c r="Q546" s="102">
        <v>4</v>
      </c>
      <c r="R546" s="102">
        <v>4</v>
      </c>
      <c r="S546" s="98"/>
      <c r="T546" s="98"/>
      <c r="U546" s="80"/>
      <c r="V546" s="78"/>
      <c r="W546" s="78"/>
    </row>
    <row r="547" spans="2:23" s="4" customFormat="1" ht="12.75">
      <c r="B547" s="117" t="s">
        <v>1727</v>
      </c>
      <c r="C547" s="117" t="s">
        <v>1728</v>
      </c>
      <c r="D547" s="3" t="s">
        <v>1388</v>
      </c>
      <c r="E547" s="80" t="s">
        <v>1389</v>
      </c>
      <c r="F547" s="81">
        <v>4</v>
      </c>
      <c r="G547" s="81">
        <v>0</v>
      </c>
      <c r="H547" s="81">
        <v>4</v>
      </c>
      <c r="I547" s="101" t="s">
        <v>71</v>
      </c>
      <c r="J547" s="101" t="s">
        <v>71</v>
      </c>
      <c r="K547" s="101" t="s">
        <v>1272</v>
      </c>
      <c r="L547" s="80" t="s">
        <v>1488</v>
      </c>
      <c r="M547" s="101" t="s">
        <v>1528</v>
      </c>
      <c r="N547" s="97">
        <v>1</v>
      </c>
      <c r="O547" s="101">
        <v>20</v>
      </c>
      <c r="P547" s="101">
        <v>20</v>
      </c>
      <c r="Q547" s="102">
        <v>4</v>
      </c>
      <c r="R547" s="102">
        <v>4</v>
      </c>
      <c r="S547" s="98"/>
      <c r="T547" s="98"/>
      <c r="U547" s="80"/>
      <c r="V547" s="78"/>
      <c r="W547" s="78"/>
    </row>
    <row r="548" spans="2:23" s="4" customFormat="1" ht="12.75">
      <c r="B548" s="117" t="s">
        <v>1727</v>
      </c>
      <c r="C548" s="117" t="s">
        <v>1728</v>
      </c>
      <c r="D548" s="3" t="s">
        <v>1388</v>
      </c>
      <c r="E548" s="80" t="s">
        <v>1389</v>
      </c>
      <c r="F548" s="81">
        <v>4</v>
      </c>
      <c r="G548" s="81">
        <v>0</v>
      </c>
      <c r="H548" s="81">
        <v>4</v>
      </c>
      <c r="I548" s="101" t="s">
        <v>71</v>
      </c>
      <c r="J548" s="101" t="s">
        <v>71</v>
      </c>
      <c r="K548" s="101" t="s">
        <v>1272</v>
      </c>
      <c r="L548" s="80" t="s">
        <v>1491</v>
      </c>
      <c r="M548" s="101" t="s">
        <v>1528</v>
      </c>
      <c r="N548" s="97">
        <v>1</v>
      </c>
      <c r="O548" s="101">
        <v>20</v>
      </c>
      <c r="P548" s="101">
        <v>20</v>
      </c>
      <c r="Q548" s="102">
        <v>4</v>
      </c>
      <c r="R548" s="102">
        <v>4</v>
      </c>
      <c r="S548" s="98"/>
      <c r="T548" s="98"/>
      <c r="U548" s="80"/>
      <c r="V548" s="78"/>
      <c r="W548" s="78"/>
    </row>
    <row r="549" spans="2:23" s="4" customFormat="1" ht="12.75">
      <c r="B549" s="117" t="s">
        <v>1727</v>
      </c>
      <c r="C549" s="117" t="s">
        <v>1728</v>
      </c>
      <c r="D549" s="3" t="s">
        <v>591</v>
      </c>
      <c r="E549" s="80" t="s">
        <v>592</v>
      </c>
      <c r="F549" s="81">
        <v>4</v>
      </c>
      <c r="G549" s="81">
        <v>0</v>
      </c>
      <c r="H549" s="81">
        <v>4</v>
      </c>
      <c r="I549" s="101" t="s">
        <v>71</v>
      </c>
      <c r="J549" s="101" t="s">
        <v>71</v>
      </c>
      <c r="K549" s="101" t="s">
        <v>76</v>
      </c>
      <c r="L549" s="80" t="s">
        <v>1488</v>
      </c>
      <c r="M549" s="101" t="s">
        <v>1528</v>
      </c>
      <c r="N549" s="97">
        <v>1</v>
      </c>
      <c r="O549" s="101">
        <v>40</v>
      </c>
      <c r="P549" s="101">
        <v>40</v>
      </c>
      <c r="Q549" s="102">
        <v>4</v>
      </c>
      <c r="R549" s="102">
        <v>4</v>
      </c>
      <c r="S549" s="98"/>
      <c r="T549" s="98"/>
      <c r="U549" s="80"/>
      <c r="V549" s="78"/>
      <c r="W549" s="78"/>
    </row>
    <row r="550" spans="2:23" s="4" customFormat="1" ht="12.75">
      <c r="B550" s="117" t="s">
        <v>1727</v>
      </c>
      <c r="C550" s="117" t="s">
        <v>1728</v>
      </c>
      <c r="D550" s="3" t="s">
        <v>591</v>
      </c>
      <c r="E550" s="80" t="s">
        <v>592</v>
      </c>
      <c r="F550" s="81">
        <v>4</v>
      </c>
      <c r="G550" s="81">
        <v>0</v>
      </c>
      <c r="H550" s="81">
        <v>4</v>
      </c>
      <c r="I550" s="101" t="s">
        <v>71</v>
      </c>
      <c r="J550" s="101" t="s">
        <v>71</v>
      </c>
      <c r="K550" s="101" t="s">
        <v>76</v>
      </c>
      <c r="L550" s="80" t="s">
        <v>1491</v>
      </c>
      <c r="M550" s="101" t="s">
        <v>1528</v>
      </c>
      <c r="N550" s="97">
        <v>1</v>
      </c>
      <c r="O550" s="101">
        <v>40</v>
      </c>
      <c r="P550" s="101">
        <v>40</v>
      </c>
      <c r="Q550" s="102">
        <v>4</v>
      </c>
      <c r="R550" s="102">
        <v>4</v>
      </c>
      <c r="S550" s="98"/>
      <c r="T550" s="98"/>
      <c r="U550" s="80"/>
      <c r="V550" s="78"/>
      <c r="W550" s="78"/>
    </row>
    <row r="551" spans="2:23" s="4" customFormat="1" ht="12.75">
      <c r="B551" s="117" t="s">
        <v>1727</v>
      </c>
      <c r="C551" s="117" t="s">
        <v>1728</v>
      </c>
      <c r="D551" s="3" t="s">
        <v>1016</v>
      </c>
      <c r="E551" s="80" t="s">
        <v>1017</v>
      </c>
      <c r="F551" s="81">
        <v>3</v>
      </c>
      <c r="G551" s="81">
        <v>0</v>
      </c>
      <c r="H551" s="81">
        <v>4</v>
      </c>
      <c r="I551" s="101" t="s">
        <v>71</v>
      </c>
      <c r="J551" s="101" t="s">
        <v>71</v>
      </c>
      <c r="K551" s="101" t="s">
        <v>1018</v>
      </c>
      <c r="L551" s="80" t="s">
        <v>1488</v>
      </c>
      <c r="M551" s="101" t="s">
        <v>1528</v>
      </c>
      <c r="N551" s="97">
        <v>1</v>
      </c>
      <c r="O551" s="101">
        <v>40</v>
      </c>
      <c r="P551" s="101">
        <v>40</v>
      </c>
      <c r="Q551" s="102">
        <v>3</v>
      </c>
      <c r="R551" s="102">
        <v>3</v>
      </c>
      <c r="S551" s="98"/>
      <c r="T551" s="98"/>
      <c r="U551" s="80"/>
      <c r="V551" s="78"/>
      <c r="W551" s="78"/>
    </row>
    <row r="552" spans="2:23" s="4" customFormat="1" ht="12.75">
      <c r="B552" s="117" t="s">
        <v>1727</v>
      </c>
      <c r="C552" s="117" t="s">
        <v>1728</v>
      </c>
      <c r="D552" s="3" t="s">
        <v>1016</v>
      </c>
      <c r="E552" s="80" t="s">
        <v>1017</v>
      </c>
      <c r="F552" s="81">
        <v>3</v>
      </c>
      <c r="G552" s="81">
        <v>0</v>
      </c>
      <c r="H552" s="81">
        <v>4</v>
      </c>
      <c r="I552" s="101" t="s">
        <v>71</v>
      </c>
      <c r="J552" s="101" t="s">
        <v>71</v>
      </c>
      <c r="K552" s="101" t="s">
        <v>1018</v>
      </c>
      <c r="L552" s="80" t="s">
        <v>1491</v>
      </c>
      <c r="M552" s="101" t="s">
        <v>1528</v>
      </c>
      <c r="N552" s="97">
        <v>1</v>
      </c>
      <c r="O552" s="101">
        <v>40</v>
      </c>
      <c r="P552" s="101">
        <v>40</v>
      </c>
      <c r="Q552" s="102">
        <v>3</v>
      </c>
      <c r="R552" s="102">
        <v>3</v>
      </c>
      <c r="S552" s="98"/>
      <c r="T552" s="98"/>
      <c r="U552" s="80"/>
      <c r="V552" s="78"/>
      <c r="W552" s="78"/>
    </row>
    <row r="553" spans="2:23" s="4" customFormat="1" ht="12.75">
      <c r="B553" s="117" t="s">
        <v>1727</v>
      </c>
      <c r="C553" s="117" t="s">
        <v>1728</v>
      </c>
      <c r="D553" s="3" t="s">
        <v>502</v>
      </c>
      <c r="E553" s="80" t="s">
        <v>503</v>
      </c>
      <c r="F553" s="81">
        <v>2</v>
      </c>
      <c r="G553" s="81">
        <v>6</v>
      </c>
      <c r="H553" s="81">
        <v>4</v>
      </c>
      <c r="I553" s="101" t="s">
        <v>71</v>
      </c>
      <c r="J553" s="101" t="s">
        <v>71</v>
      </c>
      <c r="K553" s="101" t="s">
        <v>76</v>
      </c>
      <c r="L553" s="80" t="s">
        <v>1488</v>
      </c>
      <c r="M553" s="101" t="s">
        <v>1528</v>
      </c>
      <c r="N553" s="97">
        <v>1</v>
      </c>
      <c r="O553" s="101">
        <v>40</v>
      </c>
      <c r="P553" s="101">
        <v>40</v>
      </c>
      <c r="Q553" s="102">
        <v>3</v>
      </c>
      <c r="R553" s="102">
        <v>3</v>
      </c>
      <c r="S553" s="98"/>
      <c r="T553" s="98"/>
      <c r="U553" s="80"/>
      <c r="V553" s="78"/>
      <c r="W553" s="78"/>
    </row>
    <row r="554" spans="2:23" s="4" customFormat="1" ht="12.75">
      <c r="B554" s="117" t="s">
        <v>1727</v>
      </c>
      <c r="C554" s="117" t="s">
        <v>1728</v>
      </c>
      <c r="D554" s="3" t="s">
        <v>502</v>
      </c>
      <c r="E554" s="80" t="s">
        <v>503</v>
      </c>
      <c r="F554" s="81">
        <v>2</v>
      </c>
      <c r="G554" s="81">
        <v>6</v>
      </c>
      <c r="H554" s="81">
        <v>4</v>
      </c>
      <c r="I554" s="101" t="s">
        <v>71</v>
      </c>
      <c r="J554" s="101" t="s">
        <v>71</v>
      </c>
      <c r="K554" s="101" t="s">
        <v>76</v>
      </c>
      <c r="L554" s="80" t="s">
        <v>1491</v>
      </c>
      <c r="M554" s="101" t="s">
        <v>1528</v>
      </c>
      <c r="N554" s="97">
        <v>1</v>
      </c>
      <c r="O554" s="101">
        <v>40</v>
      </c>
      <c r="P554" s="101">
        <v>40</v>
      </c>
      <c r="Q554" s="102">
        <v>3</v>
      </c>
      <c r="R554" s="102">
        <v>3</v>
      </c>
      <c r="S554" s="98"/>
      <c r="T554" s="98"/>
      <c r="U554" s="80"/>
      <c r="V554" s="78"/>
      <c r="W554" s="78"/>
    </row>
    <row r="555" spans="2:23" s="4" customFormat="1" ht="12.75">
      <c r="B555" s="50" t="s">
        <v>1727</v>
      </c>
      <c r="C555" s="50" t="s">
        <v>37</v>
      </c>
      <c r="D555" s="3" t="s">
        <v>1037</v>
      </c>
      <c r="E555" s="80" t="s">
        <v>1038</v>
      </c>
      <c r="F555" s="81">
        <v>3</v>
      </c>
      <c r="G555" s="81">
        <v>0</v>
      </c>
      <c r="H555" s="81">
        <v>4</v>
      </c>
      <c r="I555" s="101" t="s">
        <v>71</v>
      </c>
      <c r="J555" s="101" t="s">
        <v>71</v>
      </c>
      <c r="K555" s="101" t="s">
        <v>76</v>
      </c>
      <c r="L555" s="80" t="s">
        <v>1488</v>
      </c>
      <c r="M555" s="101" t="s">
        <v>1562</v>
      </c>
      <c r="N555" s="97">
        <v>1</v>
      </c>
      <c r="O555" s="101">
        <v>20</v>
      </c>
      <c r="P555" s="101">
        <v>20</v>
      </c>
      <c r="Q555" s="102">
        <v>3</v>
      </c>
      <c r="R555" s="102">
        <v>3</v>
      </c>
      <c r="S555" s="98"/>
      <c r="T555" s="98"/>
      <c r="U555" s="80"/>
      <c r="V555" s="78"/>
      <c r="W555" s="78"/>
    </row>
    <row r="556" spans="2:23" s="4" customFormat="1" ht="12.75">
      <c r="B556" s="50" t="s">
        <v>1727</v>
      </c>
      <c r="C556" s="50" t="s">
        <v>37</v>
      </c>
      <c r="D556" s="3" t="s">
        <v>1037</v>
      </c>
      <c r="E556" s="80" t="s">
        <v>1038</v>
      </c>
      <c r="F556" s="81">
        <v>3</v>
      </c>
      <c r="G556" s="81">
        <v>0</v>
      </c>
      <c r="H556" s="81">
        <v>4</v>
      </c>
      <c r="I556" s="101" t="s">
        <v>71</v>
      </c>
      <c r="J556" s="101" t="s">
        <v>71</v>
      </c>
      <c r="K556" s="101" t="s">
        <v>76</v>
      </c>
      <c r="L556" s="80" t="s">
        <v>1491</v>
      </c>
      <c r="M556" s="101" t="s">
        <v>1562</v>
      </c>
      <c r="N556" s="97">
        <v>1</v>
      </c>
      <c r="O556" s="101">
        <v>20</v>
      </c>
      <c r="P556" s="101">
        <v>20</v>
      </c>
      <c r="Q556" s="102">
        <v>3</v>
      </c>
      <c r="R556" s="102">
        <v>3</v>
      </c>
      <c r="S556" s="98"/>
      <c r="T556" s="98"/>
      <c r="U556" s="80"/>
      <c r="V556" s="78"/>
      <c r="W556" s="78"/>
    </row>
    <row r="557" spans="2:23" s="4" customFormat="1" ht="12.75">
      <c r="B557" s="50" t="s">
        <v>1727</v>
      </c>
      <c r="C557" s="50" t="s">
        <v>37</v>
      </c>
      <c r="D557" s="3" t="s">
        <v>508</v>
      </c>
      <c r="E557" s="80" t="s">
        <v>509</v>
      </c>
      <c r="F557" s="81">
        <v>0</v>
      </c>
      <c r="G557" s="81">
        <v>0</v>
      </c>
      <c r="H557" s="81">
        <v>0</v>
      </c>
      <c r="I557" s="101" t="s">
        <v>71</v>
      </c>
      <c r="J557" s="101" t="s">
        <v>71</v>
      </c>
      <c r="K557" s="101" t="s">
        <v>76</v>
      </c>
      <c r="L557" s="80" t="s">
        <v>1488</v>
      </c>
      <c r="M557" s="101" t="s">
        <v>1562</v>
      </c>
      <c r="N557" s="97">
        <v>1</v>
      </c>
      <c r="O557" s="101">
        <v>20</v>
      </c>
      <c r="P557" s="101">
        <v>20</v>
      </c>
      <c r="Q557" s="102">
        <v>3</v>
      </c>
      <c r="R557" s="102">
        <v>3</v>
      </c>
      <c r="S557" s="98"/>
      <c r="T557" s="98"/>
      <c r="U557" s="80"/>
      <c r="V557" s="78"/>
      <c r="W557" s="78"/>
    </row>
    <row r="558" spans="2:23" s="4" customFormat="1" ht="12.75">
      <c r="B558" s="50" t="s">
        <v>1727</v>
      </c>
      <c r="C558" s="50" t="s">
        <v>37</v>
      </c>
      <c r="D558" s="3" t="s">
        <v>508</v>
      </c>
      <c r="E558" s="80" t="s">
        <v>509</v>
      </c>
      <c r="F558" s="81">
        <v>0</v>
      </c>
      <c r="G558" s="81">
        <v>0</v>
      </c>
      <c r="H558" s="81">
        <v>0</v>
      </c>
      <c r="I558" s="101" t="s">
        <v>71</v>
      </c>
      <c r="J558" s="101" t="s">
        <v>71</v>
      </c>
      <c r="K558" s="101" t="s">
        <v>76</v>
      </c>
      <c r="L558" s="80" t="s">
        <v>1491</v>
      </c>
      <c r="M558" s="101" t="s">
        <v>1562</v>
      </c>
      <c r="N558" s="97">
        <v>1</v>
      </c>
      <c r="O558" s="101">
        <v>20</v>
      </c>
      <c r="P558" s="101">
        <v>20</v>
      </c>
      <c r="Q558" s="102">
        <v>3</v>
      </c>
      <c r="R558" s="102">
        <v>3</v>
      </c>
      <c r="S558" s="98"/>
      <c r="T558" s="98"/>
      <c r="U558" s="80"/>
      <c r="V558" s="78"/>
      <c r="W558" s="78"/>
    </row>
    <row r="559" spans="2:23" s="4" customFormat="1" ht="12.75">
      <c r="B559" s="50" t="s">
        <v>1727</v>
      </c>
      <c r="C559" s="50" t="s">
        <v>37</v>
      </c>
      <c r="D559" s="3" t="s">
        <v>611</v>
      </c>
      <c r="E559" s="80" t="s">
        <v>612</v>
      </c>
      <c r="F559" s="81">
        <v>4</v>
      </c>
      <c r="G559" s="81">
        <v>0</v>
      </c>
      <c r="H559" s="81">
        <v>4</v>
      </c>
      <c r="I559" s="101" t="s">
        <v>71</v>
      </c>
      <c r="J559" s="101" t="s">
        <v>71</v>
      </c>
      <c r="K559" s="101" t="s">
        <v>76</v>
      </c>
      <c r="L559" s="80" t="s">
        <v>1488</v>
      </c>
      <c r="M559" s="101" t="s">
        <v>1562</v>
      </c>
      <c r="N559" s="97">
        <v>1</v>
      </c>
      <c r="O559" s="101">
        <v>35</v>
      </c>
      <c r="P559" s="101">
        <v>35</v>
      </c>
      <c r="Q559" s="102">
        <v>4</v>
      </c>
      <c r="R559" s="102">
        <v>4</v>
      </c>
      <c r="S559" s="98"/>
      <c r="T559" s="98"/>
      <c r="U559" s="80"/>
      <c r="V559" s="78"/>
      <c r="W559" s="78"/>
    </row>
    <row r="560" spans="2:23" s="4" customFormat="1" ht="12.75">
      <c r="B560" s="51" t="s">
        <v>63</v>
      </c>
      <c r="C560" s="51" t="s">
        <v>38</v>
      </c>
      <c r="D560" s="3" t="s">
        <v>355</v>
      </c>
      <c r="E560" s="80" t="s">
        <v>356</v>
      </c>
      <c r="F560" s="81">
        <v>4</v>
      </c>
      <c r="G560" s="81">
        <v>0</v>
      </c>
      <c r="H560" s="81">
        <v>4</v>
      </c>
      <c r="I560" s="101" t="s">
        <v>71</v>
      </c>
      <c r="J560" s="101" t="s">
        <v>71</v>
      </c>
      <c r="K560" s="101" t="s">
        <v>76</v>
      </c>
      <c r="L560" s="80" t="s">
        <v>1488</v>
      </c>
      <c r="M560" s="101" t="s">
        <v>1562</v>
      </c>
      <c r="N560" s="97">
        <v>1</v>
      </c>
      <c r="O560" s="101">
        <v>50</v>
      </c>
      <c r="P560" s="101">
        <v>50</v>
      </c>
      <c r="Q560" s="102">
        <v>4</v>
      </c>
      <c r="R560" s="102">
        <v>4</v>
      </c>
      <c r="S560" s="98" t="s">
        <v>1512</v>
      </c>
      <c r="T560" s="98" t="s">
        <v>1512</v>
      </c>
      <c r="U560" s="80"/>
      <c r="V560" s="78"/>
      <c r="W560" s="78"/>
    </row>
    <row r="561" spans="2:23" s="4" customFormat="1" ht="12.75">
      <c r="B561" s="51" t="s">
        <v>63</v>
      </c>
      <c r="C561" s="51" t="s">
        <v>38</v>
      </c>
      <c r="D561" s="3" t="s">
        <v>355</v>
      </c>
      <c r="E561" s="80" t="s">
        <v>356</v>
      </c>
      <c r="F561" s="81">
        <v>4</v>
      </c>
      <c r="G561" s="81">
        <v>0</v>
      </c>
      <c r="H561" s="81">
        <v>4</v>
      </c>
      <c r="I561" s="101" t="s">
        <v>71</v>
      </c>
      <c r="J561" s="101" t="s">
        <v>71</v>
      </c>
      <c r="K561" s="101" t="s">
        <v>76</v>
      </c>
      <c r="L561" s="80" t="s">
        <v>1491</v>
      </c>
      <c r="M561" s="101" t="s">
        <v>1562</v>
      </c>
      <c r="N561" s="97">
        <v>1</v>
      </c>
      <c r="O561" s="101">
        <v>50</v>
      </c>
      <c r="P561" s="101">
        <v>50</v>
      </c>
      <c r="Q561" s="102">
        <v>4</v>
      </c>
      <c r="R561" s="102">
        <v>4</v>
      </c>
      <c r="S561" s="98" t="s">
        <v>1512</v>
      </c>
      <c r="T561" s="98" t="s">
        <v>1512</v>
      </c>
      <c r="U561" s="80"/>
      <c r="V561" s="78"/>
      <c r="W561" s="78"/>
    </row>
    <row r="562" spans="2:23" s="4" customFormat="1" ht="12.75">
      <c r="B562" s="51" t="s">
        <v>63</v>
      </c>
      <c r="C562" s="51" t="s">
        <v>38</v>
      </c>
      <c r="D562" s="3" t="s">
        <v>410</v>
      </c>
      <c r="E562" s="80" t="s">
        <v>411</v>
      </c>
      <c r="F562" s="81">
        <v>4</v>
      </c>
      <c r="G562" s="81">
        <v>0</v>
      </c>
      <c r="H562" s="81">
        <v>4</v>
      </c>
      <c r="I562" s="101" t="s">
        <v>71</v>
      </c>
      <c r="J562" s="101" t="s">
        <v>71</v>
      </c>
      <c r="K562" s="101" t="s">
        <v>76</v>
      </c>
      <c r="L562" s="80" t="s">
        <v>1488</v>
      </c>
      <c r="M562" s="101" t="s">
        <v>1562</v>
      </c>
      <c r="N562" s="97">
        <v>1</v>
      </c>
      <c r="O562" s="101">
        <v>50</v>
      </c>
      <c r="P562" s="101">
        <v>50</v>
      </c>
      <c r="Q562" s="102">
        <v>4</v>
      </c>
      <c r="R562" s="102">
        <v>4</v>
      </c>
      <c r="S562" s="98" t="s">
        <v>1512</v>
      </c>
      <c r="T562" s="98" t="s">
        <v>1512</v>
      </c>
      <c r="U562" s="80"/>
      <c r="V562" s="78"/>
      <c r="W562" s="78"/>
    </row>
    <row r="563" spans="2:23" s="4" customFormat="1" ht="12.75">
      <c r="B563" s="51" t="s">
        <v>63</v>
      </c>
      <c r="C563" s="51" t="s">
        <v>38</v>
      </c>
      <c r="D563" s="3" t="s">
        <v>410</v>
      </c>
      <c r="E563" s="80" t="s">
        <v>411</v>
      </c>
      <c r="F563" s="81">
        <v>4</v>
      </c>
      <c r="G563" s="81">
        <v>0</v>
      </c>
      <c r="H563" s="81">
        <v>4</v>
      </c>
      <c r="I563" s="101" t="s">
        <v>71</v>
      </c>
      <c r="J563" s="101" t="s">
        <v>71</v>
      </c>
      <c r="K563" s="101" t="s">
        <v>76</v>
      </c>
      <c r="L563" s="80" t="s">
        <v>1491</v>
      </c>
      <c r="M563" s="101" t="s">
        <v>1562</v>
      </c>
      <c r="N563" s="97">
        <v>1</v>
      </c>
      <c r="O563" s="101">
        <v>50</v>
      </c>
      <c r="P563" s="101">
        <v>50</v>
      </c>
      <c r="Q563" s="102">
        <v>4</v>
      </c>
      <c r="R563" s="102">
        <v>4</v>
      </c>
      <c r="S563" s="98" t="s">
        <v>1512</v>
      </c>
      <c r="T563" s="98" t="s">
        <v>1512</v>
      </c>
      <c r="U563" s="80"/>
      <c r="V563" s="78"/>
      <c r="W563" s="78"/>
    </row>
    <row r="564" spans="2:23" s="4" customFormat="1" ht="12.75">
      <c r="B564" s="51" t="s">
        <v>63</v>
      </c>
      <c r="C564" s="51" t="s">
        <v>38</v>
      </c>
      <c r="D564" s="3" t="s">
        <v>1377</v>
      </c>
      <c r="E564" s="80" t="s">
        <v>1378</v>
      </c>
      <c r="F564" s="81">
        <v>2</v>
      </c>
      <c r="G564" s="81">
        <v>0</v>
      </c>
      <c r="H564" s="81">
        <v>2</v>
      </c>
      <c r="I564" s="101" t="s">
        <v>71</v>
      </c>
      <c r="J564" s="101" t="s">
        <v>71</v>
      </c>
      <c r="K564" s="101" t="s">
        <v>76</v>
      </c>
      <c r="L564" s="80" t="s">
        <v>1488</v>
      </c>
      <c r="M564" s="101" t="s">
        <v>1562</v>
      </c>
      <c r="N564" s="97">
        <v>1</v>
      </c>
      <c r="O564" s="101">
        <v>50</v>
      </c>
      <c r="P564" s="101">
        <v>50</v>
      </c>
      <c r="Q564" s="102">
        <v>2</v>
      </c>
      <c r="R564" s="102">
        <v>2</v>
      </c>
      <c r="S564" s="98" t="s">
        <v>1512</v>
      </c>
      <c r="T564" s="98" t="s">
        <v>1512</v>
      </c>
      <c r="U564" s="80"/>
      <c r="V564" s="78"/>
      <c r="W564" s="78"/>
    </row>
    <row r="565" spans="2:23" s="4" customFormat="1" ht="12.75">
      <c r="B565" s="51" t="s">
        <v>63</v>
      </c>
      <c r="C565" s="51" t="s">
        <v>38</v>
      </c>
      <c r="D565" s="3" t="s">
        <v>1377</v>
      </c>
      <c r="E565" s="80" t="s">
        <v>1378</v>
      </c>
      <c r="F565" s="81">
        <v>2</v>
      </c>
      <c r="G565" s="81">
        <v>0</v>
      </c>
      <c r="H565" s="81">
        <v>2</v>
      </c>
      <c r="I565" s="101" t="s">
        <v>71</v>
      </c>
      <c r="J565" s="101" t="s">
        <v>71</v>
      </c>
      <c r="K565" s="101" t="s">
        <v>76</v>
      </c>
      <c r="L565" s="80" t="s">
        <v>1491</v>
      </c>
      <c r="M565" s="101" t="s">
        <v>1562</v>
      </c>
      <c r="N565" s="97">
        <v>1</v>
      </c>
      <c r="O565" s="101">
        <v>50</v>
      </c>
      <c r="P565" s="101">
        <v>50</v>
      </c>
      <c r="Q565" s="102">
        <v>2</v>
      </c>
      <c r="R565" s="102">
        <v>2</v>
      </c>
      <c r="S565" s="98" t="s">
        <v>1512</v>
      </c>
      <c r="T565" s="98" t="s">
        <v>1512</v>
      </c>
      <c r="U565" s="80"/>
      <c r="V565" s="78"/>
      <c r="W565" s="78"/>
    </row>
    <row r="566" spans="2:23" s="4" customFormat="1" ht="12.75">
      <c r="B566" s="51" t="s">
        <v>63</v>
      </c>
      <c r="C566" s="51" t="s">
        <v>38</v>
      </c>
      <c r="D566" s="3" t="s">
        <v>1278</v>
      </c>
      <c r="E566" s="80" t="s">
        <v>131</v>
      </c>
      <c r="F566" s="81">
        <v>4</v>
      </c>
      <c r="G566" s="81">
        <v>0</v>
      </c>
      <c r="H566" s="81">
        <v>4</v>
      </c>
      <c r="I566" s="101" t="s">
        <v>71</v>
      </c>
      <c r="J566" s="101" t="s">
        <v>71</v>
      </c>
      <c r="K566" s="101" t="s">
        <v>844</v>
      </c>
      <c r="L566" s="80" t="s">
        <v>1488</v>
      </c>
      <c r="M566" s="101" t="s">
        <v>1562</v>
      </c>
      <c r="N566" s="97">
        <v>1</v>
      </c>
      <c r="O566" s="101">
        <v>20</v>
      </c>
      <c r="P566" s="101">
        <v>20</v>
      </c>
      <c r="Q566" s="102">
        <v>4</v>
      </c>
      <c r="R566" s="102">
        <v>4</v>
      </c>
      <c r="S566" s="98" t="s">
        <v>1512</v>
      </c>
      <c r="T566" s="98" t="s">
        <v>1512</v>
      </c>
      <c r="U566" s="80"/>
      <c r="V566" s="78"/>
      <c r="W566" s="78"/>
    </row>
    <row r="567" spans="2:23" s="4" customFormat="1" ht="12.75">
      <c r="B567" s="51" t="s">
        <v>63</v>
      </c>
      <c r="C567" s="51" t="s">
        <v>38</v>
      </c>
      <c r="D567" s="3" t="s">
        <v>1278</v>
      </c>
      <c r="E567" s="80" t="s">
        <v>131</v>
      </c>
      <c r="F567" s="81">
        <v>4</v>
      </c>
      <c r="G567" s="81">
        <v>0</v>
      </c>
      <c r="H567" s="81">
        <v>4</v>
      </c>
      <c r="I567" s="101" t="s">
        <v>71</v>
      </c>
      <c r="J567" s="101" t="s">
        <v>71</v>
      </c>
      <c r="K567" s="101" t="s">
        <v>844</v>
      </c>
      <c r="L567" s="80" t="s">
        <v>1491</v>
      </c>
      <c r="M567" s="101" t="s">
        <v>1562</v>
      </c>
      <c r="N567" s="97">
        <v>1</v>
      </c>
      <c r="O567" s="101">
        <v>20</v>
      </c>
      <c r="P567" s="101">
        <v>20</v>
      </c>
      <c r="Q567" s="102">
        <v>4</v>
      </c>
      <c r="R567" s="102">
        <v>4</v>
      </c>
      <c r="S567" s="98" t="s">
        <v>1512</v>
      </c>
      <c r="T567" s="98" t="s">
        <v>1512</v>
      </c>
      <c r="U567" s="80"/>
      <c r="V567" s="78"/>
      <c r="W567" s="78"/>
    </row>
    <row r="568" spans="2:23" s="4" customFormat="1" ht="12.75">
      <c r="B568" s="51" t="s">
        <v>63</v>
      </c>
      <c r="C568" s="51" t="s">
        <v>38</v>
      </c>
      <c r="D568" s="3" t="s">
        <v>643</v>
      </c>
      <c r="E568" s="80" t="s">
        <v>644</v>
      </c>
      <c r="F568" s="81">
        <v>4</v>
      </c>
      <c r="G568" s="81">
        <v>0</v>
      </c>
      <c r="H568" s="81">
        <v>4</v>
      </c>
      <c r="I568" s="101" t="s">
        <v>71</v>
      </c>
      <c r="J568" s="101" t="s">
        <v>71</v>
      </c>
      <c r="K568" s="101" t="s">
        <v>131</v>
      </c>
      <c r="L568" s="80" t="s">
        <v>1488</v>
      </c>
      <c r="M568" s="101" t="s">
        <v>1562</v>
      </c>
      <c r="N568" s="97">
        <v>1</v>
      </c>
      <c r="O568" s="101">
        <v>20</v>
      </c>
      <c r="P568" s="101">
        <v>20</v>
      </c>
      <c r="Q568" s="102">
        <v>4</v>
      </c>
      <c r="R568" s="102">
        <v>4</v>
      </c>
      <c r="S568" s="98" t="s">
        <v>1512</v>
      </c>
      <c r="T568" s="98" t="s">
        <v>1512</v>
      </c>
      <c r="U568" s="80"/>
      <c r="V568" s="78"/>
      <c r="W568" s="78"/>
    </row>
    <row r="569" spans="2:23" s="4" customFormat="1" ht="12.75">
      <c r="B569" s="51" t="s">
        <v>63</v>
      </c>
      <c r="C569" s="51" t="s">
        <v>38</v>
      </c>
      <c r="D569" s="3" t="s">
        <v>643</v>
      </c>
      <c r="E569" s="80" t="s">
        <v>644</v>
      </c>
      <c r="F569" s="81">
        <v>4</v>
      </c>
      <c r="G569" s="81">
        <v>0</v>
      </c>
      <c r="H569" s="81">
        <v>4</v>
      </c>
      <c r="I569" s="101" t="s">
        <v>71</v>
      </c>
      <c r="J569" s="101" t="s">
        <v>71</v>
      </c>
      <c r="K569" s="101" t="s">
        <v>131</v>
      </c>
      <c r="L569" s="80" t="s">
        <v>1491</v>
      </c>
      <c r="M569" s="101" t="s">
        <v>1562</v>
      </c>
      <c r="N569" s="97">
        <v>1</v>
      </c>
      <c r="O569" s="101">
        <v>20</v>
      </c>
      <c r="P569" s="101">
        <v>20</v>
      </c>
      <c r="Q569" s="102">
        <v>4</v>
      </c>
      <c r="R569" s="102">
        <v>4</v>
      </c>
      <c r="S569" s="98" t="s">
        <v>1512</v>
      </c>
      <c r="T569" s="98" t="s">
        <v>1512</v>
      </c>
      <c r="U569" s="80"/>
      <c r="V569" s="78"/>
      <c r="W569" s="78"/>
    </row>
    <row r="570" spans="2:23" s="4" customFormat="1" ht="12.75">
      <c r="B570" s="51" t="s">
        <v>63</v>
      </c>
      <c r="C570" s="51" t="s">
        <v>38</v>
      </c>
      <c r="D570" s="3" t="s">
        <v>1043</v>
      </c>
      <c r="E570" s="80" t="s">
        <v>1044</v>
      </c>
      <c r="F570" s="81">
        <v>3</v>
      </c>
      <c r="G570" s="81">
        <v>0</v>
      </c>
      <c r="H570" s="81">
        <v>4</v>
      </c>
      <c r="I570" s="101" t="s">
        <v>71</v>
      </c>
      <c r="J570" s="101" t="s">
        <v>71</v>
      </c>
      <c r="K570" s="101" t="s">
        <v>76</v>
      </c>
      <c r="L570" s="80" t="s">
        <v>1488</v>
      </c>
      <c r="M570" s="101" t="s">
        <v>1562</v>
      </c>
      <c r="N570" s="97">
        <v>1</v>
      </c>
      <c r="O570" s="101">
        <v>20</v>
      </c>
      <c r="P570" s="101">
        <v>20</v>
      </c>
      <c r="Q570" s="102">
        <v>3</v>
      </c>
      <c r="R570" s="102">
        <v>3</v>
      </c>
      <c r="S570" s="98" t="s">
        <v>1733</v>
      </c>
      <c r="T570" s="98" t="s">
        <v>1518</v>
      </c>
      <c r="U570" s="80"/>
      <c r="V570" s="78"/>
      <c r="W570" s="78"/>
    </row>
    <row r="571" spans="2:23" s="4" customFormat="1" ht="12.75">
      <c r="B571" s="51" t="s">
        <v>63</v>
      </c>
      <c r="C571" s="51" t="s">
        <v>38</v>
      </c>
      <c r="D571" s="3" t="s">
        <v>1043</v>
      </c>
      <c r="E571" s="80" t="s">
        <v>1044</v>
      </c>
      <c r="F571" s="81">
        <v>3</v>
      </c>
      <c r="G571" s="81">
        <v>0</v>
      </c>
      <c r="H571" s="81">
        <v>4</v>
      </c>
      <c r="I571" s="101" t="s">
        <v>71</v>
      </c>
      <c r="J571" s="101" t="s">
        <v>71</v>
      </c>
      <c r="K571" s="101" t="s">
        <v>76</v>
      </c>
      <c r="L571" s="80" t="s">
        <v>1491</v>
      </c>
      <c r="M571" s="101" t="s">
        <v>1562</v>
      </c>
      <c r="N571" s="97">
        <v>1</v>
      </c>
      <c r="O571" s="101">
        <v>20</v>
      </c>
      <c r="P571" s="101">
        <v>20</v>
      </c>
      <c r="Q571" s="102">
        <v>3</v>
      </c>
      <c r="R571" s="102">
        <v>3</v>
      </c>
      <c r="S571" s="98" t="s">
        <v>1733</v>
      </c>
      <c r="T571" s="98" t="s">
        <v>1518</v>
      </c>
      <c r="U571" s="80"/>
      <c r="V571" s="78"/>
      <c r="W571" s="78"/>
    </row>
    <row r="572" spans="2:23" s="4" customFormat="1" ht="12.75">
      <c r="B572" s="51" t="s">
        <v>63</v>
      </c>
      <c r="C572" s="51" t="s">
        <v>38</v>
      </c>
      <c r="D572" s="3" t="s">
        <v>526</v>
      </c>
      <c r="E572" s="80" t="s">
        <v>527</v>
      </c>
      <c r="F572" s="81">
        <v>0</v>
      </c>
      <c r="G572" s="81">
        <v>0</v>
      </c>
      <c r="H572" s="81">
        <v>0</v>
      </c>
      <c r="I572" s="101" t="s">
        <v>71</v>
      </c>
      <c r="J572" s="101" t="s">
        <v>71</v>
      </c>
      <c r="K572" s="101" t="s">
        <v>76</v>
      </c>
      <c r="L572" s="80" t="s">
        <v>1488</v>
      </c>
      <c r="M572" s="101" t="s">
        <v>1562</v>
      </c>
      <c r="N572" s="97">
        <v>1</v>
      </c>
      <c r="O572" s="101">
        <v>15</v>
      </c>
      <c r="P572" s="101">
        <v>15</v>
      </c>
      <c r="Q572" s="102">
        <v>3</v>
      </c>
      <c r="R572" s="102">
        <v>3</v>
      </c>
      <c r="S572" s="98" t="s">
        <v>1733</v>
      </c>
      <c r="T572" s="98" t="s">
        <v>1720</v>
      </c>
      <c r="U572" s="80"/>
      <c r="V572" s="78"/>
      <c r="W572" s="78"/>
    </row>
    <row r="573" spans="2:23" s="4" customFormat="1" ht="12.75">
      <c r="B573" s="51" t="s">
        <v>63</v>
      </c>
      <c r="C573" s="51" t="s">
        <v>38</v>
      </c>
      <c r="D573" s="3" t="s">
        <v>526</v>
      </c>
      <c r="E573" s="80" t="s">
        <v>527</v>
      </c>
      <c r="F573" s="81">
        <v>0</v>
      </c>
      <c r="G573" s="81">
        <v>0</v>
      </c>
      <c r="H573" s="81">
        <v>0</v>
      </c>
      <c r="I573" s="101" t="s">
        <v>71</v>
      </c>
      <c r="J573" s="101" t="s">
        <v>71</v>
      </c>
      <c r="K573" s="101" t="s">
        <v>76</v>
      </c>
      <c r="L573" s="80" t="s">
        <v>1491</v>
      </c>
      <c r="M573" s="101" t="s">
        <v>1562</v>
      </c>
      <c r="N573" s="97">
        <v>1</v>
      </c>
      <c r="O573" s="101">
        <v>15</v>
      </c>
      <c r="P573" s="101">
        <v>15</v>
      </c>
      <c r="Q573" s="102">
        <v>3</v>
      </c>
      <c r="R573" s="102">
        <v>3</v>
      </c>
      <c r="S573" s="98" t="s">
        <v>1733</v>
      </c>
      <c r="T573" s="98" t="s">
        <v>1720</v>
      </c>
      <c r="U573" s="80"/>
      <c r="V573" s="78"/>
      <c r="W573" s="78"/>
    </row>
    <row r="574" spans="2:23" s="4" customFormat="1" ht="12.75">
      <c r="B574" s="51" t="s">
        <v>63</v>
      </c>
      <c r="C574" s="51" t="s">
        <v>38</v>
      </c>
      <c r="D574" s="3" t="s">
        <v>528</v>
      </c>
      <c r="E574" s="80" t="s">
        <v>529</v>
      </c>
      <c r="F574" s="81">
        <v>0</v>
      </c>
      <c r="G574" s="81">
        <v>0</v>
      </c>
      <c r="H574" s="81">
        <v>0</v>
      </c>
      <c r="I574" s="101" t="s">
        <v>71</v>
      </c>
      <c r="J574" s="101" t="s">
        <v>71</v>
      </c>
      <c r="K574" s="101" t="s">
        <v>76</v>
      </c>
      <c r="L574" s="80" t="s">
        <v>1488</v>
      </c>
      <c r="M574" s="101" t="s">
        <v>1562</v>
      </c>
      <c r="N574" s="97">
        <v>1</v>
      </c>
      <c r="O574" s="101">
        <v>15</v>
      </c>
      <c r="P574" s="101">
        <v>15</v>
      </c>
      <c r="Q574" s="102">
        <v>3</v>
      </c>
      <c r="R574" s="102">
        <v>3</v>
      </c>
      <c r="S574" s="98" t="s">
        <v>1733</v>
      </c>
      <c r="T574" s="98" t="s">
        <v>1720</v>
      </c>
      <c r="U574" s="80"/>
      <c r="V574" s="78"/>
      <c r="W574" s="78"/>
    </row>
    <row r="575" spans="2:23" s="4" customFormat="1" ht="12.75">
      <c r="B575" s="51" t="s">
        <v>63</v>
      </c>
      <c r="C575" s="51" t="s">
        <v>38</v>
      </c>
      <c r="D575" s="3" t="s">
        <v>528</v>
      </c>
      <c r="E575" s="80" t="s">
        <v>529</v>
      </c>
      <c r="F575" s="81">
        <v>0</v>
      </c>
      <c r="G575" s="81">
        <v>0</v>
      </c>
      <c r="H575" s="81">
        <v>0</v>
      </c>
      <c r="I575" s="101" t="s">
        <v>71</v>
      </c>
      <c r="J575" s="101" t="s">
        <v>71</v>
      </c>
      <c r="K575" s="101" t="s">
        <v>76</v>
      </c>
      <c r="L575" s="80" t="s">
        <v>1491</v>
      </c>
      <c r="M575" s="101" t="s">
        <v>1562</v>
      </c>
      <c r="N575" s="97">
        <v>1</v>
      </c>
      <c r="O575" s="101">
        <v>15</v>
      </c>
      <c r="P575" s="101">
        <v>15</v>
      </c>
      <c r="Q575" s="102">
        <v>3</v>
      </c>
      <c r="R575" s="102">
        <v>3</v>
      </c>
      <c r="S575" s="98" t="s">
        <v>1733</v>
      </c>
      <c r="T575" s="98" t="s">
        <v>1720</v>
      </c>
      <c r="U575" s="80"/>
      <c r="V575" s="78"/>
      <c r="W575" s="78"/>
    </row>
    <row r="576" spans="2:23" s="4" customFormat="1" ht="12.75">
      <c r="B576" s="51" t="s">
        <v>63</v>
      </c>
      <c r="C576" s="51" t="s">
        <v>38</v>
      </c>
      <c r="D576" s="3" t="s">
        <v>514</v>
      </c>
      <c r="E576" s="80" t="s">
        <v>515</v>
      </c>
      <c r="F576" s="81">
        <v>0</v>
      </c>
      <c r="G576" s="81">
        <v>0</v>
      </c>
      <c r="H576" s="81">
        <v>0</v>
      </c>
      <c r="I576" s="101" t="s">
        <v>71</v>
      </c>
      <c r="J576" s="101" t="s">
        <v>71</v>
      </c>
      <c r="K576" s="101" t="s">
        <v>76</v>
      </c>
      <c r="L576" s="80" t="s">
        <v>1488</v>
      </c>
      <c r="M576" s="101" t="s">
        <v>1562</v>
      </c>
      <c r="N576" s="97">
        <v>1</v>
      </c>
      <c r="O576" s="101">
        <v>15</v>
      </c>
      <c r="P576" s="101">
        <v>15</v>
      </c>
      <c r="Q576" s="102">
        <v>3</v>
      </c>
      <c r="R576" s="102">
        <v>3</v>
      </c>
      <c r="S576" s="98" t="s">
        <v>1733</v>
      </c>
      <c r="T576" s="98" t="s">
        <v>1720</v>
      </c>
      <c r="U576" s="80"/>
      <c r="V576" s="78"/>
      <c r="W576" s="78"/>
    </row>
    <row r="577" spans="2:23" s="4" customFormat="1" ht="12.75">
      <c r="B577" s="51" t="s">
        <v>63</v>
      </c>
      <c r="C577" s="51" t="s">
        <v>38</v>
      </c>
      <c r="D577" s="3" t="s">
        <v>514</v>
      </c>
      <c r="E577" s="80" t="s">
        <v>515</v>
      </c>
      <c r="F577" s="81">
        <v>0</v>
      </c>
      <c r="G577" s="81">
        <v>0</v>
      </c>
      <c r="H577" s="81">
        <v>0</v>
      </c>
      <c r="I577" s="101" t="s">
        <v>71</v>
      </c>
      <c r="J577" s="101" t="s">
        <v>71</v>
      </c>
      <c r="K577" s="101" t="s">
        <v>76</v>
      </c>
      <c r="L577" s="80" t="s">
        <v>1491</v>
      </c>
      <c r="M577" s="101" t="s">
        <v>1562</v>
      </c>
      <c r="N577" s="97">
        <v>1</v>
      </c>
      <c r="O577" s="101">
        <v>15</v>
      </c>
      <c r="P577" s="101">
        <v>15</v>
      </c>
      <c r="Q577" s="102">
        <v>3</v>
      </c>
      <c r="R577" s="102">
        <v>3</v>
      </c>
      <c r="S577" s="98" t="s">
        <v>1733</v>
      </c>
      <c r="T577" s="98" t="s">
        <v>1720</v>
      </c>
      <c r="U577" s="80"/>
      <c r="V577" s="78"/>
      <c r="W577" s="78"/>
    </row>
    <row r="578" spans="2:23" s="4" customFormat="1" ht="12.75">
      <c r="B578" s="51" t="s">
        <v>63</v>
      </c>
      <c r="C578" s="51" t="s">
        <v>38</v>
      </c>
      <c r="D578" s="3" t="s">
        <v>516</v>
      </c>
      <c r="E578" s="80" t="s">
        <v>517</v>
      </c>
      <c r="F578" s="81">
        <v>0</v>
      </c>
      <c r="G578" s="81">
        <v>0</v>
      </c>
      <c r="H578" s="81">
        <v>0</v>
      </c>
      <c r="I578" s="101" t="s">
        <v>71</v>
      </c>
      <c r="J578" s="101" t="s">
        <v>71</v>
      </c>
      <c r="K578" s="101" t="s">
        <v>76</v>
      </c>
      <c r="L578" s="80" t="s">
        <v>1488</v>
      </c>
      <c r="M578" s="101" t="s">
        <v>1562</v>
      </c>
      <c r="N578" s="97">
        <v>1</v>
      </c>
      <c r="O578" s="101">
        <v>15</v>
      </c>
      <c r="P578" s="101">
        <v>15</v>
      </c>
      <c r="Q578" s="102">
        <v>3</v>
      </c>
      <c r="R578" s="102">
        <v>3</v>
      </c>
      <c r="S578" s="98" t="s">
        <v>1733</v>
      </c>
      <c r="T578" s="98" t="s">
        <v>1720</v>
      </c>
      <c r="U578" s="80"/>
      <c r="V578" s="78"/>
      <c r="W578" s="78"/>
    </row>
    <row r="579" spans="2:23" s="4" customFormat="1" ht="12.75">
      <c r="B579" s="51" t="s">
        <v>63</v>
      </c>
      <c r="C579" s="51" t="s">
        <v>38</v>
      </c>
      <c r="D579" s="3" t="s">
        <v>516</v>
      </c>
      <c r="E579" s="80" t="s">
        <v>517</v>
      </c>
      <c r="F579" s="81">
        <v>0</v>
      </c>
      <c r="G579" s="81">
        <v>0</v>
      </c>
      <c r="H579" s="81">
        <v>0</v>
      </c>
      <c r="I579" s="101" t="s">
        <v>71</v>
      </c>
      <c r="J579" s="101" t="s">
        <v>71</v>
      </c>
      <c r="K579" s="101" t="s">
        <v>76</v>
      </c>
      <c r="L579" s="80" t="s">
        <v>1491</v>
      </c>
      <c r="M579" s="101" t="s">
        <v>1562</v>
      </c>
      <c r="N579" s="97">
        <v>1</v>
      </c>
      <c r="O579" s="101">
        <v>15</v>
      </c>
      <c r="P579" s="101">
        <v>15</v>
      </c>
      <c r="Q579" s="102">
        <v>3</v>
      </c>
      <c r="R579" s="102">
        <v>3</v>
      </c>
      <c r="S579" s="98" t="s">
        <v>1733</v>
      </c>
      <c r="T579" s="98" t="s">
        <v>1720</v>
      </c>
      <c r="U579" s="80"/>
      <c r="V579" s="78"/>
      <c r="W579" s="78"/>
    </row>
    <row r="580" spans="2:23" s="4" customFormat="1" ht="12.75">
      <c r="B580" s="51" t="s">
        <v>63</v>
      </c>
      <c r="C580" s="51" t="s">
        <v>38</v>
      </c>
      <c r="D580" s="3" t="s">
        <v>518</v>
      </c>
      <c r="E580" s="80" t="s">
        <v>519</v>
      </c>
      <c r="F580" s="81">
        <v>0</v>
      </c>
      <c r="G580" s="81">
        <v>0</v>
      </c>
      <c r="H580" s="81">
        <v>0</v>
      </c>
      <c r="I580" s="101" t="s">
        <v>71</v>
      </c>
      <c r="J580" s="101" t="s">
        <v>71</v>
      </c>
      <c r="K580" s="101" t="s">
        <v>76</v>
      </c>
      <c r="L580" s="80" t="s">
        <v>1488</v>
      </c>
      <c r="M580" s="101" t="s">
        <v>1562</v>
      </c>
      <c r="N580" s="97">
        <v>1</v>
      </c>
      <c r="O580" s="101">
        <v>15</v>
      </c>
      <c r="P580" s="101">
        <v>15</v>
      </c>
      <c r="Q580" s="102">
        <v>3</v>
      </c>
      <c r="R580" s="102">
        <v>3</v>
      </c>
      <c r="S580" s="98" t="s">
        <v>1733</v>
      </c>
      <c r="T580" s="98" t="s">
        <v>1720</v>
      </c>
      <c r="U580" s="80"/>
      <c r="V580" s="78"/>
      <c r="W580" s="78"/>
    </row>
    <row r="581" spans="2:23" s="4" customFormat="1" ht="12.75">
      <c r="B581" s="51" t="s">
        <v>63</v>
      </c>
      <c r="C581" s="51" t="s">
        <v>38</v>
      </c>
      <c r="D581" s="3" t="s">
        <v>518</v>
      </c>
      <c r="E581" s="80" t="s">
        <v>519</v>
      </c>
      <c r="F581" s="81">
        <v>0</v>
      </c>
      <c r="G581" s="81">
        <v>0</v>
      </c>
      <c r="H581" s="81">
        <v>0</v>
      </c>
      <c r="I581" s="101" t="s">
        <v>71</v>
      </c>
      <c r="J581" s="101" t="s">
        <v>71</v>
      </c>
      <c r="K581" s="101" t="s">
        <v>76</v>
      </c>
      <c r="L581" s="80" t="s">
        <v>1491</v>
      </c>
      <c r="M581" s="101" t="s">
        <v>1562</v>
      </c>
      <c r="N581" s="97">
        <v>1</v>
      </c>
      <c r="O581" s="101">
        <v>15</v>
      </c>
      <c r="P581" s="101">
        <v>15</v>
      </c>
      <c r="Q581" s="102">
        <v>3</v>
      </c>
      <c r="R581" s="102">
        <v>3</v>
      </c>
      <c r="S581" s="98" t="s">
        <v>1733</v>
      </c>
      <c r="T581" s="98" t="s">
        <v>1720</v>
      </c>
      <c r="U581" s="80"/>
      <c r="V581" s="78"/>
      <c r="W581" s="78"/>
    </row>
    <row r="582" spans="2:23" s="4" customFormat="1" ht="12.75">
      <c r="B582" s="51" t="s">
        <v>63</v>
      </c>
      <c r="C582" s="51" t="s">
        <v>38</v>
      </c>
      <c r="D582" s="3" t="s">
        <v>1276</v>
      </c>
      <c r="E582" s="80" t="s">
        <v>1277</v>
      </c>
      <c r="F582" s="81">
        <v>4</v>
      </c>
      <c r="G582" s="81">
        <v>0</v>
      </c>
      <c r="H582" s="81">
        <v>4</v>
      </c>
      <c r="I582" s="101" t="s">
        <v>73</v>
      </c>
      <c r="J582" s="101" t="s">
        <v>73</v>
      </c>
      <c r="K582" s="101" t="s">
        <v>76</v>
      </c>
      <c r="L582" s="80" t="s">
        <v>1488</v>
      </c>
      <c r="M582" s="101" t="s">
        <v>1562</v>
      </c>
      <c r="N582" s="97">
        <v>1</v>
      </c>
      <c r="O582" s="101">
        <v>20</v>
      </c>
      <c r="P582" s="101">
        <v>20</v>
      </c>
      <c r="Q582" s="102">
        <v>4</v>
      </c>
      <c r="R582" s="102">
        <v>4</v>
      </c>
      <c r="S582" s="98" t="s">
        <v>1733</v>
      </c>
      <c r="T582" s="98" t="s">
        <v>1518</v>
      </c>
      <c r="U582" s="80"/>
      <c r="V582" s="78"/>
      <c r="W582" s="78"/>
    </row>
    <row r="583" spans="2:23" s="4" customFormat="1" ht="12.75">
      <c r="B583" s="51" t="s">
        <v>63</v>
      </c>
      <c r="C583" s="51" t="s">
        <v>38</v>
      </c>
      <c r="D583" s="3" t="s">
        <v>1276</v>
      </c>
      <c r="E583" s="80" t="s">
        <v>1277</v>
      </c>
      <c r="F583" s="81">
        <v>4</v>
      </c>
      <c r="G583" s="81">
        <v>0</v>
      </c>
      <c r="H583" s="81">
        <v>4</v>
      </c>
      <c r="I583" s="101" t="s">
        <v>73</v>
      </c>
      <c r="J583" s="101" t="s">
        <v>73</v>
      </c>
      <c r="K583" s="101" t="s">
        <v>76</v>
      </c>
      <c r="L583" s="80" t="s">
        <v>1491</v>
      </c>
      <c r="M583" s="101" t="s">
        <v>1562</v>
      </c>
      <c r="N583" s="97">
        <v>1</v>
      </c>
      <c r="O583" s="101">
        <v>20</v>
      </c>
      <c r="P583" s="101">
        <v>20</v>
      </c>
      <c r="Q583" s="102">
        <v>4</v>
      </c>
      <c r="R583" s="102">
        <v>4</v>
      </c>
      <c r="S583" s="98" t="s">
        <v>1733</v>
      </c>
      <c r="T583" s="98" t="s">
        <v>1518</v>
      </c>
      <c r="U583" s="80"/>
      <c r="V583" s="78"/>
      <c r="W583" s="78"/>
    </row>
    <row r="584" spans="2:23" s="4" customFormat="1" ht="12.75">
      <c r="B584" s="118"/>
      <c r="C584" s="118" t="s">
        <v>1735</v>
      </c>
      <c r="D584" s="3" t="s">
        <v>410</v>
      </c>
      <c r="E584" s="80" t="s">
        <v>411</v>
      </c>
      <c r="F584" s="81">
        <v>4</v>
      </c>
      <c r="G584" s="81">
        <v>0</v>
      </c>
      <c r="H584" s="81">
        <v>4</v>
      </c>
      <c r="I584" s="101" t="s">
        <v>71</v>
      </c>
      <c r="J584" s="101" t="s">
        <v>71</v>
      </c>
      <c r="K584" s="101" t="s">
        <v>76</v>
      </c>
      <c r="L584" s="80" t="s">
        <v>1488</v>
      </c>
      <c r="M584" s="101" t="s">
        <v>1562</v>
      </c>
      <c r="N584" s="97">
        <v>1</v>
      </c>
      <c r="O584" s="101">
        <v>35</v>
      </c>
      <c r="P584" s="101">
        <v>35</v>
      </c>
      <c r="Q584" s="102">
        <v>4</v>
      </c>
      <c r="R584" s="102">
        <v>4</v>
      </c>
      <c r="S584" s="98"/>
      <c r="T584" s="98"/>
      <c r="U584" s="80"/>
      <c r="V584" s="78"/>
      <c r="W584" s="78"/>
    </row>
    <row r="585" spans="2:23" s="4" customFormat="1" ht="12.75">
      <c r="B585" s="118"/>
      <c r="C585" s="118" t="s">
        <v>1735</v>
      </c>
      <c r="D585" s="3" t="s">
        <v>410</v>
      </c>
      <c r="E585" s="80" t="s">
        <v>411</v>
      </c>
      <c r="F585" s="81">
        <v>4</v>
      </c>
      <c r="G585" s="81">
        <v>0</v>
      </c>
      <c r="H585" s="81">
        <v>4</v>
      </c>
      <c r="I585" s="101" t="s">
        <v>71</v>
      </c>
      <c r="J585" s="101" t="s">
        <v>71</v>
      </c>
      <c r="K585" s="101" t="s">
        <v>76</v>
      </c>
      <c r="L585" s="80" t="s">
        <v>1491</v>
      </c>
      <c r="M585" s="101" t="s">
        <v>1562</v>
      </c>
      <c r="N585" s="97">
        <v>1</v>
      </c>
      <c r="O585" s="101">
        <v>35</v>
      </c>
      <c r="P585" s="101">
        <v>35</v>
      </c>
      <c r="Q585" s="102">
        <v>4</v>
      </c>
      <c r="R585" s="102">
        <v>4</v>
      </c>
      <c r="S585" s="98"/>
      <c r="T585" s="98"/>
      <c r="U585" s="80"/>
      <c r="V585" s="78"/>
      <c r="W585" s="78"/>
    </row>
    <row r="586" spans="2:23" s="4" customFormat="1" ht="12.75">
      <c r="B586" s="118"/>
      <c r="C586" s="118" t="s">
        <v>1735</v>
      </c>
      <c r="D586" s="3" t="s">
        <v>355</v>
      </c>
      <c r="E586" s="80" t="s">
        <v>356</v>
      </c>
      <c r="F586" s="81">
        <v>4</v>
      </c>
      <c r="G586" s="81">
        <v>0</v>
      </c>
      <c r="H586" s="81">
        <v>4</v>
      </c>
      <c r="I586" s="101" t="s">
        <v>71</v>
      </c>
      <c r="J586" s="101" t="s">
        <v>71</v>
      </c>
      <c r="K586" s="101" t="s">
        <v>76</v>
      </c>
      <c r="L586" s="80" t="s">
        <v>1488</v>
      </c>
      <c r="M586" s="101" t="s">
        <v>1562</v>
      </c>
      <c r="N586" s="97">
        <v>1</v>
      </c>
      <c r="O586" s="101">
        <v>35</v>
      </c>
      <c r="P586" s="101">
        <v>35</v>
      </c>
      <c r="Q586" s="102">
        <v>4</v>
      </c>
      <c r="R586" s="102">
        <v>4</v>
      </c>
      <c r="S586" s="98"/>
      <c r="T586" s="98"/>
      <c r="U586" s="80"/>
      <c r="V586" s="78"/>
      <c r="W586" s="78"/>
    </row>
    <row r="587" spans="2:23" s="4" customFormat="1" ht="12.75">
      <c r="B587" s="118"/>
      <c r="C587" s="118" t="s">
        <v>1735</v>
      </c>
      <c r="D587" s="3" t="s">
        <v>355</v>
      </c>
      <c r="E587" s="80" t="s">
        <v>356</v>
      </c>
      <c r="F587" s="81">
        <v>4</v>
      </c>
      <c r="G587" s="81">
        <v>0</v>
      </c>
      <c r="H587" s="81">
        <v>4</v>
      </c>
      <c r="I587" s="101" t="s">
        <v>71</v>
      </c>
      <c r="J587" s="101" t="s">
        <v>71</v>
      </c>
      <c r="K587" s="101" t="s">
        <v>76</v>
      </c>
      <c r="L587" s="80" t="s">
        <v>1491</v>
      </c>
      <c r="M587" s="101" t="s">
        <v>1562</v>
      </c>
      <c r="N587" s="97">
        <v>2</v>
      </c>
      <c r="O587" s="101">
        <v>35</v>
      </c>
      <c r="P587" s="101">
        <v>70</v>
      </c>
      <c r="Q587" s="102">
        <v>8</v>
      </c>
      <c r="R587" s="102">
        <v>8</v>
      </c>
      <c r="S587" s="98"/>
      <c r="T587" s="98"/>
      <c r="U587" s="80"/>
      <c r="V587" s="78"/>
      <c r="W587" s="78"/>
    </row>
    <row r="588" spans="2:23" s="4" customFormat="1" ht="12.75">
      <c r="B588" s="118"/>
      <c r="C588" s="118" t="s">
        <v>1735</v>
      </c>
      <c r="D588" s="3" t="s">
        <v>355</v>
      </c>
      <c r="E588" s="80" t="s">
        <v>356</v>
      </c>
      <c r="F588" s="81">
        <v>4</v>
      </c>
      <c r="G588" s="81">
        <v>0</v>
      </c>
      <c r="H588" s="81">
        <v>4</v>
      </c>
      <c r="I588" s="101" t="s">
        <v>71</v>
      </c>
      <c r="J588" s="101" t="s">
        <v>71</v>
      </c>
      <c r="K588" s="101" t="s">
        <v>76</v>
      </c>
      <c r="L588" s="80" t="s">
        <v>1488</v>
      </c>
      <c r="M588" s="101" t="s">
        <v>1528</v>
      </c>
      <c r="N588" s="97">
        <v>1</v>
      </c>
      <c r="O588" s="101">
        <v>35</v>
      </c>
      <c r="P588" s="101">
        <v>35</v>
      </c>
      <c r="Q588" s="102">
        <v>4</v>
      </c>
      <c r="R588" s="102">
        <v>4</v>
      </c>
      <c r="S588" s="98"/>
      <c r="T588" s="98"/>
      <c r="U588" s="80"/>
      <c r="V588" s="78"/>
      <c r="W588" s="78"/>
    </row>
    <row r="589" spans="2:23" s="4" customFormat="1" ht="12.75">
      <c r="B589" s="118"/>
      <c r="C589" s="118" t="s">
        <v>1735</v>
      </c>
      <c r="D589" s="3" t="s">
        <v>355</v>
      </c>
      <c r="E589" s="80" t="s">
        <v>356</v>
      </c>
      <c r="F589" s="81">
        <v>4</v>
      </c>
      <c r="G589" s="81">
        <v>0</v>
      </c>
      <c r="H589" s="81">
        <v>4</v>
      </c>
      <c r="I589" s="101" t="s">
        <v>71</v>
      </c>
      <c r="J589" s="101" t="s">
        <v>71</v>
      </c>
      <c r="K589" s="101" t="s">
        <v>76</v>
      </c>
      <c r="L589" s="80" t="s">
        <v>1491</v>
      </c>
      <c r="M589" s="101" t="s">
        <v>1528</v>
      </c>
      <c r="N589" s="97">
        <v>1</v>
      </c>
      <c r="O589" s="101">
        <v>35</v>
      </c>
      <c r="P589" s="101">
        <v>35</v>
      </c>
      <c r="Q589" s="102">
        <v>4</v>
      </c>
      <c r="R589" s="102">
        <v>4</v>
      </c>
      <c r="S589" s="98"/>
      <c r="T589" s="98"/>
      <c r="U589" s="80"/>
      <c r="V589" s="78"/>
      <c r="W589" s="78"/>
    </row>
    <row r="590" spans="2:23" s="4" customFormat="1" ht="12.75">
      <c r="B590" s="118"/>
      <c r="C590" s="118" t="s">
        <v>1735</v>
      </c>
      <c r="D590" s="3" t="s">
        <v>1377</v>
      </c>
      <c r="E590" s="80" t="s">
        <v>1378</v>
      </c>
      <c r="F590" s="81">
        <v>2</v>
      </c>
      <c r="G590" s="81">
        <v>0</v>
      </c>
      <c r="H590" s="81">
        <v>2</v>
      </c>
      <c r="I590" s="101" t="s">
        <v>71</v>
      </c>
      <c r="J590" s="101" t="s">
        <v>71</v>
      </c>
      <c r="K590" s="101" t="s">
        <v>76</v>
      </c>
      <c r="L590" s="80" t="s">
        <v>1488</v>
      </c>
      <c r="M590" s="101" t="s">
        <v>1562</v>
      </c>
      <c r="N590" s="97">
        <v>1</v>
      </c>
      <c r="O590" s="101">
        <v>35</v>
      </c>
      <c r="P590" s="101">
        <v>35</v>
      </c>
      <c r="Q590" s="102">
        <v>2</v>
      </c>
      <c r="R590" s="102">
        <v>2</v>
      </c>
      <c r="S590" s="98"/>
      <c r="T590" s="98"/>
      <c r="U590" s="80" t="s">
        <v>1736</v>
      </c>
      <c r="V590" s="78"/>
      <c r="W590" s="78"/>
    </row>
    <row r="591" spans="2:23" s="4" customFormat="1" ht="12.75">
      <c r="B591" s="118"/>
      <c r="C591" s="118" t="s">
        <v>1735</v>
      </c>
      <c r="D591" s="3" t="s">
        <v>1377</v>
      </c>
      <c r="E591" s="80" t="s">
        <v>1378</v>
      </c>
      <c r="F591" s="81">
        <v>2</v>
      </c>
      <c r="G591" s="81">
        <v>0</v>
      </c>
      <c r="H591" s="81">
        <v>2</v>
      </c>
      <c r="I591" s="101" t="s">
        <v>71</v>
      </c>
      <c r="J591" s="101" t="s">
        <v>71</v>
      </c>
      <c r="K591" s="101" t="s">
        <v>76</v>
      </c>
      <c r="L591" s="80" t="s">
        <v>1491</v>
      </c>
      <c r="M591" s="101" t="s">
        <v>1562</v>
      </c>
      <c r="N591" s="97">
        <v>1</v>
      </c>
      <c r="O591" s="101">
        <v>35</v>
      </c>
      <c r="P591" s="101">
        <v>35</v>
      </c>
      <c r="Q591" s="102">
        <v>2</v>
      </c>
      <c r="R591" s="102">
        <v>2</v>
      </c>
      <c r="S591" s="98"/>
      <c r="T591" s="98"/>
      <c r="U591" s="80" t="s">
        <v>1741</v>
      </c>
      <c r="V591" s="78"/>
      <c r="W591" s="78"/>
    </row>
    <row r="592" spans="2:23" s="4" customFormat="1" ht="12.75">
      <c r="B592" s="118"/>
      <c r="C592" s="118" t="s">
        <v>1735</v>
      </c>
      <c r="D592" s="3" t="s">
        <v>1377</v>
      </c>
      <c r="E592" s="80" t="s">
        <v>1378</v>
      </c>
      <c r="F592" s="81">
        <v>2</v>
      </c>
      <c r="G592" s="81">
        <v>0</v>
      </c>
      <c r="H592" s="81">
        <v>2</v>
      </c>
      <c r="I592" s="101" t="s">
        <v>71</v>
      </c>
      <c r="J592" s="101" t="s">
        <v>71</v>
      </c>
      <c r="K592" s="101" t="s">
        <v>76</v>
      </c>
      <c r="L592" s="80" t="s">
        <v>1488</v>
      </c>
      <c r="M592" s="101" t="s">
        <v>1528</v>
      </c>
      <c r="N592" s="97">
        <v>1</v>
      </c>
      <c r="O592" s="101">
        <v>35</v>
      </c>
      <c r="P592" s="101">
        <v>35</v>
      </c>
      <c r="Q592" s="102">
        <v>2</v>
      </c>
      <c r="R592" s="102">
        <v>2</v>
      </c>
      <c r="S592" s="98"/>
      <c r="T592" s="98"/>
      <c r="U592" s="80" t="s">
        <v>1741</v>
      </c>
      <c r="V592" s="78"/>
      <c r="W592" s="78"/>
    </row>
    <row r="593" spans="2:23" s="4" customFormat="1" ht="12.75">
      <c r="B593" s="118"/>
      <c r="C593" s="118" t="s">
        <v>1735</v>
      </c>
      <c r="D593" s="3" t="s">
        <v>1377</v>
      </c>
      <c r="E593" s="80" t="s">
        <v>1378</v>
      </c>
      <c r="F593" s="81">
        <v>2</v>
      </c>
      <c r="G593" s="81">
        <v>0</v>
      </c>
      <c r="H593" s="81">
        <v>2</v>
      </c>
      <c r="I593" s="101" t="s">
        <v>71</v>
      </c>
      <c r="J593" s="101" t="s">
        <v>71</v>
      </c>
      <c r="K593" s="101" t="s">
        <v>76</v>
      </c>
      <c r="L593" s="80" t="s">
        <v>1491</v>
      </c>
      <c r="M593" s="101" t="s">
        <v>1528</v>
      </c>
      <c r="N593" s="97">
        <v>1</v>
      </c>
      <c r="O593" s="101">
        <v>35</v>
      </c>
      <c r="P593" s="101">
        <v>35</v>
      </c>
      <c r="Q593" s="102">
        <v>2</v>
      </c>
      <c r="R593" s="102">
        <v>2</v>
      </c>
      <c r="S593" s="98"/>
      <c r="T593" s="98"/>
      <c r="U593" s="80" t="s">
        <v>1741</v>
      </c>
      <c r="V593" s="78"/>
      <c r="W593" s="78"/>
    </row>
    <row r="594" spans="2:23" s="4" customFormat="1" ht="12.75">
      <c r="B594" s="118"/>
      <c r="C594" s="118" t="s">
        <v>1735</v>
      </c>
      <c r="D594" s="3" t="s">
        <v>1401</v>
      </c>
      <c r="E594" s="80" t="s">
        <v>1402</v>
      </c>
      <c r="F594" s="81">
        <v>3</v>
      </c>
      <c r="G594" s="81">
        <v>0</v>
      </c>
      <c r="H594" s="81">
        <v>3</v>
      </c>
      <c r="I594" s="101" t="s">
        <v>1742</v>
      </c>
      <c r="J594" s="101" t="s">
        <v>73</v>
      </c>
      <c r="K594" s="101" t="s">
        <v>76</v>
      </c>
      <c r="L594" s="80" t="s">
        <v>1488</v>
      </c>
      <c r="M594" s="101" t="s">
        <v>1562</v>
      </c>
      <c r="N594" s="97">
        <v>1</v>
      </c>
      <c r="O594" s="101">
        <v>35</v>
      </c>
      <c r="P594" s="101">
        <v>35</v>
      </c>
      <c r="Q594" s="102">
        <v>3</v>
      </c>
      <c r="R594" s="102">
        <v>3</v>
      </c>
      <c r="S594" s="98"/>
      <c r="T594" s="98"/>
      <c r="U594" s="80" t="s">
        <v>1739</v>
      </c>
      <c r="V594" s="78"/>
      <c r="W594" s="78"/>
    </row>
    <row r="595" spans="2:23" s="4" customFormat="1" ht="12.75">
      <c r="B595" s="118"/>
      <c r="C595" s="118" t="s">
        <v>1735</v>
      </c>
      <c r="D595" s="3" t="s">
        <v>1401</v>
      </c>
      <c r="E595" s="80" t="s">
        <v>1402</v>
      </c>
      <c r="F595" s="81">
        <v>3</v>
      </c>
      <c r="G595" s="81">
        <v>0</v>
      </c>
      <c r="H595" s="81">
        <v>3</v>
      </c>
      <c r="I595" s="101" t="s">
        <v>1742</v>
      </c>
      <c r="J595" s="101" t="s">
        <v>73</v>
      </c>
      <c r="K595" s="101" t="s">
        <v>76</v>
      </c>
      <c r="L595" s="80" t="s">
        <v>1491</v>
      </c>
      <c r="M595" s="101" t="s">
        <v>1562</v>
      </c>
      <c r="N595" s="97">
        <v>1</v>
      </c>
      <c r="O595" s="101">
        <v>35</v>
      </c>
      <c r="P595" s="101">
        <v>35</v>
      </c>
      <c r="Q595" s="102">
        <v>3</v>
      </c>
      <c r="R595" s="102">
        <v>3</v>
      </c>
      <c r="S595" s="98"/>
      <c r="T595" s="98"/>
      <c r="U595" s="80" t="s">
        <v>1739</v>
      </c>
      <c r="V595" s="78"/>
      <c r="W595" s="78"/>
    </row>
    <row r="596" spans="2:23" s="4" customFormat="1" ht="12.75">
      <c r="B596" s="118"/>
      <c r="C596" s="118" t="s">
        <v>1735</v>
      </c>
      <c r="D596" s="3" t="s">
        <v>1403</v>
      </c>
      <c r="E596" s="80" t="s">
        <v>1404</v>
      </c>
      <c r="F596" s="81">
        <v>2</v>
      </c>
      <c r="G596" s="81">
        <v>0</v>
      </c>
      <c r="H596" s="81">
        <v>2</v>
      </c>
      <c r="I596" s="101" t="s">
        <v>1742</v>
      </c>
      <c r="J596" s="101" t="s">
        <v>73</v>
      </c>
      <c r="K596" s="101" t="s">
        <v>76</v>
      </c>
      <c r="L596" s="80" t="s">
        <v>1488</v>
      </c>
      <c r="M596" s="101" t="s">
        <v>1562</v>
      </c>
      <c r="N596" s="97">
        <v>1</v>
      </c>
      <c r="O596" s="101">
        <v>35</v>
      </c>
      <c r="P596" s="101">
        <v>35</v>
      </c>
      <c r="Q596" s="102">
        <v>2</v>
      </c>
      <c r="R596" s="102">
        <v>2</v>
      </c>
      <c r="S596" s="98"/>
      <c r="T596" s="98"/>
      <c r="U596" s="80" t="s">
        <v>1743</v>
      </c>
      <c r="V596" s="78"/>
      <c r="W596" s="78"/>
    </row>
    <row r="597" spans="2:23" s="4" customFormat="1" ht="12.75">
      <c r="B597" s="118"/>
      <c r="C597" s="118" t="s">
        <v>1735</v>
      </c>
      <c r="D597" s="3" t="s">
        <v>1403</v>
      </c>
      <c r="E597" s="80" t="s">
        <v>1404</v>
      </c>
      <c r="F597" s="81">
        <v>2</v>
      </c>
      <c r="G597" s="81">
        <v>0</v>
      </c>
      <c r="H597" s="81">
        <v>2</v>
      </c>
      <c r="I597" s="101" t="s">
        <v>1742</v>
      </c>
      <c r="J597" s="101" t="s">
        <v>73</v>
      </c>
      <c r="K597" s="101" t="s">
        <v>76</v>
      </c>
      <c r="L597" s="80" t="s">
        <v>1491</v>
      </c>
      <c r="M597" s="101" t="s">
        <v>1562</v>
      </c>
      <c r="N597" s="97">
        <v>1</v>
      </c>
      <c r="O597" s="101">
        <v>35</v>
      </c>
      <c r="P597" s="101">
        <v>35</v>
      </c>
      <c r="Q597" s="102">
        <v>2</v>
      </c>
      <c r="R597" s="102">
        <v>2</v>
      </c>
      <c r="S597" s="98"/>
      <c r="T597" s="98"/>
      <c r="U597" s="80" t="s">
        <v>1743</v>
      </c>
      <c r="V597" s="78"/>
      <c r="W597" s="78"/>
    </row>
    <row r="598" spans="2:23" s="4" customFormat="1" ht="12.75">
      <c r="B598" s="118"/>
      <c r="C598" s="118" t="s">
        <v>1735</v>
      </c>
      <c r="D598" s="3" t="s">
        <v>526</v>
      </c>
      <c r="E598" s="80" t="s">
        <v>527</v>
      </c>
      <c r="F598" s="81">
        <v>0</v>
      </c>
      <c r="G598" s="81">
        <v>0</v>
      </c>
      <c r="H598" s="81">
        <v>0</v>
      </c>
      <c r="I598" s="101" t="s">
        <v>71</v>
      </c>
      <c r="J598" s="101" t="s">
        <v>71</v>
      </c>
      <c r="K598" s="101" t="s">
        <v>76</v>
      </c>
      <c r="L598" s="80" t="s">
        <v>1488</v>
      </c>
      <c r="M598" s="101" t="s">
        <v>1562</v>
      </c>
      <c r="N598" s="97">
        <v>1</v>
      </c>
      <c r="O598" s="101">
        <v>20</v>
      </c>
      <c r="P598" s="101">
        <v>20</v>
      </c>
      <c r="Q598" s="102">
        <v>3</v>
      </c>
      <c r="R598" s="102">
        <v>3</v>
      </c>
      <c r="S598" s="98"/>
      <c r="T598" s="98"/>
      <c r="U598" s="80" t="s">
        <v>1743</v>
      </c>
      <c r="V598" s="78"/>
      <c r="W598" s="78"/>
    </row>
    <row r="599" spans="2:23" s="4" customFormat="1" ht="12.75">
      <c r="B599" s="118"/>
      <c r="C599" s="118" t="s">
        <v>1735</v>
      </c>
      <c r="D599" s="81" t="s">
        <v>526</v>
      </c>
      <c r="E599" s="80" t="s">
        <v>527</v>
      </c>
      <c r="F599" s="81">
        <v>0</v>
      </c>
      <c r="G599" s="81">
        <v>0</v>
      </c>
      <c r="H599" s="81">
        <v>0</v>
      </c>
      <c r="I599" s="101" t="s">
        <v>71</v>
      </c>
      <c r="J599" s="101" t="s">
        <v>71</v>
      </c>
      <c r="K599" s="101" t="s">
        <v>76</v>
      </c>
      <c r="L599" s="80" t="s">
        <v>1491</v>
      </c>
      <c r="M599" s="101" t="s">
        <v>1562</v>
      </c>
      <c r="N599" s="101">
        <v>1</v>
      </c>
      <c r="O599" s="101">
        <v>20</v>
      </c>
      <c r="P599" s="101">
        <v>20</v>
      </c>
      <c r="Q599" s="102">
        <v>3</v>
      </c>
      <c r="R599" s="102">
        <v>3</v>
      </c>
      <c r="S599" s="102"/>
      <c r="T599" s="102"/>
      <c r="U599" s="80" t="s">
        <v>1743</v>
      </c>
      <c r="V599" s="78"/>
      <c r="W599" s="78"/>
    </row>
    <row r="600" spans="2:23" s="4" customFormat="1" ht="12.75">
      <c r="B600" s="118"/>
      <c r="C600" s="118" t="s">
        <v>1735</v>
      </c>
      <c r="D600" s="81" t="s">
        <v>528</v>
      </c>
      <c r="E600" s="80" t="s">
        <v>529</v>
      </c>
      <c r="F600" s="81">
        <v>0</v>
      </c>
      <c r="G600" s="81">
        <v>0</v>
      </c>
      <c r="H600" s="81">
        <v>0</v>
      </c>
      <c r="I600" s="101" t="s">
        <v>71</v>
      </c>
      <c r="J600" s="101" t="s">
        <v>71</v>
      </c>
      <c r="K600" s="101" t="s">
        <v>76</v>
      </c>
      <c r="L600" s="80" t="s">
        <v>1488</v>
      </c>
      <c r="M600" s="101" t="s">
        <v>1562</v>
      </c>
      <c r="N600" s="101">
        <v>1</v>
      </c>
      <c r="O600" s="101">
        <v>20</v>
      </c>
      <c r="P600" s="101">
        <v>20</v>
      </c>
      <c r="Q600" s="102">
        <v>3</v>
      </c>
      <c r="R600" s="102">
        <v>3</v>
      </c>
      <c r="S600" s="102"/>
      <c r="T600" s="102"/>
      <c r="U600" s="80" t="s">
        <v>1744</v>
      </c>
      <c r="V600" s="78"/>
      <c r="W600" s="78"/>
    </row>
    <row r="601" spans="2:23" s="4" customFormat="1" ht="12.75">
      <c r="B601" s="118"/>
      <c r="C601" s="118" t="s">
        <v>1735</v>
      </c>
      <c r="D601" s="81" t="s">
        <v>528</v>
      </c>
      <c r="E601" s="80" t="s">
        <v>529</v>
      </c>
      <c r="F601" s="81">
        <v>0</v>
      </c>
      <c r="G601" s="81">
        <v>0</v>
      </c>
      <c r="H601" s="81">
        <v>0</v>
      </c>
      <c r="I601" s="101" t="s">
        <v>71</v>
      </c>
      <c r="J601" s="101" t="s">
        <v>71</v>
      </c>
      <c r="K601" s="101" t="s">
        <v>76</v>
      </c>
      <c r="L601" s="80" t="s">
        <v>1491</v>
      </c>
      <c r="M601" s="101" t="s">
        <v>1562</v>
      </c>
      <c r="N601" s="101">
        <v>1</v>
      </c>
      <c r="O601" s="101">
        <v>20</v>
      </c>
      <c r="P601" s="101">
        <v>20</v>
      </c>
      <c r="Q601" s="102">
        <v>3</v>
      </c>
      <c r="R601" s="102">
        <v>3</v>
      </c>
      <c r="S601" s="102"/>
      <c r="T601" s="102"/>
      <c r="U601" s="80" t="s">
        <v>1744</v>
      </c>
      <c r="V601" s="78"/>
      <c r="W601" s="78"/>
    </row>
    <row r="602" spans="2:23" s="4" customFormat="1" ht="12.75">
      <c r="B602" s="33" t="s">
        <v>64</v>
      </c>
      <c r="C602" s="33" t="s">
        <v>1650</v>
      </c>
      <c r="D602" s="3" t="s">
        <v>565</v>
      </c>
      <c r="E602" s="80" t="s">
        <v>566</v>
      </c>
      <c r="F602" s="81">
        <v>3</v>
      </c>
      <c r="G602" s="81">
        <v>0</v>
      </c>
      <c r="H602" s="81">
        <v>4</v>
      </c>
      <c r="I602" s="101" t="s">
        <v>71</v>
      </c>
      <c r="J602" s="101" t="s">
        <v>71</v>
      </c>
      <c r="K602" s="101" t="s">
        <v>76</v>
      </c>
      <c r="L602" s="80" t="s">
        <v>1488</v>
      </c>
      <c r="M602" s="101" t="s">
        <v>1562</v>
      </c>
      <c r="N602" s="97">
        <v>1</v>
      </c>
      <c r="O602" s="101">
        <v>25</v>
      </c>
      <c r="P602" s="101">
        <v>25</v>
      </c>
      <c r="Q602" s="102">
        <v>3</v>
      </c>
      <c r="R602" s="102">
        <v>3</v>
      </c>
      <c r="S602" s="98" t="s">
        <v>1493</v>
      </c>
      <c r="T602" s="98" t="s">
        <v>1490</v>
      </c>
      <c r="U602" s="80" t="s">
        <v>1741</v>
      </c>
      <c r="V602" s="78"/>
      <c r="W602" s="78"/>
    </row>
    <row r="603" spans="2:23" s="4" customFormat="1" ht="12.75">
      <c r="B603" s="33" t="s">
        <v>64</v>
      </c>
      <c r="C603" s="33" t="s">
        <v>1650</v>
      </c>
      <c r="D603" s="3" t="s">
        <v>565</v>
      </c>
      <c r="E603" s="80" t="s">
        <v>566</v>
      </c>
      <c r="F603" s="81">
        <v>3</v>
      </c>
      <c r="G603" s="81">
        <v>0</v>
      </c>
      <c r="H603" s="81">
        <v>4</v>
      </c>
      <c r="I603" s="101" t="s">
        <v>71</v>
      </c>
      <c r="J603" s="101" t="s">
        <v>71</v>
      </c>
      <c r="K603" s="101" t="s">
        <v>76</v>
      </c>
      <c r="L603" s="80" t="s">
        <v>1491</v>
      </c>
      <c r="M603" s="101" t="s">
        <v>1562</v>
      </c>
      <c r="N603" s="97">
        <v>1</v>
      </c>
      <c r="O603" s="101">
        <v>25</v>
      </c>
      <c r="P603" s="101">
        <v>25</v>
      </c>
      <c r="Q603" s="102">
        <v>3</v>
      </c>
      <c r="R603" s="102">
        <v>3</v>
      </c>
      <c r="S603" s="98" t="s">
        <v>1493</v>
      </c>
      <c r="T603" s="98" t="s">
        <v>1490</v>
      </c>
      <c r="U603" s="80" t="s">
        <v>1741</v>
      </c>
      <c r="V603" s="78"/>
      <c r="W603" s="78"/>
    </row>
    <row r="604" spans="2:23" s="4" customFormat="1" ht="12.75">
      <c r="B604" s="33" t="s">
        <v>64</v>
      </c>
      <c r="C604" s="33" t="s">
        <v>1650</v>
      </c>
      <c r="D604" s="3" t="s">
        <v>1051</v>
      </c>
      <c r="E604" s="80" t="s">
        <v>1052</v>
      </c>
      <c r="F604" s="81">
        <v>3</v>
      </c>
      <c r="G604" s="81">
        <v>0</v>
      </c>
      <c r="H604" s="81">
        <v>4</v>
      </c>
      <c r="I604" s="101" t="s">
        <v>71</v>
      </c>
      <c r="J604" s="101" t="s">
        <v>71</v>
      </c>
      <c r="K604" s="101" t="s">
        <v>76</v>
      </c>
      <c r="L604" s="80" t="s">
        <v>1488</v>
      </c>
      <c r="M604" s="101" t="s">
        <v>1562</v>
      </c>
      <c r="N604" s="97">
        <v>1</v>
      </c>
      <c r="O604" s="101">
        <v>25</v>
      </c>
      <c r="P604" s="101">
        <v>25</v>
      </c>
      <c r="Q604" s="102">
        <v>3</v>
      </c>
      <c r="R604" s="102">
        <v>3</v>
      </c>
      <c r="S604" s="98"/>
      <c r="T604" s="98"/>
      <c r="U604" s="80" t="s">
        <v>1744</v>
      </c>
      <c r="V604" s="78"/>
      <c r="W604" s="78"/>
    </row>
    <row r="605" spans="2:23" ht="12.75">
      <c r="B605" s="33" t="s">
        <v>64</v>
      </c>
      <c r="C605" s="33" t="s">
        <v>1650</v>
      </c>
      <c r="D605" s="3" t="s">
        <v>1051</v>
      </c>
      <c r="E605" s="80" t="s">
        <v>1052</v>
      </c>
      <c r="F605" s="81">
        <v>3</v>
      </c>
      <c r="G605" s="81">
        <v>0</v>
      </c>
      <c r="H605" s="81">
        <v>4</v>
      </c>
      <c r="I605" s="101" t="s">
        <v>71</v>
      </c>
      <c r="J605" s="101" t="s">
        <v>71</v>
      </c>
      <c r="K605" s="101" t="s">
        <v>76</v>
      </c>
      <c r="L605" s="80" t="s">
        <v>1491</v>
      </c>
      <c r="M605" s="101" t="s">
        <v>1562</v>
      </c>
      <c r="N605" s="97">
        <v>1</v>
      </c>
      <c r="O605" s="101">
        <v>25</v>
      </c>
      <c r="P605" s="101">
        <v>25</v>
      </c>
      <c r="Q605" s="102">
        <v>3</v>
      </c>
      <c r="R605" s="102">
        <v>3</v>
      </c>
      <c r="S605" s="98"/>
      <c r="T605" s="98"/>
      <c r="U605" s="80" t="s">
        <v>1744</v>
      </c>
      <c r="V605" s="101"/>
      <c r="W605" s="80"/>
    </row>
    <row r="606" spans="2:23" ht="12.75">
      <c r="B606" s="33" t="s">
        <v>64</v>
      </c>
      <c r="C606" s="33" t="s">
        <v>1650</v>
      </c>
      <c r="D606" s="3" t="s">
        <v>520</v>
      </c>
      <c r="E606" s="80" t="s">
        <v>521</v>
      </c>
      <c r="F606" s="81">
        <v>0</v>
      </c>
      <c r="G606" s="81">
        <v>0</v>
      </c>
      <c r="H606" s="81">
        <v>0</v>
      </c>
      <c r="I606" s="101" t="s">
        <v>71</v>
      </c>
      <c r="J606" s="101" t="s">
        <v>71</v>
      </c>
      <c r="K606" s="101" t="s">
        <v>76</v>
      </c>
      <c r="L606" s="80" t="s">
        <v>1488</v>
      </c>
      <c r="M606" s="101" t="s">
        <v>1562</v>
      </c>
      <c r="N606" s="97">
        <v>1</v>
      </c>
      <c r="O606" s="101">
        <v>25</v>
      </c>
      <c r="P606" s="101">
        <v>25</v>
      </c>
      <c r="Q606" s="102">
        <v>3</v>
      </c>
      <c r="R606" s="102">
        <v>3</v>
      </c>
      <c r="S606" s="98"/>
      <c r="T606" s="98"/>
      <c r="U606" s="80" t="s">
        <v>1744</v>
      </c>
      <c r="V606" s="101"/>
      <c r="W606" s="80"/>
    </row>
    <row r="607" spans="2:23" ht="12.75">
      <c r="B607" s="33" t="s">
        <v>64</v>
      </c>
      <c r="C607" s="33" t="s">
        <v>1650</v>
      </c>
      <c r="D607" s="3" t="s">
        <v>520</v>
      </c>
      <c r="E607" s="80" t="s">
        <v>521</v>
      </c>
      <c r="F607" s="81">
        <v>0</v>
      </c>
      <c r="G607" s="81">
        <v>0</v>
      </c>
      <c r="H607" s="81">
        <v>0</v>
      </c>
      <c r="I607" s="101" t="s">
        <v>71</v>
      </c>
      <c r="J607" s="101" t="s">
        <v>71</v>
      </c>
      <c r="K607" s="101" t="s">
        <v>76</v>
      </c>
      <c r="L607" s="80" t="s">
        <v>1491</v>
      </c>
      <c r="M607" s="101" t="s">
        <v>1562</v>
      </c>
      <c r="N607" s="97">
        <v>1</v>
      </c>
      <c r="O607" s="101">
        <v>25</v>
      </c>
      <c r="P607" s="101">
        <v>25</v>
      </c>
      <c r="Q607" s="102">
        <v>3</v>
      </c>
      <c r="R607" s="102">
        <v>3</v>
      </c>
      <c r="S607" s="98"/>
      <c r="T607" s="98"/>
      <c r="U607" s="80" t="s">
        <v>1744</v>
      </c>
      <c r="V607" s="101"/>
      <c r="W607" s="80"/>
    </row>
    <row r="608" spans="2:23" ht="12.75">
      <c r="N608" s="102">
        <f>SUM(N2:N607)</f>
        <v>867</v>
      </c>
      <c r="Q608" s="102">
        <f>SUM(Q2:Q607)</f>
        <v>3470</v>
      </c>
      <c r="R608" s="102">
        <f>SUM(R2:R607)</f>
        <v>3227</v>
      </c>
    </row>
    <row r="609" spans="1:20" ht="12.75" customHeight="1"/>
    <row r="610" spans="1:20" ht="12.75" customHeight="1"/>
    <row r="611" spans="1:20" ht="12.75" customHeight="1">
      <c r="K611" s="103" t="s">
        <v>1659</v>
      </c>
      <c r="L611" s="103" t="s">
        <v>1667</v>
      </c>
    </row>
    <row r="612" spans="1:20" s="88" customFormat="1" ht="12.75">
      <c r="A612" s="58"/>
      <c r="B612" s="58"/>
      <c r="C612" s="58"/>
      <c r="F612" s="59"/>
      <c r="G612" s="59"/>
      <c r="H612" s="59"/>
      <c r="I612" s="60" t="s">
        <v>12</v>
      </c>
      <c r="J612" s="60" t="s">
        <v>12</v>
      </c>
      <c r="K612" s="60">
        <f>Q608</f>
        <v>3470</v>
      </c>
      <c r="L612" s="60">
        <f>R608</f>
        <v>3227</v>
      </c>
      <c r="M612" s="59"/>
      <c r="N612" s="59"/>
      <c r="O612" s="59"/>
      <c r="P612" s="59"/>
      <c r="Q612" s="59"/>
      <c r="R612" s="59"/>
      <c r="S612" s="59"/>
      <c r="T612" s="59"/>
    </row>
    <row r="613" spans="1:20" s="88" customFormat="1" ht="12.75">
      <c r="A613" s="58"/>
      <c r="B613" s="58"/>
      <c r="C613" s="58"/>
      <c r="F613" s="59"/>
      <c r="G613" s="59"/>
      <c r="H613" s="59"/>
      <c r="I613" s="60" t="s">
        <v>1651</v>
      </c>
      <c r="J613" s="60" t="s">
        <v>1651</v>
      </c>
      <c r="K613" s="60">
        <v>285</v>
      </c>
      <c r="L613" s="60"/>
      <c r="M613" s="59"/>
      <c r="N613" s="60"/>
      <c r="O613" s="59"/>
      <c r="P613" s="59"/>
      <c r="Q613" s="59"/>
      <c r="R613" s="59"/>
      <c r="S613" s="59"/>
      <c r="T613" s="59"/>
    </row>
    <row r="614" spans="1:20" s="88" customFormat="1" ht="12.75">
      <c r="A614" s="58"/>
      <c r="B614" s="58"/>
      <c r="C614" s="58"/>
      <c r="F614" s="59"/>
      <c r="G614" s="59"/>
      <c r="H614" s="59"/>
      <c r="I614" s="60" t="s">
        <v>9</v>
      </c>
      <c r="J614" s="60" t="s">
        <v>9</v>
      </c>
      <c r="K614" s="60">
        <f>N608</f>
        <v>867</v>
      </c>
      <c r="L614" s="60"/>
      <c r="M614" s="59"/>
      <c r="N614" s="60"/>
      <c r="O614" s="59"/>
      <c r="P614" s="59"/>
      <c r="Q614" s="59"/>
      <c r="R614" s="59"/>
      <c r="S614" s="59"/>
      <c r="T614" s="59"/>
    </row>
    <row r="615" spans="1:20" s="88" customFormat="1" ht="51">
      <c r="A615" s="58"/>
      <c r="B615" s="58"/>
      <c r="C615" s="58"/>
      <c r="F615" s="59"/>
      <c r="G615" s="59"/>
      <c r="H615" s="59"/>
      <c r="I615" s="60"/>
      <c r="J615" s="60"/>
      <c r="K615" s="60"/>
      <c r="L615" s="135" t="s">
        <v>1771</v>
      </c>
      <c r="M615" s="135"/>
      <c r="N615" s="136" t="s">
        <v>1659</v>
      </c>
      <c r="O615" s="136" t="s">
        <v>1488</v>
      </c>
      <c r="P615" s="136" t="s">
        <v>1491</v>
      </c>
      <c r="Q615" s="137" t="s">
        <v>1770</v>
      </c>
      <c r="R615" s="59"/>
      <c r="S615" s="59"/>
      <c r="T615" s="59"/>
    </row>
    <row r="616" spans="1:20" s="88" customFormat="1" ht="12.75">
      <c r="A616" s="58"/>
      <c r="B616" s="58"/>
      <c r="C616" s="58"/>
      <c r="F616" s="124" t="s">
        <v>1670</v>
      </c>
      <c r="G616" s="125"/>
      <c r="H616" s="126"/>
      <c r="I616" s="61"/>
      <c r="J616" s="104" t="s">
        <v>1671</v>
      </c>
      <c r="K616" s="61"/>
      <c r="L616" s="138" t="s">
        <v>1734</v>
      </c>
      <c r="M616" s="139" t="s">
        <v>1767</v>
      </c>
      <c r="N616" s="139">
        <v>231</v>
      </c>
      <c r="O616" s="136">
        <v>192</v>
      </c>
      <c r="P616" s="136">
        <v>192</v>
      </c>
      <c r="Q616" s="136" t="s">
        <v>1486</v>
      </c>
      <c r="R616" s="59"/>
      <c r="S616" s="59"/>
      <c r="T616" s="59"/>
    </row>
    <row r="617" spans="1:20" s="60" customFormat="1" ht="12.75">
      <c r="A617" s="63"/>
      <c r="E617" s="62" t="s">
        <v>1652</v>
      </c>
      <c r="F617" s="133">
        <f>K612</f>
        <v>3470</v>
      </c>
      <c r="G617" s="133"/>
      <c r="H617" s="133"/>
      <c r="J617" s="62">
        <f>R608</f>
        <v>3227</v>
      </c>
      <c r="L617" s="138"/>
      <c r="M617" s="136" t="s">
        <v>1768</v>
      </c>
      <c r="N617" s="136">
        <f>SUM(O617:Q617)</f>
        <v>411</v>
      </c>
      <c r="O617" s="136">
        <f>SUMIFS($N$2:$N$607,$L$2:$L$607,"d",$M$2:$M$607,"SA")</f>
        <v>202</v>
      </c>
      <c r="P617" s="136">
        <f>SUMIFS($N$2:$N$607,$L$2:$L$607,"n",$M$2:$M$607,"SA")</f>
        <v>209</v>
      </c>
      <c r="Q617" s="136">
        <f>SUMIFS($N$2:$N$607,$L$2:$L$607,"",$M$2:$M$607,"SA")</f>
        <v>0</v>
      </c>
    </row>
    <row r="618" spans="1:20" s="60" customFormat="1" ht="12.75">
      <c r="A618" s="63"/>
      <c r="F618" s="64"/>
      <c r="L618" s="138" t="s">
        <v>1769</v>
      </c>
      <c r="M618" s="139" t="s">
        <v>1767</v>
      </c>
      <c r="N618" s="139">
        <v>88</v>
      </c>
      <c r="O618" s="136">
        <v>83</v>
      </c>
      <c r="P618" s="136">
        <v>84</v>
      </c>
      <c r="Q618" s="136" t="s">
        <v>1486</v>
      </c>
    </row>
    <row r="619" spans="1:20" s="60" customFormat="1" ht="12.75">
      <c r="A619" s="63"/>
      <c r="E619" s="62" t="s">
        <v>1653</v>
      </c>
      <c r="F619" s="133">
        <f>SUMIFS($Q$1:$Q$607,$J$1:$J$607,"obrigatória")</f>
        <v>2967</v>
      </c>
      <c r="G619" s="133"/>
      <c r="H619" s="133"/>
      <c r="J619" s="62">
        <f>SUMIFS($R$2:$R$607,$J$2:$J$607,"obrigatória")</f>
        <v>2724</v>
      </c>
      <c r="L619" s="138"/>
      <c r="M619" s="136" t="s">
        <v>1768</v>
      </c>
      <c r="N619" s="136">
        <f>SUM(O619:Q619)</f>
        <v>264</v>
      </c>
      <c r="O619" s="136">
        <f>SUMIFS($N$2:$N$607,$L$2:$L$607,"d",$M$2:$M$607,"Sb")</f>
        <v>130</v>
      </c>
      <c r="P619" s="136">
        <f>SUMIFS($N$2:$N$607,$L$2:$L$607,"n",$M$2:$M$607,"Sb")</f>
        <v>130</v>
      </c>
      <c r="Q619" s="136">
        <f>SUMIFS($N$2:$N$607,$L$2:$L$607,"",$M$2:$M$607,"Sb")</f>
        <v>4</v>
      </c>
    </row>
    <row r="620" spans="1:20" s="60" customFormat="1" ht="12.75">
      <c r="A620" s="63"/>
      <c r="E620" s="62" t="s">
        <v>1654</v>
      </c>
      <c r="F620" s="133">
        <f>SUMIFS($Q$2:$Q$607,$J$2:$J$607,"opção limitada")</f>
        <v>491</v>
      </c>
      <c r="G620" s="133"/>
      <c r="H620" s="133"/>
      <c r="J620" s="62">
        <f>SUMIFS($R$2:$R$607,$J$2:$J$607,"opção limitada")</f>
        <v>491</v>
      </c>
    </row>
    <row r="621" spans="1:20" s="60" customFormat="1" ht="12.75">
      <c r="A621" s="63"/>
      <c r="E621" s="62" t="s">
        <v>1655</v>
      </c>
      <c r="F621" s="133">
        <f>SUMIFS($Q$2:$Q$607,$J$2:$J$607,"livre")</f>
        <v>12</v>
      </c>
      <c r="G621" s="133"/>
      <c r="H621" s="133"/>
      <c r="J621" s="62">
        <f>SUMIFS($R$2:$R$607,$J$2:$J$607,"livre")</f>
        <v>12</v>
      </c>
    </row>
    <row r="622" spans="1:20" s="60" customFormat="1" ht="12.75">
      <c r="A622" s="63"/>
    </row>
    <row r="623" spans="1:20" s="60" customFormat="1" ht="12.75">
      <c r="A623" s="63"/>
    </row>
    <row r="624" spans="1:20" s="60" customFormat="1" ht="12.75">
      <c r="A624" s="63"/>
      <c r="E624" s="62" t="s">
        <v>1656</v>
      </c>
      <c r="F624" s="133" t="s">
        <v>1657</v>
      </c>
      <c r="G624" s="133"/>
      <c r="H624" s="133"/>
      <c r="I624" s="105" t="s">
        <v>1658</v>
      </c>
      <c r="J624" s="62" t="s">
        <v>1659</v>
      </c>
    </row>
    <row r="625" spans="1:20" s="60" customFormat="1" ht="12.75">
      <c r="A625" s="63"/>
      <c r="E625" s="62" t="s">
        <v>1660</v>
      </c>
      <c r="F625" s="133">
        <v>178</v>
      </c>
      <c r="G625" s="133"/>
      <c r="H625" s="133"/>
      <c r="I625" s="105">
        <v>5.9</v>
      </c>
      <c r="J625" s="106">
        <f>F625-I625</f>
        <v>172.1</v>
      </c>
    </row>
    <row r="626" spans="1:20" s="60" customFormat="1" ht="12.75">
      <c r="A626" s="63"/>
      <c r="E626" s="62" t="s">
        <v>1661</v>
      </c>
      <c r="F626" s="133">
        <v>217</v>
      </c>
      <c r="G626" s="133"/>
      <c r="H626" s="133"/>
      <c r="I626" s="105">
        <v>11.5</v>
      </c>
      <c r="J626" s="106">
        <f>F626-I626</f>
        <v>205.5</v>
      </c>
    </row>
    <row r="627" spans="1:20" s="60" customFormat="1" ht="12.75">
      <c r="A627" s="63"/>
      <c r="E627" s="62" t="s">
        <v>1662</v>
      </c>
      <c r="F627" s="133">
        <v>115</v>
      </c>
      <c r="G627" s="133"/>
      <c r="H627" s="133"/>
      <c r="I627" s="105">
        <v>7.1</v>
      </c>
      <c r="J627" s="106">
        <f>F627-I627</f>
        <v>107.9</v>
      </c>
    </row>
    <row r="628" spans="1:20" s="60" customFormat="1" ht="12.75">
      <c r="A628" s="63"/>
      <c r="E628" s="62" t="s">
        <v>1659</v>
      </c>
      <c r="F628" s="133">
        <v>510</v>
      </c>
      <c r="G628" s="133"/>
      <c r="H628" s="133"/>
      <c r="I628" s="105">
        <v>24.5</v>
      </c>
      <c r="J628" s="106">
        <f>F628-I628</f>
        <v>485.5</v>
      </c>
    </row>
    <row r="629" spans="1:20" s="60" customFormat="1" ht="12.75">
      <c r="A629" s="63"/>
    </row>
    <row r="630" spans="1:20" s="60" customFormat="1" ht="12.75">
      <c r="A630" s="63"/>
      <c r="E630" s="62" t="s">
        <v>1663</v>
      </c>
      <c r="F630" s="129">
        <f>F617/J628</f>
        <v>7.1472708547888777</v>
      </c>
      <c r="G630" s="129"/>
      <c r="H630" s="129"/>
      <c r="J630" s="106">
        <f>J617/J628</f>
        <v>6.6467559217301755</v>
      </c>
    </row>
    <row r="631" spans="1:20" s="60" customFormat="1" ht="12.75">
      <c r="A631" s="63"/>
      <c r="F631" s="68"/>
      <c r="G631" s="65"/>
      <c r="H631" s="65"/>
      <c r="J631" s="65"/>
    </row>
    <row r="632" spans="1:20" s="60" customFormat="1" ht="12.75">
      <c r="A632" s="63"/>
      <c r="E632" s="62" t="s">
        <v>1664</v>
      </c>
      <c r="F632" s="129"/>
      <c r="G632" s="129"/>
      <c r="H632" s="129"/>
      <c r="J632" s="65"/>
    </row>
    <row r="633" spans="1:20" s="60" customFormat="1" ht="12.75">
      <c r="A633" s="63"/>
      <c r="E633" s="62" t="s">
        <v>1660</v>
      </c>
      <c r="F633" s="129">
        <f>J625*$F$630</f>
        <v>1230.0453141091657</v>
      </c>
      <c r="G633" s="129"/>
      <c r="H633" s="129"/>
      <c r="J633" s="106">
        <f>$J$630*J625</f>
        <v>1143.9066941297631</v>
      </c>
    </row>
    <row r="634" spans="1:20" s="60" customFormat="1" ht="12.75">
      <c r="A634" s="63"/>
      <c r="E634" s="62" t="s">
        <v>1661</v>
      </c>
      <c r="F634" s="129">
        <f t="shared" ref="F634:F636" si="0">J626*$F$630</f>
        <v>1468.7641606591144</v>
      </c>
      <c r="G634" s="129"/>
      <c r="H634" s="129"/>
      <c r="J634" s="106">
        <f t="shared" ref="J634:J636" si="1">$J$630*J626</f>
        <v>1365.9083419155511</v>
      </c>
    </row>
    <row r="635" spans="1:20" s="60" customFormat="1" ht="12.75">
      <c r="A635" s="63"/>
      <c r="E635" s="62" t="s">
        <v>1662</v>
      </c>
      <c r="F635" s="129">
        <f t="shared" si="0"/>
        <v>771.1905252317199</v>
      </c>
      <c r="G635" s="129"/>
      <c r="H635" s="129"/>
      <c r="J635" s="106">
        <f t="shared" si="1"/>
        <v>717.18496395468594</v>
      </c>
    </row>
    <row r="636" spans="1:20" s="60" customFormat="1" ht="12.75">
      <c r="A636" s="63"/>
      <c r="E636" s="62" t="s">
        <v>1659</v>
      </c>
      <c r="F636" s="129">
        <f t="shared" si="0"/>
        <v>3470</v>
      </c>
      <c r="G636" s="129"/>
      <c r="H636" s="129"/>
      <c r="J636" s="106">
        <f t="shared" si="1"/>
        <v>3227</v>
      </c>
    </row>
    <row r="637" spans="1:20" s="88" customFormat="1" ht="12.75">
      <c r="A637" s="58"/>
      <c r="B637" s="58"/>
      <c r="C637" s="58"/>
      <c r="F637" s="134"/>
      <c r="G637" s="134"/>
      <c r="H637" s="127"/>
      <c r="I637" s="127"/>
      <c r="J637" s="127"/>
      <c r="K637" s="128"/>
      <c r="L637" s="128"/>
      <c r="M637" s="128"/>
      <c r="N637" s="59"/>
      <c r="O637" s="59"/>
      <c r="P637" s="59"/>
      <c r="Q637" s="59"/>
      <c r="R637" s="59"/>
      <c r="S637" s="59"/>
      <c r="T637" s="59"/>
    </row>
    <row r="638" spans="1:20" s="88" customFormat="1" ht="12.75">
      <c r="A638" s="58"/>
      <c r="B638" s="58"/>
      <c r="C638" s="58"/>
      <c r="F638" s="134"/>
      <c r="G638" s="134"/>
      <c r="H638" s="127"/>
      <c r="I638" s="127"/>
      <c r="J638" s="127"/>
      <c r="K638" s="128"/>
      <c r="L638" s="128"/>
      <c r="M638" s="128"/>
      <c r="N638" s="59"/>
      <c r="O638" s="59"/>
      <c r="P638" s="59"/>
      <c r="Q638" s="59"/>
      <c r="R638" s="59"/>
      <c r="S638" s="59"/>
      <c r="T638" s="59"/>
    </row>
    <row r="639" spans="1:20" s="89" customFormat="1" ht="12.75">
      <c r="A639" s="66"/>
      <c r="B639" s="66"/>
      <c r="C639" s="66" t="s">
        <v>1665</v>
      </c>
      <c r="D639" s="88"/>
      <c r="F639" s="130"/>
      <c r="G639" s="130"/>
      <c r="H639" s="131"/>
      <c r="I639" s="131"/>
      <c r="J639" s="131"/>
      <c r="K639" s="132"/>
      <c r="L639" s="132"/>
      <c r="M639" s="132"/>
      <c r="N639" s="67"/>
      <c r="O639" s="67"/>
      <c r="P639" s="67"/>
      <c r="Q639" s="67"/>
      <c r="R639" s="67"/>
      <c r="S639" s="67"/>
      <c r="T639" s="67"/>
    </row>
    <row r="640" spans="1:2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</sheetData>
  <autoFilter ref="A1:U608"/>
  <sortState ref="B2:T607">
    <sortCondition ref="C2:C607"/>
  </sortState>
  <mergeCells count="28">
    <mergeCell ref="L615:M615"/>
    <mergeCell ref="L616:L617"/>
    <mergeCell ref="L618:L619"/>
    <mergeCell ref="K639:M639"/>
    <mergeCell ref="F634:H634"/>
    <mergeCell ref="F635:H635"/>
    <mergeCell ref="F636:H636"/>
    <mergeCell ref="F637:G637"/>
    <mergeCell ref="H637:J637"/>
    <mergeCell ref="K637:M637"/>
    <mergeCell ref="F638:G638"/>
    <mergeCell ref="H638:J638"/>
    <mergeCell ref="K638:M638"/>
    <mergeCell ref="F630:H630"/>
    <mergeCell ref="F632:H632"/>
    <mergeCell ref="F633:H633"/>
    <mergeCell ref="F639:G639"/>
    <mergeCell ref="H639:J639"/>
    <mergeCell ref="F624:H624"/>
    <mergeCell ref="F625:H625"/>
    <mergeCell ref="F626:H626"/>
    <mergeCell ref="F627:H627"/>
    <mergeCell ref="F628:H628"/>
    <mergeCell ref="F616:H616"/>
    <mergeCell ref="F617:H617"/>
    <mergeCell ref="F619:H619"/>
    <mergeCell ref="F620:H620"/>
    <mergeCell ref="F621:H621"/>
  </mergeCells>
  <conditionalFormatting sqref="N605:N607 C241:I245 S537:W607 I397:J397 I398:I607 I279:I396 J279:J284 J224:J225 S313:X313 S213:W216 J314:L536 N314:U399 N195:U198 J195:L198 S217:V237 S238:W254 S199:V212 D195:H607 N255:U284 M400:M404 I195:I276 O537:P607 S285:W312 J255:J276 N285:P313 S461:U462 K199:P254 J217:J219 N402:U456 N400:P401 S400:U401 N459:U460 N457:P458 S457:U458 N463:U536 N461:P462 K255:L313 K537:L607 M539:M554 M594:M595 M598:M599 C539:I555 B199:C607">
    <cfRule type="cellIs" dxfId="32" priority="22" operator="equal">
      <formula>#REF!</formula>
    </cfRule>
  </conditionalFormatting>
  <conditionalFormatting sqref="S537:W604 M598:M599 K537:L604 N537:P604 M539:M554 M594:M595 C537:I604">
    <cfRule type="cellIs" dxfId="31" priority="7" operator="equal">
      <formula>#REF!</formula>
    </cfRule>
  </conditionalFormatting>
  <conditionalFormatting sqref="C539:I555 S539:S555 M539:M554 K539:L555 N539:P555 C556:C559">
    <cfRule type="cellIs" dxfId="30" priority="6" operator="equal">
      <formula>#REF!</formula>
    </cfRule>
  </conditionalFormatting>
  <dataValidations count="2">
    <dataValidation allowBlank="1" showDropDown="1" showInputMessage="1" showErrorMessage="1" sqref="N537:N607 N285:N313 N199:N254 M400:M404"/>
    <dataValidation type="list" allowBlank="1" showDropDown="1" showInputMessage="1" showErrorMessage="1" sqref="M199:M254 L255:L284 L314:L536 L195:L198 M539:M554 M594:M595 M598:M599">
      <formula1>"D,N"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N66"/>
  <sheetViews>
    <sheetView workbookViewId="0">
      <selection activeCell="D9" sqref="D9:D10"/>
    </sheetView>
  </sheetViews>
  <sheetFormatPr defaultRowHeight="15"/>
  <cols>
    <col min="1" max="1" width="9" style="200" customWidth="1"/>
    <col min="2" max="2" width="44.5703125" style="200" hidden="1" customWidth="1"/>
    <col min="3" max="3" width="9" style="212" customWidth="1"/>
    <col min="4" max="4" width="40.7109375" style="230" customWidth="1"/>
    <col min="5" max="5" width="3.7109375" style="200" customWidth="1"/>
    <col min="6" max="6" width="9" style="200" customWidth="1"/>
    <col min="7" max="7" width="44.5703125" style="200" hidden="1" customWidth="1"/>
    <col min="8" max="8" width="9" style="212" customWidth="1"/>
    <col min="9" max="9" width="40.7109375" style="230" customWidth="1"/>
    <col min="10" max="10" width="4.85546875" style="200" customWidth="1"/>
    <col min="11" max="11" width="9" style="200" customWidth="1"/>
    <col min="12" max="12" width="44.5703125" style="200" hidden="1" customWidth="1"/>
    <col min="13" max="13" width="9" style="212" customWidth="1"/>
    <col min="14" max="14" width="40.7109375" style="230" customWidth="1"/>
    <col min="15" max="16384" width="9.140625" style="200"/>
  </cols>
  <sheetData>
    <row r="1" spans="1:14" customFormat="1" ht="36.75" customHeight="1">
      <c r="A1" s="197" t="s">
        <v>1779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</row>
    <row r="2" spans="1:14" s="194" customFormat="1">
      <c r="A2" s="306" t="s">
        <v>1451</v>
      </c>
      <c r="B2" s="306" t="s">
        <v>1451</v>
      </c>
      <c r="C2" s="203" t="s">
        <v>0</v>
      </c>
      <c r="D2" s="203" t="s">
        <v>1</v>
      </c>
      <c r="E2" s="307"/>
      <c r="F2" s="306" t="s">
        <v>1451</v>
      </c>
      <c r="G2" s="306" t="s">
        <v>1451</v>
      </c>
      <c r="H2" s="203" t="s">
        <v>0</v>
      </c>
      <c r="I2" s="203" t="s">
        <v>1</v>
      </c>
      <c r="J2" s="307"/>
      <c r="K2" s="306" t="s">
        <v>1451</v>
      </c>
      <c r="L2" s="306" t="s">
        <v>1451</v>
      </c>
      <c r="M2" s="203" t="s">
        <v>0</v>
      </c>
      <c r="N2" s="203" t="s">
        <v>1</v>
      </c>
    </row>
    <row r="3" spans="1:14">
      <c r="A3" s="308" t="s">
        <v>40</v>
      </c>
      <c r="B3" s="308" t="s">
        <v>17</v>
      </c>
      <c r="C3" s="201" t="s">
        <v>166</v>
      </c>
      <c r="D3" s="224" t="s">
        <v>167</v>
      </c>
      <c r="E3" s="309"/>
      <c r="F3" s="310" t="s">
        <v>1643</v>
      </c>
      <c r="G3" s="310" t="s">
        <v>33</v>
      </c>
      <c r="H3" s="217" t="s">
        <v>423</v>
      </c>
      <c r="I3" s="224" t="s">
        <v>424</v>
      </c>
      <c r="J3" s="309"/>
      <c r="K3" s="311" t="s">
        <v>1648</v>
      </c>
      <c r="L3" s="311" t="s">
        <v>38</v>
      </c>
      <c r="M3" s="221" t="s">
        <v>1377</v>
      </c>
      <c r="N3" s="224" t="s">
        <v>1378</v>
      </c>
    </row>
    <row r="4" spans="1:14">
      <c r="A4" s="312" t="s">
        <v>41</v>
      </c>
      <c r="B4" s="312" t="s">
        <v>19</v>
      </c>
      <c r="C4" s="202"/>
      <c r="D4" s="225"/>
      <c r="E4" s="309"/>
      <c r="F4" s="313" t="s">
        <v>1644</v>
      </c>
      <c r="G4" s="313" t="s">
        <v>34</v>
      </c>
      <c r="H4" s="218"/>
      <c r="I4" s="225"/>
      <c r="J4" s="309"/>
      <c r="K4" s="314" t="s">
        <v>1747</v>
      </c>
      <c r="L4" s="315" t="s">
        <v>1735</v>
      </c>
      <c r="M4" s="222"/>
      <c r="N4" s="225"/>
    </row>
    <row r="5" spans="1:14">
      <c r="A5" s="308" t="s">
        <v>40</v>
      </c>
      <c r="B5" s="308" t="s">
        <v>17</v>
      </c>
      <c r="C5" s="201" t="s">
        <v>170</v>
      </c>
      <c r="D5" s="224" t="s">
        <v>171</v>
      </c>
      <c r="E5" s="309"/>
      <c r="F5" s="308" t="s">
        <v>40</v>
      </c>
      <c r="G5" s="308" t="s">
        <v>17</v>
      </c>
      <c r="H5" s="201" t="s">
        <v>430</v>
      </c>
      <c r="I5" s="224" t="s">
        <v>390</v>
      </c>
      <c r="J5" s="309"/>
      <c r="K5" s="316" t="s">
        <v>1637</v>
      </c>
      <c r="L5" s="316" t="s">
        <v>26</v>
      </c>
      <c r="M5" s="210" t="s">
        <v>861</v>
      </c>
      <c r="N5" s="226" t="s">
        <v>862</v>
      </c>
    </row>
    <row r="6" spans="1:14">
      <c r="A6" s="312" t="s">
        <v>41</v>
      </c>
      <c r="B6" s="312" t="s">
        <v>19</v>
      </c>
      <c r="C6" s="202"/>
      <c r="D6" s="225"/>
      <c r="E6" s="309"/>
      <c r="F6" s="312" t="s">
        <v>41</v>
      </c>
      <c r="G6" s="312" t="s">
        <v>19</v>
      </c>
      <c r="H6" s="202"/>
      <c r="I6" s="225"/>
      <c r="J6" s="309"/>
      <c r="K6" s="317" t="s">
        <v>1645</v>
      </c>
      <c r="L6" s="317" t="s">
        <v>35</v>
      </c>
      <c r="M6" s="211"/>
      <c r="N6" s="227"/>
    </row>
    <row r="7" spans="1:14">
      <c r="A7" s="318" t="s">
        <v>44</v>
      </c>
      <c r="B7" s="318" t="s">
        <v>18</v>
      </c>
      <c r="C7" s="201" t="s">
        <v>195</v>
      </c>
      <c r="D7" s="224" t="s">
        <v>196</v>
      </c>
      <c r="E7" s="309"/>
      <c r="F7" s="319" t="s">
        <v>46</v>
      </c>
      <c r="G7" s="319" t="s">
        <v>20</v>
      </c>
      <c r="H7" s="219" t="s">
        <v>1596</v>
      </c>
      <c r="I7" s="228" t="s">
        <v>329</v>
      </c>
      <c r="J7" s="309"/>
      <c r="K7" s="320" t="s">
        <v>41</v>
      </c>
      <c r="L7" s="320" t="s">
        <v>19</v>
      </c>
      <c r="M7" s="206" t="s">
        <v>990</v>
      </c>
      <c r="N7" s="224" t="s">
        <v>991</v>
      </c>
    </row>
    <row r="8" spans="1:14">
      <c r="A8" s="321" t="s">
        <v>1637</v>
      </c>
      <c r="B8" s="321" t="s">
        <v>26</v>
      </c>
      <c r="C8" s="202"/>
      <c r="D8" s="225"/>
      <c r="E8" s="309"/>
      <c r="F8" s="322" t="s">
        <v>1646</v>
      </c>
      <c r="G8" s="322" t="s">
        <v>1485</v>
      </c>
      <c r="H8" s="220"/>
      <c r="I8" s="229"/>
      <c r="J8" s="309"/>
      <c r="K8" s="323" t="s">
        <v>46</v>
      </c>
      <c r="L8" s="323" t="s">
        <v>20</v>
      </c>
      <c r="M8" s="207"/>
      <c r="N8" s="225"/>
    </row>
    <row r="9" spans="1:14">
      <c r="A9" s="321" t="s">
        <v>1637</v>
      </c>
      <c r="B9" s="321" t="s">
        <v>26</v>
      </c>
      <c r="C9" s="213" t="s">
        <v>209</v>
      </c>
      <c r="D9" s="226" t="s">
        <v>210</v>
      </c>
      <c r="E9" s="309"/>
      <c r="F9" s="324" t="s">
        <v>1648</v>
      </c>
      <c r="G9" s="324" t="s">
        <v>38</v>
      </c>
      <c r="H9" s="215" t="s">
        <v>526</v>
      </c>
      <c r="I9" s="224" t="s">
        <v>527</v>
      </c>
      <c r="J9" s="309"/>
      <c r="K9" s="325" t="s">
        <v>51</v>
      </c>
      <c r="L9" s="325" t="s">
        <v>25</v>
      </c>
      <c r="M9" s="210" t="s">
        <v>1012</v>
      </c>
      <c r="N9" s="226" t="s">
        <v>1013</v>
      </c>
    </row>
    <row r="10" spans="1:14">
      <c r="A10" s="326" t="s">
        <v>1645</v>
      </c>
      <c r="B10" s="326" t="s">
        <v>35</v>
      </c>
      <c r="C10" s="214"/>
      <c r="D10" s="227"/>
      <c r="E10" s="309"/>
      <c r="F10" s="314" t="s">
        <v>1747</v>
      </c>
      <c r="G10" s="314" t="s">
        <v>1735</v>
      </c>
      <c r="H10" s="216"/>
      <c r="I10" s="225"/>
      <c r="J10" s="309"/>
      <c r="K10" s="327" t="s">
        <v>54</v>
      </c>
      <c r="L10" s="327" t="s">
        <v>27</v>
      </c>
      <c r="M10" s="211"/>
      <c r="N10" s="227"/>
    </row>
    <row r="11" spans="1:14">
      <c r="A11" s="308" t="s">
        <v>40</v>
      </c>
      <c r="B11" s="308" t="s">
        <v>17</v>
      </c>
      <c r="C11" s="201" t="s">
        <v>256</v>
      </c>
      <c r="D11" s="224" t="s">
        <v>257</v>
      </c>
      <c r="E11" s="309"/>
      <c r="F11" s="324" t="s">
        <v>1648</v>
      </c>
      <c r="G11" s="324" t="s">
        <v>38</v>
      </c>
      <c r="H11" s="215" t="s">
        <v>528</v>
      </c>
      <c r="I11" s="224" t="s">
        <v>529</v>
      </c>
      <c r="J11" s="309"/>
      <c r="K11" s="328" t="s">
        <v>1643</v>
      </c>
      <c r="L11" s="328" t="s">
        <v>33</v>
      </c>
      <c r="M11" s="208" t="s">
        <v>1091</v>
      </c>
      <c r="N11" s="224" t="s">
        <v>303</v>
      </c>
    </row>
    <row r="12" spans="1:14">
      <c r="A12" s="319" t="s">
        <v>46</v>
      </c>
      <c r="B12" s="319" t="s">
        <v>20</v>
      </c>
      <c r="C12" s="202"/>
      <c r="D12" s="225"/>
      <c r="E12" s="309"/>
      <c r="F12" s="314" t="s">
        <v>1747</v>
      </c>
      <c r="G12" s="314" t="s">
        <v>1735</v>
      </c>
      <c r="H12" s="216"/>
      <c r="I12" s="225"/>
      <c r="J12" s="309"/>
      <c r="K12" s="329" t="s">
        <v>1644</v>
      </c>
      <c r="L12" s="329" t="s">
        <v>34</v>
      </c>
      <c r="M12" s="209"/>
      <c r="N12" s="225"/>
    </row>
    <row r="13" spans="1:14">
      <c r="A13" s="312" t="s">
        <v>41</v>
      </c>
      <c r="B13" s="312" t="s">
        <v>19</v>
      </c>
      <c r="C13" s="201" t="s">
        <v>340</v>
      </c>
      <c r="D13" s="224" t="s">
        <v>341</v>
      </c>
      <c r="E13" s="309"/>
      <c r="F13" s="308" t="s">
        <v>40</v>
      </c>
      <c r="G13" s="308" t="s">
        <v>17</v>
      </c>
      <c r="H13" s="204" t="s">
        <v>542</v>
      </c>
      <c r="I13" s="224" t="s">
        <v>543</v>
      </c>
      <c r="J13" s="309"/>
      <c r="K13" s="330" t="s">
        <v>1638</v>
      </c>
      <c r="L13" s="330" t="s">
        <v>28</v>
      </c>
      <c r="M13" s="208" t="s">
        <v>1223</v>
      </c>
      <c r="N13" s="224" t="s">
        <v>657</v>
      </c>
    </row>
    <row r="14" spans="1:14">
      <c r="A14" s="331" t="s">
        <v>46</v>
      </c>
      <c r="B14" s="331" t="s">
        <v>20</v>
      </c>
      <c r="C14" s="202"/>
      <c r="D14" s="225"/>
      <c r="E14" s="309"/>
      <c r="F14" s="320" t="s">
        <v>41</v>
      </c>
      <c r="G14" s="320" t="s">
        <v>19</v>
      </c>
      <c r="H14" s="205"/>
      <c r="I14" s="225"/>
      <c r="J14" s="309"/>
      <c r="K14" s="329" t="s">
        <v>1644</v>
      </c>
      <c r="L14" s="329" t="s">
        <v>34</v>
      </c>
      <c r="M14" s="209"/>
      <c r="N14" s="225"/>
    </row>
    <row r="15" spans="1:14">
      <c r="A15" s="324" t="s">
        <v>1648</v>
      </c>
      <c r="B15" s="324" t="s">
        <v>38</v>
      </c>
      <c r="C15" s="215" t="s">
        <v>355</v>
      </c>
      <c r="D15" s="224" t="s">
        <v>356</v>
      </c>
      <c r="E15" s="309"/>
      <c r="F15" s="332" t="s">
        <v>1679</v>
      </c>
      <c r="G15" s="332" t="s">
        <v>1680</v>
      </c>
      <c r="H15" s="206" t="s">
        <v>1388</v>
      </c>
      <c r="I15" s="224" t="s">
        <v>1389</v>
      </c>
      <c r="J15" s="309"/>
      <c r="K15" s="332" t="s">
        <v>1679</v>
      </c>
      <c r="L15" s="332" t="s">
        <v>1680</v>
      </c>
      <c r="M15" s="206" t="s">
        <v>1266</v>
      </c>
      <c r="N15" s="224" t="s">
        <v>1267</v>
      </c>
    </row>
    <row r="16" spans="1:14">
      <c r="A16" s="314" t="s">
        <v>1747</v>
      </c>
      <c r="B16" s="314" t="s">
        <v>1735</v>
      </c>
      <c r="C16" s="216"/>
      <c r="D16" s="225"/>
      <c r="E16" s="309"/>
      <c r="F16" s="333" t="s">
        <v>1727</v>
      </c>
      <c r="G16" s="333" t="s">
        <v>1728</v>
      </c>
      <c r="H16" s="207"/>
      <c r="I16" s="225"/>
      <c r="J16" s="309"/>
      <c r="K16" s="333" t="s">
        <v>1727</v>
      </c>
      <c r="L16" s="333" t="s">
        <v>1728</v>
      </c>
      <c r="M16" s="207"/>
      <c r="N16" s="225"/>
    </row>
    <row r="17" spans="1:14">
      <c r="A17" s="324" t="s">
        <v>1648</v>
      </c>
      <c r="B17" s="324" t="s">
        <v>38</v>
      </c>
      <c r="C17" s="215" t="s">
        <v>410</v>
      </c>
      <c r="D17" s="224" t="s">
        <v>411</v>
      </c>
      <c r="E17" s="309"/>
      <c r="F17" s="332" t="s">
        <v>1679</v>
      </c>
      <c r="G17" s="332" t="s">
        <v>1680</v>
      </c>
      <c r="H17" s="206" t="s">
        <v>593</v>
      </c>
      <c r="I17" s="224" t="s">
        <v>594</v>
      </c>
      <c r="J17" s="309"/>
      <c r="K17" s="332" t="s">
        <v>1679</v>
      </c>
      <c r="L17" s="332" t="s">
        <v>1680</v>
      </c>
      <c r="M17" s="206" t="s">
        <v>1270</v>
      </c>
      <c r="N17" s="224" t="s">
        <v>1271</v>
      </c>
    </row>
    <row r="18" spans="1:14">
      <c r="A18" s="314" t="s">
        <v>1747</v>
      </c>
      <c r="B18" s="314" t="s">
        <v>1735</v>
      </c>
      <c r="C18" s="216"/>
      <c r="D18" s="225"/>
      <c r="E18" s="309"/>
      <c r="F18" s="333" t="s">
        <v>1727</v>
      </c>
      <c r="G18" s="333" t="s">
        <v>1728</v>
      </c>
      <c r="H18" s="207"/>
      <c r="I18" s="225"/>
      <c r="J18" s="309"/>
      <c r="K18" s="333" t="s">
        <v>1727</v>
      </c>
      <c r="L18" s="333" t="s">
        <v>1728</v>
      </c>
      <c r="M18" s="207"/>
      <c r="N18" s="225"/>
    </row>
    <row r="19" spans="1:14">
      <c r="A19" s="310" t="s">
        <v>1643</v>
      </c>
      <c r="B19" s="310" t="s">
        <v>33</v>
      </c>
      <c r="C19" s="217" t="s">
        <v>419</v>
      </c>
      <c r="D19" s="224" t="s">
        <v>420</v>
      </c>
      <c r="E19" s="309"/>
      <c r="F19" s="332" t="s">
        <v>1679</v>
      </c>
      <c r="G19" s="332" t="s">
        <v>1680</v>
      </c>
      <c r="H19" s="206" t="s">
        <v>722</v>
      </c>
      <c r="I19" s="224" t="s">
        <v>1681</v>
      </c>
      <c r="J19" s="309"/>
      <c r="K19" s="334" t="s">
        <v>1636</v>
      </c>
      <c r="L19" s="334" t="s">
        <v>22</v>
      </c>
      <c r="M19" s="208" t="s">
        <v>1278</v>
      </c>
      <c r="N19" s="224" t="s">
        <v>131</v>
      </c>
    </row>
    <row r="20" spans="1:14">
      <c r="A20" s="313" t="s">
        <v>1644</v>
      </c>
      <c r="B20" s="313" t="s">
        <v>34</v>
      </c>
      <c r="C20" s="218"/>
      <c r="D20" s="225"/>
      <c r="E20" s="309"/>
      <c r="F20" s="333" t="s">
        <v>1727</v>
      </c>
      <c r="G20" s="333" t="s">
        <v>1728</v>
      </c>
      <c r="H20" s="207"/>
      <c r="I20" s="225"/>
      <c r="J20" s="309"/>
      <c r="K20" s="311" t="s">
        <v>1648</v>
      </c>
      <c r="L20" s="311" t="s">
        <v>38</v>
      </c>
      <c r="M20" s="209"/>
      <c r="N20" s="225"/>
    </row>
    <row r="21" spans="1:14">
      <c r="A21" s="309"/>
      <c r="B21" s="309"/>
      <c r="C21" s="309"/>
      <c r="D21" s="309"/>
      <c r="E21" s="309"/>
      <c r="F21" s="335" t="s">
        <v>1641</v>
      </c>
      <c r="G21" s="335" t="s">
        <v>31</v>
      </c>
      <c r="H21" s="208" t="s">
        <v>756</v>
      </c>
      <c r="I21" s="224" t="s">
        <v>757</v>
      </c>
      <c r="J21" s="309"/>
      <c r="K21" s="330" t="s">
        <v>1638</v>
      </c>
      <c r="L21" s="330" t="s">
        <v>28</v>
      </c>
      <c r="M21" s="208" t="s">
        <v>1355</v>
      </c>
      <c r="N21" s="224" t="s">
        <v>1356</v>
      </c>
    </row>
    <row r="22" spans="1:14">
      <c r="A22" s="309"/>
      <c r="B22" s="309"/>
      <c r="C22" s="309"/>
      <c r="D22" s="309"/>
      <c r="E22" s="309"/>
      <c r="F22" s="329" t="s">
        <v>1644</v>
      </c>
      <c r="G22" s="329" t="s">
        <v>34</v>
      </c>
      <c r="H22" s="209"/>
      <c r="I22" s="225"/>
      <c r="J22" s="309"/>
      <c r="K22" s="335" t="s">
        <v>1641</v>
      </c>
      <c r="L22" s="335" t="s">
        <v>31</v>
      </c>
      <c r="M22" s="209"/>
      <c r="N22" s="225"/>
    </row>
    <row r="23" spans="1:14">
      <c r="C23" s="200"/>
      <c r="D23" s="200"/>
      <c r="H23" s="200"/>
      <c r="I23" s="200"/>
      <c r="M23" s="200"/>
      <c r="N23" s="200"/>
    </row>
    <row r="24" spans="1:14">
      <c r="C24" s="200"/>
      <c r="D24" s="200"/>
      <c r="H24" s="200"/>
      <c r="I24" s="200"/>
      <c r="M24" s="200"/>
      <c r="N24" s="200"/>
    </row>
    <row r="25" spans="1:14">
      <c r="C25" s="200"/>
      <c r="D25" s="200"/>
      <c r="H25" s="200"/>
      <c r="I25" s="200"/>
      <c r="M25" s="200"/>
      <c r="N25" s="200"/>
    </row>
    <row r="26" spans="1:14">
      <c r="C26" s="200"/>
      <c r="D26" s="200"/>
      <c r="H26" s="200"/>
      <c r="I26" s="200"/>
      <c r="M26" s="200"/>
      <c r="N26" s="200"/>
    </row>
    <row r="27" spans="1:14">
      <c r="C27" s="200"/>
      <c r="D27" s="200"/>
      <c r="H27" s="200"/>
      <c r="I27" s="200"/>
      <c r="M27" s="200"/>
      <c r="N27" s="200"/>
    </row>
    <row r="28" spans="1:14">
      <c r="C28" s="200"/>
      <c r="D28" s="200"/>
      <c r="H28" s="200"/>
      <c r="I28" s="200"/>
      <c r="M28" s="200"/>
      <c r="N28" s="200"/>
    </row>
    <row r="29" spans="1:14">
      <c r="C29" s="200"/>
      <c r="D29" s="200"/>
      <c r="H29" s="200"/>
      <c r="I29" s="200"/>
      <c r="M29" s="200"/>
      <c r="N29" s="200"/>
    </row>
    <row r="30" spans="1:14">
      <c r="C30" s="200"/>
      <c r="D30" s="200"/>
      <c r="H30" s="200"/>
      <c r="I30" s="200"/>
      <c r="M30" s="200"/>
      <c r="N30" s="200"/>
    </row>
    <row r="31" spans="1:14">
      <c r="C31" s="200"/>
      <c r="D31" s="200"/>
      <c r="H31" s="200"/>
      <c r="I31" s="200"/>
      <c r="M31" s="200"/>
      <c r="N31" s="200"/>
    </row>
    <row r="32" spans="1:14">
      <c r="C32" s="200"/>
      <c r="D32" s="200"/>
      <c r="H32" s="200"/>
      <c r="I32" s="200"/>
      <c r="M32" s="200"/>
      <c r="N32" s="200"/>
    </row>
    <row r="33" spans="3:14">
      <c r="C33" s="200"/>
      <c r="D33" s="200"/>
      <c r="H33" s="200"/>
      <c r="I33" s="200"/>
      <c r="M33" s="200"/>
      <c r="N33" s="200"/>
    </row>
    <row r="34" spans="3:14">
      <c r="C34" s="200"/>
      <c r="D34" s="200"/>
      <c r="H34" s="200"/>
      <c r="I34" s="200"/>
      <c r="M34" s="200"/>
      <c r="N34" s="200"/>
    </row>
    <row r="35" spans="3:14">
      <c r="C35" s="200"/>
      <c r="D35" s="200"/>
      <c r="H35" s="200"/>
      <c r="I35" s="200"/>
      <c r="M35" s="200"/>
      <c r="N35" s="200"/>
    </row>
    <row r="36" spans="3:14">
      <c r="C36" s="200"/>
      <c r="D36" s="200"/>
      <c r="H36" s="200"/>
      <c r="I36" s="200"/>
      <c r="M36" s="200"/>
      <c r="N36" s="200"/>
    </row>
    <row r="37" spans="3:14">
      <c r="C37" s="200"/>
      <c r="D37" s="200"/>
      <c r="H37" s="200"/>
      <c r="I37" s="200"/>
      <c r="M37" s="200"/>
      <c r="N37" s="200"/>
    </row>
    <row r="38" spans="3:14">
      <c r="C38" s="200"/>
      <c r="D38" s="200"/>
      <c r="H38" s="200"/>
      <c r="I38" s="200"/>
      <c r="M38" s="200"/>
      <c r="N38" s="200"/>
    </row>
    <row r="39" spans="3:14">
      <c r="C39" s="200"/>
      <c r="D39" s="200"/>
      <c r="H39" s="200"/>
      <c r="I39" s="200"/>
      <c r="M39" s="200"/>
      <c r="N39" s="200"/>
    </row>
    <row r="40" spans="3:14">
      <c r="C40" s="200"/>
      <c r="D40" s="200"/>
      <c r="H40" s="200"/>
      <c r="I40" s="200"/>
      <c r="M40" s="200"/>
      <c r="N40" s="200"/>
    </row>
    <row r="41" spans="3:14">
      <c r="C41" s="200"/>
      <c r="D41" s="200"/>
      <c r="H41" s="200"/>
      <c r="I41" s="200"/>
      <c r="M41" s="200"/>
      <c r="N41" s="200"/>
    </row>
    <row r="42" spans="3:14">
      <c r="C42" s="200"/>
      <c r="D42" s="200"/>
      <c r="H42" s="200"/>
      <c r="I42" s="200"/>
      <c r="M42" s="200"/>
      <c r="N42" s="200"/>
    </row>
    <row r="43" spans="3:14">
      <c r="C43" s="200"/>
      <c r="D43" s="200"/>
      <c r="H43" s="200"/>
      <c r="I43" s="200"/>
      <c r="M43" s="200"/>
      <c r="N43" s="200"/>
    </row>
    <row r="44" spans="3:14">
      <c r="C44" s="200"/>
      <c r="D44" s="200"/>
      <c r="H44" s="200"/>
      <c r="I44" s="200"/>
    </row>
    <row r="45" spans="3:14">
      <c r="C45" s="200"/>
      <c r="D45" s="200"/>
      <c r="H45" s="200"/>
      <c r="I45" s="200"/>
    </row>
    <row r="46" spans="3:14">
      <c r="C46" s="200"/>
      <c r="D46" s="200"/>
      <c r="H46" s="200"/>
      <c r="I46" s="200"/>
    </row>
    <row r="47" spans="3:14">
      <c r="C47" s="200"/>
      <c r="D47" s="200"/>
      <c r="H47" s="200"/>
      <c r="I47" s="200"/>
    </row>
    <row r="48" spans="3:14">
      <c r="C48" s="200"/>
      <c r="D48" s="200"/>
      <c r="H48" s="200"/>
      <c r="I48" s="200"/>
    </row>
    <row r="49" spans="3:9">
      <c r="C49" s="200"/>
      <c r="D49" s="200"/>
      <c r="H49" s="200"/>
      <c r="I49" s="200"/>
    </row>
    <row r="50" spans="3:9">
      <c r="C50" s="200"/>
      <c r="D50" s="200"/>
      <c r="H50" s="200"/>
      <c r="I50" s="200"/>
    </row>
    <row r="51" spans="3:9">
      <c r="C51" s="200"/>
      <c r="D51" s="200"/>
      <c r="H51" s="200"/>
      <c r="I51" s="200"/>
    </row>
    <row r="52" spans="3:9">
      <c r="C52" s="200"/>
      <c r="D52" s="200"/>
      <c r="H52" s="200"/>
      <c r="I52" s="200"/>
    </row>
    <row r="53" spans="3:9">
      <c r="C53" s="200"/>
      <c r="D53" s="200"/>
      <c r="H53" s="200"/>
      <c r="I53" s="200"/>
    </row>
    <row r="54" spans="3:9">
      <c r="C54" s="200"/>
      <c r="D54" s="200"/>
      <c r="H54" s="200"/>
      <c r="I54" s="200"/>
    </row>
    <row r="55" spans="3:9">
      <c r="C55" s="200"/>
      <c r="D55" s="200"/>
      <c r="H55" s="200"/>
      <c r="I55" s="200"/>
    </row>
    <row r="56" spans="3:9">
      <c r="C56" s="200"/>
      <c r="D56" s="200"/>
      <c r="H56" s="200"/>
      <c r="I56" s="200"/>
    </row>
    <row r="57" spans="3:9">
      <c r="C57" s="200"/>
      <c r="D57" s="200"/>
      <c r="H57" s="200"/>
      <c r="I57" s="200"/>
    </row>
    <row r="58" spans="3:9">
      <c r="C58" s="200"/>
      <c r="D58" s="200"/>
      <c r="H58" s="200"/>
      <c r="I58" s="200"/>
    </row>
    <row r="59" spans="3:9">
      <c r="C59" s="200"/>
      <c r="D59" s="200"/>
      <c r="H59" s="200"/>
      <c r="I59" s="200"/>
    </row>
    <row r="60" spans="3:9">
      <c r="C60" s="200"/>
      <c r="D60" s="200"/>
      <c r="H60" s="200"/>
      <c r="I60" s="200"/>
    </row>
    <row r="61" spans="3:9">
      <c r="H61" s="200"/>
      <c r="I61" s="200"/>
    </row>
    <row r="62" spans="3:9">
      <c r="H62" s="200"/>
      <c r="I62" s="200"/>
    </row>
    <row r="63" spans="3:9">
      <c r="H63" s="200"/>
      <c r="I63" s="200"/>
    </row>
    <row r="64" spans="3:9">
      <c r="H64" s="200"/>
      <c r="I64" s="200"/>
    </row>
    <row r="65" spans="8:9">
      <c r="H65" s="200"/>
      <c r="I65" s="200"/>
    </row>
    <row r="66" spans="8:9">
      <c r="H66" s="200"/>
      <c r="I66" s="200"/>
    </row>
  </sheetData>
  <mergeCells count="59">
    <mergeCell ref="A1:N1"/>
    <mergeCell ref="M19:M20"/>
    <mergeCell ref="N19:N20"/>
    <mergeCell ref="M21:M22"/>
    <mergeCell ref="N21:N22"/>
    <mergeCell ref="M13:M14"/>
    <mergeCell ref="N13:N14"/>
    <mergeCell ref="M15:M16"/>
    <mergeCell ref="N15:N16"/>
    <mergeCell ref="M17:M18"/>
    <mergeCell ref="N17:N18"/>
    <mergeCell ref="M7:M8"/>
    <mergeCell ref="N7:N8"/>
    <mergeCell ref="M9:M10"/>
    <mergeCell ref="N9:N10"/>
    <mergeCell ref="M11:M12"/>
    <mergeCell ref="N11:N12"/>
    <mergeCell ref="H21:H22"/>
    <mergeCell ref="I21:I22"/>
    <mergeCell ref="M3:M4"/>
    <mergeCell ref="N3:N4"/>
    <mergeCell ref="M5:M6"/>
    <mergeCell ref="N5:N6"/>
    <mergeCell ref="H15:H16"/>
    <mergeCell ref="I15:I16"/>
    <mergeCell ref="H17:H18"/>
    <mergeCell ref="I17:I18"/>
    <mergeCell ref="H19:H20"/>
    <mergeCell ref="I19:I20"/>
    <mergeCell ref="H9:H10"/>
    <mergeCell ref="I9:I10"/>
    <mergeCell ref="H11:H12"/>
    <mergeCell ref="I11:I12"/>
    <mergeCell ref="H13:H14"/>
    <mergeCell ref="I13:I14"/>
    <mergeCell ref="H3:H4"/>
    <mergeCell ref="I3:I4"/>
    <mergeCell ref="H5:H6"/>
    <mergeCell ref="I5:I6"/>
    <mergeCell ref="H7:H8"/>
    <mergeCell ref="I7:I8"/>
    <mergeCell ref="C15:C16"/>
    <mergeCell ref="D15:D16"/>
    <mergeCell ref="C17:C18"/>
    <mergeCell ref="D17:D18"/>
    <mergeCell ref="C19:C20"/>
    <mergeCell ref="D19:D20"/>
    <mergeCell ref="C9:C10"/>
    <mergeCell ref="D9:D10"/>
    <mergeCell ref="C11:C12"/>
    <mergeCell ref="D11:D12"/>
    <mergeCell ref="C13:C14"/>
    <mergeCell ref="D13:D14"/>
    <mergeCell ref="C3:C4"/>
    <mergeCell ref="D3:D4"/>
    <mergeCell ref="C5:C6"/>
    <mergeCell ref="D5:D6"/>
    <mergeCell ref="C7:C8"/>
    <mergeCell ref="D7:D8"/>
  </mergeCells>
  <conditionalFormatting sqref="M21:N21 M3:N3 M5:N5 M7:N7 M9:N9 M11:N11 M13:N13 M15:N15 M17:N17 M19:N19 K3 K5:K22 L3:L22 H15:I15 H17:I17 H19:I19 H21:I21 F14:G22">
    <cfRule type="cellIs" dxfId="38" priority="14" operator="equal">
      <formula>#REF!</formula>
    </cfRule>
  </conditionalFormatting>
  <conditionalFormatting sqref="M3:N3 H13:I13 C19:D19 C2:D3 C5:D5 C7:D7 C9:D9 C11:D11 C13:D13 C15:D15 C17:D17 H3:I3 H5:I5 H7:I7 H9:I9 H11:I11 H15:I15 H17:I17 H19:I19 H21:I21 M5:N5 M7:N7 M9:N9 M11:N11 M13:N13 M15:N15 M17:N17 M19:N19 M21:N21 C61:D1048576">
    <cfRule type="duplicateValues" dxfId="37" priority="34"/>
  </conditionalFormatting>
  <conditionalFormatting sqref="H2:I2 H67:I1048576">
    <cfRule type="duplicateValues" dxfId="36" priority="65"/>
  </conditionalFormatting>
  <conditionalFormatting sqref="M2:N2 M44:N1048576">
    <cfRule type="duplicateValues" dxfId="35" priority="6"/>
  </conditionalFormatting>
  <conditionalFormatting sqref="H2:I2">
    <cfRule type="duplicateValues" dxfId="34" priority="5"/>
  </conditionalFormatting>
  <conditionalFormatting sqref="M2:N2">
    <cfRule type="duplicateValues" dxfId="33" priority="4"/>
  </conditionalFormatting>
  <conditionalFormatting sqref="C2:D2">
    <cfRule type="duplicateValues" dxfId="5" priority="3"/>
  </conditionalFormatting>
  <conditionalFormatting sqref="H2:I2">
    <cfRule type="duplicateValues" dxfId="3" priority="2"/>
  </conditionalFormatting>
  <conditionalFormatting sqref="M2:N2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3" filterMode="1"/>
  <dimension ref="A1:Y681"/>
  <sheetViews>
    <sheetView topLeftCell="D1" zoomScale="110" zoomScaleNormal="110" workbookViewId="0">
      <pane ySplit="1" topLeftCell="A2" activePane="bottomLeft" state="frozen"/>
      <selection pane="bottomLeft" activeCell="B383" sqref="A383:XFD399"/>
    </sheetView>
  </sheetViews>
  <sheetFormatPr defaultColWidth="0" defaultRowHeight="0" customHeight="1" zeroHeight="1"/>
  <cols>
    <col min="1" max="1" width="4.140625" style="1" hidden="1" customWidth="1"/>
    <col min="2" max="2" width="6.5703125" style="1" bestFit="1" customWidth="1"/>
    <col min="3" max="3" width="44.5703125" style="11" bestFit="1" customWidth="1"/>
    <col min="4" max="4" width="11.42578125" style="79" customWidth="1"/>
    <col min="5" max="5" width="31.85546875" style="79" customWidth="1"/>
    <col min="6" max="8" width="4" style="79" customWidth="1"/>
    <col min="9" max="10" width="13.5703125" style="103" bestFit="1" customWidth="1"/>
    <col min="11" max="11" width="14.42578125" style="103" customWidth="1"/>
    <col min="12" max="18" width="8.42578125" style="103" customWidth="1"/>
    <col min="19" max="19" width="33.7109375" style="103" customWidth="1"/>
    <col min="20" max="20" width="16.7109375" style="103" customWidth="1"/>
    <col min="21" max="21" width="15.5703125" style="103" customWidth="1"/>
    <col min="22" max="16384" width="9.140625" style="11" hidden="1"/>
  </cols>
  <sheetData>
    <row r="1" spans="1:25" ht="63.75">
      <c r="B1" s="2" t="s">
        <v>1631</v>
      </c>
      <c r="C1" s="10" t="s">
        <v>1451</v>
      </c>
      <c r="D1" s="77" t="s">
        <v>0</v>
      </c>
      <c r="E1" s="77" t="s">
        <v>1</v>
      </c>
      <c r="F1" s="77" t="s">
        <v>2</v>
      </c>
      <c r="G1" s="77" t="s">
        <v>3</v>
      </c>
      <c r="H1" s="77" t="s">
        <v>4</v>
      </c>
      <c r="I1" s="95" t="s">
        <v>5</v>
      </c>
      <c r="J1" s="95" t="s">
        <v>1668</v>
      </c>
      <c r="K1" s="95" t="s">
        <v>6</v>
      </c>
      <c r="L1" s="95" t="s">
        <v>7</v>
      </c>
      <c r="M1" s="95" t="s">
        <v>8</v>
      </c>
      <c r="N1" s="96" t="s">
        <v>9</v>
      </c>
      <c r="O1" s="95" t="s">
        <v>10</v>
      </c>
      <c r="P1" s="95" t="s">
        <v>11</v>
      </c>
      <c r="Q1" s="95" t="s">
        <v>12</v>
      </c>
      <c r="R1" s="95" t="s">
        <v>1666</v>
      </c>
      <c r="S1" s="95" t="s">
        <v>13</v>
      </c>
      <c r="T1" s="95" t="s">
        <v>14</v>
      </c>
      <c r="U1" s="95" t="s">
        <v>15</v>
      </c>
    </row>
    <row r="2" spans="1:25" s="111" customFormat="1" ht="12.75" hidden="1">
      <c r="A2" s="75"/>
      <c r="B2" s="13" t="s">
        <v>45</v>
      </c>
      <c r="C2" s="13" t="s">
        <v>16</v>
      </c>
      <c r="D2" s="90" t="s">
        <v>261</v>
      </c>
      <c r="E2" s="80" t="s">
        <v>137</v>
      </c>
      <c r="F2" s="81">
        <v>3</v>
      </c>
      <c r="G2" s="81">
        <v>1</v>
      </c>
      <c r="H2" s="81">
        <v>4</v>
      </c>
      <c r="I2" s="101" t="s">
        <v>71</v>
      </c>
      <c r="J2" s="101" t="s">
        <v>71</v>
      </c>
      <c r="K2" s="101" t="s">
        <v>76</v>
      </c>
      <c r="L2" s="80" t="s">
        <v>1488</v>
      </c>
      <c r="M2" s="101" t="s">
        <v>1562</v>
      </c>
      <c r="N2" s="101">
        <v>1</v>
      </c>
      <c r="O2" s="101">
        <v>70</v>
      </c>
      <c r="P2" s="101">
        <v>70</v>
      </c>
      <c r="Q2" s="102">
        <v>4</v>
      </c>
      <c r="R2" s="102">
        <v>4</v>
      </c>
      <c r="S2" s="102"/>
      <c r="T2" s="102"/>
      <c r="U2" s="95"/>
      <c r="V2" s="109" t="s">
        <v>1676</v>
      </c>
      <c r="W2" s="95"/>
      <c r="X2" s="110"/>
      <c r="Y2" s="110"/>
    </row>
    <row r="3" spans="1:25" s="111" customFormat="1" ht="12.75" hidden="1">
      <c r="A3" s="75"/>
      <c r="B3" s="13" t="s">
        <v>45</v>
      </c>
      <c r="C3" s="13" t="s">
        <v>16</v>
      </c>
      <c r="D3" s="90" t="s">
        <v>261</v>
      </c>
      <c r="E3" s="80" t="s">
        <v>137</v>
      </c>
      <c r="F3" s="81">
        <v>3</v>
      </c>
      <c r="G3" s="81">
        <v>1</v>
      </c>
      <c r="H3" s="81">
        <v>4</v>
      </c>
      <c r="I3" s="101" t="s">
        <v>71</v>
      </c>
      <c r="J3" s="101" t="s">
        <v>71</v>
      </c>
      <c r="K3" s="101" t="s">
        <v>76</v>
      </c>
      <c r="L3" s="80" t="s">
        <v>1491</v>
      </c>
      <c r="M3" s="101" t="s">
        <v>1562</v>
      </c>
      <c r="N3" s="101">
        <v>1</v>
      </c>
      <c r="O3" s="101">
        <v>70</v>
      </c>
      <c r="P3" s="101">
        <v>70</v>
      </c>
      <c r="Q3" s="102">
        <v>4</v>
      </c>
      <c r="R3" s="102">
        <v>4</v>
      </c>
      <c r="S3" s="102" t="s">
        <v>1563</v>
      </c>
      <c r="T3" s="102" t="s">
        <v>1564</v>
      </c>
      <c r="U3" s="95"/>
      <c r="V3" s="109" t="s">
        <v>1676</v>
      </c>
      <c r="W3" s="95"/>
      <c r="X3" s="110"/>
      <c r="Y3" s="110"/>
    </row>
    <row r="4" spans="1:25" s="111" customFormat="1" ht="12.75" hidden="1">
      <c r="A4" s="75"/>
      <c r="B4" s="13" t="s">
        <v>45</v>
      </c>
      <c r="C4" s="13" t="s">
        <v>16</v>
      </c>
      <c r="D4" s="90" t="s">
        <v>1105</v>
      </c>
      <c r="E4" s="80" t="s">
        <v>99</v>
      </c>
      <c r="F4" s="81">
        <v>2</v>
      </c>
      <c r="G4" s="81">
        <v>2</v>
      </c>
      <c r="H4" s="81">
        <v>4</v>
      </c>
      <c r="I4" s="101" t="s">
        <v>71</v>
      </c>
      <c r="J4" s="101" t="s">
        <v>71</v>
      </c>
      <c r="K4" s="101" t="s">
        <v>76</v>
      </c>
      <c r="L4" s="80" t="s">
        <v>1488</v>
      </c>
      <c r="M4" s="101" t="s">
        <v>1562</v>
      </c>
      <c r="N4" s="101">
        <v>1</v>
      </c>
      <c r="O4" s="101">
        <v>70</v>
      </c>
      <c r="P4" s="101">
        <v>70</v>
      </c>
      <c r="Q4" s="102">
        <v>4</v>
      </c>
      <c r="R4" s="102">
        <v>4</v>
      </c>
      <c r="S4" s="102" t="s">
        <v>1563</v>
      </c>
      <c r="T4" s="102" t="s">
        <v>1564</v>
      </c>
      <c r="U4" s="95"/>
      <c r="V4" s="109" t="s">
        <v>1676</v>
      </c>
      <c r="W4" s="95"/>
      <c r="X4" s="110"/>
      <c r="Y4" s="110"/>
    </row>
    <row r="5" spans="1:25" s="111" customFormat="1" ht="12.75" hidden="1">
      <c r="A5" s="75"/>
      <c r="B5" s="13" t="s">
        <v>45</v>
      </c>
      <c r="C5" s="13" t="s">
        <v>16</v>
      </c>
      <c r="D5" s="90" t="s">
        <v>1105</v>
      </c>
      <c r="E5" s="80" t="s">
        <v>99</v>
      </c>
      <c r="F5" s="81">
        <v>2</v>
      </c>
      <c r="G5" s="81">
        <v>2</v>
      </c>
      <c r="H5" s="81">
        <v>4</v>
      </c>
      <c r="I5" s="101" t="s">
        <v>71</v>
      </c>
      <c r="J5" s="101" t="s">
        <v>71</v>
      </c>
      <c r="K5" s="101" t="s">
        <v>76</v>
      </c>
      <c r="L5" s="80" t="s">
        <v>1491</v>
      </c>
      <c r="M5" s="101" t="s">
        <v>1562</v>
      </c>
      <c r="N5" s="101">
        <v>1</v>
      </c>
      <c r="O5" s="101">
        <v>70</v>
      </c>
      <c r="P5" s="101">
        <v>70</v>
      </c>
      <c r="Q5" s="102">
        <v>4</v>
      </c>
      <c r="R5" s="102">
        <v>4</v>
      </c>
      <c r="S5" s="102" t="s">
        <v>1563</v>
      </c>
      <c r="T5" s="102" t="s">
        <v>1564</v>
      </c>
      <c r="U5" s="95"/>
      <c r="V5" s="109" t="s">
        <v>1676</v>
      </c>
      <c r="W5" s="95"/>
      <c r="X5" s="110"/>
      <c r="Y5" s="110"/>
    </row>
    <row r="6" spans="1:25" s="111" customFormat="1" ht="12.75" hidden="1">
      <c r="A6" s="75"/>
      <c r="B6" s="13" t="s">
        <v>45</v>
      </c>
      <c r="C6" s="13" t="s">
        <v>16</v>
      </c>
      <c r="D6" s="90" t="s">
        <v>1245</v>
      </c>
      <c r="E6" s="80" t="s">
        <v>823</v>
      </c>
      <c r="F6" s="81">
        <v>3</v>
      </c>
      <c r="G6" s="81">
        <v>1</v>
      </c>
      <c r="H6" s="81">
        <v>4</v>
      </c>
      <c r="I6" s="101" t="s">
        <v>71</v>
      </c>
      <c r="J6" s="101" t="s">
        <v>71</v>
      </c>
      <c r="K6" s="101" t="s">
        <v>76</v>
      </c>
      <c r="L6" s="80" t="s">
        <v>1488</v>
      </c>
      <c r="M6" s="101" t="s">
        <v>1562</v>
      </c>
      <c r="N6" s="101">
        <v>1</v>
      </c>
      <c r="O6" s="101">
        <v>70</v>
      </c>
      <c r="P6" s="101">
        <v>70</v>
      </c>
      <c r="Q6" s="102">
        <v>4</v>
      </c>
      <c r="R6" s="102">
        <v>4</v>
      </c>
      <c r="S6" s="102" t="s">
        <v>1563</v>
      </c>
      <c r="T6" s="102" t="s">
        <v>1564</v>
      </c>
      <c r="U6" s="95"/>
      <c r="V6" s="109" t="s">
        <v>1676</v>
      </c>
      <c r="W6" s="95"/>
      <c r="X6" s="110"/>
      <c r="Y6" s="110"/>
    </row>
    <row r="7" spans="1:25" s="111" customFormat="1" ht="12.75" hidden="1">
      <c r="A7" s="75"/>
      <c r="B7" s="13" t="s">
        <v>45</v>
      </c>
      <c r="C7" s="13" t="s">
        <v>16</v>
      </c>
      <c r="D7" s="90" t="s">
        <v>1245</v>
      </c>
      <c r="E7" s="80" t="s">
        <v>823</v>
      </c>
      <c r="F7" s="81">
        <v>3</v>
      </c>
      <c r="G7" s="81">
        <v>1</v>
      </c>
      <c r="H7" s="81">
        <v>4</v>
      </c>
      <c r="I7" s="101" t="s">
        <v>71</v>
      </c>
      <c r="J7" s="101" t="s">
        <v>71</v>
      </c>
      <c r="K7" s="101" t="s">
        <v>76</v>
      </c>
      <c r="L7" s="80" t="s">
        <v>1491</v>
      </c>
      <c r="M7" s="101" t="s">
        <v>1562</v>
      </c>
      <c r="N7" s="101">
        <v>1</v>
      </c>
      <c r="O7" s="101">
        <v>70</v>
      </c>
      <c r="P7" s="101">
        <v>70</v>
      </c>
      <c r="Q7" s="102">
        <v>4</v>
      </c>
      <c r="R7" s="102">
        <v>4</v>
      </c>
      <c r="S7" s="102" t="s">
        <v>1563</v>
      </c>
      <c r="T7" s="102" t="s">
        <v>1564</v>
      </c>
      <c r="U7" s="95"/>
      <c r="V7" s="109" t="s">
        <v>1676</v>
      </c>
      <c r="W7" s="95"/>
      <c r="X7" s="110"/>
      <c r="Y7" s="110"/>
    </row>
    <row r="8" spans="1:25" s="111" customFormat="1" ht="12.75" hidden="1">
      <c r="A8" s="75"/>
      <c r="B8" s="13" t="s">
        <v>45</v>
      </c>
      <c r="C8" s="13" t="s">
        <v>16</v>
      </c>
      <c r="D8" s="90" t="s">
        <v>1300</v>
      </c>
      <c r="E8" s="80" t="s">
        <v>1301</v>
      </c>
      <c r="F8" s="81">
        <v>3</v>
      </c>
      <c r="G8" s="81">
        <v>1</v>
      </c>
      <c r="H8" s="81">
        <v>4</v>
      </c>
      <c r="I8" s="101" t="s">
        <v>71</v>
      </c>
      <c r="J8" s="101" t="s">
        <v>71</v>
      </c>
      <c r="K8" s="101" t="s">
        <v>446</v>
      </c>
      <c r="L8" s="80" t="s">
        <v>1488</v>
      </c>
      <c r="M8" s="101" t="s">
        <v>1562</v>
      </c>
      <c r="N8" s="101">
        <v>1</v>
      </c>
      <c r="O8" s="101">
        <v>70</v>
      </c>
      <c r="P8" s="101">
        <v>70</v>
      </c>
      <c r="Q8" s="102">
        <v>4</v>
      </c>
      <c r="R8" s="102">
        <v>4</v>
      </c>
      <c r="S8" s="102" t="s">
        <v>1563</v>
      </c>
      <c r="T8" s="102" t="s">
        <v>1564</v>
      </c>
      <c r="U8" s="95"/>
      <c r="V8" s="109" t="s">
        <v>1676</v>
      </c>
      <c r="W8" s="95"/>
      <c r="X8" s="110"/>
      <c r="Y8" s="110"/>
    </row>
    <row r="9" spans="1:25" s="111" customFormat="1" ht="12.75" hidden="1">
      <c r="A9" s="75"/>
      <c r="B9" s="13" t="s">
        <v>45</v>
      </c>
      <c r="C9" s="13" t="s">
        <v>16</v>
      </c>
      <c r="D9" s="90" t="s">
        <v>1300</v>
      </c>
      <c r="E9" s="80" t="s">
        <v>1301</v>
      </c>
      <c r="F9" s="81">
        <v>3</v>
      </c>
      <c r="G9" s="81">
        <v>1</v>
      </c>
      <c r="H9" s="81">
        <v>4</v>
      </c>
      <c r="I9" s="101" t="s">
        <v>71</v>
      </c>
      <c r="J9" s="101" t="s">
        <v>71</v>
      </c>
      <c r="K9" s="101" t="s">
        <v>446</v>
      </c>
      <c r="L9" s="80" t="s">
        <v>1491</v>
      </c>
      <c r="M9" s="101" t="s">
        <v>1562</v>
      </c>
      <c r="N9" s="101">
        <v>1</v>
      </c>
      <c r="O9" s="101">
        <v>70</v>
      </c>
      <c r="P9" s="101">
        <v>70</v>
      </c>
      <c r="Q9" s="102">
        <v>4</v>
      </c>
      <c r="R9" s="102">
        <v>4</v>
      </c>
      <c r="S9" s="102" t="s">
        <v>1563</v>
      </c>
      <c r="T9" s="102" t="s">
        <v>1564</v>
      </c>
      <c r="U9" s="95"/>
      <c r="V9" s="109" t="s">
        <v>1676</v>
      </c>
      <c r="W9" s="95"/>
      <c r="X9" s="110"/>
      <c r="Y9" s="110"/>
    </row>
    <row r="10" spans="1:25" s="111" customFormat="1" ht="12.75" hidden="1">
      <c r="A10" s="75"/>
      <c r="B10" s="13" t="s">
        <v>45</v>
      </c>
      <c r="C10" s="13" t="s">
        <v>16</v>
      </c>
      <c r="D10" s="90" t="s">
        <v>829</v>
      </c>
      <c r="E10" s="80" t="s">
        <v>830</v>
      </c>
      <c r="F10" s="81">
        <v>3</v>
      </c>
      <c r="G10" s="81">
        <v>1</v>
      </c>
      <c r="H10" s="81">
        <v>4</v>
      </c>
      <c r="I10" s="101" t="s">
        <v>71</v>
      </c>
      <c r="J10" s="101" t="s">
        <v>71</v>
      </c>
      <c r="K10" s="101" t="s">
        <v>76</v>
      </c>
      <c r="L10" s="80" t="s">
        <v>1488</v>
      </c>
      <c r="M10" s="101" t="s">
        <v>1562</v>
      </c>
      <c r="N10" s="101">
        <v>1</v>
      </c>
      <c r="O10" s="101">
        <v>70</v>
      </c>
      <c r="P10" s="101">
        <v>70</v>
      </c>
      <c r="Q10" s="102">
        <v>4</v>
      </c>
      <c r="R10" s="102">
        <v>4</v>
      </c>
      <c r="S10" s="102" t="s">
        <v>1563</v>
      </c>
      <c r="T10" s="102" t="s">
        <v>1564</v>
      </c>
      <c r="U10" s="95"/>
      <c r="V10" s="109" t="s">
        <v>1676</v>
      </c>
      <c r="W10" s="95"/>
      <c r="X10" s="110"/>
      <c r="Y10" s="110"/>
    </row>
    <row r="11" spans="1:25" s="111" customFormat="1" ht="12.75" hidden="1">
      <c r="A11" s="75"/>
      <c r="B11" s="13" t="s">
        <v>45</v>
      </c>
      <c r="C11" s="13" t="s">
        <v>16</v>
      </c>
      <c r="D11" s="90" t="s">
        <v>829</v>
      </c>
      <c r="E11" s="80" t="s">
        <v>830</v>
      </c>
      <c r="F11" s="81">
        <v>3</v>
      </c>
      <c r="G11" s="81">
        <v>1</v>
      </c>
      <c r="H11" s="81">
        <v>4</v>
      </c>
      <c r="I11" s="101" t="s">
        <v>71</v>
      </c>
      <c r="J11" s="101" t="s">
        <v>71</v>
      </c>
      <c r="K11" s="101" t="s">
        <v>76</v>
      </c>
      <c r="L11" s="80" t="s">
        <v>1491</v>
      </c>
      <c r="M11" s="101" t="s">
        <v>1562</v>
      </c>
      <c r="N11" s="101">
        <v>1</v>
      </c>
      <c r="O11" s="101">
        <v>70</v>
      </c>
      <c r="P11" s="101">
        <v>70</v>
      </c>
      <c r="Q11" s="102">
        <v>4</v>
      </c>
      <c r="R11" s="102">
        <v>4</v>
      </c>
      <c r="S11" s="102" t="s">
        <v>1563</v>
      </c>
      <c r="T11" s="102" t="s">
        <v>1564</v>
      </c>
      <c r="U11" s="95"/>
      <c r="V11" s="109" t="s">
        <v>1676</v>
      </c>
      <c r="W11" s="95"/>
      <c r="X11" s="110"/>
      <c r="Y11" s="110"/>
    </row>
    <row r="12" spans="1:25" s="111" customFormat="1" ht="12.75" hidden="1">
      <c r="A12" s="75"/>
      <c r="B12" s="13" t="s">
        <v>45</v>
      </c>
      <c r="C12" s="13" t="s">
        <v>16</v>
      </c>
      <c r="D12" s="90" t="s">
        <v>1104</v>
      </c>
      <c r="E12" s="80" t="s">
        <v>902</v>
      </c>
      <c r="F12" s="81">
        <v>3</v>
      </c>
      <c r="G12" s="81">
        <v>1</v>
      </c>
      <c r="H12" s="81">
        <v>4</v>
      </c>
      <c r="I12" s="101" t="s">
        <v>71</v>
      </c>
      <c r="J12" s="101" t="s">
        <v>71</v>
      </c>
      <c r="K12" s="101" t="s">
        <v>90</v>
      </c>
      <c r="L12" s="80" t="s">
        <v>1488</v>
      </c>
      <c r="M12" s="101" t="s">
        <v>1562</v>
      </c>
      <c r="N12" s="101">
        <v>1</v>
      </c>
      <c r="O12" s="101">
        <v>70</v>
      </c>
      <c r="P12" s="101">
        <v>70</v>
      </c>
      <c r="Q12" s="102">
        <v>4</v>
      </c>
      <c r="R12" s="102">
        <v>4</v>
      </c>
      <c r="S12" s="102" t="s">
        <v>1563</v>
      </c>
      <c r="T12" s="102" t="s">
        <v>1564</v>
      </c>
      <c r="U12" s="95"/>
      <c r="V12" s="109" t="s">
        <v>1676</v>
      </c>
      <c r="W12" s="95"/>
      <c r="X12" s="110"/>
      <c r="Y12" s="110"/>
    </row>
    <row r="13" spans="1:25" s="111" customFormat="1" ht="12.75" hidden="1">
      <c r="A13" s="75"/>
      <c r="B13" s="13" t="s">
        <v>45</v>
      </c>
      <c r="C13" s="13" t="s">
        <v>16</v>
      </c>
      <c r="D13" s="90" t="s">
        <v>1104</v>
      </c>
      <c r="E13" s="80" t="s">
        <v>902</v>
      </c>
      <c r="F13" s="81">
        <v>3</v>
      </c>
      <c r="G13" s="81">
        <v>1</v>
      </c>
      <c r="H13" s="81">
        <v>4</v>
      </c>
      <c r="I13" s="101" t="s">
        <v>71</v>
      </c>
      <c r="J13" s="101" t="s">
        <v>71</v>
      </c>
      <c r="K13" s="101" t="s">
        <v>90</v>
      </c>
      <c r="L13" s="80" t="s">
        <v>1491</v>
      </c>
      <c r="M13" s="101" t="s">
        <v>1562</v>
      </c>
      <c r="N13" s="101">
        <v>1</v>
      </c>
      <c r="O13" s="101">
        <v>70</v>
      </c>
      <c r="P13" s="101">
        <v>70</v>
      </c>
      <c r="Q13" s="102">
        <v>4</v>
      </c>
      <c r="R13" s="102">
        <v>4</v>
      </c>
      <c r="S13" s="102" t="s">
        <v>1563</v>
      </c>
      <c r="T13" s="102" t="s">
        <v>1564</v>
      </c>
      <c r="U13" s="95"/>
      <c r="V13" s="109" t="s">
        <v>1676</v>
      </c>
      <c r="W13" s="95"/>
      <c r="X13" s="110"/>
      <c r="Y13" s="110"/>
    </row>
    <row r="14" spans="1:25" s="111" customFormat="1" ht="12.75" hidden="1">
      <c r="A14" s="75"/>
      <c r="B14" s="13" t="s">
        <v>45</v>
      </c>
      <c r="C14" s="13" t="s">
        <v>16</v>
      </c>
      <c r="D14" s="90" t="s">
        <v>980</v>
      </c>
      <c r="E14" s="80" t="s">
        <v>981</v>
      </c>
      <c r="F14" s="81">
        <v>2</v>
      </c>
      <c r="G14" s="81">
        <v>2</v>
      </c>
      <c r="H14" s="81">
        <v>4</v>
      </c>
      <c r="I14" s="101" t="s">
        <v>71</v>
      </c>
      <c r="J14" s="101" t="s">
        <v>71</v>
      </c>
      <c r="K14" s="101" t="s">
        <v>982</v>
      </c>
      <c r="L14" s="80" t="s">
        <v>1491</v>
      </c>
      <c r="M14" s="101" t="s">
        <v>1562</v>
      </c>
      <c r="N14" s="101">
        <v>1</v>
      </c>
      <c r="O14" s="101">
        <v>70</v>
      </c>
      <c r="P14" s="101">
        <v>70</v>
      </c>
      <c r="Q14" s="102">
        <v>4</v>
      </c>
      <c r="R14" s="102">
        <v>4</v>
      </c>
      <c r="S14" s="102" t="s">
        <v>1563</v>
      </c>
      <c r="T14" s="102" t="s">
        <v>1564</v>
      </c>
      <c r="U14" s="95"/>
      <c r="V14" s="109" t="s">
        <v>1676</v>
      </c>
      <c r="W14" s="95"/>
      <c r="X14" s="110"/>
      <c r="Y14" s="110"/>
    </row>
    <row r="15" spans="1:25" s="111" customFormat="1" ht="12.75" hidden="1">
      <c r="A15" s="75"/>
      <c r="B15" s="13" t="s">
        <v>45</v>
      </c>
      <c r="C15" s="13" t="s">
        <v>16</v>
      </c>
      <c r="D15" s="90" t="s">
        <v>980</v>
      </c>
      <c r="E15" s="80" t="s">
        <v>981</v>
      </c>
      <c r="F15" s="81">
        <v>2</v>
      </c>
      <c r="G15" s="81">
        <v>2</v>
      </c>
      <c r="H15" s="81">
        <v>4</v>
      </c>
      <c r="I15" s="101" t="s">
        <v>71</v>
      </c>
      <c r="J15" s="101" t="s">
        <v>71</v>
      </c>
      <c r="K15" s="101" t="s">
        <v>982</v>
      </c>
      <c r="L15" s="80" t="s">
        <v>1488</v>
      </c>
      <c r="M15" s="101" t="s">
        <v>1562</v>
      </c>
      <c r="N15" s="101">
        <v>1</v>
      </c>
      <c r="O15" s="101">
        <v>70</v>
      </c>
      <c r="P15" s="101">
        <v>70</v>
      </c>
      <c r="Q15" s="102">
        <v>4</v>
      </c>
      <c r="R15" s="102">
        <v>4</v>
      </c>
      <c r="S15" s="102" t="s">
        <v>1563</v>
      </c>
      <c r="T15" s="102" t="s">
        <v>1564</v>
      </c>
      <c r="U15" s="95"/>
      <c r="V15" s="109" t="s">
        <v>1676</v>
      </c>
      <c r="W15" s="95"/>
      <c r="X15" s="110"/>
      <c r="Y15" s="110"/>
    </row>
    <row r="16" spans="1:25" s="111" customFormat="1" ht="12.75" hidden="1">
      <c r="A16" s="75"/>
      <c r="B16" s="13" t="s">
        <v>45</v>
      </c>
      <c r="C16" s="13" t="s">
        <v>16</v>
      </c>
      <c r="D16" s="90" t="s">
        <v>1237</v>
      </c>
      <c r="E16" s="80" t="s">
        <v>1238</v>
      </c>
      <c r="F16" s="81">
        <v>3</v>
      </c>
      <c r="G16" s="81">
        <v>1</v>
      </c>
      <c r="H16" s="81">
        <v>4</v>
      </c>
      <c r="I16" s="101" t="s">
        <v>71</v>
      </c>
      <c r="J16" s="101" t="s">
        <v>71</v>
      </c>
      <c r="K16" s="101" t="s">
        <v>76</v>
      </c>
      <c r="L16" s="80" t="s">
        <v>1491</v>
      </c>
      <c r="M16" s="101" t="s">
        <v>1562</v>
      </c>
      <c r="N16" s="101">
        <v>1</v>
      </c>
      <c r="O16" s="101">
        <v>70</v>
      </c>
      <c r="P16" s="101">
        <v>70</v>
      </c>
      <c r="Q16" s="102">
        <v>4</v>
      </c>
      <c r="R16" s="102">
        <v>4</v>
      </c>
      <c r="S16" s="102" t="s">
        <v>1563</v>
      </c>
      <c r="T16" s="102" t="s">
        <v>1564</v>
      </c>
      <c r="U16" s="95"/>
      <c r="V16" s="109" t="s">
        <v>1676</v>
      </c>
      <c r="W16" s="95"/>
      <c r="X16" s="110"/>
      <c r="Y16" s="110"/>
    </row>
    <row r="17" spans="1:25" s="111" customFormat="1" ht="12.75" hidden="1">
      <c r="A17" s="75"/>
      <c r="B17" s="13" t="s">
        <v>45</v>
      </c>
      <c r="C17" s="13" t="s">
        <v>16</v>
      </c>
      <c r="D17" s="90" t="s">
        <v>1237</v>
      </c>
      <c r="E17" s="80" t="s">
        <v>1238</v>
      </c>
      <c r="F17" s="81">
        <v>3</v>
      </c>
      <c r="G17" s="81">
        <v>1</v>
      </c>
      <c r="H17" s="81">
        <v>4</v>
      </c>
      <c r="I17" s="101" t="s">
        <v>71</v>
      </c>
      <c r="J17" s="101" t="s">
        <v>71</v>
      </c>
      <c r="K17" s="101" t="s">
        <v>76</v>
      </c>
      <c r="L17" s="80" t="s">
        <v>1488</v>
      </c>
      <c r="M17" s="101" t="s">
        <v>1562</v>
      </c>
      <c r="N17" s="101">
        <v>1</v>
      </c>
      <c r="O17" s="101">
        <v>70</v>
      </c>
      <c r="P17" s="101">
        <v>70</v>
      </c>
      <c r="Q17" s="102">
        <v>4</v>
      </c>
      <c r="R17" s="102">
        <v>4</v>
      </c>
      <c r="S17" s="102" t="s">
        <v>1563</v>
      </c>
      <c r="T17" s="102" t="s">
        <v>1564</v>
      </c>
      <c r="U17" s="95"/>
      <c r="V17" s="109" t="s">
        <v>1676</v>
      </c>
      <c r="W17" s="95"/>
      <c r="X17" s="110"/>
      <c r="Y17" s="110"/>
    </row>
    <row r="18" spans="1:25" s="111" customFormat="1" ht="12.75" hidden="1">
      <c r="A18" s="75"/>
      <c r="B18" s="13" t="s">
        <v>45</v>
      </c>
      <c r="C18" s="13" t="s">
        <v>16</v>
      </c>
      <c r="D18" s="90" t="s">
        <v>496</v>
      </c>
      <c r="E18" s="80" t="s">
        <v>497</v>
      </c>
      <c r="F18" s="81">
        <v>8</v>
      </c>
      <c r="G18" s="81">
        <v>0</v>
      </c>
      <c r="H18" s="81">
        <v>8</v>
      </c>
      <c r="I18" s="101" t="s">
        <v>71</v>
      </c>
      <c r="J18" s="101" t="s">
        <v>71</v>
      </c>
      <c r="K18" s="101" t="s">
        <v>495</v>
      </c>
      <c r="L18" s="80" t="s">
        <v>1491</v>
      </c>
      <c r="M18" s="101" t="s">
        <v>1562</v>
      </c>
      <c r="N18" s="101">
        <v>1</v>
      </c>
      <c r="O18" s="101">
        <v>70</v>
      </c>
      <c r="P18" s="101">
        <v>70</v>
      </c>
      <c r="Q18" s="102">
        <v>3</v>
      </c>
      <c r="R18" s="102">
        <v>3</v>
      </c>
      <c r="S18" s="102"/>
      <c r="T18" s="102"/>
      <c r="U18" s="95"/>
      <c r="V18" s="109" t="s">
        <v>1676</v>
      </c>
      <c r="W18" s="95"/>
      <c r="X18" s="110"/>
      <c r="Y18" s="110"/>
    </row>
    <row r="19" spans="1:25" s="111" customFormat="1" ht="12.75" hidden="1">
      <c r="A19" s="75"/>
      <c r="B19" s="13" t="s">
        <v>45</v>
      </c>
      <c r="C19" s="13" t="s">
        <v>16</v>
      </c>
      <c r="D19" s="90" t="s">
        <v>496</v>
      </c>
      <c r="E19" s="80" t="s">
        <v>497</v>
      </c>
      <c r="F19" s="81">
        <v>8</v>
      </c>
      <c r="G19" s="81">
        <v>0</v>
      </c>
      <c r="H19" s="81">
        <v>8</v>
      </c>
      <c r="I19" s="101" t="s">
        <v>71</v>
      </c>
      <c r="J19" s="101" t="s">
        <v>71</v>
      </c>
      <c r="K19" s="101" t="s">
        <v>495</v>
      </c>
      <c r="L19" s="80" t="s">
        <v>1488</v>
      </c>
      <c r="M19" s="101" t="s">
        <v>1562</v>
      </c>
      <c r="N19" s="101">
        <v>1</v>
      </c>
      <c r="O19" s="101">
        <v>70</v>
      </c>
      <c r="P19" s="101">
        <v>70</v>
      </c>
      <c r="Q19" s="102">
        <v>3</v>
      </c>
      <c r="R19" s="102">
        <v>3</v>
      </c>
      <c r="S19" s="102"/>
      <c r="T19" s="102"/>
      <c r="U19" s="95"/>
      <c r="V19" s="109" t="s">
        <v>1676</v>
      </c>
      <c r="W19" s="95"/>
      <c r="X19" s="110"/>
      <c r="Y19" s="110"/>
    </row>
    <row r="20" spans="1:25" s="111" customFormat="1" ht="12.75" hidden="1">
      <c r="A20" s="75"/>
      <c r="B20" s="13" t="s">
        <v>45</v>
      </c>
      <c r="C20" s="13" t="s">
        <v>16</v>
      </c>
      <c r="D20" s="90" t="s">
        <v>1115</v>
      </c>
      <c r="E20" s="80" t="s">
        <v>1116</v>
      </c>
      <c r="F20" s="81">
        <v>8</v>
      </c>
      <c r="G20" s="81">
        <v>0</v>
      </c>
      <c r="H20" s="81">
        <v>8</v>
      </c>
      <c r="I20" s="101" t="s">
        <v>71</v>
      </c>
      <c r="J20" s="101" t="s">
        <v>71</v>
      </c>
      <c r="K20" s="101" t="s">
        <v>76</v>
      </c>
      <c r="L20" s="80" t="s">
        <v>1488</v>
      </c>
      <c r="M20" s="101" t="s">
        <v>1562</v>
      </c>
      <c r="N20" s="101">
        <v>1</v>
      </c>
      <c r="O20" s="101">
        <v>70</v>
      </c>
      <c r="P20" s="101">
        <v>70</v>
      </c>
      <c r="Q20" s="102">
        <v>8</v>
      </c>
      <c r="R20" s="102">
        <v>8</v>
      </c>
      <c r="S20" s="102"/>
      <c r="T20" s="102"/>
      <c r="U20" s="95"/>
      <c r="V20" s="109" t="s">
        <v>1676</v>
      </c>
      <c r="W20" s="95"/>
      <c r="X20" s="110"/>
      <c r="Y20" s="110"/>
    </row>
    <row r="21" spans="1:25" s="111" customFormat="1" ht="12.75" hidden="1">
      <c r="A21" s="75"/>
      <c r="B21" s="13" t="s">
        <v>45</v>
      </c>
      <c r="C21" s="13" t="s">
        <v>16</v>
      </c>
      <c r="D21" s="90" t="s">
        <v>1115</v>
      </c>
      <c r="E21" s="80" t="s">
        <v>1116</v>
      </c>
      <c r="F21" s="81">
        <v>8</v>
      </c>
      <c r="G21" s="81">
        <v>0</v>
      </c>
      <c r="H21" s="81">
        <v>8</v>
      </c>
      <c r="I21" s="101" t="s">
        <v>71</v>
      </c>
      <c r="J21" s="101" t="s">
        <v>71</v>
      </c>
      <c r="K21" s="101" t="s">
        <v>76</v>
      </c>
      <c r="L21" s="80" t="s">
        <v>1491</v>
      </c>
      <c r="M21" s="101" t="s">
        <v>1562</v>
      </c>
      <c r="N21" s="101">
        <v>1</v>
      </c>
      <c r="O21" s="101">
        <v>70</v>
      </c>
      <c r="P21" s="101">
        <v>70</v>
      </c>
      <c r="Q21" s="102">
        <v>8</v>
      </c>
      <c r="R21" s="102">
        <v>8</v>
      </c>
      <c r="S21" s="102"/>
      <c r="T21" s="102"/>
      <c r="U21" s="95"/>
      <c r="V21" s="109" t="s">
        <v>1676</v>
      </c>
      <c r="W21" s="95"/>
      <c r="X21" s="110"/>
      <c r="Y21" s="110"/>
    </row>
    <row r="22" spans="1:25" s="111" customFormat="1" ht="12.75" hidden="1">
      <c r="A22" s="75"/>
      <c r="B22" s="13" t="s">
        <v>45</v>
      </c>
      <c r="C22" s="13" t="s">
        <v>16</v>
      </c>
      <c r="D22" s="90"/>
      <c r="E22" s="80" t="s">
        <v>1689</v>
      </c>
      <c r="F22" s="81">
        <v>2</v>
      </c>
      <c r="G22" s="81">
        <v>2</v>
      </c>
      <c r="H22" s="81">
        <v>4</v>
      </c>
      <c r="I22" s="101" t="s">
        <v>1694</v>
      </c>
      <c r="J22" s="101" t="s">
        <v>73</v>
      </c>
      <c r="K22" s="101" t="s">
        <v>1527</v>
      </c>
      <c r="L22" s="80" t="s">
        <v>1491</v>
      </c>
      <c r="M22" s="101" t="s">
        <v>1562</v>
      </c>
      <c r="N22" s="101">
        <v>1</v>
      </c>
      <c r="O22" s="101">
        <v>70</v>
      </c>
      <c r="P22" s="101" t="s">
        <v>1527</v>
      </c>
      <c r="Q22" s="102">
        <v>4</v>
      </c>
      <c r="R22" s="102">
        <v>4</v>
      </c>
      <c r="S22" s="102"/>
      <c r="T22" s="102"/>
      <c r="U22" s="95"/>
      <c r="V22" s="109"/>
      <c r="W22" s="95"/>
      <c r="X22" s="110"/>
      <c r="Y22" s="110"/>
    </row>
    <row r="23" spans="1:25" s="111" customFormat="1" ht="12.75" hidden="1">
      <c r="A23" s="75"/>
      <c r="B23" s="13" t="s">
        <v>45</v>
      </c>
      <c r="C23" s="13" t="s">
        <v>16</v>
      </c>
      <c r="D23" s="90"/>
      <c r="E23" s="80" t="s">
        <v>1690</v>
      </c>
      <c r="F23" s="81">
        <v>2</v>
      </c>
      <c r="G23" s="81">
        <v>2</v>
      </c>
      <c r="H23" s="81">
        <v>4</v>
      </c>
      <c r="I23" s="101" t="s">
        <v>1694</v>
      </c>
      <c r="J23" s="101" t="s">
        <v>73</v>
      </c>
      <c r="K23" s="101" t="s">
        <v>1527</v>
      </c>
      <c r="L23" s="80" t="s">
        <v>1488</v>
      </c>
      <c r="M23" s="101" t="s">
        <v>1562</v>
      </c>
      <c r="N23" s="101">
        <v>1</v>
      </c>
      <c r="O23" s="101">
        <v>70</v>
      </c>
      <c r="P23" s="101" t="s">
        <v>1527</v>
      </c>
      <c r="Q23" s="102">
        <v>4</v>
      </c>
      <c r="R23" s="102">
        <v>4</v>
      </c>
      <c r="S23" s="102"/>
      <c r="T23" s="102"/>
      <c r="U23" s="95"/>
      <c r="V23" s="109"/>
      <c r="W23" s="95"/>
      <c r="X23" s="110"/>
      <c r="Y23" s="110"/>
    </row>
    <row r="24" spans="1:25" s="111" customFormat="1" ht="12.75" hidden="1">
      <c r="A24" s="75"/>
      <c r="B24" s="13" t="s">
        <v>45</v>
      </c>
      <c r="C24" s="13" t="s">
        <v>16</v>
      </c>
      <c r="D24" s="90"/>
      <c r="E24" s="80" t="s">
        <v>1691</v>
      </c>
      <c r="F24" s="81">
        <v>2</v>
      </c>
      <c r="G24" s="81">
        <v>2</v>
      </c>
      <c r="H24" s="81">
        <v>4</v>
      </c>
      <c r="I24" s="101" t="s">
        <v>1694</v>
      </c>
      <c r="J24" s="101" t="s">
        <v>73</v>
      </c>
      <c r="K24" s="101" t="s">
        <v>1527</v>
      </c>
      <c r="L24" s="80" t="s">
        <v>1491</v>
      </c>
      <c r="M24" s="101" t="s">
        <v>1562</v>
      </c>
      <c r="N24" s="101">
        <v>1</v>
      </c>
      <c r="O24" s="101">
        <v>70</v>
      </c>
      <c r="P24" s="101" t="s">
        <v>1527</v>
      </c>
      <c r="Q24" s="102">
        <v>4</v>
      </c>
      <c r="R24" s="102">
        <v>4</v>
      </c>
      <c r="S24" s="102"/>
      <c r="T24" s="102"/>
      <c r="U24" s="95"/>
      <c r="V24" s="109" t="s">
        <v>1676</v>
      </c>
      <c r="W24" s="95"/>
      <c r="X24" s="110"/>
      <c r="Y24" s="110"/>
    </row>
    <row r="25" spans="1:25" s="111" customFormat="1" ht="12.75" hidden="1">
      <c r="A25" s="75"/>
      <c r="B25" s="13" t="s">
        <v>45</v>
      </c>
      <c r="C25" s="13" t="s">
        <v>16</v>
      </c>
      <c r="D25" s="90"/>
      <c r="E25" s="80" t="s">
        <v>1692</v>
      </c>
      <c r="F25" s="81">
        <v>2</v>
      </c>
      <c r="G25" s="81">
        <v>2</v>
      </c>
      <c r="H25" s="81">
        <v>4</v>
      </c>
      <c r="I25" s="101" t="s">
        <v>1694</v>
      </c>
      <c r="J25" s="101" t="s">
        <v>73</v>
      </c>
      <c r="K25" s="101" t="s">
        <v>1527</v>
      </c>
      <c r="L25" s="80" t="s">
        <v>1488</v>
      </c>
      <c r="M25" s="101" t="s">
        <v>1562</v>
      </c>
      <c r="N25" s="101">
        <v>1</v>
      </c>
      <c r="O25" s="101">
        <v>70</v>
      </c>
      <c r="P25" s="101" t="s">
        <v>1527</v>
      </c>
      <c r="Q25" s="102">
        <v>4</v>
      </c>
      <c r="R25" s="102">
        <v>4</v>
      </c>
      <c r="S25" s="102"/>
      <c r="T25" s="102"/>
      <c r="U25" s="95"/>
      <c r="V25" s="109" t="s">
        <v>1676</v>
      </c>
      <c r="W25" s="95"/>
      <c r="X25" s="110"/>
      <c r="Y25" s="110"/>
    </row>
    <row r="26" spans="1:25" s="111" customFormat="1" ht="12.75" hidden="1">
      <c r="A26" s="75"/>
      <c r="B26" s="13" t="s">
        <v>45</v>
      </c>
      <c r="C26" s="13" t="s">
        <v>16</v>
      </c>
      <c r="D26" s="90"/>
      <c r="E26" s="80" t="s">
        <v>1693</v>
      </c>
      <c r="F26" s="81">
        <v>2</v>
      </c>
      <c r="G26" s="81">
        <v>2</v>
      </c>
      <c r="H26" s="81">
        <v>4</v>
      </c>
      <c r="I26" s="101" t="s">
        <v>1694</v>
      </c>
      <c r="J26" s="101" t="s">
        <v>73</v>
      </c>
      <c r="K26" s="101" t="s">
        <v>1527</v>
      </c>
      <c r="L26" s="80" t="s">
        <v>1491</v>
      </c>
      <c r="M26" s="101" t="s">
        <v>1562</v>
      </c>
      <c r="N26" s="101">
        <v>1</v>
      </c>
      <c r="O26" s="101">
        <v>70</v>
      </c>
      <c r="P26" s="101" t="s">
        <v>1527</v>
      </c>
      <c r="Q26" s="102">
        <v>4</v>
      </c>
      <c r="R26" s="102">
        <v>4</v>
      </c>
      <c r="S26" s="102"/>
      <c r="T26" s="102"/>
      <c r="U26" s="95"/>
      <c r="V26" s="109" t="s">
        <v>1676</v>
      </c>
      <c r="W26" s="95"/>
      <c r="X26" s="110"/>
      <c r="Y26" s="110"/>
    </row>
    <row r="27" spans="1:25" s="111" customFormat="1" ht="12.75" hidden="1">
      <c r="A27" s="75"/>
      <c r="B27" s="13" t="s">
        <v>45</v>
      </c>
      <c r="C27" s="13" t="s">
        <v>16</v>
      </c>
      <c r="D27" s="90"/>
      <c r="E27" s="80" t="s">
        <v>1693</v>
      </c>
      <c r="F27" s="81">
        <v>2</v>
      </c>
      <c r="G27" s="81">
        <v>2</v>
      </c>
      <c r="H27" s="81">
        <v>4</v>
      </c>
      <c r="I27" s="101" t="s">
        <v>1694</v>
      </c>
      <c r="J27" s="101" t="s">
        <v>73</v>
      </c>
      <c r="K27" s="101" t="s">
        <v>1527</v>
      </c>
      <c r="L27" s="80" t="s">
        <v>1488</v>
      </c>
      <c r="M27" s="101" t="s">
        <v>1562</v>
      </c>
      <c r="N27" s="101">
        <v>1</v>
      </c>
      <c r="O27" s="101">
        <v>70</v>
      </c>
      <c r="P27" s="101" t="s">
        <v>1527</v>
      </c>
      <c r="Q27" s="102">
        <v>4</v>
      </c>
      <c r="R27" s="102">
        <v>4</v>
      </c>
      <c r="S27" s="102"/>
      <c r="T27" s="102"/>
      <c r="U27" s="95"/>
      <c r="V27" s="109" t="s">
        <v>1676</v>
      </c>
      <c r="W27" s="95"/>
      <c r="X27" s="110"/>
      <c r="Y27" s="110"/>
    </row>
    <row r="28" spans="1:25" ht="12.75">
      <c r="B28" s="34" t="s">
        <v>40</v>
      </c>
      <c r="C28" s="34" t="s">
        <v>17</v>
      </c>
      <c r="D28" s="90" t="s">
        <v>1121</v>
      </c>
      <c r="E28" s="80" t="s">
        <v>1122</v>
      </c>
      <c r="F28" s="81">
        <v>0</v>
      </c>
      <c r="G28" s="81">
        <v>2</v>
      </c>
      <c r="H28" s="81">
        <v>10</v>
      </c>
      <c r="I28" s="101" t="s">
        <v>71</v>
      </c>
      <c r="J28" s="101" t="s">
        <v>71</v>
      </c>
      <c r="K28" s="101" t="s">
        <v>76</v>
      </c>
      <c r="L28" s="80" t="s">
        <v>1488</v>
      </c>
      <c r="M28" s="101" t="s">
        <v>1562</v>
      </c>
      <c r="N28" s="101">
        <v>5</v>
      </c>
      <c r="O28" s="101">
        <v>45</v>
      </c>
      <c r="P28" s="101">
        <v>225</v>
      </c>
      <c r="Q28" s="102">
        <v>10</v>
      </c>
      <c r="R28" s="102">
        <v>10</v>
      </c>
      <c r="S28" s="102"/>
      <c r="T28" s="102"/>
      <c r="U28" s="95"/>
      <c r="V28" s="95"/>
      <c r="W28" s="95"/>
    </row>
    <row r="29" spans="1:25" ht="12.75">
      <c r="B29" s="34" t="s">
        <v>40</v>
      </c>
      <c r="C29" s="34" t="s">
        <v>17</v>
      </c>
      <c r="D29" s="90" t="s">
        <v>1121</v>
      </c>
      <c r="E29" s="80" t="s">
        <v>1122</v>
      </c>
      <c r="F29" s="81">
        <v>0</v>
      </c>
      <c r="G29" s="81">
        <v>2</v>
      </c>
      <c r="H29" s="81">
        <v>10</v>
      </c>
      <c r="I29" s="101" t="s">
        <v>71</v>
      </c>
      <c r="J29" s="101" t="s">
        <v>71</v>
      </c>
      <c r="K29" s="101" t="s">
        <v>76</v>
      </c>
      <c r="L29" s="80" t="s">
        <v>1491</v>
      </c>
      <c r="M29" s="101" t="s">
        <v>1562</v>
      </c>
      <c r="N29" s="101">
        <v>5</v>
      </c>
      <c r="O29" s="101">
        <v>45</v>
      </c>
      <c r="P29" s="101">
        <v>225</v>
      </c>
      <c r="Q29" s="102">
        <v>10</v>
      </c>
      <c r="R29" s="102">
        <v>10</v>
      </c>
      <c r="S29" s="102"/>
      <c r="T29" s="102"/>
      <c r="U29" s="95"/>
      <c r="V29" s="95"/>
      <c r="W29" s="95"/>
    </row>
    <row r="30" spans="1:25" ht="12.75">
      <c r="B30" s="34" t="s">
        <v>40</v>
      </c>
      <c r="C30" s="34" t="s">
        <v>17</v>
      </c>
      <c r="D30" s="90" t="s">
        <v>1121</v>
      </c>
      <c r="E30" s="80" t="s">
        <v>1122</v>
      </c>
      <c r="F30" s="81">
        <v>0</v>
      </c>
      <c r="G30" s="81">
        <v>2</v>
      </c>
      <c r="H30" s="81">
        <v>10</v>
      </c>
      <c r="I30" s="101" t="s">
        <v>71</v>
      </c>
      <c r="J30" s="101" t="s">
        <v>71</v>
      </c>
      <c r="K30" s="101" t="s">
        <v>76</v>
      </c>
      <c r="L30" s="80" t="s">
        <v>1488</v>
      </c>
      <c r="M30" s="101" t="s">
        <v>1528</v>
      </c>
      <c r="N30" s="101">
        <v>1</v>
      </c>
      <c r="O30" s="101">
        <v>45</v>
      </c>
      <c r="P30" s="101">
        <v>45</v>
      </c>
      <c r="Q30" s="102">
        <v>2</v>
      </c>
      <c r="R30" s="102">
        <v>2</v>
      </c>
      <c r="S30" s="102"/>
      <c r="T30" s="102"/>
      <c r="U30" s="95"/>
      <c r="V30" s="95"/>
      <c r="W30" s="95"/>
    </row>
    <row r="31" spans="1:25" ht="12.75">
      <c r="B31" s="34" t="s">
        <v>40</v>
      </c>
      <c r="C31" s="34" t="s">
        <v>17</v>
      </c>
      <c r="D31" s="90" t="s">
        <v>1121</v>
      </c>
      <c r="E31" s="80" t="s">
        <v>1122</v>
      </c>
      <c r="F31" s="81">
        <v>0</v>
      </c>
      <c r="G31" s="81">
        <v>2</v>
      </c>
      <c r="H31" s="81">
        <v>10</v>
      </c>
      <c r="I31" s="101" t="s">
        <v>71</v>
      </c>
      <c r="J31" s="101" t="s">
        <v>71</v>
      </c>
      <c r="K31" s="101" t="s">
        <v>76</v>
      </c>
      <c r="L31" s="80" t="s">
        <v>1491</v>
      </c>
      <c r="M31" s="101" t="s">
        <v>1528</v>
      </c>
      <c r="N31" s="101">
        <v>1</v>
      </c>
      <c r="O31" s="101">
        <v>45</v>
      </c>
      <c r="P31" s="101">
        <v>45</v>
      </c>
      <c r="Q31" s="102">
        <v>2</v>
      </c>
      <c r="R31" s="102">
        <v>2</v>
      </c>
      <c r="S31" s="102"/>
      <c r="T31" s="102"/>
      <c r="U31" s="95"/>
      <c r="V31" s="95"/>
      <c r="W31" s="95"/>
    </row>
    <row r="32" spans="1:25" ht="12.75">
      <c r="B32" s="34" t="s">
        <v>40</v>
      </c>
      <c r="C32" s="34" t="s">
        <v>17</v>
      </c>
      <c r="D32" s="90" t="s">
        <v>170</v>
      </c>
      <c r="E32" s="80" t="s">
        <v>171</v>
      </c>
      <c r="F32" s="81">
        <v>4</v>
      </c>
      <c r="G32" s="81">
        <v>0</v>
      </c>
      <c r="H32" s="81">
        <v>5</v>
      </c>
      <c r="I32" s="101" t="s">
        <v>71</v>
      </c>
      <c r="J32" s="101" t="s">
        <v>71</v>
      </c>
      <c r="K32" s="101" t="s">
        <v>76</v>
      </c>
      <c r="L32" s="80" t="s">
        <v>1488</v>
      </c>
      <c r="M32" s="101" t="s">
        <v>1562</v>
      </c>
      <c r="N32" s="101">
        <v>2</v>
      </c>
      <c r="O32" s="101">
        <v>90</v>
      </c>
      <c r="P32" s="101">
        <v>180</v>
      </c>
      <c r="Q32" s="102">
        <v>8</v>
      </c>
      <c r="R32" s="102">
        <v>8</v>
      </c>
      <c r="S32" s="102"/>
      <c r="T32" s="102"/>
      <c r="U32" s="95"/>
      <c r="V32" s="95"/>
      <c r="W32" s="95"/>
    </row>
    <row r="33" spans="2:23" ht="12.75">
      <c r="B33" s="34" t="s">
        <v>40</v>
      </c>
      <c r="C33" s="34" t="s">
        <v>17</v>
      </c>
      <c r="D33" s="90" t="s">
        <v>170</v>
      </c>
      <c r="E33" s="80" t="s">
        <v>171</v>
      </c>
      <c r="F33" s="81">
        <v>4</v>
      </c>
      <c r="G33" s="81">
        <v>0</v>
      </c>
      <c r="H33" s="81">
        <v>5</v>
      </c>
      <c r="I33" s="101" t="s">
        <v>71</v>
      </c>
      <c r="J33" s="101" t="s">
        <v>71</v>
      </c>
      <c r="K33" s="101" t="s">
        <v>76</v>
      </c>
      <c r="L33" s="80" t="s">
        <v>1491</v>
      </c>
      <c r="M33" s="101" t="s">
        <v>1562</v>
      </c>
      <c r="N33" s="101">
        <v>3</v>
      </c>
      <c r="O33" s="101">
        <v>90</v>
      </c>
      <c r="P33" s="101">
        <v>270</v>
      </c>
      <c r="Q33" s="102">
        <v>12</v>
      </c>
      <c r="R33" s="102">
        <v>12</v>
      </c>
      <c r="S33" s="102"/>
      <c r="T33" s="102"/>
      <c r="U33" s="95"/>
      <c r="V33" s="95"/>
      <c r="W33" s="95"/>
    </row>
    <row r="34" spans="2:23" ht="12.75">
      <c r="B34" s="34" t="s">
        <v>40</v>
      </c>
      <c r="C34" s="34" t="s">
        <v>17</v>
      </c>
      <c r="D34" s="90" t="s">
        <v>170</v>
      </c>
      <c r="E34" s="80" t="s">
        <v>171</v>
      </c>
      <c r="F34" s="81">
        <v>4</v>
      </c>
      <c r="G34" s="81">
        <v>0</v>
      </c>
      <c r="H34" s="81">
        <v>5</v>
      </c>
      <c r="I34" s="101" t="s">
        <v>71</v>
      </c>
      <c r="J34" s="101" t="s">
        <v>71</v>
      </c>
      <c r="K34" s="101" t="s">
        <v>76</v>
      </c>
      <c r="L34" s="80" t="s">
        <v>1488</v>
      </c>
      <c r="M34" s="101" t="s">
        <v>1528</v>
      </c>
      <c r="N34" s="101">
        <v>1</v>
      </c>
      <c r="O34" s="101">
        <v>90</v>
      </c>
      <c r="P34" s="101">
        <v>90</v>
      </c>
      <c r="Q34" s="102">
        <v>4</v>
      </c>
      <c r="R34" s="102">
        <v>4</v>
      </c>
      <c r="S34" s="102"/>
      <c r="T34" s="102"/>
      <c r="U34" s="95"/>
      <c r="V34" s="95"/>
      <c r="W34" s="95"/>
    </row>
    <row r="35" spans="2:23" ht="12.75">
      <c r="B35" s="34" t="s">
        <v>40</v>
      </c>
      <c r="C35" s="34" t="s">
        <v>17</v>
      </c>
      <c r="D35" s="90" t="s">
        <v>170</v>
      </c>
      <c r="E35" s="80" t="s">
        <v>171</v>
      </c>
      <c r="F35" s="81">
        <v>4</v>
      </c>
      <c r="G35" s="81">
        <v>0</v>
      </c>
      <c r="H35" s="81">
        <v>5</v>
      </c>
      <c r="I35" s="101" t="s">
        <v>71</v>
      </c>
      <c r="J35" s="101" t="s">
        <v>71</v>
      </c>
      <c r="K35" s="101" t="s">
        <v>76</v>
      </c>
      <c r="L35" s="80" t="s">
        <v>1491</v>
      </c>
      <c r="M35" s="101" t="s">
        <v>1528</v>
      </c>
      <c r="N35" s="101">
        <v>2</v>
      </c>
      <c r="O35" s="101">
        <v>90</v>
      </c>
      <c r="P35" s="101">
        <v>180</v>
      </c>
      <c r="Q35" s="102">
        <v>8</v>
      </c>
      <c r="R35" s="102">
        <v>8</v>
      </c>
      <c r="S35" s="102"/>
      <c r="T35" s="102"/>
      <c r="U35" s="95"/>
      <c r="V35" s="95"/>
      <c r="W35" s="95"/>
    </row>
    <row r="36" spans="2:23" ht="12.75">
      <c r="B36" s="34" t="s">
        <v>40</v>
      </c>
      <c r="C36" s="34" t="s">
        <v>17</v>
      </c>
      <c r="D36" s="90" t="s">
        <v>168</v>
      </c>
      <c r="E36" s="80" t="s">
        <v>169</v>
      </c>
      <c r="F36" s="81">
        <v>3</v>
      </c>
      <c r="G36" s="81">
        <v>0</v>
      </c>
      <c r="H36" s="81">
        <v>4</v>
      </c>
      <c r="I36" s="101" t="s">
        <v>71</v>
      </c>
      <c r="J36" s="101" t="s">
        <v>71</v>
      </c>
      <c r="K36" s="101" t="s">
        <v>76</v>
      </c>
      <c r="L36" s="80" t="s">
        <v>1488</v>
      </c>
      <c r="M36" s="101" t="s">
        <v>1562</v>
      </c>
      <c r="N36" s="101">
        <v>1</v>
      </c>
      <c r="O36" s="101">
        <v>90</v>
      </c>
      <c r="P36" s="101">
        <v>90</v>
      </c>
      <c r="Q36" s="102">
        <v>3</v>
      </c>
      <c r="R36" s="102">
        <v>3</v>
      </c>
      <c r="S36" s="102"/>
      <c r="T36" s="102"/>
      <c r="U36" s="95"/>
      <c r="V36" s="95"/>
      <c r="W36" s="95"/>
    </row>
    <row r="37" spans="2:23" ht="12.75">
      <c r="B37" s="34" t="s">
        <v>40</v>
      </c>
      <c r="C37" s="34" t="s">
        <v>17</v>
      </c>
      <c r="D37" s="90" t="s">
        <v>168</v>
      </c>
      <c r="E37" s="80" t="s">
        <v>169</v>
      </c>
      <c r="F37" s="81">
        <v>3</v>
      </c>
      <c r="G37" s="81">
        <v>0</v>
      </c>
      <c r="H37" s="81">
        <v>4</v>
      </c>
      <c r="I37" s="101" t="s">
        <v>71</v>
      </c>
      <c r="J37" s="101" t="s">
        <v>71</v>
      </c>
      <c r="K37" s="101" t="s">
        <v>76</v>
      </c>
      <c r="L37" s="80" t="s">
        <v>1491</v>
      </c>
      <c r="M37" s="101" t="s">
        <v>1562</v>
      </c>
      <c r="N37" s="101">
        <v>1</v>
      </c>
      <c r="O37" s="101">
        <v>90</v>
      </c>
      <c r="P37" s="101">
        <v>90</v>
      </c>
      <c r="Q37" s="102">
        <v>3</v>
      </c>
      <c r="R37" s="102">
        <v>3</v>
      </c>
      <c r="S37" s="102"/>
      <c r="T37" s="102"/>
      <c r="U37" s="95"/>
      <c r="V37" s="95"/>
      <c r="W37" s="95"/>
    </row>
    <row r="38" spans="2:23" ht="12.75">
      <c r="B38" s="34" t="s">
        <v>40</v>
      </c>
      <c r="C38" s="34" t="s">
        <v>17</v>
      </c>
      <c r="D38" s="90" t="s">
        <v>168</v>
      </c>
      <c r="E38" s="80" t="s">
        <v>169</v>
      </c>
      <c r="F38" s="81">
        <v>3</v>
      </c>
      <c r="G38" s="81">
        <v>0</v>
      </c>
      <c r="H38" s="81">
        <v>4</v>
      </c>
      <c r="I38" s="101" t="s">
        <v>71</v>
      </c>
      <c r="J38" s="101" t="s">
        <v>71</v>
      </c>
      <c r="K38" s="101" t="s">
        <v>76</v>
      </c>
      <c r="L38" s="80" t="s">
        <v>1488</v>
      </c>
      <c r="M38" s="101" t="s">
        <v>1528</v>
      </c>
      <c r="N38" s="101">
        <v>2</v>
      </c>
      <c r="O38" s="101">
        <v>90</v>
      </c>
      <c r="P38" s="101">
        <v>180</v>
      </c>
      <c r="Q38" s="102">
        <v>6</v>
      </c>
      <c r="R38" s="102">
        <v>6</v>
      </c>
      <c r="S38" s="102"/>
      <c r="T38" s="102"/>
      <c r="U38" s="95"/>
      <c r="V38" s="95"/>
      <c r="W38" s="95"/>
    </row>
    <row r="39" spans="2:23" ht="12.75">
      <c r="B39" s="34" t="s">
        <v>40</v>
      </c>
      <c r="C39" s="34" t="s">
        <v>17</v>
      </c>
      <c r="D39" s="90" t="s">
        <v>168</v>
      </c>
      <c r="E39" s="80" t="s">
        <v>169</v>
      </c>
      <c r="F39" s="81">
        <v>3</v>
      </c>
      <c r="G39" s="81">
        <v>0</v>
      </c>
      <c r="H39" s="81">
        <v>4</v>
      </c>
      <c r="I39" s="101" t="s">
        <v>71</v>
      </c>
      <c r="J39" s="101" t="s">
        <v>71</v>
      </c>
      <c r="K39" s="101" t="s">
        <v>76</v>
      </c>
      <c r="L39" s="80" t="s">
        <v>1491</v>
      </c>
      <c r="M39" s="101" t="s">
        <v>1528</v>
      </c>
      <c r="N39" s="101">
        <v>2</v>
      </c>
      <c r="O39" s="101">
        <v>90</v>
      </c>
      <c r="P39" s="101">
        <v>180</v>
      </c>
      <c r="Q39" s="102">
        <v>6</v>
      </c>
      <c r="R39" s="102">
        <v>6</v>
      </c>
      <c r="S39" s="102"/>
      <c r="T39" s="102"/>
      <c r="U39" s="95"/>
      <c r="V39" s="95"/>
      <c r="W39" s="95"/>
    </row>
    <row r="40" spans="2:23" ht="12.75">
      <c r="B40" s="34" t="s">
        <v>40</v>
      </c>
      <c r="C40" s="34" t="s">
        <v>17</v>
      </c>
      <c r="D40" s="90" t="s">
        <v>166</v>
      </c>
      <c r="E40" s="80" t="s">
        <v>167</v>
      </c>
      <c r="F40" s="81">
        <v>0</v>
      </c>
      <c r="G40" s="81">
        <v>2</v>
      </c>
      <c r="H40" s="81">
        <v>2</v>
      </c>
      <c r="I40" s="101" t="s">
        <v>71</v>
      </c>
      <c r="J40" s="101" t="s">
        <v>71</v>
      </c>
      <c r="K40" s="101" t="s">
        <v>76</v>
      </c>
      <c r="L40" s="80" t="s">
        <v>1488</v>
      </c>
      <c r="M40" s="101" t="s">
        <v>1562</v>
      </c>
      <c r="N40" s="101">
        <v>1</v>
      </c>
      <c r="O40" s="101">
        <v>30</v>
      </c>
      <c r="P40" s="101">
        <v>30</v>
      </c>
      <c r="Q40" s="102">
        <v>2</v>
      </c>
      <c r="R40" s="102">
        <v>2</v>
      </c>
      <c r="S40" s="102" t="s">
        <v>1563</v>
      </c>
      <c r="T40" s="102"/>
      <c r="U40" s="95"/>
      <c r="V40" s="95"/>
      <c r="W40" s="95"/>
    </row>
    <row r="41" spans="2:23" ht="12.75">
      <c r="B41" s="34" t="s">
        <v>40</v>
      </c>
      <c r="C41" s="34" t="s">
        <v>17</v>
      </c>
      <c r="D41" s="90" t="s">
        <v>166</v>
      </c>
      <c r="E41" s="80" t="s">
        <v>167</v>
      </c>
      <c r="F41" s="81">
        <v>0</v>
      </c>
      <c r="G41" s="81">
        <v>2</v>
      </c>
      <c r="H41" s="81">
        <v>2</v>
      </c>
      <c r="I41" s="101" t="s">
        <v>71</v>
      </c>
      <c r="J41" s="101" t="s">
        <v>71</v>
      </c>
      <c r="K41" s="101" t="s">
        <v>76</v>
      </c>
      <c r="L41" s="80" t="s">
        <v>1491</v>
      </c>
      <c r="M41" s="101" t="s">
        <v>1562</v>
      </c>
      <c r="N41" s="101">
        <v>1</v>
      </c>
      <c r="O41" s="101">
        <v>30</v>
      </c>
      <c r="P41" s="101">
        <v>30</v>
      </c>
      <c r="Q41" s="102">
        <v>2</v>
      </c>
      <c r="R41" s="102">
        <v>2</v>
      </c>
      <c r="S41" s="102" t="s">
        <v>1563</v>
      </c>
      <c r="T41" s="102"/>
      <c r="U41" s="95"/>
      <c r="V41" s="95"/>
      <c r="W41" s="95"/>
    </row>
    <row r="42" spans="2:23" ht="12.75">
      <c r="B42" s="34" t="s">
        <v>40</v>
      </c>
      <c r="C42" s="34" t="s">
        <v>17</v>
      </c>
      <c r="D42" s="90" t="s">
        <v>166</v>
      </c>
      <c r="E42" s="80" t="s">
        <v>167</v>
      </c>
      <c r="F42" s="81">
        <v>0</v>
      </c>
      <c r="G42" s="81">
        <v>2</v>
      </c>
      <c r="H42" s="81">
        <v>2</v>
      </c>
      <c r="I42" s="101" t="s">
        <v>71</v>
      </c>
      <c r="J42" s="101" t="s">
        <v>71</v>
      </c>
      <c r="K42" s="101" t="s">
        <v>76</v>
      </c>
      <c r="L42" s="80" t="s">
        <v>1488</v>
      </c>
      <c r="M42" s="101" t="s">
        <v>1528</v>
      </c>
      <c r="N42" s="101">
        <v>1</v>
      </c>
      <c r="O42" s="101">
        <v>42</v>
      </c>
      <c r="P42" s="101">
        <v>42</v>
      </c>
      <c r="Q42" s="102">
        <v>2</v>
      </c>
      <c r="R42" s="102">
        <v>2</v>
      </c>
      <c r="S42" s="102" t="s">
        <v>1563</v>
      </c>
      <c r="T42" s="102"/>
      <c r="U42" s="95"/>
      <c r="V42" s="95"/>
      <c r="W42" s="95"/>
    </row>
    <row r="43" spans="2:23" ht="12.75">
      <c r="B43" s="34" t="s">
        <v>40</v>
      </c>
      <c r="C43" s="34" t="s">
        <v>17</v>
      </c>
      <c r="D43" s="90" t="s">
        <v>166</v>
      </c>
      <c r="E43" s="80" t="s">
        <v>167</v>
      </c>
      <c r="F43" s="81">
        <v>0</v>
      </c>
      <c r="G43" s="81">
        <v>2</v>
      </c>
      <c r="H43" s="81">
        <v>2</v>
      </c>
      <c r="I43" s="101" t="s">
        <v>71</v>
      </c>
      <c r="J43" s="101" t="s">
        <v>71</v>
      </c>
      <c r="K43" s="101" t="s">
        <v>76</v>
      </c>
      <c r="L43" s="80" t="s">
        <v>1491</v>
      </c>
      <c r="M43" s="101" t="s">
        <v>1528</v>
      </c>
      <c r="N43" s="101">
        <v>1</v>
      </c>
      <c r="O43" s="101">
        <v>42</v>
      </c>
      <c r="P43" s="101">
        <v>42</v>
      </c>
      <c r="Q43" s="102">
        <v>2</v>
      </c>
      <c r="R43" s="102">
        <v>2</v>
      </c>
      <c r="S43" s="102" t="s">
        <v>1563</v>
      </c>
      <c r="T43" s="102"/>
      <c r="U43" s="95"/>
      <c r="V43" s="95"/>
      <c r="W43" s="95"/>
    </row>
    <row r="44" spans="2:23" ht="12.75">
      <c r="B44" s="34" t="s">
        <v>40</v>
      </c>
      <c r="C44" s="34" t="s">
        <v>17</v>
      </c>
      <c r="D44" s="90" t="s">
        <v>538</v>
      </c>
      <c r="E44" s="80" t="s">
        <v>539</v>
      </c>
      <c r="F44" s="81">
        <v>3</v>
      </c>
      <c r="G44" s="81">
        <v>0</v>
      </c>
      <c r="H44" s="81">
        <v>4</v>
      </c>
      <c r="I44" s="101" t="s">
        <v>71</v>
      </c>
      <c r="J44" s="101" t="s">
        <v>71</v>
      </c>
      <c r="K44" s="101" t="s">
        <v>76</v>
      </c>
      <c r="L44" s="80" t="s">
        <v>1488</v>
      </c>
      <c r="M44" s="101" t="s">
        <v>1562</v>
      </c>
      <c r="N44" s="101">
        <v>1</v>
      </c>
      <c r="O44" s="101">
        <v>90</v>
      </c>
      <c r="P44" s="101">
        <v>90</v>
      </c>
      <c r="Q44" s="102">
        <v>3</v>
      </c>
      <c r="R44" s="102">
        <v>3</v>
      </c>
      <c r="S44" s="102"/>
      <c r="T44" s="102"/>
      <c r="U44" s="95"/>
      <c r="V44" s="95"/>
      <c r="W44" s="95"/>
    </row>
    <row r="45" spans="2:23" ht="12.75">
      <c r="B45" s="34" t="s">
        <v>40</v>
      </c>
      <c r="C45" s="34" t="s">
        <v>17</v>
      </c>
      <c r="D45" s="90" t="s">
        <v>538</v>
      </c>
      <c r="E45" s="80" t="s">
        <v>539</v>
      </c>
      <c r="F45" s="81">
        <v>3</v>
      </c>
      <c r="G45" s="81">
        <v>0</v>
      </c>
      <c r="H45" s="81">
        <v>4</v>
      </c>
      <c r="I45" s="101" t="s">
        <v>71</v>
      </c>
      <c r="J45" s="101" t="s">
        <v>71</v>
      </c>
      <c r="K45" s="101" t="s">
        <v>76</v>
      </c>
      <c r="L45" s="80" t="s">
        <v>1491</v>
      </c>
      <c r="M45" s="101" t="s">
        <v>1562</v>
      </c>
      <c r="N45" s="101">
        <v>1</v>
      </c>
      <c r="O45" s="101">
        <v>90</v>
      </c>
      <c r="P45" s="101">
        <v>90</v>
      </c>
      <c r="Q45" s="102">
        <v>3</v>
      </c>
      <c r="R45" s="102">
        <v>3</v>
      </c>
      <c r="S45" s="102"/>
      <c r="T45" s="102"/>
      <c r="U45" s="95"/>
      <c r="V45" s="95"/>
      <c r="W45" s="95"/>
    </row>
    <row r="46" spans="2:23" ht="12.75">
      <c r="B46" s="34" t="s">
        <v>40</v>
      </c>
      <c r="C46" s="34" t="s">
        <v>17</v>
      </c>
      <c r="D46" s="90" t="s">
        <v>538</v>
      </c>
      <c r="E46" s="80" t="s">
        <v>539</v>
      </c>
      <c r="F46" s="81">
        <v>3</v>
      </c>
      <c r="G46" s="81">
        <v>0</v>
      </c>
      <c r="H46" s="81">
        <v>4</v>
      </c>
      <c r="I46" s="101" t="s">
        <v>71</v>
      </c>
      <c r="J46" s="101" t="s">
        <v>71</v>
      </c>
      <c r="K46" s="101" t="s">
        <v>76</v>
      </c>
      <c r="L46" s="80" t="s">
        <v>1488</v>
      </c>
      <c r="M46" s="101" t="s">
        <v>1528</v>
      </c>
      <c r="N46" s="101">
        <v>1</v>
      </c>
      <c r="O46" s="101">
        <v>90</v>
      </c>
      <c r="P46" s="101">
        <v>90</v>
      </c>
      <c r="Q46" s="102">
        <v>3</v>
      </c>
      <c r="R46" s="102">
        <v>3</v>
      </c>
      <c r="S46" s="102"/>
      <c r="T46" s="102"/>
      <c r="U46" s="95"/>
      <c r="V46" s="95"/>
      <c r="W46" s="95"/>
    </row>
    <row r="47" spans="2:23" ht="12.75">
      <c r="B47" s="34" t="s">
        <v>40</v>
      </c>
      <c r="C47" s="34" t="s">
        <v>17</v>
      </c>
      <c r="D47" s="90" t="s">
        <v>538</v>
      </c>
      <c r="E47" s="80" t="s">
        <v>539</v>
      </c>
      <c r="F47" s="81">
        <v>3</v>
      </c>
      <c r="G47" s="81">
        <v>0</v>
      </c>
      <c r="H47" s="81">
        <v>4</v>
      </c>
      <c r="I47" s="101" t="s">
        <v>71</v>
      </c>
      <c r="J47" s="101" t="s">
        <v>71</v>
      </c>
      <c r="K47" s="101" t="s">
        <v>76</v>
      </c>
      <c r="L47" s="80" t="s">
        <v>1491</v>
      </c>
      <c r="M47" s="101" t="s">
        <v>1528</v>
      </c>
      <c r="N47" s="101">
        <v>1</v>
      </c>
      <c r="O47" s="101">
        <v>90</v>
      </c>
      <c r="P47" s="101">
        <v>90</v>
      </c>
      <c r="Q47" s="102">
        <v>3</v>
      </c>
      <c r="R47" s="102">
        <v>3</v>
      </c>
      <c r="S47" s="102"/>
      <c r="T47" s="102"/>
      <c r="U47" s="95"/>
      <c r="V47" s="95"/>
      <c r="W47" s="95"/>
    </row>
    <row r="48" spans="2:23" ht="12.75">
      <c r="B48" s="34" t="s">
        <v>40</v>
      </c>
      <c r="C48" s="34" t="s">
        <v>17</v>
      </c>
      <c r="D48" s="90" t="s">
        <v>609</v>
      </c>
      <c r="E48" s="80" t="s">
        <v>610</v>
      </c>
      <c r="F48" s="81">
        <v>3</v>
      </c>
      <c r="G48" s="81">
        <v>0</v>
      </c>
      <c r="H48" s="81">
        <v>4</v>
      </c>
      <c r="I48" s="101" t="s">
        <v>71</v>
      </c>
      <c r="J48" s="101" t="s">
        <v>71</v>
      </c>
      <c r="K48" s="101" t="s">
        <v>76</v>
      </c>
      <c r="L48" s="80" t="s">
        <v>1488</v>
      </c>
      <c r="M48" s="101" t="s">
        <v>1562</v>
      </c>
      <c r="N48" s="101">
        <v>5</v>
      </c>
      <c r="O48" s="101">
        <v>90</v>
      </c>
      <c r="P48" s="101">
        <v>450</v>
      </c>
      <c r="Q48" s="102">
        <v>15</v>
      </c>
      <c r="R48" s="102">
        <v>15</v>
      </c>
      <c r="S48" s="102"/>
      <c r="T48" s="102"/>
      <c r="U48" s="95"/>
      <c r="V48" s="95"/>
      <c r="W48" s="95"/>
    </row>
    <row r="49" spans="2:23" ht="12.75">
      <c r="B49" s="34" t="s">
        <v>40</v>
      </c>
      <c r="C49" s="34" t="s">
        <v>17</v>
      </c>
      <c r="D49" s="90" t="s">
        <v>609</v>
      </c>
      <c r="E49" s="80" t="s">
        <v>610</v>
      </c>
      <c r="F49" s="81">
        <v>3</v>
      </c>
      <c r="G49" s="81">
        <v>0</v>
      </c>
      <c r="H49" s="81">
        <v>4</v>
      </c>
      <c r="I49" s="101" t="s">
        <v>71</v>
      </c>
      <c r="J49" s="101" t="s">
        <v>71</v>
      </c>
      <c r="K49" s="101" t="s">
        <v>76</v>
      </c>
      <c r="L49" s="80" t="s">
        <v>1491</v>
      </c>
      <c r="M49" s="101" t="s">
        <v>1562</v>
      </c>
      <c r="N49" s="101">
        <v>5</v>
      </c>
      <c r="O49" s="101">
        <v>90</v>
      </c>
      <c r="P49" s="101">
        <v>450</v>
      </c>
      <c r="Q49" s="102">
        <v>15</v>
      </c>
      <c r="R49" s="102">
        <v>15</v>
      </c>
      <c r="S49" s="102"/>
      <c r="T49" s="102"/>
      <c r="U49" s="95"/>
      <c r="V49" s="95"/>
      <c r="W49" s="95"/>
    </row>
    <row r="50" spans="2:23" ht="12.75">
      <c r="B50" s="34" t="s">
        <v>40</v>
      </c>
      <c r="C50" s="34" t="s">
        <v>17</v>
      </c>
      <c r="D50" s="90" t="s">
        <v>609</v>
      </c>
      <c r="E50" s="80" t="s">
        <v>610</v>
      </c>
      <c r="F50" s="81">
        <v>3</v>
      </c>
      <c r="G50" s="81">
        <v>0</v>
      </c>
      <c r="H50" s="81">
        <v>4</v>
      </c>
      <c r="I50" s="101" t="s">
        <v>71</v>
      </c>
      <c r="J50" s="101" t="s">
        <v>71</v>
      </c>
      <c r="K50" s="101" t="s">
        <v>76</v>
      </c>
      <c r="L50" s="80" t="s">
        <v>1488</v>
      </c>
      <c r="M50" s="101" t="s">
        <v>1528</v>
      </c>
      <c r="N50" s="101">
        <v>1</v>
      </c>
      <c r="O50" s="101">
        <v>90</v>
      </c>
      <c r="P50" s="101">
        <v>90</v>
      </c>
      <c r="Q50" s="102">
        <v>3</v>
      </c>
      <c r="R50" s="102">
        <v>3</v>
      </c>
      <c r="S50" s="102"/>
      <c r="T50" s="102"/>
      <c r="U50" s="95"/>
      <c r="V50" s="95"/>
      <c r="W50" s="95"/>
    </row>
    <row r="51" spans="2:23" ht="12.75">
      <c r="B51" s="34" t="s">
        <v>40</v>
      </c>
      <c r="C51" s="34" t="s">
        <v>17</v>
      </c>
      <c r="D51" s="90" t="s">
        <v>609</v>
      </c>
      <c r="E51" s="80" t="s">
        <v>610</v>
      </c>
      <c r="F51" s="81">
        <v>3</v>
      </c>
      <c r="G51" s="81">
        <v>0</v>
      </c>
      <c r="H51" s="81">
        <v>4</v>
      </c>
      <c r="I51" s="101" t="s">
        <v>71</v>
      </c>
      <c r="J51" s="101" t="s">
        <v>71</v>
      </c>
      <c r="K51" s="101" t="s">
        <v>76</v>
      </c>
      <c r="L51" s="80" t="s">
        <v>1491</v>
      </c>
      <c r="M51" s="101" t="s">
        <v>1528</v>
      </c>
      <c r="N51" s="101">
        <v>1</v>
      </c>
      <c r="O51" s="101">
        <v>90</v>
      </c>
      <c r="P51" s="101">
        <v>90</v>
      </c>
      <c r="Q51" s="102">
        <v>3</v>
      </c>
      <c r="R51" s="102">
        <v>3</v>
      </c>
      <c r="S51" s="102"/>
      <c r="T51" s="102"/>
      <c r="U51" s="95"/>
      <c r="V51" s="95"/>
      <c r="W51" s="95"/>
    </row>
    <row r="52" spans="2:23" ht="12.75">
      <c r="B52" s="34" t="s">
        <v>40</v>
      </c>
      <c r="C52" s="34" t="s">
        <v>17</v>
      </c>
      <c r="D52" s="90" t="s">
        <v>773</v>
      </c>
      <c r="E52" s="80" t="s">
        <v>774</v>
      </c>
      <c r="F52" s="81">
        <v>3</v>
      </c>
      <c r="G52" s="81">
        <v>0</v>
      </c>
      <c r="H52" s="81">
        <v>4</v>
      </c>
      <c r="I52" s="101" t="s">
        <v>71</v>
      </c>
      <c r="J52" s="101" t="s">
        <v>71</v>
      </c>
      <c r="K52" s="101" t="s">
        <v>775</v>
      </c>
      <c r="L52" s="80" t="s">
        <v>1488</v>
      </c>
      <c r="M52" s="101" t="s">
        <v>1562</v>
      </c>
      <c r="N52" s="101">
        <v>1</v>
      </c>
      <c r="O52" s="101">
        <v>90</v>
      </c>
      <c r="P52" s="101">
        <v>90</v>
      </c>
      <c r="Q52" s="102">
        <v>3</v>
      </c>
      <c r="R52" s="102">
        <v>3</v>
      </c>
      <c r="S52" s="102"/>
      <c r="T52" s="102"/>
      <c r="U52" s="95"/>
      <c r="V52" s="95"/>
      <c r="W52" s="95"/>
    </row>
    <row r="53" spans="2:23" ht="12.75">
      <c r="B53" s="34" t="s">
        <v>40</v>
      </c>
      <c r="C53" s="34" t="s">
        <v>17</v>
      </c>
      <c r="D53" s="90" t="s">
        <v>773</v>
      </c>
      <c r="E53" s="80" t="s">
        <v>774</v>
      </c>
      <c r="F53" s="81">
        <v>3</v>
      </c>
      <c r="G53" s="81">
        <v>0</v>
      </c>
      <c r="H53" s="81">
        <v>4</v>
      </c>
      <c r="I53" s="101" t="s">
        <v>71</v>
      </c>
      <c r="J53" s="101" t="s">
        <v>71</v>
      </c>
      <c r="K53" s="101" t="s">
        <v>775</v>
      </c>
      <c r="L53" s="80" t="s">
        <v>1491</v>
      </c>
      <c r="M53" s="101" t="s">
        <v>1562</v>
      </c>
      <c r="N53" s="101">
        <v>1</v>
      </c>
      <c r="O53" s="101">
        <v>90</v>
      </c>
      <c r="P53" s="101">
        <v>90</v>
      </c>
      <c r="Q53" s="102">
        <v>3</v>
      </c>
      <c r="R53" s="102">
        <v>3</v>
      </c>
      <c r="S53" s="102"/>
      <c r="T53" s="102"/>
      <c r="U53" s="95"/>
      <c r="V53" s="95"/>
      <c r="W53" s="95"/>
    </row>
    <row r="54" spans="2:23" ht="12.75">
      <c r="B54" s="34" t="s">
        <v>40</v>
      </c>
      <c r="C54" s="34" t="s">
        <v>17</v>
      </c>
      <c r="D54" s="90" t="s">
        <v>773</v>
      </c>
      <c r="E54" s="80" t="s">
        <v>774</v>
      </c>
      <c r="F54" s="81">
        <v>3</v>
      </c>
      <c r="G54" s="81">
        <v>0</v>
      </c>
      <c r="H54" s="81">
        <v>4</v>
      </c>
      <c r="I54" s="101" t="s">
        <v>71</v>
      </c>
      <c r="J54" s="101" t="s">
        <v>71</v>
      </c>
      <c r="K54" s="101" t="s">
        <v>775</v>
      </c>
      <c r="L54" s="80" t="s">
        <v>1488</v>
      </c>
      <c r="M54" s="101" t="s">
        <v>1528</v>
      </c>
      <c r="N54" s="101">
        <v>1</v>
      </c>
      <c r="O54" s="101">
        <v>90</v>
      </c>
      <c r="P54" s="101">
        <v>90</v>
      </c>
      <c r="Q54" s="102">
        <v>3</v>
      </c>
      <c r="R54" s="102">
        <v>3</v>
      </c>
      <c r="S54" s="102"/>
      <c r="T54" s="102"/>
      <c r="U54" s="95"/>
      <c r="V54" s="95"/>
      <c r="W54" s="95"/>
    </row>
    <row r="55" spans="2:23" ht="12.75">
      <c r="B55" s="34" t="s">
        <v>40</v>
      </c>
      <c r="C55" s="34" t="s">
        <v>17</v>
      </c>
      <c r="D55" s="90" t="s">
        <v>773</v>
      </c>
      <c r="E55" s="80" t="s">
        <v>774</v>
      </c>
      <c r="F55" s="81">
        <v>3</v>
      </c>
      <c r="G55" s="81">
        <v>0</v>
      </c>
      <c r="H55" s="81">
        <v>4</v>
      </c>
      <c r="I55" s="101" t="s">
        <v>71</v>
      </c>
      <c r="J55" s="101" t="s">
        <v>71</v>
      </c>
      <c r="K55" s="101" t="s">
        <v>775</v>
      </c>
      <c r="L55" s="80" t="s">
        <v>1491</v>
      </c>
      <c r="M55" s="101" t="s">
        <v>1528</v>
      </c>
      <c r="N55" s="101">
        <v>1</v>
      </c>
      <c r="O55" s="101">
        <v>90</v>
      </c>
      <c r="P55" s="101">
        <v>90</v>
      </c>
      <c r="Q55" s="102">
        <v>3</v>
      </c>
      <c r="R55" s="102">
        <v>3</v>
      </c>
      <c r="S55" s="102"/>
      <c r="T55" s="102"/>
      <c r="U55" s="95"/>
      <c r="V55" s="95"/>
      <c r="W55" s="95"/>
    </row>
    <row r="56" spans="2:23" ht="12.75">
      <c r="B56" s="34" t="s">
        <v>40</v>
      </c>
      <c r="C56" s="34" t="s">
        <v>17</v>
      </c>
      <c r="D56" s="90" t="s">
        <v>430</v>
      </c>
      <c r="E56" s="80" t="s">
        <v>390</v>
      </c>
      <c r="F56" s="81">
        <v>2</v>
      </c>
      <c r="G56" s="81">
        <v>0</v>
      </c>
      <c r="H56" s="81">
        <v>4</v>
      </c>
      <c r="I56" s="101" t="s">
        <v>71</v>
      </c>
      <c r="J56" s="101" t="s">
        <v>71</v>
      </c>
      <c r="K56" s="101" t="s">
        <v>76</v>
      </c>
      <c r="L56" s="80" t="s">
        <v>1488</v>
      </c>
      <c r="M56" s="101" t="s">
        <v>1562</v>
      </c>
      <c r="N56" s="101">
        <v>3</v>
      </c>
      <c r="O56" s="101">
        <v>90</v>
      </c>
      <c r="P56" s="101">
        <v>270</v>
      </c>
      <c r="Q56" s="102">
        <v>6</v>
      </c>
      <c r="R56" s="102">
        <v>6</v>
      </c>
      <c r="S56" s="102"/>
      <c r="T56" s="102"/>
      <c r="U56" s="95"/>
      <c r="V56" s="95"/>
      <c r="W56" s="95"/>
    </row>
    <row r="57" spans="2:23" ht="12.75">
      <c r="B57" s="34" t="s">
        <v>40</v>
      </c>
      <c r="C57" s="34" t="s">
        <v>17</v>
      </c>
      <c r="D57" s="90" t="s">
        <v>430</v>
      </c>
      <c r="E57" s="80" t="s">
        <v>390</v>
      </c>
      <c r="F57" s="81">
        <v>2</v>
      </c>
      <c r="G57" s="81">
        <v>0</v>
      </c>
      <c r="H57" s="81">
        <v>4</v>
      </c>
      <c r="I57" s="101" t="s">
        <v>71</v>
      </c>
      <c r="J57" s="101" t="s">
        <v>71</v>
      </c>
      <c r="K57" s="101" t="s">
        <v>76</v>
      </c>
      <c r="L57" s="80" t="s">
        <v>1491</v>
      </c>
      <c r="M57" s="101" t="s">
        <v>1562</v>
      </c>
      <c r="N57" s="101">
        <v>3</v>
      </c>
      <c r="O57" s="101">
        <v>90</v>
      </c>
      <c r="P57" s="101">
        <v>270</v>
      </c>
      <c r="Q57" s="102">
        <v>6</v>
      </c>
      <c r="R57" s="102">
        <v>6</v>
      </c>
      <c r="S57" s="102"/>
      <c r="T57" s="102"/>
      <c r="U57" s="95"/>
      <c r="V57" s="95"/>
      <c r="W57" s="95"/>
    </row>
    <row r="58" spans="2:23" ht="12.75">
      <c r="B58" s="34" t="s">
        <v>40</v>
      </c>
      <c r="C58" s="34" t="s">
        <v>17</v>
      </c>
      <c r="D58" s="90" t="s">
        <v>430</v>
      </c>
      <c r="E58" s="80" t="s">
        <v>390</v>
      </c>
      <c r="F58" s="81">
        <v>2</v>
      </c>
      <c r="G58" s="81">
        <v>0</v>
      </c>
      <c r="H58" s="81">
        <v>4</v>
      </c>
      <c r="I58" s="101" t="s">
        <v>71</v>
      </c>
      <c r="J58" s="101" t="s">
        <v>71</v>
      </c>
      <c r="K58" s="101" t="s">
        <v>76</v>
      </c>
      <c r="L58" s="80" t="s">
        <v>1488</v>
      </c>
      <c r="M58" s="101" t="s">
        <v>1528</v>
      </c>
      <c r="N58" s="101">
        <v>2</v>
      </c>
      <c r="O58" s="101">
        <v>90</v>
      </c>
      <c r="P58" s="101">
        <v>180</v>
      </c>
      <c r="Q58" s="102">
        <v>4</v>
      </c>
      <c r="R58" s="102">
        <v>4</v>
      </c>
      <c r="S58" s="102"/>
      <c r="T58" s="102"/>
      <c r="U58" s="95"/>
      <c r="V58" s="95"/>
      <c r="W58" s="95"/>
    </row>
    <row r="59" spans="2:23" ht="12.75">
      <c r="B59" s="34" t="s">
        <v>40</v>
      </c>
      <c r="C59" s="34" t="s">
        <v>17</v>
      </c>
      <c r="D59" s="90" t="s">
        <v>430</v>
      </c>
      <c r="E59" s="80" t="s">
        <v>390</v>
      </c>
      <c r="F59" s="81">
        <v>2</v>
      </c>
      <c r="G59" s="81">
        <v>0</v>
      </c>
      <c r="H59" s="81">
        <v>4</v>
      </c>
      <c r="I59" s="101" t="s">
        <v>71</v>
      </c>
      <c r="J59" s="101" t="s">
        <v>71</v>
      </c>
      <c r="K59" s="101" t="s">
        <v>76</v>
      </c>
      <c r="L59" s="80" t="s">
        <v>1491</v>
      </c>
      <c r="M59" s="101" t="s">
        <v>1528</v>
      </c>
      <c r="N59" s="101">
        <v>2</v>
      </c>
      <c r="O59" s="101">
        <v>90</v>
      </c>
      <c r="P59" s="101">
        <v>180</v>
      </c>
      <c r="Q59" s="102">
        <v>4</v>
      </c>
      <c r="R59" s="102">
        <v>4</v>
      </c>
      <c r="S59" s="102"/>
      <c r="T59" s="102"/>
      <c r="U59" s="95"/>
      <c r="V59" s="95"/>
      <c r="W59" s="95"/>
    </row>
    <row r="60" spans="2:23" ht="12.75">
      <c r="B60" s="34" t="s">
        <v>40</v>
      </c>
      <c r="C60" s="34" t="s">
        <v>17</v>
      </c>
      <c r="D60" s="90" t="s">
        <v>579</v>
      </c>
      <c r="E60" s="80" t="s">
        <v>580</v>
      </c>
      <c r="F60" s="81">
        <v>3</v>
      </c>
      <c r="G60" s="81">
        <v>2</v>
      </c>
      <c r="H60" s="81">
        <v>6</v>
      </c>
      <c r="I60" s="101" t="s">
        <v>71</v>
      </c>
      <c r="J60" s="101" t="s">
        <v>71</v>
      </c>
      <c r="K60" s="101" t="s">
        <v>76</v>
      </c>
      <c r="L60" s="80" t="s">
        <v>1488</v>
      </c>
      <c r="M60" s="101" t="s">
        <v>1562</v>
      </c>
      <c r="N60" s="101">
        <v>5</v>
      </c>
      <c r="O60" s="101">
        <v>90</v>
      </c>
      <c r="P60" s="101">
        <v>450</v>
      </c>
      <c r="Q60" s="102">
        <v>75</v>
      </c>
      <c r="R60" s="102">
        <v>45</v>
      </c>
      <c r="S60" s="102" t="s">
        <v>1583</v>
      </c>
      <c r="T60" s="102"/>
      <c r="U60" s="95"/>
      <c r="V60" s="95"/>
      <c r="W60" s="95"/>
    </row>
    <row r="61" spans="2:23" ht="12.75">
      <c r="B61" s="34" t="s">
        <v>40</v>
      </c>
      <c r="C61" s="34" t="s">
        <v>17</v>
      </c>
      <c r="D61" s="90" t="s">
        <v>579</v>
      </c>
      <c r="E61" s="80" t="s">
        <v>580</v>
      </c>
      <c r="F61" s="81">
        <v>3</v>
      </c>
      <c r="G61" s="81">
        <v>2</v>
      </c>
      <c r="H61" s="81">
        <v>6</v>
      </c>
      <c r="I61" s="101" t="s">
        <v>71</v>
      </c>
      <c r="J61" s="101" t="s">
        <v>71</v>
      </c>
      <c r="K61" s="101" t="s">
        <v>76</v>
      </c>
      <c r="L61" s="80" t="s">
        <v>1491</v>
      </c>
      <c r="M61" s="101" t="s">
        <v>1562</v>
      </c>
      <c r="N61" s="101">
        <v>5</v>
      </c>
      <c r="O61" s="101">
        <v>90</v>
      </c>
      <c r="P61" s="101">
        <v>450</v>
      </c>
      <c r="Q61" s="102">
        <v>75</v>
      </c>
      <c r="R61" s="102">
        <v>45</v>
      </c>
      <c r="S61" s="102" t="s">
        <v>1583</v>
      </c>
      <c r="T61" s="102"/>
      <c r="U61" s="95"/>
      <c r="V61" s="95"/>
      <c r="W61" s="95"/>
    </row>
    <row r="62" spans="2:23" ht="12.75">
      <c r="B62" s="34" t="s">
        <v>40</v>
      </c>
      <c r="C62" s="34" t="s">
        <v>17</v>
      </c>
      <c r="D62" s="90" t="s">
        <v>579</v>
      </c>
      <c r="E62" s="80" t="s">
        <v>580</v>
      </c>
      <c r="F62" s="81">
        <v>3</v>
      </c>
      <c r="G62" s="81">
        <v>2</v>
      </c>
      <c r="H62" s="81">
        <v>6</v>
      </c>
      <c r="I62" s="101" t="s">
        <v>71</v>
      </c>
      <c r="J62" s="101" t="s">
        <v>71</v>
      </c>
      <c r="K62" s="101" t="s">
        <v>76</v>
      </c>
      <c r="L62" s="80" t="s">
        <v>1488</v>
      </c>
      <c r="M62" s="101" t="s">
        <v>1528</v>
      </c>
      <c r="N62" s="101">
        <v>2</v>
      </c>
      <c r="O62" s="101">
        <v>90</v>
      </c>
      <c r="P62" s="101">
        <v>180</v>
      </c>
      <c r="Q62" s="102">
        <v>30</v>
      </c>
      <c r="R62" s="102">
        <v>18</v>
      </c>
      <c r="S62" s="102" t="s">
        <v>1583</v>
      </c>
      <c r="T62" s="102"/>
      <c r="U62" s="95"/>
      <c r="V62" s="95"/>
      <c r="W62" s="95"/>
    </row>
    <row r="63" spans="2:23" ht="12.75">
      <c r="B63" s="34" t="s">
        <v>40</v>
      </c>
      <c r="C63" s="34" t="s">
        <v>17</v>
      </c>
      <c r="D63" s="90" t="s">
        <v>579</v>
      </c>
      <c r="E63" s="80" t="s">
        <v>580</v>
      </c>
      <c r="F63" s="81">
        <v>3</v>
      </c>
      <c r="G63" s="81">
        <v>2</v>
      </c>
      <c r="H63" s="81">
        <v>6</v>
      </c>
      <c r="I63" s="101" t="s">
        <v>71</v>
      </c>
      <c r="J63" s="101" t="s">
        <v>71</v>
      </c>
      <c r="K63" s="101" t="s">
        <v>76</v>
      </c>
      <c r="L63" s="80" t="s">
        <v>1491</v>
      </c>
      <c r="M63" s="101" t="s">
        <v>1528</v>
      </c>
      <c r="N63" s="101">
        <v>2</v>
      </c>
      <c r="O63" s="101">
        <v>90</v>
      </c>
      <c r="P63" s="101">
        <v>180</v>
      </c>
      <c r="Q63" s="102">
        <v>30</v>
      </c>
      <c r="R63" s="102">
        <v>18</v>
      </c>
      <c r="S63" s="102" t="s">
        <v>1583</v>
      </c>
      <c r="T63" s="102"/>
      <c r="U63" s="95"/>
      <c r="V63" s="95"/>
      <c r="W63" s="95"/>
    </row>
    <row r="64" spans="2:23" ht="12.75">
      <c r="B64" s="34" t="s">
        <v>40</v>
      </c>
      <c r="C64" s="34" t="s">
        <v>17</v>
      </c>
      <c r="D64" s="90" t="s">
        <v>578</v>
      </c>
      <c r="E64" s="80" t="s">
        <v>263</v>
      </c>
      <c r="F64" s="81">
        <v>3</v>
      </c>
      <c r="G64" s="81">
        <v>2</v>
      </c>
      <c r="H64" s="81">
        <v>6</v>
      </c>
      <c r="I64" s="101" t="s">
        <v>71</v>
      </c>
      <c r="J64" s="101" t="s">
        <v>71</v>
      </c>
      <c r="K64" s="101" t="s">
        <v>76</v>
      </c>
      <c r="L64" s="80" t="s">
        <v>1488</v>
      </c>
      <c r="M64" s="101" t="s">
        <v>1562</v>
      </c>
      <c r="N64" s="101">
        <v>1</v>
      </c>
      <c r="O64" s="101">
        <v>90</v>
      </c>
      <c r="P64" s="101">
        <v>90</v>
      </c>
      <c r="Q64" s="102">
        <v>15</v>
      </c>
      <c r="R64" s="102">
        <v>9</v>
      </c>
      <c r="S64" s="102" t="s">
        <v>1583</v>
      </c>
      <c r="T64" s="102"/>
      <c r="U64" s="95"/>
      <c r="V64" s="95"/>
      <c r="W64" s="95"/>
    </row>
    <row r="65" spans="2:23" ht="12.75">
      <c r="B65" s="34" t="s">
        <v>40</v>
      </c>
      <c r="C65" s="34" t="s">
        <v>17</v>
      </c>
      <c r="D65" s="90" t="s">
        <v>578</v>
      </c>
      <c r="E65" s="80" t="s">
        <v>263</v>
      </c>
      <c r="F65" s="81">
        <v>3</v>
      </c>
      <c r="G65" s="81">
        <v>2</v>
      </c>
      <c r="H65" s="81">
        <v>6</v>
      </c>
      <c r="I65" s="101" t="s">
        <v>71</v>
      </c>
      <c r="J65" s="101" t="s">
        <v>71</v>
      </c>
      <c r="K65" s="101" t="s">
        <v>76</v>
      </c>
      <c r="L65" s="80" t="s">
        <v>1491</v>
      </c>
      <c r="M65" s="101" t="s">
        <v>1562</v>
      </c>
      <c r="N65" s="101">
        <v>1</v>
      </c>
      <c r="O65" s="101">
        <v>90</v>
      </c>
      <c r="P65" s="101">
        <v>90</v>
      </c>
      <c r="Q65" s="102">
        <v>15</v>
      </c>
      <c r="R65" s="102">
        <v>9</v>
      </c>
      <c r="S65" s="102" t="s">
        <v>1583</v>
      </c>
      <c r="T65" s="102"/>
      <c r="U65" s="95"/>
      <c r="V65" s="95"/>
      <c r="W65" s="95"/>
    </row>
    <row r="66" spans="2:23" ht="12.75">
      <c r="B66" s="34" t="s">
        <v>40</v>
      </c>
      <c r="C66" s="34" t="s">
        <v>17</v>
      </c>
      <c r="D66" s="90" t="s">
        <v>578</v>
      </c>
      <c r="E66" s="80" t="s">
        <v>263</v>
      </c>
      <c r="F66" s="81">
        <v>3</v>
      </c>
      <c r="G66" s="81">
        <v>2</v>
      </c>
      <c r="H66" s="81">
        <v>6</v>
      </c>
      <c r="I66" s="101" t="s">
        <v>71</v>
      </c>
      <c r="J66" s="101" t="s">
        <v>71</v>
      </c>
      <c r="K66" s="101" t="s">
        <v>76</v>
      </c>
      <c r="L66" s="80" t="s">
        <v>1488</v>
      </c>
      <c r="M66" s="101" t="s">
        <v>1528</v>
      </c>
      <c r="N66" s="101">
        <v>1</v>
      </c>
      <c r="O66" s="101">
        <v>90</v>
      </c>
      <c r="P66" s="101">
        <v>90</v>
      </c>
      <c r="Q66" s="102">
        <v>15</v>
      </c>
      <c r="R66" s="102">
        <v>9</v>
      </c>
      <c r="S66" s="102" t="s">
        <v>1583</v>
      </c>
      <c r="T66" s="102"/>
      <c r="U66" s="95"/>
      <c r="V66" s="95"/>
      <c r="W66" s="95"/>
    </row>
    <row r="67" spans="2:23" ht="12.75">
      <c r="B67" s="34" t="s">
        <v>40</v>
      </c>
      <c r="C67" s="34" t="s">
        <v>17</v>
      </c>
      <c r="D67" s="90" t="s">
        <v>578</v>
      </c>
      <c r="E67" s="80" t="s">
        <v>263</v>
      </c>
      <c r="F67" s="81">
        <v>3</v>
      </c>
      <c r="G67" s="81">
        <v>2</v>
      </c>
      <c r="H67" s="81">
        <v>6</v>
      </c>
      <c r="I67" s="101" t="s">
        <v>71</v>
      </c>
      <c r="J67" s="101" t="s">
        <v>71</v>
      </c>
      <c r="K67" s="101" t="s">
        <v>76</v>
      </c>
      <c r="L67" s="80" t="s">
        <v>1491</v>
      </c>
      <c r="M67" s="101" t="s">
        <v>1528</v>
      </c>
      <c r="N67" s="101">
        <v>1</v>
      </c>
      <c r="O67" s="101">
        <v>90</v>
      </c>
      <c r="P67" s="101">
        <v>90</v>
      </c>
      <c r="Q67" s="102">
        <v>15</v>
      </c>
      <c r="R67" s="102">
        <v>9</v>
      </c>
      <c r="S67" s="102" t="s">
        <v>1583</v>
      </c>
      <c r="T67" s="102"/>
      <c r="U67" s="95"/>
      <c r="V67" s="95"/>
      <c r="W67" s="95"/>
    </row>
    <row r="68" spans="2:23" ht="12.75">
      <c r="B68" s="34" t="s">
        <v>40</v>
      </c>
      <c r="C68" s="34" t="s">
        <v>17</v>
      </c>
      <c r="D68" s="90" t="s">
        <v>979</v>
      </c>
      <c r="E68" s="80" t="s">
        <v>192</v>
      </c>
      <c r="F68" s="81">
        <v>3</v>
      </c>
      <c r="G68" s="81">
        <v>0</v>
      </c>
      <c r="H68" s="81">
        <v>4</v>
      </c>
      <c r="I68" s="101" t="s">
        <v>71</v>
      </c>
      <c r="J68" s="101" t="s">
        <v>71</v>
      </c>
      <c r="K68" s="101" t="s">
        <v>76</v>
      </c>
      <c r="L68" s="80" t="s">
        <v>1488</v>
      </c>
      <c r="M68" s="101" t="s">
        <v>1562</v>
      </c>
      <c r="N68" s="101">
        <v>1</v>
      </c>
      <c r="O68" s="101">
        <v>90</v>
      </c>
      <c r="P68" s="101">
        <v>90</v>
      </c>
      <c r="Q68" s="102">
        <v>3</v>
      </c>
      <c r="R68" s="102">
        <v>3</v>
      </c>
      <c r="S68" s="102"/>
      <c r="T68" s="102"/>
      <c r="U68" s="95"/>
      <c r="V68" s="95"/>
      <c r="W68" s="95"/>
    </row>
    <row r="69" spans="2:23" ht="12.75">
      <c r="B69" s="34" t="s">
        <v>40</v>
      </c>
      <c r="C69" s="34" t="s">
        <v>17</v>
      </c>
      <c r="D69" s="90" t="s">
        <v>979</v>
      </c>
      <c r="E69" s="80" t="s">
        <v>192</v>
      </c>
      <c r="F69" s="81">
        <v>3</v>
      </c>
      <c r="G69" s="81">
        <v>0</v>
      </c>
      <c r="H69" s="81">
        <v>4</v>
      </c>
      <c r="I69" s="101" t="s">
        <v>71</v>
      </c>
      <c r="J69" s="101" t="s">
        <v>71</v>
      </c>
      <c r="K69" s="101" t="s">
        <v>76</v>
      </c>
      <c r="L69" s="80" t="s">
        <v>1491</v>
      </c>
      <c r="M69" s="101" t="s">
        <v>1562</v>
      </c>
      <c r="N69" s="101">
        <v>1</v>
      </c>
      <c r="O69" s="101">
        <v>90</v>
      </c>
      <c r="P69" s="101">
        <v>90</v>
      </c>
      <c r="Q69" s="102">
        <v>3</v>
      </c>
      <c r="R69" s="102">
        <v>3</v>
      </c>
      <c r="S69" s="102"/>
      <c r="T69" s="102"/>
      <c r="U69" s="95"/>
      <c r="V69" s="95"/>
      <c r="W69" s="95"/>
    </row>
    <row r="70" spans="2:23" ht="12.75">
      <c r="B70" s="34" t="s">
        <v>40</v>
      </c>
      <c r="C70" s="34" t="s">
        <v>17</v>
      </c>
      <c r="D70" s="90" t="s">
        <v>1360</v>
      </c>
      <c r="E70" s="80" t="s">
        <v>208</v>
      </c>
      <c r="F70" s="81">
        <v>3</v>
      </c>
      <c r="G70" s="81">
        <v>0</v>
      </c>
      <c r="H70" s="81">
        <v>4</v>
      </c>
      <c r="I70" s="101" t="s">
        <v>71</v>
      </c>
      <c r="J70" s="101" t="s">
        <v>71</v>
      </c>
      <c r="K70" s="101" t="s">
        <v>76</v>
      </c>
      <c r="L70" s="80" t="s">
        <v>1488</v>
      </c>
      <c r="M70" s="101" t="s">
        <v>1562</v>
      </c>
      <c r="N70" s="101">
        <v>5</v>
      </c>
      <c r="O70" s="101">
        <v>90</v>
      </c>
      <c r="P70" s="101">
        <v>450</v>
      </c>
      <c r="Q70" s="102">
        <v>15</v>
      </c>
      <c r="R70" s="102">
        <v>15</v>
      </c>
      <c r="S70" s="102"/>
      <c r="T70" s="102"/>
      <c r="U70" s="95"/>
      <c r="V70" s="95"/>
      <c r="W70" s="95"/>
    </row>
    <row r="71" spans="2:23" ht="12.75">
      <c r="B71" s="34" t="s">
        <v>40</v>
      </c>
      <c r="C71" s="34" t="s">
        <v>17</v>
      </c>
      <c r="D71" s="90" t="s">
        <v>1360</v>
      </c>
      <c r="E71" s="80" t="s">
        <v>208</v>
      </c>
      <c r="F71" s="81">
        <v>3</v>
      </c>
      <c r="G71" s="81">
        <v>0</v>
      </c>
      <c r="H71" s="81">
        <v>4</v>
      </c>
      <c r="I71" s="101" t="s">
        <v>71</v>
      </c>
      <c r="J71" s="101" t="s">
        <v>71</v>
      </c>
      <c r="K71" s="101" t="s">
        <v>76</v>
      </c>
      <c r="L71" s="80" t="s">
        <v>1491</v>
      </c>
      <c r="M71" s="101" t="s">
        <v>1562</v>
      </c>
      <c r="N71" s="101">
        <v>5</v>
      </c>
      <c r="O71" s="101">
        <v>90</v>
      </c>
      <c r="P71" s="101">
        <v>450</v>
      </c>
      <c r="Q71" s="102">
        <v>15</v>
      </c>
      <c r="R71" s="102">
        <v>15</v>
      </c>
      <c r="S71" s="102"/>
      <c r="T71" s="102"/>
      <c r="U71" s="95"/>
      <c r="V71" s="95"/>
      <c r="W71" s="95"/>
    </row>
    <row r="72" spans="2:23" ht="12.75">
      <c r="B72" s="34" t="s">
        <v>40</v>
      </c>
      <c r="C72" s="34" t="s">
        <v>17</v>
      </c>
      <c r="D72" s="90" t="s">
        <v>1360</v>
      </c>
      <c r="E72" s="80" t="s">
        <v>208</v>
      </c>
      <c r="F72" s="81">
        <v>3</v>
      </c>
      <c r="G72" s="81">
        <v>0</v>
      </c>
      <c r="H72" s="81">
        <v>4</v>
      </c>
      <c r="I72" s="101" t="s">
        <v>71</v>
      </c>
      <c r="J72" s="101" t="s">
        <v>71</v>
      </c>
      <c r="K72" s="101" t="s">
        <v>76</v>
      </c>
      <c r="L72" s="80" t="s">
        <v>1488</v>
      </c>
      <c r="M72" s="101" t="s">
        <v>1528</v>
      </c>
      <c r="N72" s="101">
        <v>2</v>
      </c>
      <c r="O72" s="101">
        <v>100</v>
      </c>
      <c r="P72" s="101">
        <v>200</v>
      </c>
      <c r="Q72" s="102">
        <v>6</v>
      </c>
      <c r="R72" s="102">
        <v>6</v>
      </c>
      <c r="S72" s="102"/>
      <c r="T72" s="102"/>
      <c r="U72" s="95"/>
      <c r="V72" s="95"/>
      <c r="W72" s="95"/>
    </row>
    <row r="73" spans="2:23" ht="12.75">
      <c r="B73" s="34" t="s">
        <v>40</v>
      </c>
      <c r="C73" s="34" t="s">
        <v>17</v>
      </c>
      <c r="D73" s="90" t="s">
        <v>1360</v>
      </c>
      <c r="E73" s="80" t="s">
        <v>208</v>
      </c>
      <c r="F73" s="81">
        <v>3</v>
      </c>
      <c r="G73" s="81">
        <v>0</v>
      </c>
      <c r="H73" s="81">
        <v>4</v>
      </c>
      <c r="I73" s="101" t="s">
        <v>71</v>
      </c>
      <c r="J73" s="101" t="s">
        <v>71</v>
      </c>
      <c r="K73" s="101" t="s">
        <v>76</v>
      </c>
      <c r="L73" s="80" t="s">
        <v>1491</v>
      </c>
      <c r="M73" s="101" t="s">
        <v>1528</v>
      </c>
      <c r="N73" s="101">
        <v>2</v>
      </c>
      <c r="O73" s="101">
        <v>100</v>
      </c>
      <c r="P73" s="101">
        <v>200</v>
      </c>
      <c r="Q73" s="102">
        <v>6</v>
      </c>
      <c r="R73" s="102">
        <v>6</v>
      </c>
      <c r="S73" s="102"/>
      <c r="T73" s="102"/>
      <c r="U73" s="95"/>
      <c r="V73" s="95"/>
      <c r="W73" s="95"/>
    </row>
    <row r="74" spans="2:23" ht="12.75">
      <c r="B74" s="34" t="s">
        <v>40</v>
      </c>
      <c r="C74" s="34" t="s">
        <v>17</v>
      </c>
      <c r="D74" s="90" t="s">
        <v>1359</v>
      </c>
      <c r="E74" s="80" t="s">
        <v>572</v>
      </c>
      <c r="F74" s="81">
        <v>3</v>
      </c>
      <c r="G74" s="81">
        <v>2</v>
      </c>
      <c r="H74" s="81">
        <v>6</v>
      </c>
      <c r="I74" s="101" t="s">
        <v>71</v>
      </c>
      <c r="J74" s="101" t="s">
        <v>71</v>
      </c>
      <c r="K74" s="101" t="s">
        <v>76</v>
      </c>
      <c r="L74" s="80" t="s">
        <v>1488</v>
      </c>
      <c r="M74" s="101" t="s">
        <v>1562</v>
      </c>
      <c r="N74" s="101">
        <v>4</v>
      </c>
      <c r="O74" s="101">
        <v>90</v>
      </c>
      <c r="P74" s="101">
        <v>360</v>
      </c>
      <c r="Q74" s="102">
        <v>60</v>
      </c>
      <c r="R74" s="102">
        <v>36</v>
      </c>
      <c r="S74" s="102" t="s">
        <v>1695</v>
      </c>
      <c r="T74" s="102"/>
      <c r="U74" s="95"/>
      <c r="V74" s="95"/>
      <c r="W74" s="95"/>
    </row>
    <row r="75" spans="2:23" ht="12.75">
      <c r="B75" s="34" t="s">
        <v>40</v>
      </c>
      <c r="C75" s="34" t="s">
        <v>17</v>
      </c>
      <c r="D75" s="90" t="s">
        <v>1359</v>
      </c>
      <c r="E75" s="80" t="s">
        <v>572</v>
      </c>
      <c r="F75" s="81">
        <v>3</v>
      </c>
      <c r="G75" s="81">
        <v>2</v>
      </c>
      <c r="H75" s="81">
        <v>6</v>
      </c>
      <c r="I75" s="101" t="s">
        <v>71</v>
      </c>
      <c r="J75" s="101" t="s">
        <v>71</v>
      </c>
      <c r="K75" s="101" t="s">
        <v>76</v>
      </c>
      <c r="L75" s="80" t="s">
        <v>1491</v>
      </c>
      <c r="M75" s="101" t="s">
        <v>1562</v>
      </c>
      <c r="N75" s="101">
        <v>5</v>
      </c>
      <c r="O75" s="101">
        <v>90</v>
      </c>
      <c r="P75" s="101">
        <v>450</v>
      </c>
      <c r="Q75" s="102">
        <v>75</v>
      </c>
      <c r="R75" s="102">
        <v>45</v>
      </c>
      <c r="S75" s="102" t="s">
        <v>1695</v>
      </c>
      <c r="T75" s="102"/>
      <c r="U75" s="95"/>
      <c r="V75" s="95"/>
      <c r="W75" s="95"/>
    </row>
    <row r="76" spans="2:23" ht="12.75">
      <c r="B76" s="34" t="s">
        <v>40</v>
      </c>
      <c r="C76" s="34" t="s">
        <v>17</v>
      </c>
      <c r="D76" s="90" t="s">
        <v>1359</v>
      </c>
      <c r="E76" s="80" t="s">
        <v>572</v>
      </c>
      <c r="F76" s="81">
        <v>3</v>
      </c>
      <c r="G76" s="81">
        <v>2</v>
      </c>
      <c r="H76" s="81">
        <v>6</v>
      </c>
      <c r="I76" s="101" t="s">
        <v>71</v>
      </c>
      <c r="J76" s="101" t="s">
        <v>71</v>
      </c>
      <c r="K76" s="101" t="s">
        <v>76</v>
      </c>
      <c r="L76" s="80" t="s">
        <v>1488</v>
      </c>
      <c r="M76" s="101" t="s">
        <v>1528</v>
      </c>
      <c r="N76" s="101">
        <v>1</v>
      </c>
      <c r="O76" s="101">
        <v>90</v>
      </c>
      <c r="P76" s="101">
        <v>90</v>
      </c>
      <c r="Q76" s="102">
        <v>15</v>
      </c>
      <c r="R76" s="102">
        <v>9</v>
      </c>
      <c r="S76" s="102" t="s">
        <v>1695</v>
      </c>
      <c r="T76" s="102"/>
      <c r="U76" s="95"/>
      <c r="V76" s="95"/>
      <c r="W76" s="95"/>
    </row>
    <row r="77" spans="2:23" ht="12.75">
      <c r="B77" s="34" t="s">
        <v>40</v>
      </c>
      <c r="C77" s="34" t="s">
        <v>17</v>
      </c>
      <c r="D77" s="90" t="s">
        <v>1359</v>
      </c>
      <c r="E77" s="80" t="s">
        <v>572</v>
      </c>
      <c r="F77" s="81">
        <v>3</v>
      </c>
      <c r="G77" s="81">
        <v>2</v>
      </c>
      <c r="H77" s="81">
        <v>6</v>
      </c>
      <c r="I77" s="101" t="s">
        <v>71</v>
      </c>
      <c r="J77" s="101" t="s">
        <v>71</v>
      </c>
      <c r="K77" s="101" t="s">
        <v>76</v>
      </c>
      <c r="L77" s="80" t="s">
        <v>1491</v>
      </c>
      <c r="M77" s="101" t="s">
        <v>1528</v>
      </c>
      <c r="N77" s="101">
        <v>2</v>
      </c>
      <c r="O77" s="101">
        <v>90</v>
      </c>
      <c r="P77" s="101">
        <v>180</v>
      </c>
      <c r="Q77" s="102">
        <v>30</v>
      </c>
      <c r="R77" s="102">
        <v>18</v>
      </c>
      <c r="S77" s="102" t="s">
        <v>1695</v>
      </c>
      <c r="T77" s="102"/>
      <c r="U77" s="95"/>
      <c r="V77" s="95"/>
      <c r="W77" s="95"/>
    </row>
    <row r="78" spans="2:23" ht="12.75">
      <c r="B78" s="34" t="s">
        <v>40</v>
      </c>
      <c r="C78" s="34" t="s">
        <v>17</v>
      </c>
      <c r="D78" s="90" t="s">
        <v>1379</v>
      </c>
      <c r="E78" s="80" t="s">
        <v>845</v>
      </c>
      <c r="F78" s="81">
        <v>4</v>
      </c>
      <c r="G78" s="81">
        <v>0</v>
      </c>
      <c r="H78" s="81">
        <v>6</v>
      </c>
      <c r="I78" s="101" t="s">
        <v>71</v>
      </c>
      <c r="J78" s="101" t="s">
        <v>71</v>
      </c>
      <c r="K78" s="101" t="s">
        <v>171</v>
      </c>
      <c r="L78" s="80" t="s">
        <v>1488</v>
      </c>
      <c r="M78" s="101" t="s">
        <v>1562</v>
      </c>
      <c r="N78" s="101">
        <v>6</v>
      </c>
      <c r="O78" s="101">
        <v>90</v>
      </c>
      <c r="P78" s="101">
        <v>540</v>
      </c>
      <c r="Q78" s="102">
        <v>24</v>
      </c>
      <c r="R78" s="102">
        <v>24</v>
      </c>
      <c r="S78" s="102"/>
      <c r="T78" s="102"/>
      <c r="U78" s="95"/>
      <c r="V78" s="95"/>
      <c r="W78" s="95"/>
    </row>
    <row r="79" spans="2:23" ht="12.75">
      <c r="B79" s="34" t="s">
        <v>40</v>
      </c>
      <c r="C79" s="34" t="s">
        <v>17</v>
      </c>
      <c r="D79" s="90" t="s">
        <v>1379</v>
      </c>
      <c r="E79" s="80" t="s">
        <v>845</v>
      </c>
      <c r="F79" s="81">
        <v>4</v>
      </c>
      <c r="G79" s="81">
        <v>0</v>
      </c>
      <c r="H79" s="81">
        <v>6</v>
      </c>
      <c r="I79" s="101" t="s">
        <v>71</v>
      </c>
      <c r="J79" s="101" t="s">
        <v>71</v>
      </c>
      <c r="K79" s="101" t="s">
        <v>171</v>
      </c>
      <c r="L79" s="80" t="s">
        <v>1491</v>
      </c>
      <c r="M79" s="101" t="s">
        <v>1562</v>
      </c>
      <c r="N79" s="101">
        <v>6</v>
      </c>
      <c r="O79" s="101">
        <v>90</v>
      </c>
      <c r="P79" s="101">
        <v>540</v>
      </c>
      <c r="Q79" s="102">
        <v>24</v>
      </c>
      <c r="R79" s="102">
        <v>24</v>
      </c>
      <c r="S79" s="102"/>
      <c r="T79" s="102"/>
      <c r="U79" s="95"/>
      <c r="V79" s="95"/>
      <c r="W79" s="95"/>
    </row>
    <row r="80" spans="2:23" ht="12.75">
      <c r="B80" s="34" t="s">
        <v>40</v>
      </c>
      <c r="C80" s="34" t="s">
        <v>17</v>
      </c>
      <c r="D80" s="90" t="s">
        <v>1379</v>
      </c>
      <c r="E80" s="80" t="s">
        <v>845</v>
      </c>
      <c r="F80" s="81">
        <v>4</v>
      </c>
      <c r="G80" s="81">
        <v>0</v>
      </c>
      <c r="H80" s="81">
        <v>6</v>
      </c>
      <c r="I80" s="101" t="s">
        <v>71</v>
      </c>
      <c r="J80" s="101" t="s">
        <v>71</v>
      </c>
      <c r="K80" s="101" t="s">
        <v>171</v>
      </c>
      <c r="L80" s="80" t="s">
        <v>1488</v>
      </c>
      <c r="M80" s="101" t="s">
        <v>1528</v>
      </c>
      <c r="N80" s="101">
        <v>2</v>
      </c>
      <c r="O80" s="101">
        <v>100</v>
      </c>
      <c r="P80" s="101">
        <v>200</v>
      </c>
      <c r="Q80" s="102">
        <v>8</v>
      </c>
      <c r="R80" s="102">
        <v>8</v>
      </c>
      <c r="S80" s="102"/>
      <c r="T80" s="102"/>
      <c r="U80" s="95"/>
      <c r="V80" s="95"/>
      <c r="W80" s="95"/>
    </row>
    <row r="81" spans="2:23" ht="12.75">
      <c r="B81" s="34" t="s">
        <v>40</v>
      </c>
      <c r="C81" s="34" t="s">
        <v>17</v>
      </c>
      <c r="D81" s="90" t="s">
        <v>1379</v>
      </c>
      <c r="E81" s="80" t="s">
        <v>845</v>
      </c>
      <c r="F81" s="81">
        <v>4</v>
      </c>
      <c r="G81" s="81">
        <v>0</v>
      </c>
      <c r="H81" s="81">
        <v>6</v>
      </c>
      <c r="I81" s="101" t="s">
        <v>71</v>
      </c>
      <c r="J81" s="101" t="s">
        <v>71</v>
      </c>
      <c r="K81" s="101" t="s">
        <v>171</v>
      </c>
      <c r="L81" s="80" t="s">
        <v>1491</v>
      </c>
      <c r="M81" s="101" t="s">
        <v>1528</v>
      </c>
      <c r="N81" s="101">
        <v>2</v>
      </c>
      <c r="O81" s="101">
        <v>100</v>
      </c>
      <c r="P81" s="101">
        <v>200</v>
      </c>
      <c r="Q81" s="102">
        <v>8</v>
      </c>
      <c r="R81" s="102">
        <v>8</v>
      </c>
      <c r="S81" s="102"/>
      <c r="T81" s="102"/>
      <c r="U81" s="95"/>
      <c r="V81" s="95"/>
      <c r="W81" s="95"/>
    </row>
    <row r="82" spans="2:23" ht="12.75">
      <c r="B82" s="34" t="s">
        <v>40</v>
      </c>
      <c r="C82" s="34" t="s">
        <v>17</v>
      </c>
      <c r="D82" s="90" t="s">
        <v>667</v>
      </c>
      <c r="E82" s="80" t="s">
        <v>91</v>
      </c>
      <c r="F82" s="81">
        <v>3</v>
      </c>
      <c r="G82" s="81">
        <v>0</v>
      </c>
      <c r="H82" s="81">
        <v>6</v>
      </c>
      <c r="I82" s="101" t="s">
        <v>71</v>
      </c>
      <c r="J82" s="101" t="s">
        <v>71</v>
      </c>
      <c r="K82" s="101" t="s">
        <v>76</v>
      </c>
      <c r="L82" s="80" t="s">
        <v>1488</v>
      </c>
      <c r="M82" s="101" t="s">
        <v>1562</v>
      </c>
      <c r="N82" s="101">
        <v>1</v>
      </c>
      <c r="O82" s="101">
        <v>90</v>
      </c>
      <c r="P82" s="101">
        <v>90</v>
      </c>
      <c r="Q82" s="102">
        <v>3</v>
      </c>
      <c r="R82" s="102">
        <v>3</v>
      </c>
      <c r="S82" s="102"/>
      <c r="T82" s="102"/>
      <c r="U82" s="95"/>
      <c r="V82" s="95"/>
      <c r="W82" s="95"/>
    </row>
    <row r="83" spans="2:23" ht="12.75">
      <c r="B83" s="34" t="s">
        <v>40</v>
      </c>
      <c r="C83" s="34" t="s">
        <v>17</v>
      </c>
      <c r="D83" s="90" t="s">
        <v>667</v>
      </c>
      <c r="E83" s="80" t="s">
        <v>91</v>
      </c>
      <c r="F83" s="81">
        <v>3</v>
      </c>
      <c r="G83" s="81">
        <v>0</v>
      </c>
      <c r="H83" s="81">
        <v>6</v>
      </c>
      <c r="I83" s="101" t="s">
        <v>71</v>
      </c>
      <c r="J83" s="101" t="s">
        <v>71</v>
      </c>
      <c r="K83" s="101" t="s">
        <v>76</v>
      </c>
      <c r="L83" s="80" t="s">
        <v>1491</v>
      </c>
      <c r="M83" s="101" t="s">
        <v>1562</v>
      </c>
      <c r="N83" s="101">
        <v>2</v>
      </c>
      <c r="O83" s="101">
        <v>90</v>
      </c>
      <c r="P83" s="101">
        <v>180</v>
      </c>
      <c r="Q83" s="102">
        <v>6</v>
      </c>
      <c r="R83" s="102">
        <v>6</v>
      </c>
      <c r="S83" s="102"/>
      <c r="T83" s="102"/>
      <c r="U83" s="95"/>
      <c r="V83" s="95"/>
      <c r="W83" s="95"/>
    </row>
    <row r="84" spans="2:23" ht="12.75">
      <c r="B84" s="34" t="s">
        <v>40</v>
      </c>
      <c r="C84" s="34" t="s">
        <v>17</v>
      </c>
      <c r="D84" s="90" t="s">
        <v>667</v>
      </c>
      <c r="E84" s="80" t="s">
        <v>91</v>
      </c>
      <c r="F84" s="81">
        <v>3</v>
      </c>
      <c r="G84" s="81">
        <v>0</v>
      </c>
      <c r="H84" s="81">
        <v>6</v>
      </c>
      <c r="I84" s="101" t="s">
        <v>71</v>
      </c>
      <c r="J84" s="101" t="s">
        <v>71</v>
      </c>
      <c r="K84" s="101" t="s">
        <v>76</v>
      </c>
      <c r="L84" s="80" t="s">
        <v>1488</v>
      </c>
      <c r="M84" s="101" t="s">
        <v>1528</v>
      </c>
      <c r="N84" s="101">
        <v>1</v>
      </c>
      <c r="O84" s="101">
        <v>100</v>
      </c>
      <c r="P84" s="101">
        <v>100</v>
      </c>
      <c r="Q84" s="102">
        <v>3</v>
      </c>
      <c r="R84" s="102">
        <v>3</v>
      </c>
      <c r="S84" s="102"/>
      <c r="T84" s="102"/>
      <c r="U84" s="95"/>
      <c r="V84" s="95"/>
      <c r="W84" s="95"/>
    </row>
    <row r="85" spans="2:23" ht="12.75">
      <c r="B85" s="34" t="s">
        <v>40</v>
      </c>
      <c r="C85" s="34" t="s">
        <v>17</v>
      </c>
      <c r="D85" s="90" t="s">
        <v>667</v>
      </c>
      <c r="E85" s="80" t="s">
        <v>91</v>
      </c>
      <c r="F85" s="81">
        <v>3</v>
      </c>
      <c r="G85" s="81">
        <v>0</v>
      </c>
      <c r="H85" s="81">
        <v>6</v>
      </c>
      <c r="I85" s="101" t="s">
        <v>71</v>
      </c>
      <c r="J85" s="101" t="s">
        <v>71</v>
      </c>
      <c r="K85" s="101" t="s">
        <v>76</v>
      </c>
      <c r="L85" s="80" t="s">
        <v>1491</v>
      </c>
      <c r="M85" s="101" t="s">
        <v>1528</v>
      </c>
      <c r="N85" s="101">
        <v>2</v>
      </c>
      <c r="O85" s="101">
        <v>100</v>
      </c>
      <c r="P85" s="101">
        <v>200</v>
      </c>
      <c r="Q85" s="102">
        <v>6</v>
      </c>
      <c r="R85" s="102">
        <v>6</v>
      </c>
      <c r="S85" s="102"/>
      <c r="T85" s="102"/>
      <c r="U85" s="95"/>
      <c r="V85" s="95"/>
      <c r="W85" s="95"/>
    </row>
    <row r="86" spans="2:23" ht="12.75">
      <c r="B86" s="34" t="s">
        <v>40</v>
      </c>
      <c r="C86" s="34" t="s">
        <v>17</v>
      </c>
      <c r="D86" s="90" t="s">
        <v>808</v>
      </c>
      <c r="E86" s="80" t="s">
        <v>414</v>
      </c>
      <c r="F86" s="81">
        <v>4</v>
      </c>
      <c r="G86" s="81">
        <v>0</v>
      </c>
      <c r="H86" s="81">
        <v>4</v>
      </c>
      <c r="I86" s="101" t="s">
        <v>71</v>
      </c>
      <c r="J86" s="101" t="s">
        <v>71</v>
      </c>
      <c r="K86" s="101" t="s">
        <v>809</v>
      </c>
      <c r="L86" s="80" t="s">
        <v>1488</v>
      </c>
      <c r="M86" s="101" t="s">
        <v>1562</v>
      </c>
      <c r="N86" s="101">
        <v>1</v>
      </c>
      <c r="O86" s="101">
        <v>90</v>
      </c>
      <c r="P86" s="101">
        <v>90</v>
      </c>
      <c r="Q86" s="102">
        <v>4</v>
      </c>
      <c r="R86" s="102">
        <v>4</v>
      </c>
      <c r="S86" s="102"/>
      <c r="T86" s="102"/>
      <c r="U86" s="95"/>
      <c r="V86" s="95"/>
      <c r="W86" s="95"/>
    </row>
    <row r="87" spans="2:23" ht="12.75">
      <c r="B87" s="34" t="s">
        <v>40</v>
      </c>
      <c r="C87" s="34" t="s">
        <v>17</v>
      </c>
      <c r="D87" s="90" t="s">
        <v>808</v>
      </c>
      <c r="E87" s="80" t="s">
        <v>414</v>
      </c>
      <c r="F87" s="81">
        <v>4</v>
      </c>
      <c r="G87" s="81">
        <v>0</v>
      </c>
      <c r="H87" s="81">
        <v>4</v>
      </c>
      <c r="I87" s="101" t="s">
        <v>71</v>
      </c>
      <c r="J87" s="101" t="s">
        <v>71</v>
      </c>
      <c r="K87" s="101" t="s">
        <v>809</v>
      </c>
      <c r="L87" s="80" t="s">
        <v>1491</v>
      </c>
      <c r="M87" s="101" t="s">
        <v>1562</v>
      </c>
      <c r="N87" s="101">
        <v>1</v>
      </c>
      <c r="O87" s="101">
        <v>90</v>
      </c>
      <c r="P87" s="101">
        <v>90</v>
      </c>
      <c r="Q87" s="102">
        <v>4</v>
      </c>
      <c r="R87" s="102">
        <v>4</v>
      </c>
      <c r="S87" s="102"/>
      <c r="T87" s="102"/>
      <c r="U87" s="95"/>
      <c r="V87" s="95"/>
      <c r="W87" s="95"/>
    </row>
    <row r="88" spans="2:23" ht="12.75">
      <c r="B88" s="34" t="s">
        <v>40</v>
      </c>
      <c r="C88" s="34" t="s">
        <v>17</v>
      </c>
      <c r="D88" s="90" t="s">
        <v>808</v>
      </c>
      <c r="E88" s="80" t="s">
        <v>414</v>
      </c>
      <c r="F88" s="81">
        <v>4</v>
      </c>
      <c r="G88" s="81">
        <v>0</v>
      </c>
      <c r="H88" s="81">
        <v>4</v>
      </c>
      <c r="I88" s="101" t="s">
        <v>71</v>
      </c>
      <c r="J88" s="101" t="s">
        <v>71</v>
      </c>
      <c r="K88" s="101" t="s">
        <v>809</v>
      </c>
      <c r="L88" s="80" t="s">
        <v>1488</v>
      </c>
      <c r="M88" s="101" t="s">
        <v>1528</v>
      </c>
      <c r="N88" s="101">
        <v>1</v>
      </c>
      <c r="O88" s="101">
        <v>90</v>
      </c>
      <c r="P88" s="101">
        <v>90</v>
      </c>
      <c r="Q88" s="102">
        <v>4</v>
      </c>
      <c r="R88" s="102">
        <v>4</v>
      </c>
      <c r="S88" s="102"/>
      <c r="T88" s="102"/>
      <c r="U88" s="95"/>
      <c r="V88" s="95"/>
      <c r="W88" s="95"/>
    </row>
    <row r="89" spans="2:23" ht="12.75">
      <c r="B89" s="34" t="s">
        <v>40</v>
      </c>
      <c r="C89" s="34" t="s">
        <v>17</v>
      </c>
      <c r="D89" s="90" t="s">
        <v>808</v>
      </c>
      <c r="E89" s="80" t="s">
        <v>414</v>
      </c>
      <c r="F89" s="81">
        <v>4</v>
      </c>
      <c r="G89" s="81">
        <v>0</v>
      </c>
      <c r="H89" s="81">
        <v>4</v>
      </c>
      <c r="I89" s="101" t="s">
        <v>71</v>
      </c>
      <c r="J89" s="101" t="s">
        <v>71</v>
      </c>
      <c r="K89" s="101" t="s">
        <v>809</v>
      </c>
      <c r="L89" s="80" t="s">
        <v>1491</v>
      </c>
      <c r="M89" s="101" t="s">
        <v>1528</v>
      </c>
      <c r="N89" s="101">
        <v>1</v>
      </c>
      <c r="O89" s="101">
        <v>90</v>
      </c>
      <c r="P89" s="101">
        <v>90</v>
      </c>
      <c r="Q89" s="102">
        <v>4</v>
      </c>
      <c r="R89" s="102">
        <v>4</v>
      </c>
      <c r="S89" s="102"/>
      <c r="T89" s="102"/>
      <c r="U89" s="95"/>
      <c r="V89" s="95"/>
      <c r="W89" s="95"/>
    </row>
    <row r="90" spans="2:23" ht="12.75">
      <c r="B90" s="34" t="s">
        <v>40</v>
      </c>
      <c r="C90" s="34" t="s">
        <v>17</v>
      </c>
      <c r="D90" s="90" t="s">
        <v>1384</v>
      </c>
      <c r="E90" s="80" t="s">
        <v>308</v>
      </c>
      <c r="F90" s="81">
        <v>3</v>
      </c>
      <c r="G90" s="81">
        <v>0</v>
      </c>
      <c r="H90" s="81">
        <v>4</v>
      </c>
      <c r="I90" s="101" t="s">
        <v>71</v>
      </c>
      <c r="J90" s="101" t="s">
        <v>71</v>
      </c>
      <c r="K90" s="101" t="s">
        <v>1385</v>
      </c>
      <c r="L90" s="80" t="s">
        <v>1488</v>
      </c>
      <c r="M90" s="101" t="s">
        <v>1562</v>
      </c>
      <c r="N90" s="101">
        <v>5</v>
      </c>
      <c r="O90" s="101">
        <v>90</v>
      </c>
      <c r="P90" s="101">
        <v>450</v>
      </c>
      <c r="Q90" s="102">
        <v>15</v>
      </c>
      <c r="R90" s="102">
        <v>15</v>
      </c>
      <c r="S90" s="102"/>
      <c r="T90" s="102"/>
      <c r="U90" s="95"/>
      <c r="V90" s="95"/>
      <c r="W90" s="95"/>
    </row>
    <row r="91" spans="2:23" ht="12.75">
      <c r="B91" s="34" t="s">
        <v>40</v>
      </c>
      <c r="C91" s="34" t="s">
        <v>17</v>
      </c>
      <c r="D91" s="90" t="s">
        <v>1384</v>
      </c>
      <c r="E91" s="80" t="s">
        <v>308</v>
      </c>
      <c r="F91" s="81">
        <v>3</v>
      </c>
      <c r="G91" s="81">
        <v>0</v>
      </c>
      <c r="H91" s="81">
        <v>4</v>
      </c>
      <c r="I91" s="101" t="s">
        <v>71</v>
      </c>
      <c r="J91" s="101" t="s">
        <v>71</v>
      </c>
      <c r="K91" s="101" t="s">
        <v>1385</v>
      </c>
      <c r="L91" s="80" t="s">
        <v>1491</v>
      </c>
      <c r="M91" s="101" t="s">
        <v>1562</v>
      </c>
      <c r="N91" s="101">
        <v>5</v>
      </c>
      <c r="O91" s="101">
        <v>90</v>
      </c>
      <c r="P91" s="101">
        <v>450</v>
      </c>
      <c r="Q91" s="102">
        <v>15</v>
      </c>
      <c r="R91" s="102">
        <v>15</v>
      </c>
      <c r="S91" s="102"/>
      <c r="T91" s="102"/>
      <c r="U91" s="95"/>
      <c r="V91" s="95"/>
      <c r="W91" s="95"/>
    </row>
    <row r="92" spans="2:23" ht="12.75">
      <c r="B92" s="34" t="s">
        <v>40</v>
      </c>
      <c r="C92" s="34" t="s">
        <v>17</v>
      </c>
      <c r="D92" s="90" t="s">
        <v>1384</v>
      </c>
      <c r="E92" s="80" t="s">
        <v>308</v>
      </c>
      <c r="F92" s="81">
        <v>3</v>
      </c>
      <c r="G92" s="81">
        <v>0</v>
      </c>
      <c r="H92" s="81">
        <v>4</v>
      </c>
      <c r="I92" s="101" t="s">
        <v>71</v>
      </c>
      <c r="J92" s="101" t="s">
        <v>71</v>
      </c>
      <c r="K92" s="101" t="s">
        <v>1385</v>
      </c>
      <c r="L92" s="80" t="s">
        <v>1488</v>
      </c>
      <c r="M92" s="101" t="s">
        <v>1528</v>
      </c>
      <c r="N92" s="101">
        <v>1</v>
      </c>
      <c r="O92" s="101">
        <v>90</v>
      </c>
      <c r="P92" s="101">
        <v>90</v>
      </c>
      <c r="Q92" s="102">
        <v>3</v>
      </c>
      <c r="R92" s="102">
        <v>3</v>
      </c>
      <c r="S92" s="102"/>
      <c r="T92" s="102"/>
      <c r="U92" s="95"/>
      <c r="V92" s="95"/>
      <c r="W92" s="95"/>
    </row>
    <row r="93" spans="2:23" ht="12.75">
      <c r="B93" s="34" t="s">
        <v>40</v>
      </c>
      <c r="C93" s="34" t="s">
        <v>17</v>
      </c>
      <c r="D93" s="90" t="s">
        <v>1384</v>
      </c>
      <c r="E93" s="80" t="s">
        <v>308</v>
      </c>
      <c r="F93" s="81">
        <v>3</v>
      </c>
      <c r="G93" s="81">
        <v>0</v>
      </c>
      <c r="H93" s="81">
        <v>4</v>
      </c>
      <c r="I93" s="101" t="s">
        <v>71</v>
      </c>
      <c r="J93" s="101" t="s">
        <v>71</v>
      </c>
      <c r="K93" s="101" t="s">
        <v>1385</v>
      </c>
      <c r="L93" s="80" t="s">
        <v>1491</v>
      </c>
      <c r="M93" s="101" t="s">
        <v>1528</v>
      </c>
      <c r="N93" s="101">
        <v>1</v>
      </c>
      <c r="O93" s="101">
        <v>90</v>
      </c>
      <c r="P93" s="101">
        <v>90</v>
      </c>
      <c r="Q93" s="102">
        <v>3</v>
      </c>
      <c r="R93" s="102">
        <v>3</v>
      </c>
      <c r="S93" s="102"/>
      <c r="T93" s="102"/>
      <c r="U93" s="95"/>
      <c r="V93" s="95"/>
      <c r="W93" s="95"/>
    </row>
    <row r="94" spans="2:23" ht="12.75">
      <c r="B94" s="34" t="s">
        <v>40</v>
      </c>
      <c r="C94" s="34" t="s">
        <v>17</v>
      </c>
      <c r="D94" s="90" t="s">
        <v>629</v>
      </c>
      <c r="E94" s="80" t="s">
        <v>227</v>
      </c>
      <c r="F94" s="81">
        <v>4</v>
      </c>
      <c r="G94" s="81">
        <v>0</v>
      </c>
      <c r="H94" s="81">
        <v>4</v>
      </c>
      <c r="I94" s="101" t="s">
        <v>71</v>
      </c>
      <c r="J94" s="101" t="s">
        <v>71</v>
      </c>
      <c r="K94" s="101" t="s">
        <v>630</v>
      </c>
      <c r="L94" s="80" t="s">
        <v>1488</v>
      </c>
      <c r="M94" s="101" t="s">
        <v>1562</v>
      </c>
      <c r="N94" s="101">
        <v>1</v>
      </c>
      <c r="O94" s="101">
        <v>90</v>
      </c>
      <c r="P94" s="101">
        <v>90</v>
      </c>
      <c r="Q94" s="102">
        <v>4</v>
      </c>
      <c r="R94" s="102">
        <v>4</v>
      </c>
      <c r="S94" s="102"/>
      <c r="T94" s="102"/>
      <c r="U94" s="95"/>
      <c r="V94" s="95"/>
      <c r="W94" s="95"/>
    </row>
    <row r="95" spans="2:23" ht="12.75">
      <c r="B95" s="34" t="s">
        <v>40</v>
      </c>
      <c r="C95" s="34" t="s">
        <v>17</v>
      </c>
      <c r="D95" s="90" t="s">
        <v>629</v>
      </c>
      <c r="E95" s="80" t="s">
        <v>227</v>
      </c>
      <c r="F95" s="81">
        <v>4</v>
      </c>
      <c r="G95" s="81">
        <v>0</v>
      </c>
      <c r="H95" s="81">
        <v>4</v>
      </c>
      <c r="I95" s="101" t="s">
        <v>71</v>
      </c>
      <c r="J95" s="101" t="s">
        <v>71</v>
      </c>
      <c r="K95" s="101" t="s">
        <v>630</v>
      </c>
      <c r="L95" s="80" t="s">
        <v>1491</v>
      </c>
      <c r="M95" s="101" t="s">
        <v>1562</v>
      </c>
      <c r="N95" s="101">
        <v>1</v>
      </c>
      <c r="O95" s="101">
        <v>90</v>
      </c>
      <c r="P95" s="101">
        <v>90</v>
      </c>
      <c r="Q95" s="102">
        <v>4</v>
      </c>
      <c r="R95" s="102">
        <v>4</v>
      </c>
      <c r="S95" s="102"/>
      <c r="T95" s="102"/>
      <c r="U95" s="95"/>
      <c r="V95" s="95"/>
      <c r="W95" s="95"/>
    </row>
    <row r="96" spans="2:23" ht="12.75">
      <c r="B96" s="34" t="s">
        <v>40</v>
      </c>
      <c r="C96" s="34" t="s">
        <v>17</v>
      </c>
      <c r="D96" s="90" t="s">
        <v>629</v>
      </c>
      <c r="E96" s="80" t="s">
        <v>227</v>
      </c>
      <c r="F96" s="81">
        <v>4</v>
      </c>
      <c r="G96" s="81">
        <v>0</v>
      </c>
      <c r="H96" s="81">
        <v>4</v>
      </c>
      <c r="I96" s="101" t="s">
        <v>71</v>
      </c>
      <c r="J96" s="101" t="s">
        <v>71</v>
      </c>
      <c r="K96" s="101" t="s">
        <v>630</v>
      </c>
      <c r="L96" s="80" t="s">
        <v>1488</v>
      </c>
      <c r="M96" s="101" t="s">
        <v>1528</v>
      </c>
      <c r="N96" s="101">
        <v>1</v>
      </c>
      <c r="O96" s="101">
        <v>90</v>
      </c>
      <c r="P96" s="101">
        <v>90</v>
      </c>
      <c r="Q96" s="102">
        <v>4</v>
      </c>
      <c r="R96" s="102">
        <v>4</v>
      </c>
      <c r="S96" s="102"/>
      <c r="T96" s="102"/>
      <c r="U96" s="95"/>
      <c r="V96" s="95"/>
      <c r="W96" s="95"/>
    </row>
    <row r="97" spans="2:23" ht="12.75">
      <c r="B97" s="34" t="s">
        <v>40</v>
      </c>
      <c r="C97" s="34" t="s">
        <v>17</v>
      </c>
      <c r="D97" s="90" t="s">
        <v>629</v>
      </c>
      <c r="E97" s="80" t="s">
        <v>227</v>
      </c>
      <c r="F97" s="81">
        <v>4</v>
      </c>
      <c r="G97" s="81">
        <v>0</v>
      </c>
      <c r="H97" s="81">
        <v>4</v>
      </c>
      <c r="I97" s="101" t="s">
        <v>71</v>
      </c>
      <c r="J97" s="101" t="s">
        <v>71</v>
      </c>
      <c r="K97" s="101" t="s">
        <v>630</v>
      </c>
      <c r="L97" s="80" t="s">
        <v>1491</v>
      </c>
      <c r="M97" s="101" t="s">
        <v>1528</v>
      </c>
      <c r="N97" s="101">
        <v>1</v>
      </c>
      <c r="O97" s="101">
        <v>90</v>
      </c>
      <c r="P97" s="101">
        <v>90</v>
      </c>
      <c r="Q97" s="102">
        <v>4</v>
      </c>
      <c r="R97" s="102">
        <v>4</v>
      </c>
      <c r="S97" s="102"/>
      <c r="T97" s="102"/>
      <c r="U97" s="95"/>
      <c r="V97" s="95"/>
      <c r="W97" s="95"/>
    </row>
    <row r="98" spans="2:23" ht="12.75">
      <c r="B98" s="34" t="s">
        <v>40</v>
      </c>
      <c r="C98" s="34" t="s">
        <v>17</v>
      </c>
      <c r="D98" s="90" t="s">
        <v>950</v>
      </c>
      <c r="E98" s="80" t="s">
        <v>951</v>
      </c>
      <c r="F98" s="81">
        <v>3</v>
      </c>
      <c r="G98" s="81">
        <v>0</v>
      </c>
      <c r="H98" s="81">
        <v>4</v>
      </c>
      <c r="I98" s="101" t="s">
        <v>71</v>
      </c>
      <c r="J98" s="101" t="s">
        <v>71</v>
      </c>
      <c r="K98" s="101" t="s">
        <v>167</v>
      </c>
      <c r="L98" s="80" t="s">
        <v>1488</v>
      </c>
      <c r="M98" s="101" t="s">
        <v>1562</v>
      </c>
      <c r="N98" s="101">
        <v>5</v>
      </c>
      <c r="O98" s="101">
        <v>90</v>
      </c>
      <c r="P98" s="101">
        <v>450</v>
      </c>
      <c r="Q98" s="102">
        <v>15</v>
      </c>
      <c r="R98" s="102">
        <v>15</v>
      </c>
      <c r="S98" s="102"/>
      <c r="T98" s="102"/>
      <c r="U98" s="95"/>
      <c r="V98" s="95"/>
      <c r="W98" s="95"/>
    </row>
    <row r="99" spans="2:23" ht="12.75">
      <c r="B99" s="34" t="s">
        <v>40</v>
      </c>
      <c r="C99" s="34" t="s">
        <v>17</v>
      </c>
      <c r="D99" s="90" t="s">
        <v>950</v>
      </c>
      <c r="E99" s="80" t="s">
        <v>951</v>
      </c>
      <c r="F99" s="81">
        <v>3</v>
      </c>
      <c r="G99" s="81">
        <v>0</v>
      </c>
      <c r="H99" s="81">
        <v>4</v>
      </c>
      <c r="I99" s="101" t="s">
        <v>71</v>
      </c>
      <c r="J99" s="101" t="s">
        <v>71</v>
      </c>
      <c r="K99" s="101" t="s">
        <v>167</v>
      </c>
      <c r="L99" s="80" t="s">
        <v>1491</v>
      </c>
      <c r="M99" s="101" t="s">
        <v>1562</v>
      </c>
      <c r="N99" s="101">
        <v>5</v>
      </c>
      <c r="O99" s="101">
        <v>90</v>
      </c>
      <c r="P99" s="101">
        <v>450</v>
      </c>
      <c r="Q99" s="102">
        <v>15</v>
      </c>
      <c r="R99" s="102">
        <v>15</v>
      </c>
      <c r="S99" s="102"/>
      <c r="T99" s="102"/>
      <c r="U99" s="95"/>
      <c r="V99" s="95"/>
      <c r="W99" s="95"/>
    </row>
    <row r="100" spans="2:23" ht="12.75">
      <c r="B100" s="34" t="s">
        <v>40</v>
      </c>
      <c r="C100" s="34" t="s">
        <v>17</v>
      </c>
      <c r="D100" s="90" t="s">
        <v>950</v>
      </c>
      <c r="E100" s="80" t="s">
        <v>951</v>
      </c>
      <c r="F100" s="81">
        <v>3</v>
      </c>
      <c r="G100" s="81">
        <v>0</v>
      </c>
      <c r="H100" s="81">
        <v>4</v>
      </c>
      <c r="I100" s="101" t="s">
        <v>71</v>
      </c>
      <c r="J100" s="101" t="s">
        <v>71</v>
      </c>
      <c r="K100" s="101" t="s">
        <v>167</v>
      </c>
      <c r="L100" s="80" t="s">
        <v>1488</v>
      </c>
      <c r="M100" s="101" t="s">
        <v>1528</v>
      </c>
      <c r="N100" s="101">
        <v>2</v>
      </c>
      <c r="O100" s="101">
        <v>90</v>
      </c>
      <c r="P100" s="101">
        <v>180</v>
      </c>
      <c r="Q100" s="102">
        <v>6</v>
      </c>
      <c r="R100" s="102">
        <v>6</v>
      </c>
      <c r="S100" s="102"/>
      <c r="T100" s="102"/>
      <c r="U100" s="95"/>
      <c r="V100" s="95"/>
      <c r="W100" s="95"/>
    </row>
    <row r="101" spans="2:23" ht="12.75">
      <c r="B101" s="34" t="s">
        <v>40</v>
      </c>
      <c r="C101" s="34" t="s">
        <v>17</v>
      </c>
      <c r="D101" s="90" t="s">
        <v>950</v>
      </c>
      <c r="E101" s="80" t="s">
        <v>951</v>
      </c>
      <c r="F101" s="81">
        <v>3</v>
      </c>
      <c r="G101" s="81">
        <v>0</v>
      </c>
      <c r="H101" s="81">
        <v>4</v>
      </c>
      <c r="I101" s="101" t="s">
        <v>71</v>
      </c>
      <c r="J101" s="101" t="s">
        <v>71</v>
      </c>
      <c r="K101" s="101" t="s">
        <v>167</v>
      </c>
      <c r="L101" s="80" t="s">
        <v>1491</v>
      </c>
      <c r="M101" s="101" t="s">
        <v>1528</v>
      </c>
      <c r="N101" s="101">
        <v>2</v>
      </c>
      <c r="O101" s="101">
        <v>90</v>
      </c>
      <c r="P101" s="101">
        <v>180</v>
      </c>
      <c r="Q101" s="102">
        <v>6</v>
      </c>
      <c r="R101" s="102">
        <v>6</v>
      </c>
      <c r="S101" s="102"/>
      <c r="T101" s="102"/>
      <c r="U101" s="95"/>
      <c r="V101" s="95"/>
      <c r="W101" s="95"/>
    </row>
    <row r="102" spans="2:23" ht="12.75">
      <c r="B102" s="34" t="s">
        <v>40</v>
      </c>
      <c r="C102" s="34" t="s">
        <v>17</v>
      </c>
      <c r="D102" s="90" t="s">
        <v>542</v>
      </c>
      <c r="E102" s="80" t="s">
        <v>543</v>
      </c>
      <c r="F102" s="81">
        <v>3</v>
      </c>
      <c r="G102" s="81">
        <v>0</v>
      </c>
      <c r="H102" s="81">
        <v>4</v>
      </c>
      <c r="I102" s="101" t="s">
        <v>71</v>
      </c>
      <c r="J102" s="101" t="s">
        <v>71</v>
      </c>
      <c r="K102" s="101" t="s">
        <v>76</v>
      </c>
      <c r="L102" s="80" t="s">
        <v>1488</v>
      </c>
      <c r="M102" s="101" t="s">
        <v>1562</v>
      </c>
      <c r="N102" s="101">
        <v>1</v>
      </c>
      <c r="O102" s="101">
        <v>90</v>
      </c>
      <c r="P102" s="101">
        <v>90</v>
      </c>
      <c r="Q102" s="102">
        <v>3</v>
      </c>
      <c r="R102" s="102">
        <v>3</v>
      </c>
      <c r="S102" s="102"/>
      <c r="T102" s="102"/>
      <c r="U102" s="95"/>
      <c r="V102" s="95"/>
      <c r="W102" s="95"/>
    </row>
    <row r="103" spans="2:23" ht="12.75">
      <c r="B103" s="34" t="s">
        <v>40</v>
      </c>
      <c r="C103" s="34" t="s">
        <v>17</v>
      </c>
      <c r="D103" s="90" t="s">
        <v>542</v>
      </c>
      <c r="E103" s="80" t="s">
        <v>543</v>
      </c>
      <c r="F103" s="81">
        <v>3</v>
      </c>
      <c r="G103" s="81">
        <v>0</v>
      </c>
      <c r="H103" s="81">
        <v>4</v>
      </c>
      <c r="I103" s="101" t="s">
        <v>71</v>
      </c>
      <c r="J103" s="101" t="s">
        <v>71</v>
      </c>
      <c r="K103" s="101" t="s">
        <v>76</v>
      </c>
      <c r="L103" s="80" t="s">
        <v>1491</v>
      </c>
      <c r="M103" s="101" t="s">
        <v>1562</v>
      </c>
      <c r="N103" s="101">
        <v>1</v>
      </c>
      <c r="O103" s="101">
        <v>90</v>
      </c>
      <c r="P103" s="101">
        <v>90</v>
      </c>
      <c r="Q103" s="102">
        <v>3</v>
      </c>
      <c r="R103" s="102">
        <v>3</v>
      </c>
      <c r="S103" s="102"/>
      <c r="T103" s="102"/>
      <c r="U103" s="95"/>
      <c r="V103" s="95"/>
      <c r="W103" s="95"/>
    </row>
    <row r="104" spans="2:23" ht="12.75">
      <c r="B104" s="34" t="s">
        <v>40</v>
      </c>
      <c r="C104" s="34" t="s">
        <v>17</v>
      </c>
      <c r="D104" s="90" t="s">
        <v>542</v>
      </c>
      <c r="E104" s="80" t="s">
        <v>543</v>
      </c>
      <c r="F104" s="81">
        <v>3</v>
      </c>
      <c r="G104" s="81">
        <v>0</v>
      </c>
      <c r="H104" s="81">
        <v>4</v>
      </c>
      <c r="I104" s="101" t="s">
        <v>71</v>
      </c>
      <c r="J104" s="101" t="s">
        <v>71</v>
      </c>
      <c r="K104" s="101" t="s">
        <v>76</v>
      </c>
      <c r="L104" s="80" t="s">
        <v>1488</v>
      </c>
      <c r="M104" s="101" t="s">
        <v>1528</v>
      </c>
      <c r="N104" s="101">
        <v>2</v>
      </c>
      <c r="O104" s="101">
        <v>90</v>
      </c>
      <c r="P104" s="101">
        <v>180</v>
      </c>
      <c r="Q104" s="102">
        <v>6</v>
      </c>
      <c r="R104" s="102">
        <v>6</v>
      </c>
      <c r="S104" s="102"/>
      <c r="T104" s="102"/>
      <c r="U104" s="95"/>
      <c r="V104" s="95"/>
      <c r="W104" s="95"/>
    </row>
    <row r="105" spans="2:23" ht="12.75">
      <c r="B105" s="34" t="s">
        <v>40</v>
      </c>
      <c r="C105" s="34" t="s">
        <v>17</v>
      </c>
      <c r="D105" s="90" t="s">
        <v>542</v>
      </c>
      <c r="E105" s="80" t="s">
        <v>543</v>
      </c>
      <c r="F105" s="81">
        <v>3</v>
      </c>
      <c r="G105" s="81">
        <v>0</v>
      </c>
      <c r="H105" s="81">
        <v>4</v>
      </c>
      <c r="I105" s="101" t="s">
        <v>71</v>
      </c>
      <c r="J105" s="101" t="s">
        <v>71</v>
      </c>
      <c r="K105" s="101" t="s">
        <v>76</v>
      </c>
      <c r="L105" s="80" t="s">
        <v>1491</v>
      </c>
      <c r="M105" s="101" t="s">
        <v>1528</v>
      </c>
      <c r="N105" s="101">
        <v>2</v>
      </c>
      <c r="O105" s="101">
        <v>90</v>
      </c>
      <c r="P105" s="101">
        <v>180</v>
      </c>
      <c r="Q105" s="102">
        <v>6</v>
      </c>
      <c r="R105" s="102">
        <v>6</v>
      </c>
      <c r="S105" s="102"/>
      <c r="T105" s="102"/>
      <c r="U105" s="95"/>
      <c r="V105" s="95"/>
      <c r="W105" s="95"/>
    </row>
    <row r="106" spans="2:23" ht="12.75">
      <c r="B106" s="34" t="s">
        <v>40</v>
      </c>
      <c r="C106" s="34" t="s">
        <v>17</v>
      </c>
      <c r="D106" s="90" t="s">
        <v>256</v>
      </c>
      <c r="E106" s="80" t="s">
        <v>257</v>
      </c>
      <c r="F106" s="81">
        <v>3</v>
      </c>
      <c r="G106" s="81">
        <v>0</v>
      </c>
      <c r="H106" s="81">
        <v>4</v>
      </c>
      <c r="I106" s="101" t="s">
        <v>71</v>
      </c>
      <c r="J106" s="101" t="s">
        <v>71</v>
      </c>
      <c r="K106" s="101" t="s">
        <v>76</v>
      </c>
      <c r="L106" s="80" t="s">
        <v>1488</v>
      </c>
      <c r="M106" s="101" t="s">
        <v>1562</v>
      </c>
      <c r="N106" s="101">
        <v>2</v>
      </c>
      <c r="O106" s="101">
        <v>90</v>
      </c>
      <c r="P106" s="101">
        <v>180</v>
      </c>
      <c r="Q106" s="102">
        <v>6</v>
      </c>
      <c r="R106" s="102">
        <v>6</v>
      </c>
      <c r="S106" s="102"/>
      <c r="T106" s="102"/>
      <c r="U106" s="95"/>
      <c r="V106" s="95"/>
      <c r="W106" s="95"/>
    </row>
    <row r="107" spans="2:23" ht="12.75">
      <c r="B107" s="34" t="s">
        <v>40</v>
      </c>
      <c r="C107" s="34" t="s">
        <v>17</v>
      </c>
      <c r="D107" s="90" t="s">
        <v>256</v>
      </c>
      <c r="E107" s="80" t="s">
        <v>257</v>
      </c>
      <c r="F107" s="81">
        <v>3</v>
      </c>
      <c r="G107" s="81">
        <v>0</v>
      </c>
      <c r="H107" s="81">
        <v>4</v>
      </c>
      <c r="I107" s="101" t="s">
        <v>71</v>
      </c>
      <c r="J107" s="101" t="s">
        <v>71</v>
      </c>
      <c r="K107" s="101" t="s">
        <v>76</v>
      </c>
      <c r="L107" s="80" t="s">
        <v>1491</v>
      </c>
      <c r="M107" s="101" t="s">
        <v>1562</v>
      </c>
      <c r="N107" s="101">
        <v>2</v>
      </c>
      <c r="O107" s="101">
        <v>90</v>
      </c>
      <c r="P107" s="101">
        <v>180</v>
      </c>
      <c r="Q107" s="102">
        <v>6</v>
      </c>
      <c r="R107" s="102">
        <v>6</v>
      </c>
      <c r="S107" s="102"/>
      <c r="T107" s="102"/>
      <c r="U107" s="95"/>
      <c r="V107" s="95"/>
      <c r="W107" s="95"/>
    </row>
    <row r="108" spans="2:23" ht="12.75">
      <c r="B108" s="34" t="s">
        <v>40</v>
      </c>
      <c r="C108" s="34" t="s">
        <v>17</v>
      </c>
      <c r="D108" s="90" t="s">
        <v>256</v>
      </c>
      <c r="E108" s="80" t="s">
        <v>257</v>
      </c>
      <c r="F108" s="81">
        <v>3</v>
      </c>
      <c r="G108" s="81">
        <v>0</v>
      </c>
      <c r="H108" s="81">
        <v>4</v>
      </c>
      <c r="I108" s="101" t="s">
        <v>71</v>
      </c>
      <c r="J108" s="101" t="s">
        <v>71</v>
      </c>
      <c r="K108" s="101" t="s">
        <v>76</v>
      </c>
      <c r="L108" s="80" t="s">
        <v>1488</v>
      </c>
      <c r="M108" s="101" t="s">
        <v>1528</v>
      </c>
      <c r="N108" s="101">
        <v>2</v>
      </c>
      <c r="O108" s="101">
        <v>90</v>
      </c>
      <c r="P108" s="101">
        <v>180</v>
      </c>
      <c r="Q108" s="102">
        <v>6</v>
      </c>
      <c r="R108" s="102">
        <v>6</v>
      </c>
      <c r="S108" s="102"/>
      <c r="T108" s="102"/>
      <c r="U108" s="95"/>
      <c r="V108" s="95"/>
      <c r="W108" s="95"/>
    </row>
    <row r="109" spans="2:23" ht="12.75">
      <c r="B109" s="34" t="s">
        <v>40</v>
      </c>
      <c r="C109" s="34" t="s">
        <v>17</v>
      </c>
      <c r="D109" s="90" t="s">
        <v>256</v>
      </c>
      <c r="E109" s="80" t="s">
        <v>257</v>
      </c>
      <c r="F109" s="81">
        <v>3</v>
      </c>
      <c r="G109" s="81">
        <v>0</v>
      </c>
      <c r="H109" s="81">
        <v>4</v>
      </c>
      <c r="I109" s="101" t="s">
        <v>71</v>
      </c>
      <c r="J109" s="101" t="s">
        <v>71</v>
      </c>
      <c r="K109" s="101" t="s">
        <v>76</v>
      </c>
      <c r="L109" s="80" t="s">
        <v>1491</v>
      </c>
      <c r="M109" s="101" t="s">
        <v>1528</v>
      </c>
      <c r="N109" s="101">
        <v>2</v>
      </c>
      <c r="O109" s="101">
        <v>90</v>
      </c>
      <c r="P109" s="101">
        <v>180</v>
      </c>
      <c r="Q109" s="102">
        <v>6</v>
      </c>
      <c r="R109" s="102">
        <v>6</v>
      </c>
      <c r="S109" s="102"/>
      <c r="T109" s="102"/>
      <c r="U109" s="95"/>
      <c r="V109" s="95"/>
      <c r="W109" s="95"/>
    </row>
    <row r="110" spans="2:23" ht="12.75" hidden="1">
      <c r="B110" s="14" t="s">
        <v>44</v>
      </c>
      <c r="C110" s="14" t="s">
        <v>18</v>
      </c>
      <c r="D110" s="90" t="s">
        <v>185</v>
      </c>
      <c r="E110" s="80" t="s">
        <v>186</v>
      </c>
      <c r="F110" s="81">
        <v>3</v>
      </c>
      <c r="G110" s="81">
        <v>2</v>
      </c>
      <c r="H110" s="81">
        <v>3</v>
      </c>
      <c r="I110" s="101" t="s">
        <v>71</v>
      </c>
      <c r="J110" s="101" t="s">
        <v>71</v>
      </c>
      <c r="K110" s="101" t="s">
        <v>187</v>
      </c>
      <c r="L110" s="80" t="s">
        <v>1488</v>
      </c>
      <c r="M110" s="101" t="s">
        <v>1562</v>
      </c>
      <c r="N110" s="101">
        <v>1</v>
      </c>
      <c r="O110" s="101">
        <v>30</v>
      </c>
      <c r="P110" s="101">
        <v>30</v>
      </c>
      <c r="Q110" s="102">
        <v>5</v>
      </c>
      <c r="R110" s="102">
        <v>5</v>
      </c>
      <c r="S110" s="102" t="s">
        <v>1493</v>
      </c>
      <c r="T110" s="102"/>
      <c r="U110" s="95"/>
      <c r="V110" s="95"/>
      <c r="W110" s="95"/>
    </row>
    <row r="111" spans="2:23" ht="12.75" hidden="1">
      <c r="B111" s="14" t="s">
        <v>44</v>
      </c>
      <c r="C111" s="14" t="s">
        <v>18</v>
      </c>
      <c r="D111" s="90" t="s">
        <v>185</v>
      </c>
      <c r="E111" s="80" t="s">
        <v>186</v>
      </c>
      <c r="F111" s="81">
        <v>3</v>
      </c>
      <c r="G111" s="81">
        <v>2</v>
      </c>
      <c r="H111" s="81">
        <v>3</v>
      </c>
      <c r="I111" s="101" t="s">
        <v>71</v>
      </c>
      <c r="J111" s="101" t="s">
        <v>71</v>
      </c>
      <c r="K111" s="101" t="s">
        <v>187</v>
      </c>
      <c r="L111" s="80" t="s">
        <v>1491</v>
      </c>
      <c r="M111" s="101" t="s">
        <v>1562</v>
      </c>
      <c r="N111" s="101">
        <v>1</v>
      </c>
      <c r="O111" s="101">
        <v>30</v>
      </c>
      <c r="P111" s="101">
        <v>30</v>
      </c>
      <c r="Q111" s="102">
        <v>5</v>
      </c>
      <c r="R111" s="102">
        <v>5</v>
      </c>
      <c r="S111" s="102" t="s">
        <v>1493</v>
      </c>
      <c r="T111" s="102"/>
      <c r="U111" s="95"/>
      <c r="V111" s="95"/>
      <c r="W111" s="95"/>
    </row>
    <row r="112" spans="2:23" ht="12.75" hidden="1">
      <c r="B112" s="14" t="s">
        <v>44</v>
      </c>
      <c r="C112" s="14" t="s">
        <v>18</v>
      </c>
      <c r="D112" s="90" t="s">
        <v>200</v>
      </c>
      <c r="E112" s="80" t="s">
        <v>201</v>
      </c>
      <c r="F112" s="81">
        <v>3</v>
      </c>
      <c r="G112" s="81">
        <v>2</v>
      </c>
      <c r="H112" s="81">
        <v>3</v>
      </c>
      <c r="I112" s="101" t="s">
        <v>71</v>
      </c>
      <c r="J112" s="101" t="s">
        <v>71</v>
      </c>
      <c r="K112" s="101" t="s">
        <v>202</v>
      </c>
      <c r="L112" s="80" t="s">
        <v>1488</v>
      </c>
      <c r="M112" s="101" t="s">
        <v>1562</v>
      </c>
      <c r="N112" s="101">
        <v>1</v>
      </c>
      <c r="O112" s="101">
        <v>30</v>
      </c>
      <c r="P112" s="101">
        <v>30</v>
      </c>
      <c r="Q112" s="102">
        <v>5</v>
      </c>
      <c r="R112" s="102">
        <v>5</v>
      </c>
      <c r="S112" s="102" t="s">
        <v>1493</v>
      </c>
      <c r="T112" s="102"/>
      <c r="U112" s="95"/>
      <c r="V112" s="95"/>
      <c r="W112" s="95"/>
    </row>
    <row r="113" spans="2:23" ht="12.75" hidden="1">
      <c r="B113" s="14" t="s">
        <v>44</v>
      </c>
      <c r="C113" s="14" t="s">
        <v>18</v>
      </c>
      <c r="D113" s="90" t="s">
        <v>200</v>
      </c>
      <c r="E113" s="80" t="s">
        <v>201</v>
      </c>
      <c r="F113" s="81">
        <v>3</v>
      </c>
      <c r="G113" s="81">
        <v>2</v>
      </c>
      <c r="H113" s="81">
        <v>3</v>
      </c>
      <c r="I113" s="101" t="s">
        <v>71</v>
      </c>
      <c r="J113" s="101" t="s">
        <v>71</v>
      </c>
      <c r="K113" s="101" t="s">
        <v>202</v>
      </c>
      <c r="L113" s="80" t="s">
        <v>1491</v>
      </c>
      <c r="M113" s="101" t="s">
        <v>1562</v>
      </c>
      <c r="N113" s="101">
        <v>1</v>
      </c>
      <c r="O113" s="101">
        <v>30</v>
      </c>
      <c r="P113" s="101">
        <v>30</v>
      </c>
      <c r="Q113" s="102">
        <v>5</v>
      </c>
      <c r="R113" s="102">
        <v>5</v>
      </c>
      <c r="S113" s="102" t="s">
        <v>1493</v>
      </c>
      <c r="T113" s="102"/>
      <c r="U113" s="95"/>
      <c r="V113" s="95"/>
      <c r="W113" s="95"/>
    </row>
    <row r="114" spans="2:23" ht="12.75" hidden="1">
      <c r="B114" s="14" t="s">
        <v>44</v>
      </c>
      <c r="C114" s="14" t="s">
        <v>18</v>
      </c>
      <c r="D114" s="90" t="s">
        <v>191</v>
      </c>
      <c r="E114" s="80" t="s">
        <v>163</v>
      </c>
      <c r="F114" s="81">
        <v>3</v>
      </c>
      <c r="G114" s="81">
        <v>2</v>
      </c>
      <c r="H114" s="81">
        <v>4</v>
      </c>
      <c r="I114" s="101" t="s">
        <v>71</v>
      </c>
      <c r="J114" s="101" t="s">
        <v>71</v>
      </c>
      <c r="K114" s="101" t="s">
        <v>192</v>
      </c>
      <c r="L114" s="80" t="s">
        <v>1488</v>
      </c>
      <c r="M114" s="101" t="s">
        <v>1562</v>
      </c>
      <c r="N114" s="101">
        <v>1</v>
      </c>
      <c r="O114" s="101">
        <v>30</v>
      </c>
      <c r="P114" s="101">
        <v>30</v>
      </c>
      <c r="Q114" s="102">
        <v>5</v>
      </c>
      <c r="R114" s="102">
        <v>5</v>
      </c>
      <c r="S114" s="102" t="s">
        <v>1493</v>
      </c>
      <c r="T114" s="102"/>
      <c r="U114" s="95"/>
      <c r="V114" s="95"/>
      <c r="W114" s="95"/>
    </row>
    <row r="115" spans="2:23" ht="12.75" hidden="1">
      <c r="B115" s="14" t="s">
        <v>44</v>
      </c>
      <c r="C115" s="14" t="s">
        <v>18</v>
      </c>
      <c r="D115" s="90" t="s">
        <v>191</v>
      </c>
      <c r="E115" s="80" t="s">
        <v>163</v>
      </c>
      <c r="F115" s="81">
        <v>3</v>
      </c>
      <c r="G115" s="81">
        <v>2</v>
      </c>
      <c r="H115" s="81">
        <v>4</v>
      </c>
      <c r="I115" s="101" t="s">
        <v>71</v>
      </c>
      <c r="J115" s="101" t="s">
        <v>71</v>
      </c>
      <c r="K115" s="101" t="s">
        <v>192</v>
      </c>
      <c r="L115" s="80" t="s">
        <v>1491</v>
      </c>
      <c r="M115" s="101" t="s">
        <v>1562</v>
      </c>
      <c r="N115" s="101">
        <v>1</v>
      </c>
      <c r="O115" s="101">
        <v>30</v>
      </c>
      <c r="P115" s="101">
        <v>30</v>
      </c>
      <c r="Q115" s="102">
        <v>5</v>
      </c>
      <c r="R115" s="102">
        <v>5</v>
      </c>
      <c r="S115" s="102" t="s">
        <v>1493</v>
      </c>
      <c r="T115" s="102"/>
      <c r="U115" s="95"/>
      <c r="V115" s="95"/>
      <c r="W115" s="95"/>
    </row>
    <row r="116" spans="2:23" ht="12.75" hidden="1">
      <c r="B116" s="14" t="s">
        <v>44</v>
      </c>
      <c r="C116" s="14" t="s">
        <v>18</v>
      </c>
      <c r="D116" s="90" t="s">
        <v>215</v>
      </c>
      <c r="E116" s="80" t="s">
        <v>216</v>
      </c>
      <c r="F116" s="81">
        <v>4</v>
      </c>
      <c r="G116" s="81">
        <v>2</v>
      </c>
      <c r="H116" s="81">
        <v>4</v>
      </c>
      <c r="I116" s="101" t="s">
        <v>71</v>
      </c>
      <c r="J116" s="101" t="s">
        <v>71</v>
      </c>
      <c r="K116" s="101" t="s">
        <v>217</v>
      </c>
      <c r="L116" s="80" t="s">
        <v>1488</v>
      </c>
      <c r="M116" s="101" t="s">
        <v>1562</v>
      </c>
      <c r="N116" s="101">
        <v>1</v>
      </c>
      <c r="O116" s="101">
        <v>30</v>
      </c>
      <c r="P116" s="101">
        <v>30</v>
      </c>
      <c r="Q116" s="102">
        <v>6</v>
      </c>
      <c r="R116" s="102">
        <v>6</v>
      </c>
      <c r="S116" s="102" t="s">
        <v>1493</v>
      </c>
      <c r="T116" s="102"/>
      <c r="U116" s="95"/>
      <c r="V116" s="95"/>
      <c r="W116" s="95"/>
    </row>
    <row r="117" spans="2:23" ht="12.75" hidden="1">
      <c r="B117" s="14" t="s">
        <v>44</v>
      </c>
      <c r="C117" s="14" t="s">
        <v>18</v>
      </c>
      <c r="D117" s="90" t="s">
        <v>215</v>
      </c>
      <c r="E117" s="80" t="s">
        <v>216</v>
      </c>
      <c r="F117" s="81">
        <v>4</v>
      </c>
      <c r="G117" s="81">
        <v>2</v>
      </c>
      <c r="H117" s="81">
        <v>4</v>
      </c>
      <c r="I117" s="101" t="s">
        <v>71</v>
      </c>
      <c r="J117" s="101" t="s">
        <v>71</v>
      </c>
      <c r="K117" s="101" t="s">
        <v>217</v>
      </c>
      <c r="L117" s="80" t="s">
        <v>1491</v>
      </c>
      <c r="M117" s="101" t="s">
        <v>1562</v>
      </c>
      <c r="N117" s="101">
        <v>1</v>
      </c>
      <c r="O117" s="101">
        <v>30</v>
      </c>
      <c r="P117" s="101">
        <v>30</v>
      </c>
      <c r="Q117" s="102">
        <v>6</v>
      </c>
      <c r="R117" s="102">
        <v>6</v>
      </c>
      <c r="S117" s="102" t="s">
        <v>1493</v>
      </c>
      <c r="T117" s="102"/>
      <c r="U117" s="95"/>
      <c r="V117" s="95"/>
      <c r="W117" s="95"/>
    </row>
    <row r="118" spans="2:23" ht="25.5" hidden="1">
      <c r="B118" s="14" t="s">
        <v>44</v>
      </c>
      <c r="C118" s="14" t="s">
        <v>18</v>
      </c>
      <c r="D118" s="90" t="s">
        <v>555</v>
      </c>
      <c r="E118" s="80" t="s">
        <v>556</v>
      </c>
      <c r="F118" s="81">
        <v>3</v>
      </c>
      <c r="G118" s="81">
        <v>2</v>
      </c>
      <c r="H118" s="81">
        <v>3</v>
      </c>
      <c r="I118" s="101" t="s">
        <v>71</v>
      </c>
      <c r="J118" s="101" t="s">
        <v>71</v>
      </c>
      <c r="K118" s="101" t="s">
        <v>557</v>
      </c>
      <c r="L118" s="80" t="s">
        <v>1488</v>
      </c>
      <c r="M118" s="101" t="s">
        <v>1562</v>
      </c>
      <c r="N118" s="101">
        <v>1</v>
      </c>
      <c r="O118" s="101">
        <v>30</v>
      </c>
      <c r="P118" s="101">
        <v>30</v>
      </c>
      <c r="Q118" s="102">
        <v>5</v>
      </c>
      <c r="R118" s="102">
        <v>5</v>
      </c>
      <c r="S118" s="102"/>
      <c r="T118" s="102"/>
      <c r="U118" s="95" t="s">
        <v>1696</v>
      </c>
      <c r="V118" s="95"/>
      <c r="W118" s="95"/>
    </row>
    <row r="119" spans="2:23" ht="25.5" hidden="1">
      <c r="B119" s="14" t="s">
        <v>44</v>
      </c>
      <c r="C119" s="14" t="s">
        <v>18</v>
      </c>
      <c r="D119" s="90" t="s">
        <v>555</v>
      </c>
      <c r="E119" s="80" t="s">
        <v>556</v>
      </c>
      <c r="F119" s="81">
        <v>3</v>
      </c>
      <c r="G119" s="81">
        <v>2</v>
      </c>
      <c r="H119" s="81">
        <v>3</v>
      </c>
      <c r="I119" s="101" t="s">
        <v>71</v>
      </c>
      <c r="J119" s="101" t="s">
        <v>71</v>
      </c>
      <c r="K119" s="101" t="s">
        <v>557</v>
      </c>
      <c r="L119" s="80" t="s">
        <v>1491</v>
      </c>
      <c r="M119" s="101" t="s">
        <v>1562</v>
      </c>
      <c r="N119" s="101">
        <v>1</v>
      </c>
      <c r="O119" s="101">
        <v>30</v>
      </c>
      <c r="P119" s="101">
        <v>30</v>
      </c>
      <c r="Q119" s="102">
        <v>5</v>
      </c>
      <c r="R119" s="102">
        <v>5</v>
      </c>
      <c r="S119" s="102"/>
      <c r="T119" s="102"/>
      <c r="U119" s="95" t="s">
        <v>1696</v>
      </c>
      <c r="V119" s="95"/>
      <c r="W119" s="95"/>
    </row>
    <row r="120" spans="2:23" ht="12.75" hidden="1">
      <c r="B120" s="14" t="s">
        <v>44</v>
      </c>
      <c r="C120" s="14" t="s">
        <v>18</v>
      </c>
      <c r="D120" s="90" t="s">
        <v>931</v>
      </c>
      <c r="E120" s="80" t="s">
        <v>932</v>
      </c>
      <c r="F120" s="81">
        <v>3</v>
      </c>
      <c r="G120" s="81">
        <v>1</v>
      </c>
      <c r="H120" s="81">
        <v>4</v>
      </c>
      <c r="I120" s="101" t="s">
        <v>71</v>
      </c>
      <c r="J120" s="101" t="s">
        <v>71</v>
      </c>
      <c r="K120" s="101" t="s">
        <v>467</v>
      </c>
      <c r="L120" s="80" t="s">
        <v>1488</v>
      </c>
      <c r="M120" s="101" t="s">
        <v>1562</v>
      </c>
      <c r="N120" s="101">
        <v>1</v>
      </c>
      <c r="O120" s="101">
        <v>30</v>
      </c>
      <c r="P120" s="101">
        <v>30</v>
      </c>
      <c r="Q120" s="102">
        <v>4</v>
      </c>
      <c r="R120" s="102">
        <v>4</v>
      </c>
      <c r="S120" s="102" t="s">
        <v>1697</v>
      </c>
      <c r="T120" s="102"/>
      <c r="U120" s="95"/>
      <c r="V120" s="95"/>
      <c r="W120" s="95"/>
    </row>
    <row r="121" spans="2:23" ht="12.75" hidden="1">
      <c r="B121" s="14" t="s">
        <v>44</v>
      </c>
      <c r="C121" s="14" t="s">
        <v>18</v>
      </c>
      <c r="D121" s="90" t="s">
        <v>931</v>
      </c>
      <c r="E121" s="80" t="s">
        <v>932</v>
      </c>
      <c r="F121" s="81">
        <v>3</v>
      </c>
      <c r="G121" s="81">
        <v>1</v>
      </c>
      <c r="H121" s="81">
        <v>4</v>
      </c>
      <c r="I121" s="101" t="s">
        <v>71</v>
      </c>
      <c r="J121" s="101" t="s">
        <v>71</v>
      </c>
      <c r="K121" s="101" t="s">
        <v>467</v>
      </c>
      <c r="L121" s="80" t="s">
        <v>1491</v>
      </c>
      <c r="M121" s="101" t="s">
        <v>1562</v>
      </c>
      <c r="N121" s="101">
        <v>1</v>
      </c>
      <c r="O121" s="101">
        <v>30</v>
      </c>
      <c r="P121" s="101">
        <v>30</v>
      </c>
      <c r="Q121" s="102">
        <v>4</v>
      </c>
      <c r="R121" s="102">
        <v>4</v>
      </c>
      <c r="S121" s="102" t="s">
        <v>1697</v>
      </c>
      <c r="T121" s="102"/>
      <c r="U121" s="95"/>
      <c r="V121" s="95"/>
      <c r="W121" s="95"/>
    </row>
    <row r="122" spans="2:23" ht="12.75" hidden="1">
      <c r="B122" s="14" t="s">
        <v>44</v>
      </c>
      <c r="C122" s="14" t="s">
        <v>18</v>
      </c>
      <c r="D122" s="90" t="s">
        <v>1214</v>
      </c>
      <c r="E122" s="80" t="s">
        <v>1215</v>
      </c>
      <c r="F122" s="81">
        <v>4</v>
      </c>
      <c r="G122" s="81">
        <v>2</v>
      </c>
      <c r="H122" s="81">
        <v>4</v>
      </c>
      <c r="I122" s="101" t="s">
        <v>71</v>
      </c>
      <c r="J122" s="101" t="s">
        <v>71</v>
      </c>
      <c r="K122" s="101" t="s">
        <v>163</v>
      </c>
      <c r="L122" s="80" t="s">
        <v>1488</v>
      </c>
      <c r="M122" s="101" t="s">
        <v>1562</v>
      </c>
      <c r="N122" s="101">
        <v>1</v>
      </c>
      <c r="O122" s="101">
        <v>30</v>
      </c>
      <c r="P122" s="101">
        <v>30</v>
      </c>
      <c r="Q122" s="102">
        <v>6</v>
      </c>
      <c r="R122" s="102">
        <v>6</v>
      </c>
      <c r="S122" s="102" t="s">
        <v>1493</v>
      </c>
      <c r="T122" s="102"/>
      <c r="U122" s="95"/>
      <c r="V122" s="95"/>
      <c r="W122" s="95"/>
    </row>
    <row r="123" spans="2:23" ht="12.75" hidden="1">
      <c r="B123" s="14" t="s">
        <v>44</v>
      </c>
      <c r="C123" s="14" t="s">
        <v>18</v>
      </c>
      <c r="D123" s="90" t="s">
        <v>1214</v>
      </c>
      <c r="E123" s="80" t="s">
        <v>1215</v>
      </c>
      <c r="F123" s="81">
        <v>4</v>
      </c>
      <c r="G123" s="81">
        <v>2</v>
      </c>
      <c r="H123" s="81">
        <v>4</v>
      </c>
      <c r="I123" s="101" t="s">
        <v>71</v>
      </c>
      <c r="J123" s="101" t="s">
        <v>71</v>
      </c>
      <c r="K123" s="101" t="s">
        <v>163</v>
      </c>
      <c r="L123" s="80" t="s">
        <v>1491</v>
      </c>
      <c r="M123" s="101" t="s">
        <v>1562</v>
      </c>
      <c r="N123" s="101">
        <v>1</v>
      </c>
      <c r="O123" s="101">
        <v>30</v>
      </c>
      <c r="P123" s="101">
        <v>30</v>
      </c>
      <c r="Q123" s="102">
        <v>6</v>
      </c>
      <c r="R123" s="102">
        <v>6</v>
      </c>
      <c r="S123" s="102" t="s">
        <v>1493</v>
      </c>
      <c r="T123" s="102"/>
      <c r="U123" s="95"/>
      <c r="V123" s="95"/>
      <c r="W123" s="95"/>
    </row>
    <row r="124" spans="2:23" ht="12.75" hidden="1">
      <c r="B124" s="14" t="s">
        <v>44</v>
      </c>
      <c r="C124" s="14" t="s">
        <v>18</v>
      </c>
      <c r="D124" s="90" t="s">
        <v>1218</v>
      </c>
      <c r="E124" s="80" t="s">
        <v>1219</v>
      </c>
      <c r="F124" s="81">
        <v>4</v>
      </c>
      <c r="G124" s="81">
        <v>2</v>
      </c>
      <c r="H124" s="81">
        <v>4</v>
      </c>
      <c r="I124" s="101" t="s">
        <v>71</v>
      </c>
      <c r="J124" s="101" t="s">
        <v>71</v>
      </c>
      <c r="K124" s="101" t="s">
        <v>197</v>
      </c>
      <c r="L124" s="80" t="s">
        <v>1488</v>
      </c>
      <c r="M124" s="101" t="s">
        <v>1562</v>
      </c>
      <c r="N124" s="101">
        <v>1</v>
      </c>
      <c r="O124" s="101">
        <v>30</v>
      </c>
      <c r="P124" s="101">
        <v>30</v>
      </c>
      <c r="Q124" s="102">
        <v>6</v>
      </c>
      <c r="R124" s="102">
        <v>6</v>
      </c>
      <c r="S124" s="102" t="s">
        <v>1493</v>
      </c>
      <c r="T124" s="102"/>
      <c r="U124" s="95"/>
      <c r="V124" s="95"/>
      <c r="W124" s="95"/>
    </row>
    <row r="125" spans="2:23" ht="12.75" hidden="1">
      <c r="B125" s="14" t="s">
        <v>44</v>
      </c>
      <c r="C125" s="14" t="s">
        <v>18</v>
      </c>
      <c r="D125" s="90" t="s">
        <v>1218</v>
      </c>
      <c r="E125" s="80" t="s">
        <v>1219</v>
      </c>
      <c r="F125" s="81">
        <v>4</v>
      </c>
      <c r="G125" s="81">
        <v>2</v>
      </c>
      <c r="H125" s="81">
        <v>4</v>
      </c>
      <c r="I125" s="101" t="s">
        <v>71</v>
      </c>
      <c r="J125" s="101" t="s">
        <v>71</v>
      </c>
      <c r="K125" s="101" t="s">
        <v>197</v>
      </c>
      <c r="L125" s="80" t="s">
        <v>1491</v>
      </c>
      <c r="M125" s="101" t="s">
        <v>1562</v>
      </c>
      <c r="N125" s="101">
        <v>1</v>
      </c>
      <c r="O125" s="101">
        <v>30</v>
      </c>
      <c r="P125" s="101">
        <v>30</v>
      </c>
      <c r="Q125" s="102">
        <v>6</v>
      </c>
      <c r="R125" s="102">
        <v>6</v>
      </c>
      <c r="S125" s="102"/>
      <c r="T125" s="102"/>
      <c r="U125" s="95"/>
      <c r="V125" s="95"/>
      <c r="W125" s="95"/>
    </row>
    <row r="126" spans="2:23" ht="12.75" hidden="1">
      <c r="B126" s="14" t="s">
        <v>44</v>
      </c>
      <c r="C126" s="14" t="s">
        <v>18</v>
      </c>
      <c r="D126" s="90" t="s">
        <v>1329</v>
      </c>
      <c r="E126" s="80" t="s">
        <v>1330</v>
      </c>
      <c r="F126" s="81">
        <v>2</v>
      </c>
      <c r="G126" s="81">
        <v>0</v>
      </c>
      <c r="H126" s="81">
        <v>2</v>
      </c>
      <c r="I126" s="101" t="s">
        <v>71</v>
      </c>
      <c r="J126" s="101" t="s">
        <v>71</v>
      </c>
      <c r="K126" s="101" t="s">
        <v>1331</v>
      </c>
      <c r="L126" s="80" t="s">
        <v>1488</v>
      </c>
      <c r="M126" s="101" t="s">
        <v>1562</v>
      </c>
      <c r="N126" s="101">
        <v>1</v>
      </c>
      <c r="O126" s="101">
        <v>30</v>
      </c>
      <c r="P126" s="101">
        <v>30</v>
      </c>
      <c r="Q126" s="102">
        <v>2</v>
      </c>
      <c r="R126" s="102">
        <v>2</v>
      </c>
      <c r="S126" s="102"/>
      <c r="T126" s="102"/>
      <c r="U126" s="95"/>
      <c r="V126" s="95"/>
      <c r="W126" s="95"/>
    </row>
    <row r="127" spans="2:23" ht="12.75" hidden="1">
      <c r="B127" s="14" t="s">
        <v>44</v>
      </c>
      <c r="C127" s="14" t="s">
        <v>18</v>
      </c>
      <c r="D127" s="90" t="s">
        <v>1329</v>
      </c>
      <c r="E127" s="80" t="s">
        <v>1330</v>
      </c>
      <c r="F127" s="81">
        <v>2</v>
      </c>
      <c r="G127" s="81">
        <v>0</v>
      </c>
      <c r="H127" s="81">
        <v>2</v>
      </c>
      <c r="I127" s="101" t="s">
        <v>71</v>
      </c>
      <c r="J127" s="101" t="s">
        <v>71</v>
      </c>
      <c r="K127" s="101" t="s">
        <v>1331</v>
      </c>
      <c r="L127" s="80" t="s">
        <v>1491</v>
      </c>
      <c r="M127" s="101" t="s">
        <v>1562</v>
      </c>
      <c r="N127" s="101">
        <v>1</v>
      </c>
      <c r="O127" s="101">
        <v>30</v>
      </c>
      <c r="P127" s="101">
        <v>30</v>
      </c>
      <c r="Q127" s="102">
        <v>2</v>
      </c>
      <c r="R127" s="102">
        <v>2</v>
      </c>
      <c r="S127" s="102"/>
      <c r="T127" s="102"/>
      <c r="U127" s="95"/>
      <c r="V127" s="95"/>
      <c r="W127" s="95"/>
    </row>
    <row r="128" spans="2:23" ht="12.75" hidden="1">
      <c r="B128" s="14" t="s">
        <v>44</v>
      </c>
      <c r="C128" s="14" t="s">
        <v>18</v>
      </c>
      <c r="D128" s="90" t="s">
        <v>938</v>
      </c>
      <c r="E128" s="80" t="s">
        <v>939</v>
      </c>
      <c r="F128" s="81">
        <v>4</v>
      </c>
      <c r="G128" s="81">
        <v>0</v>
      </c>
      <c r="H128" s="81">
        <v>4</v>
      </c>
      <c r="I128" s="101" t="s">
        <v>73</v>
      </c>
      <c r="J128" s="101" t="s">
        <v>73</v>
      </c>
      <c r="K128" s="101" t="s">
        <v>940</v>
      </c>
      <c r="L128" s="80" t="s">
        <v>1488</v>
      </c>
      <c r="M128" s="101" t="s">
        <v>1562</v>
      </c>
      <c r="N128" s="101">
        <v>1</v>
      </c>
      <c r="O128" s="101">
        <v>30</v>
      </c>
      <c r="P128" s="101">
        <v>30</v>
      </c>
      <c r="Q128" s="102">
        <v>4</v>
      </c>
      <c r="R128" s="102">
        <v>4</v>
      </c>
      <c r="S128" s="102"/>
      <c r="T128" s="102"/>
      <c r="U128" s="95"/>
      <c r="V128" s="95"/>
      <c r="W128" s="95"/>
    </row>
    <row r="129" spans="2:23" ht="12.75" hidden="1">
      <c r="B129" s="14" t="s">
        <v>44</v>
      </c>
      <c r="C129" s="14" t="s">
        <v>18</v>
      </c>
      <c r="D129" s="90" t="s">
        <v>938</v>
      </c>
      <c r="E129" s="80" t="s">
        <v>939</v>
      </c>
      <c r="F129" s="81">
        <v>4</v>
      </c>
      <c r="G129" s="81">
        <v>0</v>
      </c>
      <c r="H129" s="81">
        <v>4</v>
      </c>
      <c r="I129" s="101" t="s">
        <v>73</v>
      </c>
      <c r="J129" s="101" t="s">
        <v>73</v>
      </c>
      <c r="K129" s="101" t="s">
        <v>940</v>
      </c>
      <c r="L129" s="80" t="s">
        <v>1491</v>
      </c>
      <c r="M129" s="101" t="s">
        <v>1562</v>
      </c>
      <c r="N129" s="101">
        <v>1</v>
      </c>
      <c r="O129" s="101">
        <v>30</v>
      </c>
      <c r="P129" s="101">
        <v>30</v>
      </c>
      <c r="Q129" s="102">
        <v>4</v>
      </c>
      <c r="R129" s="102">
        <v>4</v>
      </c>
      <c r="S129" s="102"/>
      <c r="T129" s="102"/>
      <c r="U129" s="95"/>
      <c r="V129" s="95"/>
      <c r="W129" s="95"/>
    </row>
    <row r="130" spans="2:23" ht="12.75" hidden="1">
      <c r="B130" s="14" t="s">
        <v>44</v>
      </c>
      <c r="C130" s="14" t="s">
        <v>18</v>
      </c>
      <c r="D130" s="90" t="s">
        <v>727</v>
      </c>
      <c r="E130" s="80" t="s">
        <v>728</v>
      </c>
      <c r="F130" s="81">
        <v>2</v>
      </c>
      <c r="G130" s="81">
        <v>0</v>
      </c>
      <c r="H130" s="81">
        <v>4</v>
      </c>
      <c r="I130" s="101" t="s">
        <v>73</v>
      </c>
      <c r="J130" s="101" t="s">
        <v>73</v>
      </c>
      <c r="K130" s="101" t="s">
        <v>729</v>
      </c>
      <c r="L130" s="80" t="s">
        <v>1488</v>
      </c>
      <c r="M130" s="101" t="s">
        <v>1562</v>
      </c>
      <c r="N130" s="101">
        <v>1</v>
      </c>
      <c r="O130" s="101">
        <v>30</v>
      </c>
      <c r="P130" s="101">
        <v>30</v>
      </c>
      <c r="Q130" s="102">
        <v>2</v>
      </c>
      <c r="R130" s="102">
        <v>2</v>
      </c>
      <c r="S130" s="102"/>
      <c r="T130" s="102"/>
      <c r="U130" s="95"/>
      <c r="V130" s="95"/>
      <c r="W130" s="95"/>
    </row>
    <row r="131" spans="2:23" ht="12.75" hidden="1">
      <c r="B131" s="14" t="s">
        <v>44</v>
      </c>
      <c r="C131" s="14" t="s">
        <v>18</v>
      </c>
      <c r="D131" s="90" t="s">
        <v>1371</v>
      </c>
      <c r="E131" s="80" t="s">
        <v>1372</v>
      </c>
      <c r="F131" s="81">
        <v>4</v>
      </c>
      <c r="G131" s="81">
        <v>0</v>
      </c>
      <c r="H131" s="81">
        <v>4</v>
      </c>
      <c r="I131" s="101" t="s">
        <v>73</v>
      </c>
      <c r="J131" s="101" t="s">
        <v>73</v>
      </c>
      <c r="K131" s="101" t="s">
        <v>1373</v>
      </c>
      <c r="L131" s="80" t="s">
        <v>1488</v>
      </c>
      <c r="M131" s="101" t="s">
        <v>1562</v>
      </c>
      <c r="N131" s="101">
        <v>1</v>
      </c>
      <c r="O131" s="101">
        <v>30</v>
      </c>
      <c r="P131" s="101">
        <v>30</v>
      </c>
      <c r="Q131" s="102">
        <v>4</v>
      </c>
      <c r="R131" s="102">
        <v>4</v>
      </c>
      <c r="S131" s="102"/>
      <c r="T131" s="102"/>
      <c r="U131" s="95"/>
      <c r="V131" s="95"/>
      <c r="W131" s="95"/>
    </row>
    <row r="132" spans="2:23" ht="12.75" hidden="1">
      <c r="B132" s="14" t="s">
        <v>44</v>
      </c>
      <c r="C132" s="14" t="s">
        <v>18</v>
      </c>
      <c r="D132" s="90" t="s">
        <v>552</v>
      </c>
      <c r="E132" s="80" t="s">
        <v>553</v>
      </c>
      <c r="F132" s="81">
        <v>2</v>
      </c>
      <c r="G132" s="81">
        <v>1</v>
      </c>
      <c r="H132" s="81">
        <v>2</v>
      </c>
      <c r="I132" s="101" t="s">
        <v>73</v>
      </c>
      <c r="J132" s="101" t="s">
        <v>73</v>
      </c>
      <c r="K132" s="101" t="s">
        <v>554</v>
      </c>
      <c r="L132" s="80" t="s">
        <v>1488</v>
      </c>
      <c r="M132" s="101" t="s">
        <v>1562</v>
      </c>
      <c r="N132" s="101">
        <v>1</v>
      </c>
      <c r="O132" s="101">
        <v>30</v>
      </c>
      <c r="P132" s="101">
        <v>30</v>
      </c>
      <c r="Q132" s="102">
        <v>3</v>
      </c>
      <c r="R132" s="102">
        <v>3</v>
      </c>
      <c r="S132" s="102" t="s">
        <v>1493</v>
      </c>
      <c r="T132" s="102"/>
      <c r="U132" s="95"/>
      <c r="V132" s="95"/>
      <c r="W132" s="95"/>
    </row>
    <row r="133" spans="2:23" ht="12.75" hidden="1">
      <c r="B133" s="14" t="s">
        <v>44</v>
      </c>
      <c r="C133" s="14" t="s">
        <v>18</v>
      </c>
      <c r="D133" s="90" t="s">
        <v>745</v>
      </c>
      <c r="E133" s="80" t="s">
        <v>746</v>
      </c>
      <c r="F133" s="81">
        <v>4</v>
      </c>
      <c r="G133" s="81">
        <v>0</v>
      </c>
      <c r="H133" s="81">
        <v>5</v>
      </c>
      <c r="I133" s="101" t="s">
        <v>73</v>
      </c>
      <c r="J133" s="101" t="s">
        <v>73</v>
      </c>
      <c r="K133" s="101" t="s">
        <v>747</v>
      </c>
      <c r="L133" s="80" t="s">
        <v>1488</v>
      </c>
      <c r="M133" s="101" t="s">
        <v>1562</v>
      </c>
      <c r="N133" s="101">
        <v>1</v>
      </c>
      <c r="O133" s="101">
        <v>30</v>
      </c>
      <c r="P133" s="101">
        <v>30</v>
      </c>
      <c r="Q133" s="102">
        <v>4</v>
      </c>
      <c r="R133" s="102">
        <v>4</v>
      </c>
      <c r="S133" s="102"/>
      <c r="T133" s="102"/>
      <c r="U133" s="95"/>
      <c r="V133" s="95"/>
      <c r="W133" s="95"/>
    </row>
    <row r="134" spans="2:23" ht="12.75" hidden="1">
      <c r="B134" s="35" t="s">
        <v>41</v>
      </c>
      <c r="C134" s="35" t="s">
        <v>19</v>
      </c>
      <c r="D134" s="90" t="s">
        <v>979</v>
      </c>
      <c r="E134" s="80" t="s">
        <v>192</v>
      </c>
      <c r="F134" s="81">
        <v>3</v>
      </c>
      <c r="G134" s="81">
        <v>0</v>
      </c>
      <c r="H134" s="81">
        <v>4</v>
      </c>
      <c r="I134" s="101" t="s">
        <v>71</v>
      </c>
      <c r="J134" s="101" t="s">
        <v>71</v>
      </c>
      <c r="K134" s="101" t="s">
        <v>76</v>
      </c>
      <c r="L134" s="80" t="s">
        <v>1488</v>
      </c>
      <c r="M134" s="101" t="s">
        <v>1528</v>
      </c>
      <c r="N134" s="101">
        <v>2</v>
      </c>
      <c r="O134" s="101">
        <v>120</v>
      </c>
      <c r="P134" s="101">
        <v>240</v>
      </c>
      <c r="Q134" s="102">
        <v>6</v>
      </c>
      <c r="R134" s="102">
        <v>6</v>
      </c>
      <c r="S134" s="102"/>
      <c r="T134" s="95"/>
      <c r="U134" s="95"/>
      <c r="V134" s="95"/>
      <c r="W134" s="95"/>
    </row>
    <row r="135" spans="2:23" ht="12.75" hidden="1">
      <c r="B135" s="35" t="s">
        <v>41</v>
      </c>
      <c r="C135" s="35" t="s">
        <v>19</v>
      </c>
      <c r="D135" s="90" t="s">
        <v>979</v>
      </c>
      <c r="E135" s="80" t="s">
        <v>192</v>
      </c>
      <c r="F135" s="81">
        <v>3</v>
      </c>
      <c r="G135" s="81">
        <v>0</v>
      </c>
      <c r="H135" s="81">
        <v>4</v>
      </c>
      <c r="I135" s="101" t="s">
        <v>71</v>
      </c>
      <c r="J135" s="101" t="s">
        <v>71</v>
      </c>
      <c r="K135" s="101" t="s">
        <v>76</v>
      </c>
      <c r="L135" s="80" t="s">
        <v>1491</v>
      </c>
      <c r="M135" s="101" t="s">
        <v>1528</v>
      </c>
      <c r="N135" s="101">
        <v>2</v>
      </c>
      <c r="O135" s="101">
        <v>120</v>
      </c>
      <c r="P135" s="101">
        <v>240</v>
      </c>
      <c r="Q135" s="102">
        <v>6</v>
      </c>
      <c r="R135" s="102">
        <v>6</v>
      </c>
      <c r="S135" s="102"/>
      <c r="T135" s="95"/>
      <c r="U135" s="95"/>
      <c r="V135" s="95"/>
      <c r="W135" s="95"/>
    </row>
    <row r="136" spans="2:23" ht="12.75" hidden="1">
      <c r="B136" s="35" t="s">
        <v>41</v>
      </c>
      <c r="C136" s="35" t="s">
        <v>19</v>
      </c>
      <c r="D136" s="90" t="s">
        <v>256</v>
      </c>
      <c r="E136" s="80" t="s">
        <v>257</v>
      </c>
      <c r="F136" s="81">
        <v>3</v>
      </c>
      <c r="G136" s="81">
        <v>0</v>
      </c>
      <c r="H136" s="81">
        <v>4</v>
      </c>
      <c r="I136" s="101" t="s">
        <v>71</v>
      </c>
      <c r="J136" s="101" t="s">
        <v>71</v>
      </c>
      <c r="K136" s="101" t="s">
        <v>76</v>
      </c>
      <c r="L136" s="80" t="s">
        <v>1488</v>
      </c>
      <c r="M136" s="101" t="s">
        <v>1528</v>
      </c>
      <c r="N136" s="101">
        <v>2</v>
      </c>
      <c r="O136" s="101">
        <v>100</v>
      </c>
      <c r="P136" s="101">
        <v>200</v>
      </c>
      <c r="Q136" s="102">
        <v>6</v>
      </c>
      <c r="R136" s="102">
        <v>6</v>
      </c>
      <c r="S136" s="102"/>
      <c r="T136" s="95"/>
      <c r="U136" s="95"/>
      <c r="V136" s="95"/>
      <c r="W136" s="95"/>
    </row>
    <row r="137" spans="2:23" ht="12.75" hidden="1">
      <c r="B137" s="35" t="s">
        <v>41</v>
      </c>
      <c r="C137" s="35" t="s">
        <v>19</v>
      </c>
      <c r="D137" s="90" t="s">
        <v>256</v>
      </c>
      <c r="E137" s="80" t="s">
        <v>257</v>
      </c>
      <c r="F137" s="81">
        <v>3</v>
      </c>
      <c r="G137" s="81">
        <v>0</v>
      </c>
      <c r="H137" s="81">
        <v>4</v>
      </c>
      <c r="I137" s="101" t="s">
        <v>71</v>
      </c>
      <c r="J137" s="101" t="s">
        <v>71</v>
      </c>
      <c r="K137" s="101" t="s">
        <v>76</v>
      </c>
      <c r="L137" s="80" t="s">
        <v>1491</v>
      </c>
      <c r="M137" s="101" t="s">
        <v>1528</v>
      </c>
      <c r="N137" s="101">
        <v>2</v>
      </c>
      <c r="O137" s="101">
        <v>100</v>
      </c>
      <c r="P137" s="101">
        <v>200</v>
      </c>
      <c r="Q137" s="102">
        <v>6</v>
      </c>
      <c r="R137" s="102">
        <v>6</v>
      </c>
      <c r="S137" s="102"/>
      <c r="T137" s="95"/>
      <c r="U137" s="95"/>
      <c r="V137" s="95"/>
      <c r="W137" s="95"/>
    </row>
    <row r="138" spans="2:23" ht="12.75" hidden="1">
      <c r="B138" s="35" t="s">
        <v>41</v>
      </c>
      <c r="C138" s="35" t="s">
        <v>19</v>
      </c>
      <c r="D138" s="90" t="s">
        <v>948</v>
      </c>
      <c r="E138" s="80" t="s">
        <v>949</v>
      </c>
      <c r="F138" s="81">
        <v>4</v>
      </c>
      <c r="G138" s="81">
        <v>0</v>
      </c>
      <c r="H138" s="81">
        <v>4</v>
      </c>
      <c r="I138" s="101" t="s">
        <v>71</v>
      </c>
      <c r="J138" s="101" t="s">
        <v>71</v>
      </c>
      <c r="K138" s="101" t="s">
        <v>76</v>
      </c>
      <c r="L138" s="80" t="s">
        <v>1488</v>
      </c>
      <c r="M138" s="101" t="s">
        <v>1528</v>
      </c>
      <c r="N138" s="101">
        <v>2</v>
      </c>
      <c r="O138" s="101">
        <v>100</v>
      </c>
      <c r="P138" s="101">
        <v>200</v>
      </c>
      <c r="Q138" s="102">
        <v>8</v>
      </c>
      <c r="R138" s="102">
        <v>8</v>
      </c>
      <c r="S138" s="102"/>
      <c r="T138" s="95"/>
      <c r="U138" s="95"/>
      <c r="V138" s="95"/>
      <c r="W138" s="95"/>
    </row>
    <row r="139" spans="2:23" ht="12.75" hidden="1">
      <c r="B139" s="35" t="s">
        <v>41</v>
      </c>
      <c r="C139" s="35" t="s">
        <v>19</v>
      </c>
      <c r="D139" s="90" t="s">
        <v>948</v>
      </c>
      <c r="E139" s="80" t="s">
        <v>949</v>
      </c>
      <c r="F139" s="81">
        <v>4</v>
      </c>
      <c r="G139" s="81">
        <v>0</v>
      </c>
      <c r="H139" s="81">
        <v>4</v>
      </c>
      <c r="I139" s="101" t="s">
        <v>71</v>
      </c>
      <c r="J139" s="101" t="s">
        <v>71</v>
      </c>
      <c r="K139" s="101" t="s">
        <v>76</v>
      </c>
      <c r="L139" s="80" t="s">
        <v>1491</v>
      </c>
      <c r="M139" s="101" t="s">
        <v>1528</v>
      </c>
      <c r="N139" s="101">
        <v>2</v>
      </c>
      <c r="O139" s="101">
        <v>100</v>
      </c>
      <c r="P139" s="101">
        <v>200</v>
      </c>
      <c r="Q139" s="102">
        <v>8</v>
      </c>
      <c r="R139" s="102">
        <v>8</v>
      </c>
      <c r="S139" s="102"/>
      <c r="T139" s="95"/>
      <c r="U139" s="95"/>
      <c r="V139" s="95"/>
      <c r="W139" s="95"/>
    </row>
    <row r="140" spans="2:23" ht="12.75" hidden="1">
      <c r="B140" s="35" t="s">
        <v>41</v>
      </c>
      <c r="C140" s="35" t="s">
        <v>19</v>
      </c>
      <c r="D140" s="90" t="s">
        <v>988</v>
      </c>
      <c r="E140" s="80" t="s">
        <v>989</v>
      </c>
      <c r="F140" s="81">
        <v>4</v>
      </c>
      <c r="G140" s="81">
        <v>0</v>
      </c>
      <c r="H140" s="81">
        <v>4</v>
      </c>
      <c r="I140" s="101" t="s">
        <v>71</v>
      </c>
      <c r="J140" s="101" t="s">
        <v>71</v>
      </c>
      <c r="K140" s="101" t="s">
        <v>76</v>
      </c>
      <c r="L140" s="80" t="s">
        <v>1488</v>
      </c>
      <c r="M140" s="101" t="s">
        <v>1528</v>
      </c>
      <c r="N140" s="101">
        <v>2</v>
      </c>
      <c r="O140" s="101">
        <v>100</v>
      </c>
      <c r="P140" s="101">
        <v>200</v>
      </c>
      <c r="Q140" s="102">
        <v>8</v>
      </c>
      <c r="R140" s="102">
        <v>8</v>
      </c>
      <c r="S140" s="102"/>
      <c r="T140" s="95"/>
      <c r="U140" s="95"/>
      <c r="V140" s="95"/>
      <c r="W140" s="95"/>
    </row>
    <row r="141" spans="2:23" ht="12.75" hidden="1">
      <c r="B141" s="35" t="s">
        <v>41</v>
      </c>
      <c r="C141" s="35" t="s">
        <v>19</v>
      </c>
      <c r="D141" s="90" t="s">
        <v>988</v>
      </c>
      <c r="E141" s="80" t="s">
        <v>989</v>
      </c>
      <c r="F141" s="81">
        <v>4</v>
      </c>
      <c r="G141" s="81">
        <v>0</v>
      </c>
      <c r="H141" s="81">
        <v>4</v>
      </c>
      <c r="I141" s="101" t="s">
        <v>71</v>
      </c>
      <c r="J141" s="101" t="s">
        <v>71</v>
      </c>
      <c r="K141" s="101" t="s">
        <v>76</v>
      </c>
      <c r="L141" s="80" t="s">
        <v>1491</v>
      </c>
      <c r="M141" s="101" t="s">
        <v>1528</v>
      </c>
      <c r="N141" s="101">
        <v>2</v>
      </c>
      <c r="O141" s="101">
        <v>100</v>
      </c>
      <c r="P141" s="101">
        <v>200</v>
      </c>
      <c r="Q141" s="102">
        <v>8</v>
      </c>
      <c r="R141" s="102">
        <v>8</v>
      </c>
      <c r="S141" s="102"/>
      <c r="T141" s="95"/>
      <c r="U141" s="95"/>
      <c r="V141" s="95"/>
      <c r="W141" s="95"/>
    </row>
    <row r="142" spans="2:23" ht="12.75" hidden="1">
      <c r="B142" s="35" t="s">
        <v>41</v>
      </c>
      <c r="C142" s="35" t="s">
        <v>19</v>
      </c>
      <c r="D142" s="90" t="s">
        <v>1078</v>
      </c>
      <c r="E142" s="80" t="s">
        <v>1079</v>
      </c>
      <c r="F142" s="81">
        <v>4</v>
      </c>
      <c r="G142" s="81">
        <v>0</v>
      </c>
      <c r="H142" s="81">
        <v>4</v>
      </c>
      <c r="I142" s="101" t="s">
        <v>71</v>
      </c>
      <c r="J142" s="101" t="s">
        <v>71</v>
      </c>
      <c r="K142" s="101" t="s">
        <v>76</v>
      </c>
      <c r="L142" s="80" t="s">
        <v>1488</v>
      </c>
      <c r="M142" s="101" t="s">
        <v>1528</v>
      </c>
      <c r="N142" s="101">
        <v>2</v>
      </c>
      <c r="O142" s="101">
        <v>120</v>
      </c>
      <c r="P142" s="101">
        <v>240</v>
      </c>
      <c r="Q142" s="102">
        <v>8</v>
      </c>
      <c r="R142" s="102">
        <v>8</v>
      </c>
      <c r="S142" s="102"/>
      <c r="T142" s="95"/>
      <c r="U142" s="95"/>
      <c r="V142" s="95"/>
      <c r="W142" s="95"/>
    </row>
    <row r="143" spans="2:23" ht="12.75" hidden="1">
      <c r="B143" s="35" t="s">
        <v>41</v>
      </c>
      <c r="C143" s="35" t="s">
        <v>19</v>
      </c>
      <c r="D143" s="90" t="s">
        <v>1078</v>
      </c>
      <c r="E143" s="80" t="s">
        <v>1079</v>
      </c>
      <c r="F143" s="81">
        <v>4</v>
      </c>
      <c r="G143" s="81">
        <v>0</v>
      </c>
      <c r="H143" s="81">
        <v>4</v>
      </c>
      <c r="I143" s="101" t="s">
        <v>71</v>
      </c>
      <c r="J143" s="101" t="s">
        <v>71</v>
      </c>
      <c r="K143" s="101" t="s">
        <v>76</v>
      </c>
      <c r="L143" s="80" t="s">
        <v>1491</v>
      </c>
      <c r="M143" s="101" t="s">
        <v>1528</v>
      </c>
      <c r="N143" s="101">
        <v>2</v>
      </c>
      <c r="O143" s="101">
        <v>120</v>
      </c>
      <c r="P143" s="101">
        <v>240</v>
      </c>
      <c r="Q143" s="102">
        <v>8</v>
      </c>
      <c r="R143" s="102">
        <v>8</v>
      </c>
      <c r="S143" s="102"/>
      <c r="T143" s="95"/>
      <c r="U143" s="95"/>
      <c r="V143" s="95"/>
      <c r="W143" s="95"/>
    </row>
    <row r="144" spans="2:23" ht="12.75" hidden="1">
      <c r="B144" s="35" t="s">
        <v>41</v>
      </c>
      <c r="C144" s="35" t="s">
        <v>19</v>
      </c>
      <c r="D144" s="90" t="s">
        <v>170</v>
      </c>
      <c r="E144" s="80" t="s">
        <v>171</v>
      </c>
      <c r="F144" s="81">
        <v>4</v>
      </c>
      <c r="G144" s="81">
        <v>0</v>
      </c>
      <c r="H144" s="81">
        <v>5</v>
      </c>
      <c r="I144" s="101" t="s">
        <v>71</v>
      </c>
      <c r="J144" s="101" t="s">
        <v>71</v>
      </c>
      <c r="K144" s="101" t="s">
        <v>76</v>
      </c>
      <c r="L144" s="80" t="s">
        <v>1488</v>
      </c>
      <c r="M144" s="101" t="s">
        <v>1528</v>
      </c>
      <c r="N144" s="101">
        <v>1</v>
      </c>
      <c r="O144" s="101">
        <v>100</v>
      </c>
      <c r="P144" s="101">
        <v>100</v>
      </c>
      <c r="Q144" s="102">
        <v>4</v>
      </c>
      <c r="R144" s="102">
        <v>4</v>
      </c>
      <c r="S144" s="102"/>
      <c r="T144" s="95"/>
      <c r="U144" s="95"/>
      <c r="V144" s="95"/>
      <c r="W144" s="95"/>
    </row>
    <row r="145" spans="2:23" ht="12.75" hidden="1">
      <c r="B145" s="35" t="s">
        <v>41</v>
      </c>
      <c r="C145" s="35" t="s">
        <v>19</v>
      </c>
      <c r="D145" s="90" t="s">
        <v>170</v>
      </c>
      <c r="E145" s="80" t="s">
        <v>171</v>
      </c>
      <c r="F145" s="81">
        <v>4</v>
      </c>
      <c r="G145" s="81">
        <v>0</v>
      </c>
      <c r="H145" s="81">
        <v>5</v>
      </c>
      <c r="I145" s="101" t="s">
        <v>71</v>
      </c>
      <c r="J145" s="101" t="s">
        <v>71</v>
      </c>
      <c r="K145" s="101" t="s">
        <v>76</v>
      </c>
      <c r="L145" s="80" t="s">
        <v>1491</v>
      </c>
      <c r="M145" s="101" t="s">
        <v>1528</v>
      </c>
      <c r="N145" s="101">
        <v>1</v>
      </c>
      <c r="O145" s="101">
        <v>100</v>
      </c>
      <c r="P145" s="101">
        <v>100</v>
      </c>
      <c r="Q145" s="102">
        <v>4</v>
      </c>
      <c r="R145" s="102">
        <v>4</v>
      </c>
      <c r="S145" s="102"/>
      <c r="T145" s="95"/>
      <c r="U145" s="95"/>
      <c r="V145" s="95"/>
      <c r="W145" s="95"/>
    </row>
    <row r="146" spans="2:23" ht="12.75" hidden="1">
      <c r="B146" s="15" t="s">
        <v>46</v>
      </c>
      <c r="C146" s="15" t="s">
        <v>20</v>
      </c>
      <c r="D146" s="81" t="s">
        <v>1380</v>
      </c>
      <c r="E146" s="80" t="s">
        <v>1211</v>
      </c>
      <c r="F146" s="81">
        <v>4</v>
      </c>
      <c r="G146" s="81">
        <v>0</v>
      </c>
      <c r="H146" s="81">
        <v>4</v>
      </c>
      <c r="I146" s="101" t="s">
        <v>71</v>
      </c>
      <c r="J146" s="101" t="s">
        <v>71</v>
      </c>
      <c r="K146" s="80" t="s">
        <v>76</v>
      </c>
      <c r="L146" s="101" t="s">
        <v>1488</v>
      </c>
      <c r="M146" s="101" t="s">
        <v>1528</v>
      </c>
      <c r="N146" s="101">
        <v>2</v>
      </c>
      <c r="O146" s="101">
        <v>90</v>
      </c>
      <c r="P146" s="102">
        <v>180</v>
      </c>
      <c r="Q146" s="102">
        <v>8</v>
      </c>
      <c r="R146" s="102">
        <v>8</v>
      </c>
      <c r="S146" s="80"/>
      <c r="T146" s="101"/>
      <c r="U146" s="80"/>
      <c r="V146" s="95"/>
      <c r="W146" s="95"/>
    </row>
    <row r="147" spans="2:23" ht="12.75" hidden="1">
      <c r="B147" s="15" t="s">
        <v>46</v>
      </c>
      <c r="C147" s="15" t="s">
        <v>20</v>
      </c>
      <c r="D147" s="81" t="s">
        <v>1380</v>
      </c>
      <c r="E147" s="80" t="s">
        <v>1211</v>
      </c>
      <c r="F147" s="81">
        <v>4</v>
      </c>
      <c r="G147" s="81">
        <v>0</v>
      </c>
      <c r="H147" s="81">
        <v>4</v>
      </c>
      <c r="I147" s="101" t="s">
        <v>71</v>
      </c>
      <c r="J147" s="101" t="s">
        <v>71</v>
      </c>
      <c r="K147" s="80" t="s">
        <v>76</v>
      </c>
      <c r="L147" s="101" t="s">
        <v>1491</v>
      </c>
      <c r="M147" s="101" t="s">
        <v>1528</v>
      </c>
      <c r="N147" s="101">
        <v>2</v>
      </c>
      <c r="O147" s="101">
        <v>90</v>
      </c>
      <c r="P147" s="102">
        <v>180</v>
      </c>
      <c r="Q147" s="102">
        <v>8</v>
      </c>
      <c r="R147" s="102">
        <v>8</v>
      </c>
      <c r="S147" s="80"/>
      <c r="T147" s="101"/>
      <c r="U147" s="80"/>
      <c r="V147" s="95"/>
      <c r="W147" s="95"/>
    </row>
    <row r="148" spans="2:23" ht="12.75" hidden="1">
      <c r="B148" s="15" t="s">
        <v>46</v>
      </c>
      <c r="C148" s="15" t="s">
        <v>20</v>
      </c>
      <c r="D148" s="81" t="s">
        <v>316</v>
      </c>
      <c r="E148" s="80" t="s">
        <v>317</v>
      </c>
      <c r="F148" s="81">
        <v>4</v>
      </c>
      <c r="G148" s="81">
        <v>0</v>
      </c>
      <c r="H148" s="81">
        <v>3</v>
      </c>
      <c r="I148" s="101" t="s">
        <v>71</v>
      </c>
      <c r="J148" s="101" t="s">
        <v>71</v>
      </c>
      <c r="K148" s="80" t="s">
        <v>76</v>
      </c>
      <c r="L148" s="101" t="s">
        <v>1488</v>
      </c>
      <c r="M148" s="101" t="s">
        <v>1528</v>
      </c>
      <c r="N148" s="101">
        <v>1</v>
      </c>
      <c r="O148" s="101">
        <v>90</v>
      </c>
      <c r="P148" s="102">
        <v>240</v>
      </c>
      <c r="Q148" s="102">
        <v>8</v>
      </c>
      <c r="R148" s="102">
        <v>8</v>
      </c>
      <c r="S148" s="80"/>
      <c r="T148" s="101"/>
      <c r="U148" s="80"/>
      <c r="V148" s="95"/>
      <c r="W148" s="95"/>
    </row>
    <row r="149" spans="2:23" ht="12.75" hidden="1">
      <c r="B149" s="15" t="s">
        <v>46</v>
      </c>
      <c r="C149" s="15" t="s">
        <v>20</v>
      </c>
      <c r="D149" s="81" t="s">
        <v>316</v>
      </c>
      <c r="E149" s="80" t="s">
        <v>317</v>
      </c>
      <c r="F149" s="81">
        <v>4</v>
      </c>
      <c r="G149" s="81">
        <v>0</v>
      </c>
      <c r="H149" s="81">
        <v>3</v>
      </c>
      <c r="I149" s="101" t="s">
        <v>71</v>
      </c>
      <c r="J149" s="101" t="s">
        <v>71</v>
      </c>
      <c r="K149" s="80" t="s">
        <v>76</v>
      </c>
      <c r="L149" s="101" t="s">
        <v>1491</v>
      </c>
      <c r="M149" s="101" t="s">
        <v>1528</v>
      </c>
      <c r="N149" s="101">
        <v>1</v>
      </c>
      <c r="O149" s="101">
        <v>90</v>
      </c>
      <c r="P149" s="102">
        <v>240</v>
      </c>
      <c r="Q149" s="102">
        <v>8</v>
      </c>
      <c r="R149" s="102">
        <v>8</v>
      </c>
      <c r="S149" s="80"/>
      <c r="T149" s="101"/>
      <c r="U149" s="80"/>
      <c r="V149" s="95"/>
      <c r="W149" s="95"/>
    </row>
    <row r="150" spans="2:23" ht="12.75" hidden="1">
      <c r="B150" s="15" t="s">
        <v>46</v>
      </c>
      <c r="C150" s="15" t="s">
        <v>20</v>
      </c>
      <c r="D150" s="81" t="s">
        <v>732</v>
      </c>
      <c r="E150" s="80" t="s">
        <v>733</v>
      </c>
      <c r="F150" s="81">
        <v>4</v>
      </c>
      <c r="G150" s="81">
        <v>0</v>
      </c>
      <c r="H150" s="81">
        <v>4</v>
      </c>
      <c r="I150" s="101" t="s">
        <v>71</v>
      </c>
      <c r="J150" s="101" t="s">
        <v>71</v>
      </c>
      <c r="K150" s="80" t="s">
        <v>76</v>
      </c>
      <c r="L150" s="101" t="s">
        <v>1488</v>
      </c>
      <c r="M150" s="101" t="s">
        <v>1528</v>
      </c>
      <c r="N150" s="101">
        <v>1</v>
      </c>
      <c r="O150" s="101">
        <v>90</v>
      </c>
      <c r="P150" s="102">
        <v>90</v>
      </c>
      <c r="Q150" s="102">
        <v>4</v>
      </c>
      <c r="R150" s="102">
        <v>4</v>
      </c>
      <c r="S150" s="80"/>
      <c r="T150" s="101"/>
      <c r="U150" s="80"/>
      <c r="V150" s="95"/>
      <c r="W150" s="95"/>
    </row>
    <row r="151" spans="2:23" ht="12.75" hidden="1">
      <c r="B151" s="15" t="s">
        <v>46</v>
      </c>
      <c r="C151" s="15" t="s">
        <v>20</v>
      </c>
      <c r="D151" s="81" t="s">
        <v>732</v>
      </c>
      <c r="E151" s="80" t="s">
        <v>733</v>
      </c>
      <c r="F151" s="81">
        <v>4</v>
      </c>
      <c r="G151" s="81">
        <v>0</v>
      </c>
      <c r="H151" s="81">
        <v>4</v>
      </c>
      <c r="I151" s="101" t="s">
        <v>71</v>
      </c>
      <c r="J151" s="101" t="s">
        <v>71</v>
      </c>
      <c r="K151" s="80" t="s">
        <v>76</v>
      </c>
      <c r="L151" s="101" t="s">
        <v>1491</v>
      </c>
      <c r="M151" s="101" t="s">
        <v>1528</v>
      </c>
      <c r="N151" s="101">
        <v>1</v>
      </c>
      <c r="O151" s="101">
        <v>90</v>
      </c>
      <c r="P151" s="102">
        <v>90</v>
      </c>
      <c r="Q151" s="102">
        <v>4</v>
      </c>
      <c r="R151" s="102">
        <v>4</v>
      </c>
      <c r="S151" s="80"/>
      <c r="T151" s="101"/>
      <c r="U151" s="80"/>
      <c r="V151" s="95"/>
      <c r="W151" s="95"/>
    </row>
    <row r="152" spans="2:23" ht="12.75" hidden="1">
      <c r="B152" s="15" t="s">
        <v>46</v>
      </c>
      <c r="C152" s="15" t="s">
        <v>20</v>
      </c>
      <c r="D152" s="81" t="s">
        <v>739</v>
      </c>
      <c r="E152" s="80" t="s">
        <v>740</v>
      </c>
      <c r="F152" s="81">
        <v>4</v>
      </c>
      <c r="G152" s="81">
        <v>0</v>
      </c>
      <c r="H152" s="81">
        <v>4</v>
      </c>
      <c r="I152" s="101" t="s">
        <v>71</v>
      </c>
      <c r="J152" s="101" t="s">
        <v>71</v>
      </c>
      <c r="K152" s="80" t="s">
        <v>76</v>
      </c>
      <c r="L152" s="101" t="s">
        <v>1488</v>
      </c>
      <c r="M152" s="101" t="s">
        <v>1528</v>
      </c>
      <c r="N152" s="101">
        <v>1</v>
      </c>
      <c r="O152" s="101">
        <v>90</v>
      </c>
      <c r="P152" s="102">
        <v>90</v>
      </c>
      <c r="Q152" s="102">
        <v>4</v>
      </c>
      <c r="R152" s="102">
        <v>4</v>
      </c>
      <c r="S152" s="80"/>
      <c r="T152" s="101"/>
      <c r="U152" s="80"/>
      <c r="V152" s="95"/>
      <c r="W152" s="95"/>
    </row>
    <row r="153" spans="2:23" ht="12.75" hidden="1">
      <c r="B153" s="15" t="s">
        <v>46</v>
      </c>
      <c r="C153" s="15" t="s">
        <v>20</v>
      </c>
      <c r="D153" s="81" t="s">
        <v>739</v>
      </c>
      <c r="E153" s="80" t="s">
        <v>740</v>
      </c>
      <c r="F153" s="81">
        <v>4</v>
      </c>
      <c r="G153" s="81">
        <v>0</v>
      </c>
      <c r="H153" s="81">
        <v>4</v>
      </c>
      <c r="I153" s="101" t="s">
        <v>71</v>
      </c>
      <c r="J153" s="101" t="s">
        <v>71</v>
      </c>
      <c r="K153" s="80" t="s">
        <v>76</v>
      </c>
      <c r="L153" s="101" t="s">
        <v>1491</v>
      </c>
      <c r="M153" s="101" t="s">
        <v>1528</v>
      </c>
      <c r="N153" s="101">
        <v>1</v>
      </c>
      <c r="O153" s="101">
        <v>90</v>
      </c>
      <c r="P153" s="102">
        <v>90</v>
      </c>
      <c r="Q153" s="102">
        <v>4</v>
      </c>
      <c r="R153" s="102">
        <v>4</v>
      </c>
      <c r="S153" s="80"/>
      <c r="T153" s="101"/>
      <c r="U153" s="80"/>
      <c r="V153" s="95"/>
      <c r="W153" s="95"/>
    </row>
    <row r="154" spans="2:23" ht="12.75" hidden="1">
      <c r="B154" s="15" t="s">
        <v>46</v>
      </c>
      <c r="C154" s="15" t="s">
        <v>20</v>
      </c>
      <c r="D154" s="81" t="s">
        <v>891</v>
      </c>
      <c r="E154" s="80" t="s">
        <v>892</v>
      </c>
      <c r="F154" s="81">
        <v>4</v>
      </c>
      <c r="G154" s="81">
        <v>0</v>
      </c>
      <c r="H154" s="81">
        <v>3</v>
      </c>
      <c r="I154" s="101" t="s">
        <v>71</v>
      </c>
      <c r="J154" s="101" t="s">
        <v>71</v>
      </c>
      <c r="K154" s="80" t="s">
        <v>76</v>
      </c>
      <c r="L154" s="101" t="s">
        <v>1488</v>
      </c>
      <c r="M154" s="101" t="s">
        <v>1528</v>
      </c>
      <c r="N154" s="101">
        <v>1</v>
      </c>
      <c r="O154" s="101">
        <v>90</v>
      </c>
      <c r="P154" s="102">
        <v>90</v>
      </c>
      <c r="Q154" s="102">
        <v>4</v>
      </c>
      <c r="R154" s="102">
        <v>4</v>
      </c>
      <c r="S154" s="80"/>
      <c r="T154" s="101"/>
      <c r="U154" s="80"/>
      <c r="V154" s="95"/>
      <c r="W154" s="95"/>
    </row>
    <row r="155" spans="2:23" ht="12.75" hidden="1">
      <c r="B155" s="15" t="s">
        <v>46</v>
      </c>
      <c r="C155" s="15" t="s">
        <v>20</v>
      </c>
      <c r="D155" s="81" t="s">
        <v>891</v>
      </c>
      <c r="E155" s="80" t="s">
        <v>892</v>
      </c>
      <c r="F155" s="81">
        <v>4</v>
      </c>
      <c r="G155" s="81">
        <v>0</v>
      </c>
      <c r="H155" s="81">
        <v>3</v>
      </c>
      <c r="I155" s="101" t="s">
        <v>71</v>
      </c>
      <c r="J155" s="101" t="s">
        <v>71</v>
      </c>
      <c r="K155" s="80" t="s">
        <v>76</v>
      </c>
      <c r="L155" s="101" t="s">
        <v>1491</v>
      </c>
      <c r="M155" s="101" t="s">
        <v>1528</v>
      </c>
      <c r="N155" s="101">
        <v>1</v>
      </c>
      <c r="O155" s="101">
        <v>90</v>
      </c>
      <c r="P155" s="102">
        <v>90</v>
      </c>
      <c r="Q155" s="102">
        <v>4</v>
      </c>
      <c r="R155" s="102">
        <v>4</v>
      </c>
      <c r="S155" s="80"/>
      <c r="T155" s="101"/>
      <c r="U155" s="80"/>
      <c r="V155" s="95"/>
      <c r="W155" s="95"/>
    </row>
    <row r="156" spans="2:23" ht="12.75" hidden="1">
      <c r="B156" s="15" t="s">
        <v>46</v>
      </c>
      <c r="C156" s="15" t="s">
        <v>20</v>
      </c>
      <c r="D156" s="81" t="s">
        <v>928</v>
      </c>
      <c r="E156" s="80" t="s">
        <v>394</v>
      </c>
      <c r="F156" s="81">
        <v>4</v>
      </c>
      <c r="G156" s="81">
        <v>0</v>
      </c>
      <c r="H156" s="81">
        <v>3</v>
      </c>
      <c r="I156" s="101" t="s">
        <v>71</v>
      </c>
      <c r="J156" s="101" t="s">
        <v>71</v>
      </c>
      <c r="K156" s="80" t="s">
        <v>927</v>
      </c>
      <c r="L156" s="101" t="s">
        <v>1488</v>
      </c>
      <c r="M156" s="101" t="s">
        <v>1528</v>
      </c>
      <c r="N156" s="101">
        <v>1</v>
      </c>
      <c r="O156" s="101">
        <v>90</v>
      </c>
      <c r="P156" s="102">
        <v>90</v>
      </c>
      <c r="Q156" s="102">
        <v>4</v>
      </c>
      <c r="R156" s="102">
        <v>4</v>
      </c>
      <c r="S156" s="80"/>
      <c r="T156" s="101"/>
      <c r="U156" s="80"/>
      <c r="V156" s="95"/>
      <c r="W156" s="95"/>
    </row>
    <row r="157" spans="2:23" ht="12.75" hidden="1">
      <c r="B157" s="15" t="s">
        <v>46</v>
      </c>
      <c r="C157" s="15" t="s">
        <v>20</v>
      </c>
      <c r="D157" s="81" t="s">
        <v>928</v>
      </c>
      <c r="E157" s="80" t="s">
        <v>394</v>
      </c>
      <c r="F157" s="81">
        <v>4</v>
      </c>
      <c r="G157" s="81">
        <v>0</v>
      </c>
      <c r="H157" s="81">
        <v>3</v>
      </c>
      <c r="I157" s="101" t="s">
        <v>71</v>
      </c>
      <c r="J157" s="101" t="s">
        <v>71</v>
      </c>
      <c r="K157" s="80" t="s">
        <v>927</v>
      </c>
      <c r="L157" s="101" t="s">
        <v>1491</v>
      </c>
      <c r="M157" s="101" t="s">
        <v>1528</v>
      </c>
      <c r="N157" s="101">
        <v>1</v>
      </c>
      <c r="O157" s="101">
        <v>90</v>
      </c>
      <c r="P157" s="102">
        <v>90</v>
      </c>
      <c r="Q157" s="102">
        <v>4</v>
      </c>
      <c r="R157" s="102">
        <v>4</v>
      </c>
      <c r="S157" s="80"/>
      <c r="T157" s="101"/>
      <c r="U157" s="80"/>
      <c r="V157" s="95"/>
      <c r="W157" s="95"/>
    </row>
    <row r="158" spans="2:23" ht="12.75" hidden="1">
      <c r="B158" s="15" t="s">
        <v>46</v>
      </c>
      <c r="C158" s="15" t="s">
        <v>20</v>
      </c>
      <c r="D158" s="81" t="s">
        <v>839</v>
      </c>
      <c r="E158" s="80" t="s">
        <v>397</v>
      </c>
      <c r="F158" s="81">
        <v>3</v>
      </c>
      <c r="G158" s="81">
        <v>0</v>
      </c>
      <c r="H158" s="81">
        <v>4</v>
      </c>
      <c r="I158" s="101" t="s">
        <v>71</v>
      </c>
      <c r="J158" s="101" t="s">
        <v>71</v>
      </c>
      <c r="K158" s="80" t="s">
        <v>837</v>
      </c>
      <c r="L158" s="101" t="s">
        <v>1488</v>
      </c>
      <c r="M158" s="101" t="s">
        <v>1528</v>
      </c>
      <c r="N158" s="101">
        <v>1</v>
      </c>
      <c r="O158" s="101">
        <v>90</v>
      </c>
      <c r="P158" s="102">
        <v>90</v>
      </c>
      <c r="Q158" s="102">
        <v>4</v>
      </c>
      <c r="R158" s="102">
        <v>4</v>
      </c>
      <c r="S158" s="80"/>
      <c r="T158" s="101"/>
      <c r="U158" s="80"/>
      <c r="V158" s="95"/>
      <c r="W158" s="95"/>
    </row>
    <row r="159" spans="2:23" ht="12.75" hidden="1">
      <c r="B159" s="15" t="s">
        <v>46</v>
      </c>
      <c r="C159" s="15" t="s">
        <v>20</v>
      </c>
      <c r="D159" s="81" t="s">
        <v>839</v>
      </c>
      <c r="E159" s="80" t="s">
        <v>397</v>
      </c>
      <c r="F159" s="81">
        <v>3</v>
      </c>
      <c r="G159" s="81">
        <v>0</v>
      </c>
      <c r="H159" s="81">
        <v>4</v>
      </c>
      <c r="I159" s="101" t="s">
        <v>71</v>
      </c>
      <c r="J159" s="101" t="s">
        <v>71</v>
      </c>
      <c r="K159" s="80" t="s">
        <v>837</v>
      </c>
      <c r="L159" s="101" t="s">
        <v>1491</v>
      </c>
      <c r="M159" s="101" t="s">
        <v>1528</v>
      </c>
      <c r="N159" s="101">
        <v>1</v>
      </c>
      <c r="O159" s="101">
        <v>90</v>
      </c>
      <c r="P159" s="102">
        <v>90</v>
      </c>
      <c r="Q159" s="102">
        <v>4</v>
      </c>
      <c r="R159" s="102">
        <v>4</v>
      </c>
      <c r="S159" s="80"/>
      <c r="T159" s="101"/>
      <c r="U159" s="80"/>
      <c r="V159" s="95"/>
      <c r="W159" s="95"/>
    </row>
    <row r="160" spans="2:23" ht="12.75" hidden="1">
      <c r="B160" s="15" t="s">
        <v>46</v>
      </c>
      <c r="C160" s="15" t="s">
        <v>20</v>
      </c>
      <c r="D160" s="81" t="s">
        <v>392</v>
      </c>
      <c r="E160" s="80" t="s">
        <v>393</v>
      </c>
      <c r="F160" s="81">
        <v>3</v>
      </c>
      <c r="G160" s="81">
        <v>0</v>
      </c>
      <c r="H160" s="81">
        <v>3</v>
      </c>
      <c r="I160" s="101" t="s">
        <v>71</v>
      </c>
      <c r="J160" s="101" t="s">
        <v>71</v>
      </c>
      <c r="K160" s="80" t="s">
        <v>76</v>
      </c>
      <c r="L160" s="101" t="s">
        <v>1488</v>
      </c>
      <c r="M160" s="101" t="s">
        <v>1528</v>
      </c>
      <c r="N160" s="101">
        <v>1</v>
      </c>
      <c r="O160" s="101">
        <v>90</v>
      </c>
      <c r="P160" s="102">
        <v>90</v>
      </c>
      <c r="Q160" s="102">
        <v>4</v>
      </c>
      <c r="R160" s="102">
        <v>4</v>
      </c>
      <c r="S160" s="80"/>
      <c r="T160" s="101"/>
      <c r="U160" s="80"/>
      <c r="V160" s="95"/>
    </row>
    <row r="161" spans="2:22" ht="12.75" hidden="1">
      <c r="B161" s="15" t="s">
        <v>46</v>
      </c>
      <c r="C161" s="15" t="s">
        <v>20</v>
      </c>
      <c r="D161" s="81" t="s">
        <v>392</v>
      </c>
      <c r="E161" s="80" t="s">
        <v>393</v>
      </c>
      <c r="F161" s="81">
        <v>3</v>
      </c>
      <c r="G161" s="81">
        <v>0</v>
      </c>
      <c r="H161" s="81">
        <v>3</v>
      </c>
      <c r="I161" s="101" t="s">
        <v>71</v>
      </c>
      <c r="J161" s="101" t="s">
        <v>71</v>
      </c>
      <c r="K161" s="80" t="s">
        <v>76</v>
      </c>
      <c r="L161" s="101" t="s">
        <v>1491</v>
      </c>
      <c r="M161" s="101" t="s">
        <v>1528</v>
      </c>
      <c r="N161" s="101">
        <v>1</v>
      </c>
      <c r="O161" s="101">
        <v>90</v>
      </c>
      <c r="P161" s="102">
        <v>90</v>
      </c>
      <c r="Q161" s="102">
        <v>4</v>
      </c>
      <c r="R161" s="102">
        <v>4</v>
      </c>
      <c r="S161" s="80"/>
      <c r="T161" s="101"/>
      <c r="U161" s="80"/>
      <c r="V161" s="95"/>
    </row>
    <row r="162" spans="2:22" ht="12.75" hidden="1">
      <c r="B162" s="15" t="s">
        <v>46</v>
      </c>
      <c r="C162" s="15" t="s">
        <v>20</v>
      </c>
      <c r="D162" s="81" t="s">
        <v>400</v>
      </c>
      <c r="E162" s="80" t="s">
        <v>401</v>
      </c>
      <c r="F162" s="81">
        <v>4</v>
      </c>
      <c r="G162" s="81">
        <v>0</v>
      </c>
      <c r="H162" s="81">
        <v>3</v>
      </c>
      <c r="I162" s="101" t="s">
        <v>71</v>
      </c>
      <c r="J162" s="101" t="s">
        <v>71</v>
      </c>
      <c r="K162" s="80" t="s">
        <v>397</v>
      </c>
      <c r="L162" s="101" t="s">
        <v>1488</v>
      </c>
      <c r="M162" s="101" t="s">
        <v>1528</v>
      </c>
      <c r="N162" s="101">
        <v>1</v>
      </c>
      <c r="O162" s="101">
        <v>90</v>
      </c>
      <c r="P162" s="102">
        <v>90</v>
      </c>
      <c r="Q162" s="102">
        <v>4</v>
      </c>
      <c r="R162" s="102">
        <v>4</v>
      </c>
      <c r="S162" s="80"/>
      <c r="T162" s="101"/>
      <c r="U162" s="80"/>
      <c r="V162" s="95"/>
    </row>
    <row r="163" spans="2:22" ht="12.75" hidden="1">
      <c r="B163" s="15" t="s">
        <v>46</v>
      </c>
      <c r="C163" s="15" t="s">
        <v>20</v>
      </c>
      <c r="D163" s="81" t="s">
        <v>400</v>
      </c>
      <c r="E163" s="80" t="s">
        <v>401</v>
      </c>
      <c r="F163" s="81">
        <v>4</v>
      </c>
      <c r="G163" s="81">
        <v>0</v>
      </c>
      <c r="H163" s="81">
        <v>3</v>
      </c>
      <c r="I163" s="101" t="s">
        <v>71</v>
      </c>
      <c r="J163" s="101" t="s">
        <v>71</v>
      </c>
      <c r="K163" s="80" t="s">
        <v>397</v>
      </c>
      <c r="L163" s="101" t="s">
        <v>1491</v>
      </c>
      <c r="M163" s="101" t="s">
        <v>1528</v>
      </c>
      <c r="N163" s="101">
        <v>1</v>
      </c>
      <c r="O163" s="101">
        <v>90</v>
      </c>
      <c r="P163" s="102">
        <v>90</v>
      </c>
      <c r="Q163" s="102">
        <v>4</v>
      </c>
      <c r="R163" s="102">
        <v>4</v>
      </c>
      <c r="S163" s="80"/>
      <c r="T163" s="101"/>
      <c r="U163" s="80"/>
      <c r="V163" s="95"/>
    </row>
    <row r="164" spans="2:22" ht="12.75" hidden="1">
      <c r="B164" s="15" t="s">
        <v>46</v>
      </c>
      <c r="C164" s="15" t="s">
        <v>20</v>
      </c>
      <c r="D164" s="81" t="s">
        <v>347</v>
      </c>
      <c r="E164" s="80" t="s">
        <v>348</v>
      </c>
      <c r="F164" s="81">
        <v>4</v>
      </c>
      <c r="G164" s="81">
        <v>0</v>
      </c>
      <c r="H164" s="81">
        <v>3</v>
      </c>
      <c r="I164" s="101" t="s">
        <v>71</v>
      </c>
      <c r="J164" s="101" t="s">
        <v>71</v>
      </c>
      <c r="K164" s="80" t="s">
        <v>76</v>
      </c>
      <c r="L164" s="101" t="s">
        <v>1488</v>
      </c>
      <c r="M164" s="101" t="s">
        <v>1528</v>
      </c>
      <c r="N164" s="101">
        <v>1</v>
      </c>
      <c r="O164" s="101">
        <v>90</v>
      </c>
      <c r="P164" s="102">
        <v>90</v>
      </c>
      <c r="Q164" s="102">
        <v>4</v>
      </c>
      <c r="R164" s="102">
        <v>4</v>
      </c>
      <c r="S164" s="80"/>
      <c r="T164" s="101"/>
      <c r="U164" s="80"/>
      <c r="V164" s="95"/>
    </row>
    <row r="165" spans="2:22" ht="12.75" hidden="1">
      <c r="B165" s="15" t="s">
        <v>46</v>
      </c>
      <c r="C165" s="15" t="s">
        <v>20</v>
      </c>
      <c r="D165" s="81" t="s">
        <v>347</v>
      </c>
      <c r="E165" s="80" t="s">
        <v>348</v>
      </c>
      <c r="F165" s="81">
        <v>4</v>
      </c>
      <c r="G165" s="81">
        <v>0</v>
      </c>
      <c r="H165" s="81">
        <v>3</v>
      </c>
      <c r="I165" s="101" t="s">
        <v>71</v>
      </c>
      <c r="J165" s="101" t="s">
        <v>71</v>
      </c>
      <c r="K165" s="80" t="s">
        <v>76</v>
      </c>
      <c r="L165" s="101" t="s">
        <v>1491</v>
      </c>
      <c r="M165" s="101" t="s">
        <v>1528</v>
      </c>
      <c r="N165" s="101">
        <v>1</v>
      </c>
      <c r="O165" s="101">
        <v>90</v>
      </c>
      <c r="P165" s="102">
        <v>90</v>
      </c>
      <c r="Q165" s="102">
        <v>4</v>
      </c>
      <c r="R165" s="102">
        <v>4</v>
      </c>
      <c r="S165" s="80"/>
      <c r="T165" s="101"/>
      <c r="U165" s="80"/>
      <c r="V165" s="95"/>
    </row>
    <row r="166" spans="2:22" ht="12.75" hidden="1">
      <c r="B166" s="15" t="s">
        <v>46</v>
      </c>
      <c r="C166" s="15" t="s">
        <v>20</v>
      </c>
      <c r="D166" s="81" t="s">
        <v>1594</v>
      </c>
      <c r="E166" s="80" t="s">
        <v>1462</v>
      </c>
      <c r="F166" s="81">
        <v>0</v>
      </c>
      <c r="G166" s="81">
        <v>8</v>
      </c>
      <c r="H166" s="81">
        <v>0</v>
      </c>
      <c r="I166" s="101" t="s">
        <v>71</v>
      </c>
      <c r="J166" s="101" t="s">
        <v>71</v>
      </c>
      <c r="K166" s="80" t="s">
        <v>1600</v>
      </c>
      <c r="L166" s="101" t="s">
        <v>1488</v>
      </c>
      <c r="M166" s="101" t="s">
        <v>1528</v>
      </c>
      <c r="N166" s="101">
        <v>1</v>
      </c>
      <c r="O166" s="101">
        <v>45</v>
      </c>
      <c r="P166" s="102">
        <v>90</v>
      </c>
      <c r="Q166" s="102">
        <v>3</v>
      </c>
      <c r="R166" s="102">
        <v>3</v>
      </c>
      <c r="S166" s="80"/>
      <c r="T166" s="101"/>
      <c r="U166" s="80"/>
      <c r="V166" s="95"/>
    </row>
    <row r="167" spans="2:22" ht="12.75" hidden="1">
      <c r="B167" s="15" t="s">
        <v>46</v>
      </c>
      <c r="C167" s="15" t="s">
        <v>20</v>
      </c>
      <c r="D167" s="81" t="s">
        <v>1594</v>
      </c>
      <c r="E167" s="80" t="s">
        <v>1462</v>
      </c>
      <c r="F167" s="81">
        <v>0</v>
      </c>
      <c r="G167" s="81">
        <v>8</v>
      </c>
      <c r="H167" s="81">
        <v>0</v>
      </c>
      <c r="I167" s="101" t="s">
        <v>71</v>
      </c>
      <c r="J167" s="101" t="s">
        <v>71</v>
      </c>
      <c r="K167" s="80" t="s">
        <v>1600</v>
      </c>
      <c r="L167" s="101" t="s">
        <v>1491</v>
      </c>
      <c r="M167" s="101" t="s">
        <v>1528</v>
      </c>
      <c r="N167" s="101">
        <v>1</v>
      </c>
      <c r="O167" s="101">
        <v>45</v>
      </c>
      <c r="P167" s="102">
        <v>90</v>
      </c>
      <c r="Q167" s="102">
        <v>3</v>
      </c>
      <c r="R167" s="102">
        <v>3</v>
      </c>
      <c r="S167" s="80"/>
      <c r="T167" s="101"/>
      <c r="U167" s="80"/>
      <c r="V167" s="95"/>
    </row>
    <row r="168" spans="2:22" ht="12.75" hidden="1">
      <c r="B168" s="71" t="s">
        <v>46</v>
      </c>
      <c r="C168" s="71" t="s">
        <v>20</v>
      </c>
      <c r="D168" s="82" t="s">
        <v>1596</v>
      </c>
      <c r="E168" s="80" t="s">
        <v>329</v>
      </c>
      <c r="F168" s="81">
        <v>2</v>
      </c>
      <c r="G168" s="81">
        <v>1</v>
      </c>
      <c r="H168" s="81">
        <v>3</v>
      </c>
      <c r="I168" s="101" t="s">
        <v>70</v>
      </c>
      <c r="J168" s="101" t="s">
        <v>71</v>
      </c>
      <c r="K168" s="80" t="s">
        <v>76</v>
      </c>
      <c r="L168" s="101"/>
      <c r="M168" s="101" t="s">
        <v>1562</v>
      </c>
      <c r="N168" s="101">
        <v>2</v>
      </c>
      <c r="O168" s="101">
        <v>90</v>
      </c>
      <c r="P168" s="102">
        <v>90</v>
      </c>
      <c r="Q168" s="102">
        <v>3</v>
      </c>
      <c r="R168" s="102">
        <v>3</v>
      </c>
      <c r="S168" s="83"/>
      <c r="T168" s="107"/>
      <c r="U168" s="83"/>
      <c r="V168" s="95"/>
    </row>
    <row r="169" spans="2:22" ht="12.75" hidden="1">
      <c r="B169" s="71" t="s">
        <v>46</v>
      </c>
      <c r="C169" s="71" t="s">
        <v>20</v>
      </c>
      <c r="D169" s="82" t="s">
        <v>256</v>
      </c>
      <c r="E169" s="80" t="s">
        <v>257</v>
      </c>
      <c r="F169" s="81">
        <v>3</v>
      </c>
      <c r="G169" s="81">
        <v>0</v>
      </c>
      <c r="H169" s="81">
        <v>4</v>
      </c>
      <c r="I169" s="101" t="s">
        <v>71</v>
      </c>
      <c r="J169" s="101" t="s">
        <v>71</v>
      </c>
      <c r="K169" s="80" t="s">
        <v>76</v>
      </c>
      <c r="L169" s="101"/>
      <c r="M169" s="101" t="s">
        <v>1528</v>
      </c>
      <c r="N169" s="101">
        <v>2</v>
      </c>
      <c r="O169" s="101">
        <v>100</v>
      </c>
      <c r="P169" s="102">
        <v>90</v>
      </c>
      <c r="Q169" s="102">
        <v>3</v>
      </c>
      <c r="R169" s="102">
        <v>3</v>
      </c>
      <c r="S169" s="83"/>
      <c r="T169" s="107"/>
      <c r="U169" s="83"/>
      <c r="V169" s="95"/>
    </row>
    <row r="170" spans="2:22" ht="12.75" hidden="1">
      <c r="B170" s="15" t="s">
        <v>46</v>
      </c>
      <c r="C170" s="15" t="s">
        <v>20</v>
      </c>
      <c r="D170" s="81" t="s">
        <v>1593</v>
      </c>
      <c r="E170" s="80" t="s">
        <v>1463</v>
      </c>
      <c r="F170" s="81">
        <v>0</v>
      </c>
      <c r="G170" s="81">
        <v>9</v>
      </c>
      <c r="H170" s="81">
        <v>0</v>
      </c>
      <c r="I170" s="101" t="s">
        <v>71</v>
      </c>
      <c r="J170" s="101" t="s">
        <v>71</v>
      </c>
      <c r="K170" s="80" t="s">
        <v>1462</v>
      </c>
      <c r="L170" s="101" t="s">
        <v>1488</v>
      </c>
      <c r="M170" s="101" t="s">
        <v>1528</v>
      </c>
      <c r="N170" s="101">
        <v>1</v>
      </c>
      <c r="O170" s="101">
        <v>45</v>
      </c>
      <c r="P170" s="102">
        <v>45</v>
      </c>
      <c r="Q170" s="102">
        <v>9</v>
      </c>
      <c r="R170" s="102">
        <v>9</v>
      </c>
      <c r="S170" s="80"/>
      <c r="T170" s="101"/>
      <c r="U170" s="80"/>
      <c r="V170" s="95"/>
    </row>
    <row r="171" spans="2:22" ht="12.75" hidden="1">
      <c r="B171" s="15" t="s">
        <v>46</v>
      </c>
      <c r="C171" s="15" t="s">
        <v>20</v>
      </c>
      <c r="D171" s="81" t="s">
        <v>1593</v>
      </c>
      <c r="E171" s="80" t="s">
        <v>1463</v>
      </c>
      <c r="F171" s="81">
        <v>0</v>
      </c>
      <c r="G171" s="81">
        <v>9</v>
      </c>
      <c r="H171" s="81">
        <v>0</v>
      </c>
      <c r="I171" s="101" t="s">
        <v>71</v>
      </c>
      <c r="J171" s="101" t="s">
        <v>71</v>
      </c>
      <c r="K171" s="80" t="s">
        <v>1462</v>
      </c>
      <c r="L171" s="101" t="s">
        <v>1491</v>
      </c>
      <c r="M171" s="101" t="s">
        <v>1528</v>
      </c>
      <c r="N171" s="101">
        <v>1</v>
      </c>
      <c r="O171" s="101">
        <v>45</v>
      </c>
      <c r="P171" s="102">
        <v>45</v>
      </c>
      <c r="Q171" s="102">
        <v>9</v>
      </c>
      <c r="R171" s="102">
        <v>9</v>
      </c>
      <c r="S171" s="80"/>
      <c r="T171" s="101"/>
      <c r="U171" s="80"/>
      <c r="V171" s="95"/>
    </row>
    <row r="172" spans="2:22" ht="12.75" hidden="1">
      <c r="B172" s="12" t="s">
        <v>1772</v>
      </c>
      <c r="C172" s="12" t="s">
        <v>1680</v>
      </c>
      <c r="D172" s="90" t="s">
        <v>723</v>
      </c>
      <c r="E172" s="80" t="s">
        <v>724</v>
      </c>
      <c r="F172" s="81">
        <v>4</v>
      </c>
      <c r="G172" s="81">
        <v>0</v>
      </c>
      <c r="H172" s="81">
        <v>4</v>
      </c>
      <c r="I172" s="101" t="s">
        <v>71</v>
      </c>
      <c r="J172" s="101" t="s">
        <v>71</v>
      </c>
      <c r="K172" s="101" t="s">
        <v>76</v>
      </c>
      <c r="L172" s="80" t="s">
        <v>1488</v>
      </c>
      <c r="M172" s="101" t="s">
        <v>1528</v>
      </c>
      <c r="N172" s="101">
        <v>1</v>
      </c>
      <c r="O172" s="101">
        <v>20</v>
      </c>
      <c r="P172" s="101">
        <v>20</v>
      </c>
      <c r="Q172" s="102">
        <v>4</v>
      </c>
      <c r="R172" s="102">
        <v>4</v>
      </c>
      <c r="S172" s="102" t="s">
        <v>1682</v>
      </c>
      <c r="T172" s="102" t="s">
        <v>1682</v>
      </c>
      <c r="U172" s="109" t="s">
        <v>1675</v>
      </c>
    </row>
    <row r="173" spans="2:22" ht="12.75" hidden="1">
      <c r="B173" s="12" t="s">
        <v>1772</v>
      </c>
      <c r="C173" s="12" t="s">
        <v>1680</v>
      </c>
      <c r="D173" s="90" t="s">
        <v>723</v>
      </c>
      <c r="E173" s="80" t="s">
        <v>724</v>
      </c>
      <c r="F173" s="81">
        <v>4</v>
      </c>
      <c r="G173" s="81">
        <v>0</v>
      </c>
      <c r="H173" s="81">
        <v>4</v>
      </c>
      <c r="I173" s="101" t="s">
        <v>71</v>
      </c>
      <c r="J173" s="101" t="s">
        <v>71</v>
      </c>
      <c r="K173" s="101" t="s">
        <v>76</v>
      </c>
      <c r="L173" s="80" t="s">
        <v>1491</v>
      </c>
      <c r="M173" s="101" t="s">
        <v>1528</v>
      </c>
      <c r="N173" s="101">
        <v>1</v>
      </c>
      <c r="O173" s="101">
        <v>20</v>
      </c>
      <c r="P173" s="101">
        <v>20</v>
      </c>
      <c r="Q173" s="102">
        <v>4</v>
      </c>
      <c r="R173" s="102">
        <v>4</v>
      </c>
      <c r="S173" s="102" t="s">
        <v>1682</v>
      </c>
      <c r="T173" s="102" t="s">
        <v>1682</v>
      </c>
      <c r="U173" s="109" t="s">
        <v>1675</v>
      </c>
    </row>
    <row r="174" spans="2:22" ht="12.75" hidden="1">
      <c r="B174" s="12" t="s">
        <v>1772</v>
      </c>
      <c r="C174" s="12" t="s">
        <v>1680</v>
      </c>
      <c r="D174" s="90" t="s">
        <v>546</v>
      </c>
      <c r="E174" s="80" t="s">
        <v>547</v>
      </c>
      <c r="F174" s="81">
        <v>4</v>
      </c>
      <c r="G174" s="81">
        <v>0</v>
      </c>
      <c r="H174" s="81">
        <v>4</v>
      </c>
      <c r="I174" s="101" t="s">
        <v>71</v>
      </c>
      <c r="J174" s="101" t="s">
        <v>71</v>
      </c>
      <c r="K174" s="101" t="s">
        <v>76</v>
      </c>
      <c r="L174" s="80" t="s">
        <v>1488</v>
      </c>
      <c r="M174" s="101" t="s">
        <v>1528</v>
      </c>
      <c r="N174" s="101">
        <v>1</v>
      </c>
      <c r="O174" s="101">
        <v>20</v>
      </c>
      <c r="P174" s="101">
        <v>20</v>
      </c>
      <c r="Q174" s="102">
        <v>4</v>
      </c>
      <c r="R174" s="102">
        <v>4</v>
      </c>
      <c r="S174" s="102" t="s">
        <v>1682</v>
      </c>
      <c r="T174" s="102" t="s">
        <v>1682</v>
      </c>
      <c r="U174" s="109" t="s">
        <v>1675</v>
      </c>
    </row>
    <row r="175" spans="2:22" ht="12.75" hidden="1">
      <c r="B175" s="12" t="s">
        <v>1772</v>
      </c>
      <c r="C175" s="12" t="s">
        <v>1680</v>
      </c>
      <c r="D175" s="90" t="s">
        <v>546</v>
      </c>
      <c r="E175" s="80" t="s">
        <v>547</v>
      </c>
      <c r="F175" s="81">
        <v>4</v>
      </c>
      <c r="G175" s="81">
        <v>0</v>
      </c>
      <c r="H175" s="81">
        <v>4</v>
      </c>
      <c r="I175" s="101" t="s">
        <v>71</v>
      </c>
      <c r="J175" s="101" t="s">
        <v>71</v>
      </c>
      <c r="K175" s="101" t="s">
        <v>76</v>
      </c>
      <c r="L175" s="80" t="s">
        <v>1491</v>
      </c>
      <c r="M175" s="101" t="s">
        <v>1528</v>
      </c>
      <c r="N175" s="101">
        <v>1</v>
      </c>
      <c r="O175" s="101">
        <v>20</v>
      </c>
      <c r="P175" s="101">
        <v>20</v>
      </c>
      <c r="Q175" s="102">
        <v>4</v>
      </c>
      <c r="R175" s="102">
        <v>4</v>
      </c>
      <c r="S175" s="102" t="s">
        <v>1682</v>
      </c>
      <c r="T175" s="102" t="s">
        <v>1682</v>
      </c>
      <c r="U175" s="109" t="s">
        <v>1675</v>
      </c>
    </row>
    <row r="176" spans="2:22" ht="12.75" hidden="1">
      <c r="B176" s="12" t="s">
        <v>1772</v>
      </c>
      <c r="C176" s="12" t="s">
        <v>1680</v>
      </c>
      <c r="D176" s="90" t="s">
        <v>716</v>
      </c>
      <c r="E176" s="80" t="s">
        <v>717</v>
      </c>
      <c r="F176" s="81">
        <v>4</v>
      </c>
      <c r="G176" s="81">
        <v>0</v>
      </c>
      <c r="H176" s="81">
        <v>4</v>
      </c>
      <c r="I176" s="101" t="s">
        <v>71</v>
      </c>
      <c r="J176" s="101" t="s">
        <v>71</v>
      </c>
      <c r="K176" s="101" t="s">
        <v>76</v>
      </c>
      <c r="L176" s="80" t="s">
        <v>1488</v>
      </c>
      <c r="M176" s="101" t="s">
        <v>1528</v>
      </c>
      <c r="N176" s="101">
        <v>1</v>
      </c>
      <c r="O176" s="101">
        <v>20</v>
      </c>
      <c r="P176" s="101">
        <v>20</v>
      </c>
      <c r="Q176" s="102">
        <v>4</v>
      </c>
      <c r="R176" s="102">
        <v>4</v>
      </c>
      <c r="S176" s="102" t="s">
        <v>1682</v>
      </c>
      <c r="T176" s="102" t="s">
        <v>1682</v>
      </c>
      <c r="U176" s="109" t="s">
        <v>1675</v>
      </c>
    </row>
    <row r="177" spans="2:21" ht="12.75" hidden="1">
      <c r="B177" s="12" t="s">
        <v>1772</v>
      </c>
      <c r="C177" s="12" t="s">
        <v>1680</v>
      </c>
      <c r="D177" s="90" t="s">
        <v>716</v>
      </c>
      <c r="E177" s="80" t="s">
        <v>717</v>
      </c>
      <c r="F177" s="81">
        <v>4</v>
      </c>
      <c r="G177" s="81">
        <v>0</v>
      </c>
      <c r="H177" s="81">
        <v>4</v>
      </c>
      <c r="I177" s="101" t="s">
        <v>71</v>
      </c>
      <c r="J177" s="101" t="s">
        <v>71</v>
      </c>
      <c r="K177" s="101" t="s">
        <v>76</v>
      </c>
      <c r="L177" s="80" t="s">
        <v>1491</v>
      </c>
      <c r="M177" s="101" t="s">
        <v>1528</v>
      </c>
      <c r="N177" s="101">
        <v>1</v>
      </c>
      <c r="O177" s="101">
        <v>20</v>
      </c>
      <c r="P177" s="101">
        <v>20</v>
      </c>
      <c r="Q177" s="102">
        <v>4</v>
      </c>
      <c r="R177" s="102">
        <v>4</v>
      </c>
      <c r="S177" s="102" t="s">
        <v>1682</v>
      </c>
      <c r="T177" s="102" t="s">
        <v>1682</v>
      </c>
      <c r="U177" s="109" t="s">
        <v>1675</v>
      </c>
    </row>
    <row r="178" spans="2:21" ht="12.75" hidden="1">
      <c r="B178" s="12" t="s">
        <v>1772</v>
      </c>
      <c r="C178" s="12" t="s">
        <v>1680</v>
      </c>
      <c r="D178" s="90" t="s">
        <v>831</v>
      </c>
      <c r="E178" s="80" t="s">
        <v>832</v>
      </c>
      <c r="F178" s="81">
        <v>4</v>
      </c>
      <c r="G178" s="81">
        <v>0</v>
      </c>
      <c r="H178" s="81">
        <v>4</v>
      </c>
      <c r="I178" s="101" t="s">
        <v>71</v>
      </c>
      <c r="J178" s="101" t="s">
        <v>71</v>
      </c>
      <c r="K178" s="101" t="s">
        <v>833</v>
      </c>
      <c r="L178" s="80" t="s">
        <v>1488</v>
      </c>
      <c r="M178" s="101" t="s">
        <v>1528</v>
      </c>
      <c r="N178" s="101">
        <v>1</v>
      </c>
      <c r="O178" s="101">
        <v>20</v>
      </c>
      <c r="P178" s="101">
        <v>20</v>
      </c>
      <c r="Q178" s="102">
        <v>4</v>
      </c>
      <c r="R178" s="102">
        <v>4</v>
      </c>
      <c r="S178" s="102" t="s">
        <v>1682</v>
      </c>
      <c r="T178" s="102" t="s">
        <v>1682</v>
      </c>
      <c r="U178" s="109" t="s">
        <v>1675</v>
      </c>
    </row>
    <row r="179" spans="2:21" ht="12.75" hidden="1">
      <c r="B179" s="12" t="s">
        <v>1772</v>
      </c>
      <c r="C179" s="12" t="s">
        <v>1680</v>
      </c>
      <c r="D179" s="90" t="s">
        <v>831</v>
      </c>
      <c r="E179" s="80" t="s">
        <v>832</v>
      </c>
      <c r="F179" s="81">
        <v>4</v>
      </c>
      <c r="G179" s="81">
        <v>0</v>
      </c>
      <c r="H179" s="81">
        <v>4</v>
      </c>
      <c r="I179" s="101" t="s">
        <v>71</v>
      </c>
      <c r="J179" s="101" t="s">
        <v>71</v>
      </c>
      <c r="K179" s="101" t="s">
        <v>833</v>
      </c>
      <c r="L179" s="80" t="s">
        <v>1491</v>
      </c>
      <c r="M179" s="101" t="s">
        <v>1528</v>
      </c>
      <c r="N179" s="101">
        <v>1</v>
      </c>
      <c r="O179" s="101">
        <v>20</v>
      </c>
      <c r="P179" s="101">
        <v>20</v>
      </c>
      <c r="Q179" s="102">
        <v>4</v>
      </c>
      <c r="R179" s="102">
        <v>4</v>
      </c>
      <c r="S179" s="102" t="s">
        <v>1682</v>
      </c>
      <c r="T179" s="102" t="s">
        <v>1682</v>
      </c>
      <c r="U179" s="109" t="s">
        <v>1675</v>
      </c>
    </row>
    <row r="180" spans="2:21" ht="12.75" hidden="1">
      <c r="B180" s="12" t="s">
        <v>1772</v>
      </c>
      <c r="C180" s="12" t="s">
        <v>1680</v>
      </c>
      <c r="D180" s="90" t="s">
        <v>1421</v>
      </c>
      <c r="E180" s="80" t="s">
        <v>1684</v>
      </c>
      <c r="F180" s="81">
        <v>4</v>
      </c>
      <c r="G180" s="81">
        <v>0</v>
      </c>
      <c r="H180" s="81">
        <v>4</v>
      </c>
      <c r="I180" s="101" t="s">
        <v>73</v>
      </c>
      <c r="J180" s="101" t="s">
        <v>73</v>
      </c>
      <c r="K180" s="101" t="s">
        <v>76</v>
      </c>
      <c r="L180" s="80" t="s">
        <v>1488</v>
      </c>
      <c r="M180" s="101" t="s">
        <v>1528</v>
      </c>
      <c r="N180" s="101">
        <v>1</v>
      </c>
      <c r="O180" s="101">
        <v>20</v>
      </c>
      <c r="P180" s="101">
        <v>20</v>
      </c>
      <c r="Q180" s="102">
        <v>4</v>
      </c>
      <c r="R180" s="102">
        <v>4</v>
      </c>
      <c r="S180" s="102" t="s">
        <v>1682</v>
      </c>
      <c r="T180" s="102" t="s">
        <v>1682</v>
      </c>
      <c r="U180" s="109" t="s">
        <v>1675</v>
      </c>
    </row>
    <row r="181" spans="2:21" ht="12.75" hidden="1">
      <c r="B181" s="12" t="s">
        <v>1772</v>
      </c>
      <c r="C181" s="12" t="s">
        <v>1680</v>
      </c>
      <c r="D181" s="90" t="s">
        <v>1421</v>
      </c>
      <c r="E181" s="80" t="s">
        <v>1684</v>
      </c>
      <c r="F181" s="81">
        <v>4</v>
      </c>
      <c r="G181" s="81">
        <v>0</v>
      </c>
      <c r="H181" s="81">
        <v>4</v>
      </c>
      <c r="I181" s="101" t="s">
        <v>73</v>
      </c>
      <c r="J181" s="101" t="s">
        <v>73</v>
      </c>
      <c r="K181" s="101" t="s">
        <v>76</v>
      </c>
      <c r="L181" s="80" t="s">
        <v>1491</v>
      </c>
      <c r="M181" s="101" t="s">
        <v>1528</v>
      </c>
      <c r="N181" s="101">
        <v>1</v>
      </c>
      <c r="O181" s="101">
        <v>20</v>
      </c>
      <c r="P181" s="101">
        <v>20</v>
      </c>
      <c r="Q181" s="102">
        <v>4</v>
      </c>
      <c r="R181" s="102">
        <v>4</v>
      </c>
      <c r="S181" s="102" t="s">
        <v>1682</v>
      </c>
      <c r="T181" s="102" t="s">
        <v>1682</v>
      </c>
      <c r="U181" s="109" t="s">
        <v>1675</v>
      </c>
    </row>
    <row r="182" spans="2:21" ht="12.75" hidden="1">
      <c r="B182" s="12" t="s">
        <v>1772</v>
      </c>
      <c r="C182" s="12" t="s">
        <v>1680</v>
      </c>
      <c r="D182" s="90" t="s">
        <v>713</v>
      </c>
      <c r="E182" s="80" t="s">
        <v>714</v>
      </c>
      <c r="F182" s="81">
        <v>4</v>
      </c>
      <c r="G182" s="81">
        <v>0</v>
      </c>
      <c r="H182" s="81">
        <v>4</v>
      </c>
      <c r="I182" s="101" t="s">
        <v>71</v>
      </c>
      <c r="J182" s="101" t="s">
        <v>71</v>
      </c>
      <c r="K182" s="101" t="s">
        <v>76</v>
      </c>
      <c r="L182" s="80" t="s">
        <v>1488</v>
      </c>
      <c r="M182" s="101" t="s">
        <v>1528</v>
      </c>
      <c r="N182" s="101">
        <v>1</v>
      </c>
      <c r="O182" s="101">
        <v>20</v>
      </c>
      <c r="P182" s="101">
        <v>20</v>
      </c>
      <c r="Q182" s="102">
        <v>4</v>
      </c>
      <c r="R182" s="102">
        <v>4</v>
      </c>
      <c r="S182" s="102" t="s">
        <v>1682</v>
      </c>
      <c r="T182" s="102" t="s">
        <v>1682</v>
      </c>
      <c r="U182" s="109" t="s">
        <v>1675</v>
      </c>
    </row>
    <row r="183" spans="2:21" ht="12.75" hidden="1">
      <c r="B183" s="12" t="s">
        <v>1772</v>
      </c>
      <c r="C183" s="12" t="s">
        <v>1680</v>
      </c>
      <c r="D183" s="90" t="s">
        <v>713</v>
      </c>
      <c r="E183" s="80" t="s">
        <v>714</v>
      </c>
      <c r="F183" s="81">
        <v>4</v>
      </c>
      <c r="G183" s="81">
        <v>0</v>
      </c>
      <c r="H183" s="81">
        <v>4</v>
      </c>
      <c r="I183" s="101" t="s">
        <v>71</v>
      </c>
      <c r="J183" s="101" t="s">
        <v>71</v>
      </c>
      <c r="K183" s="101" t="s">
        <v>76</v>
      </c>
      <c r="L183" s="80" t="s">
        <v>1491</v>
      </c>
      <c r="M183" s="101" t="s">
        <v>1528</v>
      </c>
      <c r="N183" s="101">
        <v>1</v>
      </c>
      <c r="O183" s="101">
        <v>20</v>
      </c>
      <c r="P183" s="101">
        <v>20</v>
      </c>
      <c r="Q183" s="102">
        <v>4</v>
      </c>
      <c r="R183" s="102">
        <v>4</v>
      </c>
      <c r="S183" s="102" t="s">
        <v>1682</v>
      </c>
      <c r="T183" s="102" t="s">
        <v>1682</v>
      </c>
      <c r="U183" s="109" t="s">
        <v>1675</v>
      </c>
    </row>
    <row r="184" spans="2:21" ht="12.75" hidden="1">
      <c r="B184" s="12" t="s">
        <v>1772</v>
      </c>
      <c r="C184" s="12" t="s">
        <v>1680</v>
      </c>
      <c r="D184" s="90" t="s">
        <v>1295</v>
      </c>
      <c r="E184" s="80" t="s">
        <v>1296</v>
      </c>
      <c r="F184" s="81">
        <v>4</v>
      </c>
      <c r="G184" s="81">
        <v>0</v>
      </c>
      <c r="H184" s="81">
        <v>4</v>
      </c>
      <c r="I184" s="101" t="s">
        <v>71</v>
      </c>
      <c r="J184" s="101" t="s">
        <v>71</v>
      </c>
      <c r="K184" s="101" t="s">
        <v>1685</v>
      </c>
      <c r="L184" s="80" t="s">
        <v>1488</v>
      </c>
      <c r="M184" s="101" t="s">
        <v>1528</v>
      </c>
      <c r="N184" s="101">
        <v>1</v>
      </c>
      <c r="O184" s="101">
        <v>20</v>
      </c>
      <c r="P184" s="101">
        <v>20</v>
      </c>
      <c r="Q184" s="102">
        <v>4</v>
      </c>
      <c r="R184" s="102">
        <v>4</v>
      </c>
      <c r="S184" s="102" t="s">
        <v>1682</v>
      </c>
      <c r="T184" s="102" t="s">
        <v>1682</v>
      </c>
      <c r="U184" s="109" t="s">
        <v>1675</v>
      </c>
    </row>
    <row r="185" spans="2:21" ht="12.75" hidden="1">
      <c r="B185" s="12" t="s">
        <v>1772</v>
      </c>
      <c r="C185" s="12" t="s">
        <v>1680</v>
      </c>
      <c r="D185" s="90" t="s">
        <v>1295</v>
      </c>
      <c r="E185" s="80" t="s">
        <v>1296</v>
      </c>
      <c r="F185" s="81">
        <v>4</v>
      </c>
      <c r="G185" s="81">
        <v>0</v>
      </c>
      <c r="H185" s="81">
        <v>4</v>
      </c>
      <c r="I185" s="101" t="s">
        <v>71</v>
      </c>
      <c r="J185" s="101" t="s">
        <v>71</v>
      </c>
      <c r="K185" s="101" t="s">
        <v>1685</v>
      </c>
      <c r="L185" s="80" t="s">
        <v>1491</v>
      </c>
      <c r="M185" s="101" t="s">
        <v>1528</v>
      </c>
      <c r="N185" s="101">
        <v>1</v>
      </c>
      <c r="O185" s="101">
        <v>20</v>
      </c>
      <c r="P185" s="101">
        <v>20</v>
      </c>
      <c r="Q185" s="102">
        <v>4</v>
      </c>
      <c r="R185" s="102">
        <v>4</v>
      </c>
      <c r="S185" s="102" t="s">
        <v>1682</v>
      </c>
      <c r="T185" s="102" t="s">
        <v>1682</v>
      </c>
      <c r="U185" s="109" t="s">
        <v>1675</v>
      </c>
    </row>
    <row r="186" spans="2:21" ht="12.75" hidden="1">
      <c r="B186" s="12" t="s">
        <v>1772</v>
      </c>
      <c r="C186" s="12" t="s">
        <v>1680</v>
      </c>
      <c r="D186" s="90" t="s">
        <v>595</v>
      </c>
      <c r="E186" s="80" t="s">
        <v>596</v>
      </c>
      <c r="F186" s="81">
        <v>4</v>
      </c>
      <c r="G186" s="81">
        <v>0</v>
      </c>
      <c r="H186" s="81">
        <v>4</v>
      </c>
      <c r="I186" s="101" t="s">
        <v>71</v>
      </c>
      <c r="J186" s="101" t="s">
        <v>71</v>
      </c>
      <c r="K186" s="101" t="s">
        <v>76</v>
      </c>
      <c r="L186" s="80" t="s">
        <v>1488</v>
      </c>
      <c r="M186" s="101" t="s">
        <v>1528</v>
      </c>
      <c r="N186" s="101">
        <v>1</v>
      </c>
      <c r="O186" s="101">
        <v>20</v>
      </c>
      <c r="P186" s="101">
        <v>20</v>
      </c>
      <c r="Q186" s="102">
        <v>4</v>
      </c>
      <c r="R186" s="102">
        <v>4</v>
      </c>
      <c r="S186" s="102" t="s">
        <v>1682</v>
      </c>
      <c r="T186" s="102" t="s">
        <v>1682</v>
      </c>
      <c r="U186" s="109" t="s">
        <v>1675</v>
      </c>
    </row>
    <row r="187" spans="2:21" ht="12.75" hidden="1">
      <c r="B187" s="12" t="s">
        <v>1772</v>
      </c>
      <c r="C187" s="12" t="s">
        <v>1680</v>
      </c>
      <c r="D187" s="90" t="s">
        <v>595</v>
      </c>
      <c r="E187" s="80" t="s">
        <v>596</v>
      </c>
      <c r="F187" s="81">
        <v>4</v>
      </c>
      <c r="G187" s="81">
        <v>0</v>
      </c>
      <c r="H187" s="81">
        <v>4</v>
      </c>
      <c r="I187" s="101" t="s">
        <v>71</v>
      </c>
      <c r="J187" s="101" t="s">
        <v>71</v>
      </c>
      <c r="K187" s="101" t="s">
        <v>76</v>
      </c>
      <c r="L187" s="80" t="s">
        <v>1491</v>
      </c>
      <c r="M187" s="101" t="s">
        <v>1528</v>
      </c>
      <c r="N187" s="101">
        <v>1</v>
      </c>
      <c r="O187" s="101">
        <v>20</v>
      </c>
      <c r="P187" s="101">
        <v>20</v>
      </c>
      <c r="Q187" s="102">
        <v>4</v>
      </c>
      <c r="R187" s="102">
        <v>4</v>
      </c>
      <c r="S187" s="102" t="s">
        <v>1682</v>
      </c>
      <c r="T187" s="102" t="s">
        <v>1682</v>
      </c>
      <c r="U187" s="109" t="s">
        <v>1675</v>
      </c>
    </row>
    <row r="188" spans="2:21" ht="12.75" hidden="1">
      <c r="B188" s="12" t="s">
        <v>1772</v>
      </c>
      <c r="C188" s="12" t="s">
        <v>1680</v>
      </c>
      <c r="D188" s="90" t="s">
        <v>994</v>
      </c>
      <c r="E188" s="80" t="s">
        <v>995</v>
      </c>
      <c r="F188" s="81">
        <v>4</v>
      </c>
      <c r="G188" s="81">
        <v>0</v>
      </c>
      <c r="H188" s="81">
        <v>4</v>
      </c>
      <c r="I188" s="101" t="s">
        <v>73</v>
      </c>
      <c r="J188" s="101" t="s">
        <v>73</v>
      </c>
      <c r="K188" s="101" t="s">
        <v>76</v>
      </c>
      <c r="L188" s="80" t="s">
        <v>1488</v>
      </c>
      <c r="M188" s="101" t="s">
        <v>1528</v>
      </c>
      <c r="N188" s="101">
        <v>1</v>
      </c>
      <c r="O188" s="101">
        <v>20</v>
      </c>
      <c r="P188" s="101">
        <v>20</v>
      </c>
      <c r="Q188" s="102">
        <v>4</v>
      </c>
      <c r="R188" s="102">
        <v>4</v>
      </c>
      <c r="S188" s="102" t="s">
        <v>1682</v>
      </c>
      <c r="T188" s="102" t="s">
        <v>1682</v>
      </c>
      <c r="U188" s="109" t="s">
        <v>1675</v>
      </c>
    </row>
    <row r="189" spans="2:21" ht="12.75" hidden="1">
      <c r="B189" s="12" t="s">
        <v>1772</v>
      </c>
      <c r="C189" s="12" t="s">
        <v>1680</v>
      </c>
      <c r="D189" s="90" t="s">
        <v>994</v>
      </c>
      <c r="E189" s="80" t="s">
        <v>995</v>
      </c>
      <c r="F189" s="81">
        <v>4</v>
      </c>
      <c r="G189" s="81">
        <v>0</v>
      </c>
      <c r="H189" s="81">
        <v>4</v>
      </c>
      <c r="I189" s="101" t="s">
        <v>73</v>
      </c>
      <c r="J189" s="101" t="s">
        <v>73</v>
      </c>
      <c r="K189" s="101" t="s">
        <v>76</v>
      </c>
      <c r="L189" s="80" t="s">
        <v>1491</v>
      </c>
      <c r="M189" s="101" t="s">
        <v>1528</v>
      </c>
      <c r="N189" s="101">
        <v>1</v>
      </c>
      <c r="O189" s="101">
        <v>20</v>
      </c>
      <c r="P189" s="101">
        <v>20</v>
      </c>
      <c r="Q189" s="102">
        <v>4</v>
      </c>
      <c r="R189" s="102">
        <v>4</v>
      </c>
      <c r="S189" s="102" t="s">
        <v>1682</v>
      </c>
      <c r="T189" s="102" t="s">
        <v>1682</v>
      </c>
      <c r="U189" s="109" t="s">
        <v>1675</v>
      </c>
    </row>
    <row r="190" spans="2:21" ht="12.75" hidden="1">
      <c r="B190" s="12" t="s">
        <v>1772</v>
      </c>
      <c r="C190" s="12" t="s">
        <v>1680</v>
      </c>
      <c r="D190" s="90" t="s">
        <v>1076</v>
      </c>
      <c r="E190" s="80" t="s">
        <v>1077</v>
      </c>
      <c r="F190" s="81">
        <v>4</v>
      </c>
      <c r="G190" s="81">
        <v>0</v>
      </c>
      <c r="H190" s="81">
        <v>4</v>
      </c>
      <c r="I190" s="101" t="s">
        <v>71</v>
      </c>
      <c r="J190" s="101" t="s">
        <v>71</v>
      </c>
      <c r="K190" s="101" t="s">
        <v>76</v>
      </c>
      <c r="L190" s="80" t="s">
        <v>1488</v>
      </c>
      <c r="M190" s="101" t="s">
        <v>1528</v>
      </c>
      <c r="N190" s="101">
        <v>1</v>
      </c>
      <c r="O190" s="101">
        <v>20</v>
      </c>
      <c r="P190" s="101">
        <v>20</v>
      </c>
      <c r="Q190" s="102">
        <v>4</v>
      </c>
      <c r="R190" s="102">
        <v>4</v>
      </c>
      <c r="S190" s="102" t="s">
        <v>1682</v>
      </c>
      <c r="T190" s="102" t="s">
        <v>1682</v>
      </c>
      <c r="U190" s="109" t="s">
        <v>1675</v>
      </c>
    </row>
    <row r="191" spans="2:21" ht="12.75" hidden="1">
      <c r="B191" s="12" t="s">
        <v>1772</v>
      </c>
      <c r="C191" s="12" t="s">
        <v>1680</v>
      </c>
      <c r="D191" s="90" t="s">
        <v>1076</v>
      </c>
      <c r="E191" s="80" t="s">
        <v>1077</v>
      </c>
      <c r="F191" s="81">
        <v>4</v>
      </c>
      <c r="G191" s="81">
        <v>0</v>
      </c>
      <c r="H191" s="81">
        <v>4</v>
      </c>
      <c r="I191" s="101" t="s">
        <v>71</v>
      </c>
      <c r="J191" s="101" t="s">
        <v>71</v>
      </c>
      <c r="K191" s="101" t="s">
        <v>76</v>
      </c>
      <c r="L191" s="80" t="s">
        <v>1491</v>
      </c>
      <c r="M191" s="101" t="s">
        <v>1528</v>
      </c>
      <c r="N191" s="101">
        <v>1</v>
      </c>
      <c r="O191" s="101">
        <v>20</v>
      </c>
      <c r="P191" s="101">
        <v>20</v>
      </c>
      <c r="Q191" s="102">
        <v>4</v>
      </c>
      <c r="R191" s="102">
        <v>4</v>
      </c>
      <c r="S191" s="102" t="s">
        <v>1682</v>
      </c>
      <c r="T191" s="102" t="s">
        <v>1682</v>
      </c>
      <c r="U191" s="109" t="s">
        <v>1675</v>
      </c>
    </row>
    <row r="192" spans="2:21" ht="12.75" hidden="1">
      <c r="B192" s="12" t="s">
        <v>1772</v>
      </c>
      <c r="C192" s="12" t="s">
        <v>1680</v>
      </c>
      <c r="D192" s="90" t="s">
        <v>587</v>
      </c>
      <c r="E192" s="80" t="s">
        <v>1420</v>
      </c>
      <c r="F192" s="81">
        <v>4</v>
      </c>
      <c r="G192" s="81">
        <v>0</v>
      </c>
      <c r="H192" s="81">
        <v>4</v>
      </c>
      <c r="I192" s="101" t="s">
        <v>71</v>
      </c>
      <c r="J192" s="101" t="s">
        <v>71</v>
      </c>
      <c r="K192" s="101" t="s">
        <v>588</v>
      </c>
      <c r="L192" s="80" t="s">
        <v>1488</v>
      </c>
      <c r="M192" s="101" t="s">
        <v>1528</v>
      </c>
      <c r="N192" s="101">
        <v>1</v>
      </c>
      <c r="O192" s="101">
        <v>20</v>
      </c>
      <c r="P192" s="101">
        <v>20</v>
      </c>
      <c r="Q192" s="102">
        <v>4</v>
      </c>
      <c r="R192" s="102">
        <v>4</v>
      </c>
      <c r="S192" s="102" t="s">
        <v>1682</v>
      </c>
      <c r="T192" s="102" t="s">
        <v>1682</v>
      </c>
      <c r="U192" s="109"/>
    </row>
    <row r="193" spans="1:23" ht="12.75" hidden="1">
      <c r="B193" s="12" t="s">
        <v>1772</v>
      </c>
      <c r="C193" s="12" t="s">
        <v>1680</v>
      </c>
      <c r="D193" s="90" t="s">
        <v>587</v>
      </c>
      <c r="E193" s="80" t="s">
        <v>1420</v>
      </c>
      <c r="F193" s="81">
        <v>4</v>
      </c>
      <c r="G193" s="81">
        <v>0</v>
      </c>
      <c r="H193" s="81">
        <v>4</v>
      </c>
      <c r="I193" s="101" t="s">
        <v>71</v>
      </c>
      <c r="J193" s="101" t="s">
        <v>71</v>
      </c>
      <c r="K193" s="101" t="s">
        <v>588</v>
      </c>
      <c r="L193" s="80" t="s">
        <v>1491</v>
      </c>
      <c r="M193" s="101" t="s">
        <v>1528</v>
      </c>
      <c r="N193" s="101">
        <v>1</v>
      </c>
      <c r="O193" s="101">
        <v>20</v>
      </c>
      <c r="P193" s="101">
        <v>20</v>
      </c>
      <c r="Q193" s="102">
        <v>4</v>
      </c>
      <c r="R193" s="102">
        <v>4</v>
      </c>
      <c r="S193" s="102" t="s">
        <v>1682</v>
      </c>
      <c r="T193" s="102" t="s">
        <v>1682</v>
      </c>
      <c r="U193" s="109"/>
    </row>
    <row r="194" spans="1:23" ht="12.75" hidden="1">
      <c r="A194" s="74" t="s">
        <v>1672</v>
      </c>
      <c r="B194" s="12" t="s">
        <v>1772</v>
      </c>
      <c r="C194" s="12" t="s">
        <v>1680</v>
      </c>
      <c r="D194" s="90" t="s">
        <v>1424</v>
      </c>
      <c r="E194" s="80" t="s">
        <v>1686</v>
      </c>
      <c r="F194" s="81">
        <v>4</v>
      </c>
      <c r="G194" s="81">
        <v>0</v>
      </c>
      <c r="H194" s="81">
        <v>4</v>
      </c>
      <c r="I194" s="101" t="s">
        <v>73</v>
      </c>
      <c r="J194" s="101" t="s">
        <v>73</v>
      </c>
      <c r="K194" s="101" t="s">
        <v>76</v>
      </c>
      <c r="L194" s="80" t="s">
        <v>1488</v>
      </c>
      <c r="M194" s="101" t="s">
        <v>1528</v>
      </c>
      <c r="N194" s="101">
        <v>1</v>
      </c>
      <c r="O194" s="101">
        <v>20</v>
      </c>
      <c r="P194" s="101">
        <v>20</v>
      </c>
      <c r="Q194" s="102">
        <v>4</v>
      </c>
      <c r="R194" s="102">
        <v>4</v>
      </c>
      <c r="S194" s="102" t="s">
        <v>1682</v>
      </c>
      <c r="T194" s="102" t="s">
        <v>1682</v>
      </c>
      <c r="U194" s="109" t="s">
        <v>1675</v>
      </c>
    </row>
    <row r="195" spans="1:23" ht="12.75" hidden="1">
      <c r="A195" s="74"/>
      <c r="B195" s="12" t="s">
        <v>1772</v>
      </c>
      <c r="C195" s="12" t="s">
        <v>1680</v>
      </c>
      <c r="D195" s="90" t="s">
        <v>1424</v>
      </c>
      <c r="E195" s="80" t="s">
        <v>1686</v>
      </c>
      <c r="F195" s="81">
        <v>4</v>
      </c>
      <c r="G195" s="81">
        <v>0</v>
      </c>
      <c r="H195" s="81">
        <v>4</v>
      </c>
      <c r="I195" s="101" t="s">
        <v>73</v>
      </c>
      <c r="J195" s="101" t="s">
        <v>73</v>
      </c>
      <c r="K195" s="101" t="s">
        <v>76</v>
      </c>
      <c r="L195" s="80" t="s">
        <v>1491</v>
      </c>
      <c r="M195" s="101" t="s">
        <v>1528</v>
      </c>
      <c r="N195" s="101">
        <v>1</v>
      </c>
      <c r="O195" s="101">
        <v>20</v>
      </c>
      <c r="P195" s="101">
        <v>20</v>
      </c>
      <c r="Q195" s="102">
        <v>4</v>
      </c>
      <c r="R195" s="102">
        <v>4</v>
      </c>
      <c r="S195" s="102" t="s">
        <v>1682</v>
      </c>
      <c r="T195" s="102" t="s">
        <v>1682</v>
      </c>
      <c r="U195" s="109" t="s">
        <v>1675</v>
      </c>
    </row>
    <row r="196" spans="1:23" ht="12.75" hidden="1">
      <c r="B196" s="12" t="s">
        <v>1772</v>
      </c>
      <c r="C196" s="12" t="s">
        <v>1680</v>
      </c>
      <c r="D196" s="90" t="s">
        <v>1422</v>
      </c>
      <c r="E196" s="80" t="s">
        <v>1687</v>
      </c>
      <c r="F196" s="81">
        <v>4</v>
      </c>
      <c r="G196" s="81">
        <v>0</v>
      </c>
      <c r="H196" s="81">
        <v>4</v>
      </c>
      <c r="I196" s="101" t="s">
        <v>73</v>
      </c>
      <c r="J196" s="101" t="s">
        <v>73</v>
      </c>
      <c r="K196" s="101" t="s">
        <v>76</v>
      </c>
      <c r="L196" s="80" t="s">
        <v>1488</v>
      </c>
      <c r="M196" s="101" t="s">
        <v>1528</v>
      </c>
      <c r="N196" s="101">
        <v>1</v>
      </c>
      <c r="O196" s="101">
        <v>20</v>
      </c>
      <c r="P196" s="101">
        <v>20</v>
      </c>
      <c r="Q196" s="102">
        <v>4</v>
      </c>
      <c r="R196" s="102">
        <v>4</v>
      </c>
      <c r="S196" s="102" t="s">
        <v>1682</v>
      </c>
      <c r="T196" s="102" t="s">
        <v>1682</v>
      </c>
      <c r="U196" s="109" t="s">
        <v>1675</v>
      </c>
    </row>
    <row r="197" spans="1:23" ht="12.75" hidden="1">
      <c r="B197" s="12" t="s">
        <v>1772</v>
      </c>
      <c r="C197" s="12" t="s">
        <v>1680</v>
      </c>
      <c r="D197" s="90" t="s">
        <v>1422</v>
      </c>
      <c r="E197" s="80" t="s">
        <v>1687</v>
      </c>
      <c r="F197" s="81">
        <v>4</v>
      </c>
      <c r="G197" s="81">
        <v>0</v>
      </c>
      <c r="H197" s="81">
        <v>4</v>
      </c>
      <c r="I197" s="101" t="s">
        <v>73</v>
      </c>
      <c r="J197" s="101" t="s">
        <v>73</v>
      </c>
      <c r="K197" s="101" t="s">
        <v>76</v>
      </c>
      <c r="L197" s="80" t="s">
        <v>1491</v>
      </c>
      <c r="M197" s="101" t="s">
        <v>1528</v>
      </c>
      <c r="N197" s="101">
        <v>1</v>
      </c>
      <c r="O197" s="101">
        <v>20</v>
      </c>
      <c r="P197" s="101">
        <v>20</v>
      </c>
      <c r="Q197" s="102">
        <v>4</v>
      </c>
      <c r="R197" s="102">
        <v>4</v>
      </c>
      <c r="S197" s="102" t="s">
        <v>1682</v>
      </c>
      <c r="T197" s="102" t="s">
        <v>1682</v>
      </c>
      <c r="U197" s="109" t="s">
        <v>1675</v>
      </c>
    </row>
    <row r="198" spans="1:23" ht="12.75" hidden="1">
      <c r="B198" s="36" t="s">
        <v>47</v>
      </c>
      <c r="C198" s="36" t="s">
        <v>21</v>
      </c>
      <c r="D198" s="81" t="s">
        <v>818</v>
      </c>
      <c r="E198" s="80" t="s">
        <v>819</v>
      </c>
      <c r="F198" s="81">
        <v>0</v>
      </c>
      <c r="G198" s="81">
        <v>3</v>
      </c>
      <c r="H198" s="81">
        <v>5</v>
      </c>
      <c r="I198" s="101" t="s">
        <v>71</v>
      </c>
      <c r="J198" s="101" t="s">
        <v>71</v>
      </c>
      <c r="K198" s="101" t="s">
        <v>76</v>
      </c>
      <c r="L198" s="80" t="s">
        <v>1488</v>
      </c>
      <c r="M198" s="101" t="s">
        <v>1562</v>
      </c>
      <c r="N198" s="101">
        <v>1</v>
      </c>
      <c r="O198" s="101">
        <v>30</v>
      </c>
      <c r="P198" s="101">
        <v>30</v>
      </c>
      <c r="Q198" s="102">
        <v>3</v>
      </c>
      <c r="R198" s="102">
        <v>3</v>
      </c>
      <c r="S198" s="102" t="s">
        <v>1699</v>
      </c>
      <c r="T198" s="102" t="s">
        <v>1518</v>
      </c>
      <c r="U198" s="80"/>
      <c r="V198" s="95"/>
      <c r="W198" s="95"/>
    </row>
    <row r="199" spans="1:23" ht="12.75" hidden="1">
      <c r="B199" s="36" t="s">
        <v>47</v>
      </c>
      <c r="C199" s="36" t="s">
        <v>21</v>
      </c>
      <c r="D199" s="81" t="s">
        <v>818</v>
      </c>
      <c r="E199" s="80" t="s">
        <v>819</v>
      </c>
      <c r="F199" s="81">
        <v>0</v>
      </c>
      <c r="G199" s="81">
        <v>3</v>
      </c>
      <c r="H199" s="81">
        <v>5</v>
      </c>
      <c r="I199" s="101" t="s">
        <v>71</v>
      </c>
      <c r="J199" s="101" t="s">
        <v>71</v>
      </c>
      <c r="K199" s="101" t="s">
        <v>76</v>
      </c>
      <c r="L199" s="80" t="s">
        <v>1491</v>
      </c>
      <c r="M199" s="101" t="s">
        <v>1562</v>
      </c>
      <c r="N199" s="101">
        <v>1</v>
      </c>
      <c r="O199" s="101">
        <v>30</v>
      </c>
      <c r="P199" s="101">
        <v>30</v>
      </c>
      <c r="Q199" s="102">
        <v>3</v>
      </c>
      <c r="R199" s="102">
        <v>3</v>
      </c>
      <c r="S199" s="102" t="s">
        <v>1699</v>
      </c>
      <c r="T199" s="102" t="s">
        <v>1518</v>
      </c>
      <c r="U199" s="80"/>
      <c r="V199" s="95"/>
      <c r="W199" s="95"/>
    </row>
    <row r="200" spans="1:23" ht="12.75" hidden="1">
      <c r="B200" s="36" t="s">
        <v>47</v>
      </c>
      <c r="C200" s="36" t="s">
        <v>21</v>
      </c>
      <c r="D200" s="81" t="s">
        <v>635</v>
      </c>
      <c r="E200" s="80" t="s">
        <v>636</v>
      </c>
      <c r="F200" s="81">
        <v>4</v>
      </c>
      <c r="G200" s="81">
        <v>0</v>
      </c>
      <c r="H200" s="81">
        <v>4</v>
      </c>
      <c r="I200" s="101" t="s">
        <v>71</v>
      </c>
      <c r="J200" s="101" t="s">
        <v>71</v>
      </c>
      <c r="K200" s="101" t="s">
        <v>226</v>
      </c>
      <c r="L200" s="80" t="s">
        <v>1488</v>
      </c>
      <c r="M200" s="101" t="s">
        <v>1562</v>
      </c>
      <c r="N200" s="101">
        <v>1</v>
      </c>
      <c r="O200" s="101">
        <v>30</v>
      </c>
      <c r="P200" s="101">
        <v>30</v>
      </c>
      <c r="Q200" s="102">
        <v>4</v>
      </c>
      <c r="R200" s="102">
        <v>4</v>
      </c>
      <c r="S200" s="102"/>
      <c r="T200" s="102"/>
      <c r="U200" s="80"/>
      <c r="V200" s="95"/>
      <c r="W200" s="95"/>
    </row>
    <row r="201" spans="1:23" ht="12.75" hidden="1">
      <c r="B201" s="36" t="s">
        <v>47</v>
      </c>
      <c r="C201" s="36" t="s">
        <v>21</v>
      </c>
      <c r="D201" s="81" t="s">
        <v>635</v>
      </c>
      <c r="E201" s="80" t="s">
        <v>636</v>
      </c>
      <c r="F201" s="81">
        <v>4</v>
      </c>
      <c r="G201" s="81">
        <v>0</v>
      </c>
      <c r="H201" s="81">
        <v>4</v>
      </c>
      <c r="I201" s="101" t="s">
        <v>71</v>
      </c>
      <c r="J201" s="101" t="s">
        <v>71</v>
      </c>
      <c r="K201" s="101" t="s">
        <v>226</v>
      </c>
      <c r="L201" s="80" t="s">
        <v>1491</v>
      </c>
      <c r="M201" s="101" t="s">
        <v>1562</v>
      </c>
      <c r="N201" s="101">
        <v>1</v>
      </c>
      <c r="O201" s="101">
        <v>30</v>
      </c>
      <c r="P201" s="101">
        <v>30</v>
      </c>
      <c r="Q201" s="102">
        <v>4</v>
      </c>
      <c r="R201" s="102">
        <v>4</v>
      </c>
      <c r="S201" s="102"/>
      <c r="T201" s="102"/>
      <c r="U201" s="80"/>
      <c r="V201" s="95"/>
      <c r="W201" s="95"/>
    </row>
    <row r="202" spans="1:23" ht="12.75" hidden="1">
      <c r="B202" s="36" t="s">
        <v>47</v>
      </c>
      <c r="C202" s="36" t="s">
        <v>21</v>
      </c>
      <c r="D202" s="81" t="s">
        <v>637</v>
      </c>
      <c r="E202" s="80" t="s">
        <v>638</v>
      </c>
      <c r="F202" s="81">
        <v>4</v>
      </c>
      <c r="G202" s="81">
        <v>0</v>
      </c>
      <c r="H202" s="81">
        <v>4</v>
      </c>
      <c r="I202" s="101" t="s">
        <v>71</v>
      </c>
      <c r="J202" s="101" t="s">
        <v>71</v>
      </c>
      <c r="K202" s="101" t="s">
        <v>76</v>
      </c>
      <c r="L202" s="80" t="s">
        <v>1488</v>
      </c>
      <c r="M202" s="101" t="s">
        <v>1562</v>
      </c>
      <c r="N202" s="101">
        <v>1</v>
      </c>
      <c r="O202" s="101">
        <v>30</v>
      </c>
      <c r="P202" s="101">
        <v>30</v>
      </c>
      <c r="Q202" s="102">
        <v>4</v>
      </c>
      <c r="R202" s="102">
        <v>4</v>
      </c>
      <c r="S202" s="102"/>
      <c r="T202" s="102"/>
      <c r="U202" s="80"/>
      <c r="V202" s="95"/>
      <c r="W202" s="95"/>
    </row>
    <row r="203" spans="1:23" ht="12.75" hidden="1">
      <c r="B203" s="36" t="s">
        <v>47</v>
      </c>
      <c r="C203" s="36" t="s">
        <v>21</v>
      </c>
      <c r="D203" s="81" t="s">
        <v>637</v>
      </c>
      <c r="E203" s="80" t="s">
        <v>638</v>
      </c>
      <c r="F203" s="81">
        <v>4</v>
      </c>
      <c r="G203" s="81">
        <v>0</v>
      </c>
      <c r="H203" s="81">
        <v>4</v>
      </c>
      <c r="I203" s="101" t="s">
        <v>71</v>
      </c>
      <c r="J203" s="101" t="s">
        <v>71</v>
      </c>
      <c r="K203" s="101" t="s">
        <v>76</v>
      </c>
      <c r="L203" s="80" t="s">
        <v>1491</v>
      </c>
      <c r="M203" s="101" t="s">
        <v>1562</v>
      </c>
      <c r="N203" s="101">
        <v>1</v>
      </c>
      <c r="O203" s="101">
        <v>30</v>
      </c>
      <c r="P203" s="101">
        <v>30</v>
      </c>
      <c r="Q203" s="102">
        <v>4</v>
      </c>
      <c r="R203" s="102">
        <v>4</v>
      </c>
      <c r="S203" s="102"/>
      <c r="T203" s="102"/>
      <c r="U203" s="80"/>
      <c r="V203" s="95"/>
      <c r="W203" s="95"/>
    </row>
    <row r="204" spans="1:23" ht="12.75" hidden="1">
      <c r="B204" s="36" t="s">
        <v>47</v>
      </c>
      <c r="C204" s="36" t="s">
        <v>21</v>
      </c>
      <c r="D204" s="81" t="s">
        <v>881</v>
      </c>
      <c r="E204" s="80" t="s">
        <v>882</v>
      </c>
      <c r="F204" s="81">
        <v>6</v>
      </c>
      <c r="G204" s="81">
        <v>0</v>
      </c>
      <c r="H204" s="81">
        <v>10</v>
      </c>
      <c r="I204" s="101" t="s">
        <v>71</v>
      </c>
      <c r="J204" s="101" t="s">
        <v>71</v>
      </c>
      <c r="K204" s="101" t="s">
        <v>76</v>
      </c>
      <c r="L204" s="80" t="s">
        <v>1488</v>
      </c>
      <c r="M204" s="101" t="s">
        <v>1562</v>
      </c>
      <c r="N204" s="101">
        <v>1</v>
      </c>
      <c r="O204" s="101">
        <v>30</v>
      </c>
      <c r="P204" s="101">
        <v>30</v>
      </c>
      <c r="Q204" s="102">
        <v>6</v>
      </c>
      <c r="R204" s="102">
        <v>6</v>
      </c>
      <c r="S204" s="102"/>
      <c r="T204" s="102"/>
      <c r="U204" s="80"/>
      <c r="V204" s="95"/>
      <c r="W204" s="95"/>
    </row>
    <row r="205" spans="1:23" ht="12.75" hidden="1">
      <c r="B205" s="36" t="s">
        <v>47</v>
      </c>
      <c r="C205" s="36" t="s">
        <v>21</v>
      </c>
      <c r="D205" s="81" t="s">
        <v>881</v>
      </c>
      <c r="E205" s="80" t="s">
        <v>882</v>
      </c>
      <c r="F205" s="81">
        <v>6</v>
      </c>
      <c r="G205" s="81">
        <v>0</v>
      </c>
      <c r="H205" s="81">
        <v>10</v>
      </c>
      <c r="I205" s="101" t="s">
        <v>71</v>
      </c>
      <c r="J205" s="101" t="s">
        <v>71</v>
      </c>
      <c r="K205" s="101" t="s">
        <v>76</v>
      </c>
      <c r="L205" s="80" t="s">
        <v>1491</v>
      </c>
      <c r="M205" s="101" t="s">
        <v>1562</v>
      </c>
      <c r="N205" s="101">
        <v>1</v>
      </c>
      <c r="O205" s="101">
        <v>30</v>
      </c>
      <c r="P205" s="101">
        <v>30</v>
      </c>
      <c r="Q205" s="102">
        <v>6</v>
      </c>
      <c r="R205" s="102">
        <v>6</v>
      </c>
      <c r="S205" s="102"/>
      <c r="T205" s="102"/>
      <c r="U205" s="80"/>
      <c r="V205" s="95"/>
      <c r="W205" s="95"/>
    </row>
    <row r="206" spans="1:23" ht="12.75" hidden="1">
      <c r="B206" s="36" t="s">
        <v>47</v>
      </c>
      <c r="C206" s="36" t="s">
        <v>21</v>
      </c>
      <c r="D206" s="81" t="s">
        <v>1287</v>
      </c>
      <c r="E206" s="80" t="s">
        <v>1288</v>
      </c>
      <c r="F206" s="81">
        <v>4</v>
      </c>
      <c r="G206" s="81">
        <v>0</v>
      </c>
      <c r="H206" s="81">
        <v>4</v>
      </c>
      <c r="I206" s="101" t="s">
        <v>71</v>
      </c>
      <c r="J206" s="101" t="s">
        <v>71</v>
      </c>
      <c r="K206" s="101" t="s">
        <v>263</v>
      </c>
      <c r="L206" s="80" t="s">
        <v>1488</v>
      </c>
      <c r="M206" s="101" t="s">
        <v>1562</v>
      </c>
      <c r="N206" s="101">
        <v>1</v>
      </c>
      <c r="O206" s="101">
        <v>30</v>
      </c>
      <c r="P206" s="101">
        <v>30</v>
      </c>
      <c r="Q206" s="102">
        <v>4</v>
      </c>
      <c r="R206" s="102">
        <v>4</v>
      </c>
      <c r="S206" s="102"/>
      <c r="T206" s="102"/>
      <c r="U206" s="80"/>
      <c r="V206" s="95"/>
      <c r="W206" s="95"/>
    </row>
    <row r="207" spans="1:23" ht="12.75" hidden="1">
      <c r="B207" s="36" t="s">
        <v>47</v>
      </c>
      <c r="C207" s="36" t="s">
        <v>21</v>
      </c>
      <c r="D207" s="81" t="s">
        <v>1287</v>
      </c>
      <c r="E207" s="80" t="s">
        <v>1288</v>
      </c>
      <c r="F207" s="81">
        <v>4</v>
      </c>
      <c r="G207" s="81">
        <v>0</v>
      </c>
      <c r="H207" s="81">
        <v>4</v>
      </c>
      <c r="I207" s="101" t="s">
        <v>71</v>
      </c>
      <c r="J207" s="101" t="s">
        <v>71</v>
      </c>
      <c r="K207" s="101" t="s">
        <v>263</v>
      </c>
      <c r="L207" s="80" t="s">
        <v>1491</v>
      </c>
      <c r="M207" s="101" t="s">
        <v>1562</v>
      </c>
      <c r="N207" s="101">
        <v>1</v>
      </c>
      <c r="O207" s="101">
        <v>30</v>
      </c>
      <c r="P207" s="101">
        <v>30</v>
      </c>
      <c r="Q207" s="102">
        <v>4</v>
      </c>
      <c r="R207" s="102">
        <v>4</v>
      </c>
      <c r="S207" s="102"/>
      <c r="T207" s="102"/>
      <c r="U207" s="80"/>
      <c r="V207" s="95"/>
      <c r="W207" s="95"/>
    </row>
    <row r="208" spans="1:23" ht="12.75" hidden="1">
      <c r="B208" s="36" t="s">
        <v>47</v>
      </c>
      <c r="C208" s="36" t="s">
        <v>21</v>
      </c>
      <c r="D208" s="81" t="s">
        <v>581</v>
      </c>
      <c r="E208" s="80" t="s">
        <v>582</v>
      </c>
      <c r="F208" s="81">
        <v>3</v>
      </c>
      <c r="G208" s="81">
        <v>1</v>
      </c>
      <c r="H208" s="81">
        <v>4</v>
      </c>
      <c r="I208" s="101" t="s">
        <v>71</v>
      </c>
      <c r="J208" s="101" t="s">
        <v>71</v>
      </c>
      <c r="K208" s="101" t="s">
        <v>76</v>
      </c>
      <c r="L208" s="80" t="s">
        <v>1488</v>
      </c>
      <c r="M208" s="101" t="s">
        <v>1562</v>
      </c>
      <c r="N208" s="101">
        <v>1</v>
      </c>
      <c r="O208" s="101">
        <v>30</v>
      </c>
      <c r="P208" s="101">
        <v>30</v>
      </c>
      <c r="Q208" s="102">
        <v>4</v>
      </c>
      <c r="R208" s="102">
        <v>4</v>
      </c>
      <c r="S208" s="102" t="s">
        <v>1699</v>
      </c>
      <c r="T208" s="102" t="s">
        <v>1505</v>
      </c>
      <c r="U208" s="80"/>
      <c r="V208" s="95"/>
      <c r="W208" s="95"/>
    </row>
    <row r="209" spans="2:23" ht="12.75" hidden="1">
      <c r="B209" s="36" t="s">
        <v>47</v>
      </c>
      <c r="C209" s="36" t="s">
        <v>21</v>
      </c>
      <c r="D209" s="81" t="s">
        <v>581</v>
      </c>
      <c r="E209" s="80" t="s">
        <v>582</v>
      </c>
      <c r="F209" s="81">
        <v>3</v>
      </c>
      <c r="G209" s="81">
        <v>1</v>
      </c>
      <c r="H209" s="81">
        <v>4</v>
      </c>
      <c r="I209" s="101" t="s">
        <v>71</v>
      </c>
      <c r="J209" s="101" t="s">
        <v>71</v>
      </c>
      <c r="K209" s="101" t="s">
        <v>76</v>
      </c>
      <c r="L209" s="80" t="s">
        <v>1491</v>
      </c>
      <c r="M209" s="101" t="s">
        <v>1562</v>
      </c>
      <c r="N209" s="101">
        <v>1</v>
      </c>
      <c r="O209" s="101">
        <v>30</v>
      </c>
      <c r="P209" s="101">
        <v>30</v>
      </c>
      <c r="Q209" s="102">
        <v>4</v>
      </c>
      <c r="R209" s="102">
        <v>4</v>
      </c>
      <c r="S209" s="102" t="s">
        <v>1699</v>
      </c>
      <c r="T209" s="102" t="s">
        <v>1505</v>
      </c>
      <c r="U209" s="80"/>
      <c r="V209" s="95"/>
      <c r="W209" s="95"/>
    </row>
    <row r="210" spans="2:23" ht="12.75" hidden="1">
      <c r="B210" s="36" t="s">
        <v>47</v>
      </c>
      <c r="C210" s="36" t="s">
        <v>21</v>
      </c>
      <c r="D210" s="81" t="s">
        <v>536</v>
      </c>
      <c r="E210" s="80" t="s">
        <v>537</v>
      </c>
      <c r="F210" s="81">
        <v>4</v>
      </c>
      <c r="G210" s="81">
        <v>0</v>
      </c>
      <c r="H210" s="81">
        <v>4</v>
      </c>
      <c r="I210" s="101" t="s">
        <v>73</v>
      </c>
      <c r="J210" s="101" t="s">
        <v>73</v>
      </c>
      <c r="K210" s="101" t="s">
        <v>76</v>
      </c>
      <c r="L210" s="80" t="s">
        <v>1488</v>
      </c>
      <c r="M210" s="101" t="s">
        <v>1562</v>
      </c>
      <c r="N210" s="101">
        <v>1</v>
      </c>
      <c r="O210" s="101">
        <v>30</v>
      </c>
      <c r="P210" s="101">
        <v>30</v>
      </c>
      <c r="Q210" s="102">
        <v>4</v>
      </c>
      <c r="R210" s="102">
        <v>4</v>
      </c>
      <c r="S210" s="102"/>
      <c r="T210" s="102"/>
      <c r="U210" s="80"/>
      <c r="V210" s="95"/>
      <c r="W210" s="95"/>
    </row>
    <row r="211" spans="2:23" ht="12.75" hidden="1">
      <c r="B211" s="36" t="s">
        <v>47</v>
      </c>
      <c r="C211" s="36" t="s">
        <v>21</v>
      </c>
      <c r="D211" s="81" t="s">
        <v>789</v>
      </c>
      <c r="E211" s="80" t="s">
        <v>790</v>
      </c>
      <c r="F211" s="81">
        <v>4</v>
      </c>
      <c r="G211" s="81">
        <v>0</v>
      </c>
      <c r="H211" s="81">
        <v>4</v>
      </c>
      <c r="I211" s="101" t="s">
        <v>73</v>
      </c>
      <c r="J211" s="101" t="s">
        <v>73</v>
      </c>
      <c r="K211" s="101" t="s">
        <v>76</v>
      </c>
      <c r="L211" s="80" t="s">
        <v>1488</v>
      </c>
      <c r="M211" s="101" t="s">
        <v>1562</v>
      </c>
      <c r="N211" s="101">
        <v>1</v>
      </c>
      <c r="O211" s="101">
        <v>30</v>
      </c>
      <c r="P211" s="101">
        <v>30</v>
      </c>
      <c r="Q211" s="102">
        <v>4</v>
      </c>
      <c r="R211" s="102">
        <v>4</v>
      </c>
      <c r="S211" s="102"/>
      <c r="T211" s="102"/>
      <c r="U211" s="80"/>
      <c r="V211" s="95"/>
      <c r="W211" s="95"/>
    </row>
    <row r="212" spans="2:23" ht="12.75" hidden="1">
      <c r="B212" s="36" t="s">
        <v>47</v>
      </c>
      <c r="C212" s="36" t="s">
        <v>21</v>
      </c>
      <c r="D212" s="81" t="s">
        <v>179</v>
      </c>
      <c r="E212" s="80" t="s">
        <v>180</v>
      </c>
      <c r="F212" s="81">
        <v>4</v>
      </c>
      <c r="G212" s="81">
        <v>0</v>
      </c>
      <c r="H212" s="81">
        <v>4</v>
      </c>
      <c r="I212" s="101" t="s">
        <v>73</v>
      </c>
      <c r="J212" s="101" t="s">
        <v>73</v>
      </c>
      <c r="K212" s="101" t="s">
        <v>181</v>
      </c>
      <c r="L212" s="80" t="s">
        <v>1491</v>
      </c>
      <c r="M212" s="101" t="s">
        <v>1562</v>
      </c>
      <c r="N212" s="101">
        <v>1</v>
      </c>
      <c r="O212" s="101">
        <v>30</v>
      </c>
      <c r="P212" s="101">
        <v>30</v>
      </c>
      <c r="Q212" s="102">
        <v>4</v>
      </c>
      <c r="R212" s="102">
        <v>4</v>
      </c>
      <c r="S212" s="102"/>
      <c r="T212" s="102"/>
      <c r="U212" s="80"/>
      <c r="V212" s="95"/>
      <c r="W212" s="95"/>
    </row>
    <row r="213" spans="2:23" ht="12.75" hidden="1">
      <c r="B213" s="36" t="s">
        <v>47</v>
      </c>
      <c r="C213" s="36" t="s">
        <v>21</v>
      </c>
      <c r="D213" s="81" t="s">
        <v>1701</v>
      </c>
      <c r="E213" s="80" t="s">
        <v>781</v>
      </c>
      <c r="F213" s="81">
        <v>3</v>
      </c>
      <c r="G213" s="81">
        <v>0</v>
      </c>
      <c r="H213" s="81">
        <v>5</v>
      </c>
      <c r="I213" s="101" t="s">
        <v>73</v>
      </c>
      <c r="J213" s="101" t="s">
        <v>73</v>
      </c>
      <c r="K213" s="101" t="s">
        <v>263</v>
      </c>
      <c r="L213" s="80" t="s">
        <v>1488</v>
      </c>
      <c r="M213" s="101" t="s">
        <v>1562</v>
      </c>
      <c r="N213" s="101">
        <v>1</v>
      </c>
      <c r="O213" s="101">
        <v>30</v>
      </c>
      <c r="P213" s="101">
        <v>30</v>
      </c>
      <c r="Q213" s="102">
        <v>3</v>
      </c>
      <c r="R213" s="102">
        <v>3</v>
      </c>
      <c r="S213" s="102"/>
      <c r="T213" s="102"/>
      <c r="U213" s="80"/>
      <c r="V213" s="95"/>
      <c r="W213" s="95"/>
    </row>
    <row r="214" spans="2:23" ht="12.75" hidden="1">
      <c r="B214" s="36" t="s">
        <v>47</v>
      </c>
      <c r="C214" s="36" t="s">
        <v>21</v>
      </c>
      <c r="D214" s="81" t="s">
        <v>821</v>
      </c>
      <c r="E214" s="80" t="s">
        <v>822</v>
      </c>
      <c r="F214" s="81">
        <v>2</v>
      </c>
      <c r="G214" s="81">
        <v>2</v>
      </c>
      <c r="H214" s="81">
        <v>4</v>
      </c>
      <c r="I214" s="101" t="s">
        <v>73</v>
      </c>
      <c r="J214" s="101" t="s">
        <v>73</v>
      </c>
      <c r="K214" s="101" t="s">
        <v>76</v>
      </c>
      <c r="L214" s="80" t="s">
        <v>1491</v>
      </c>
      <c r="M214" s="101" t="s">
        <v>1562</v>
      </c>
      <c r="N214" s="101">
        <v>1</v>
      </c>
      <c r="O214" s="101">
        <v>30</v>
      </c>
      <c r="P214" s="101">
        <v>30</v>
      </c>
      <c r="Q214" s="102">
        <v>4</v>
      </c>
      <c r="R214" s="102">
        <v>4</v>
      </c>
      <c r="S214" s="102" t="s">
        <v>1699</v>
      </c>
      <c r="T214" s="102" t="s">
        <v>1505</v>
      </c>
      <c r="U214" s="80"/>
      <c r="V214" s="95"/>
      <c r="W214" s="95"/>
    </row>
    <row r="215" spans="2:23" ht="12.75" hidden="1">
      <c r="B215" s="36" t="s">
        <v>47</v>
      </c>
      <c r="C215" s="36" t="s">
        <v>21</v>
      </c>
      <c r="D215" s="81" t="s">
        <v>1259</v>
      </c>
      <c r="E215" s="80" t="s">
        <v>1260</v>
      </c>
      <c r="F215" s="81">
        <v>1</v>
      </c>
      <c r="G215" s="81">
        <v>2</v>
      </c>
      <c r="H215" s="81">
        <v>5</v>
      </c>
      <c r="I215" s="101" t="s">
        <v>70</v>
      </c>
      <c r="J215" s="101" t="s">
        <v>1752</v>
      </c>
      <c r="K215" s="101" t="s">
        <v>76</v>
      </c>
      <c r="L215" s="80" t="s">
        <v>1488</v>
      </c>
      <c r="M215" s="101" t="s">
        <v>1562</v>
      </c>
      <c r="N215" s="101">
        <v>1</v>
      </c>
      <c r="O215" s="101">
        <v>30</v>
      </c>
      <c r="P215" s="101">
        <v>30</v>
      </c>
      <c r="Q215" s="102">
        <v>3</v>
      </c>
      <c r="R215" s="102">
        <v>3</v>
      </c>
      <c r="S215" s="102" t="s">
        <v>1699</v>
      </c>
      <c r="T215" s="102" t="s">
        <v>1505</v>
      </c>
      <c r="U215" s="80"/>
      <c r="V215" s="95"/>
      <c r="W215" s="95"/>
    </row>
    <row r="216" spans="2:23" ht="12.75" hidden="1">
      <c r="B216" s="36" t="s">
        <v>47</v>
      </c>
      <c r="C216" s="36" t="s">
        <v>21</v>
      </c>
      <c r="D216" s="81" t="s">
        <v>365</v>
      </c>
      <c r="E216" s="80" t="s">
        <v>366</v>
      </c>
      <c r="F216" s="81">
        <v>4</v>
      </c>
      <c r="G216" s="81">
        <v>0</v>
      </c>
      <c r="H216" s="81">
        <v>4</v>
      </c>
      <c r="I216" s="101" t="s">
        <v>70</v>
      </c>
      <c r="J216" s="101" t="s">
        <v>1752</v>
      </c>
      <c r="K216" s="101" t="s">
        <v>76</v>
      </c>
      <c r="L216" s="80" t="s">
        <v>1491</v>
      </c>
      <c r="M216" s="101" t="s">
        <v>1562</v>
      </c>
      <c r="N216" s="101">
        <v>1</v>
      </c>
      <c r="O216" s="101">
        <v>30</v>
      </c>
      <c r="P216" s="101">
        <v>30</v>
      </c>
      <c r="Q216" s="102">
        <v>4</v>
      </c>
      <c r="R216" s="102">
        <v>4</v>
      </c>
      <c r="S216" s="102"/>
      <c r="T216" s="102"/>
      <c r="U216" s="80"/>
      <c r="V216" s="95"/>
      <c r="W216" s="95"/>
    </row>
    <row r="217" spans="2:23" ht="12.75" hidden="1">
      <c r="B217" s="36" t="s">
        <v>47</v>
      </c>
      <c r="C217" s="36" t="s">
        <v>21</v>
      </c>
      <c r="D217" s="81" t="s">
        <v>615</v>
      </c>
      <c r="E217" s="80" t="s">
        <v>616</v>
      </c>
      <c r="F217" s="81">
        <v>4</v>
      </c>
      <c r="G217" s="81">
        <v>0</v>
      </c>
      <c r="H217" s="81">
        <v>4</v>
      </c>
      <c r="I217" s="101" t="s">
        <v>70</v>
      </c>
      <c r="J217" s="101" t="s">
        <v>1752</v>
      </c>
      <c r="K217" s="101" t="s">
        <v>76</v>
      </c>
      <c r="L217" s="80" t="s">
        <v>1488</v>
      </c>
      <c r="M217" s="101" t="s">
        <v>1562</v>
      </c>
      <c r="N217" s="101">
        <v>1</v>
      </c>
      <c r="O217" s="101">
        <v>30</v>
      </c>
      <c r="P217" s="101">
        <v>30</v>
      </c>
      <c r="Q217" s="102">
        <v>4</v>
      </c>
      <c r="R217" s="102">
        <v>4</v>
      </c>
      <c r="S217" s="102"/>
      <c r="T217" s="102"/>
      <c r="U217" s="80"/>
      <c r="V217" s="95"/>
      <c r="W217" s="95"/>
    </row>
    <row r="218" spans="2:23" ht="12.75" hidden="1">
      <c r="B218" s="40" t="s">
        <v>49</v>
      </c>
      <c r="C218" s="40" t="s">
        <v>22</v>
      </c>
      <c r="D218" s="81" t="s">
        <v>95</v>
      </c>
      <c r="E218" s="80" t="s">
        <v>96</v>
      </c>
      <c r="F218" s="81">
        <v>4</v>
      </c>
      <c r="G218" s="81">
        <v>0</v>
      </c>
      <c r="H218" s="81">
        <v>4</v>
      </c>
      <c r="I218" s="101" t="s">
        <v>71</v>
      </c>
      <c r="J218" s="101" t="s">
        <v>71</v>
      </c>
      <c r="K218" s="101" t="s">
        <v>93</v>
      </c>
      <c r="L218" s="80" t="s">
        <v>1488</v>
      </c>
      <c r="M218" s="101" t="s">
        <v>1562</v>
      </c>
      <c r="N218" s="101">
        <v>1</v>
      </c>
      <c r="O218" s="101">
        <v>40</v>
      </c>
      <c r="P218" s="101">
        <v>40</v>
      </c>
      <c r="Q218" s="102">
        <v>4</v>
      </c>
      <c r="R218" s="102">
        <v>4</v>
      </c>
      <c r="S218" s="80"/>
      <c r="T218" s="95"/>
      <c r="U218" s="95"/>
    </row>
    <row r="219" spans="2:23" ht="12.75" hidden="1">
      <c r="B219" s="40" t="s">
        <v>49</v>
      </c>
      <c r="C219" s="40" t="s">
        <v>22</v>
      </c>
      <c r="D219" s="81" t="s">
        <v>95</v>
      </c>
      <c r="E219" s="80" t="s">
        <v>96</v>
      </c>
      <c r="F219" s="81">
        <v>4</v>
      </c>
      <c r="G219" s="81">
        <v>0</v>
      </c>
      <c r="H219" s="81">
        <v>4</v>
      </c>
      <c r="I219" s="101" t="s">
        <v>71</v>
      </c>
      <c r="J219" s="101" t="s">
        <v>71</v>
      </c>
      <c r="K219" s="101" t="s">
        <v>93</v>
      </c>
      <c r="L219" s="80" t="s">
        <v>1491</v>
      </c>
      <c r="M219" s="101" t="s">
        <v>1562</v>
      </c>
      <c r="N219" s="101">
        <v>1</v>
      </c>
      <c r="O219" s="101">
        <v>40</v>
      </c>
      <c r="P219" s="101">
        <v>40</v>
      </c>
      <c r="Q219" s="102">
        <v>4</v>
      </c>
      <c r="R219" s="102">
        <v>4</v>
      </c>
      <c r="S219" s="80"/>
      <c r="T219" s="95"/>
      <c r="U219" s="95"/>
    </row>
    <row r="220" spans="2:23" ht="12.75" hidden="1">
      <c r="B220" s="40" t="s">
        <v>49</v>
      </c>
      <c r="C220" s="40" t="s">
        <v>22</v>
      </c>
      <c r="D220" s="81" t="s">
        <v>1704</v>
      </c>
      <c r="E220" s="80" t="s">
        <v>670</v>
      </c>
      <c r="F220" s="81">
        <v>4</v>
      </c>
      <c r="G220" s="81">
        <v>0</v>
      </c>
      <c r="H220" s="81">
        <v>4</v>
      </c>
      <c r="I220" s="101" t="s">
        <v>71</v>
      </c>
      <c r="J220" s="101" t="s">
        <v>71</v>
      </c>
      <c r="K220" s="101" t="s">
        <v>125</v>
      </c>
      <c r="L220" s="80" t="s">
        <v>1488</v>
      </c>
      <c r="M220" s="101" t="s">
        <v>1562</v>
      </c>
      <c r="N220" s="101">
        <v>1</v>
      </c>
      <c r="O220" s="101">
        <v>40</v>
      </c>
      <c r="P220" s="101">
        <v>40</v>
      </c>
      <c r="Q220" s="102">
        <v>4</v>
      </c>
      <c r="R220" s="102">
        <v>4</v>
      </c>
      <c r="S220" s="80"/>
      <c r="T220" s="95"/>
      <c r="U220" s="95"/>
    </row>
    <row r="221" spans="2:23" ht="12.75" hidden="1">
      <c r="B221" s="40" t="s">
        <v>49</v>
      </c>
      <c r="C221" s="40" t="s">
        <v>22</v>
      </c>
      <c r="D221" s="81" t="s">
        <v>1704</v>
      </c>
      <c r="E221" s="80" t="s">
        <v>670</v>
      </c>
      <c r="F221" s="81">
        <v>4</v>
      </c>
      <c r="G221" s="81">
        <v>0</v>
      </c>
      <c r="H221" s="81">
        <v>4</v>
      </c>
      <c r="I221" s="101" t="s">
        <v>71</v>
      </c>
      <c r="J221" s="101" t="s">
        <v>71</v>
      </c>
      <c r="K221" s="101" t="s">
        <v>125</v>
      </c>
      <c r="L221" s="80" t="s">
        <v>1491</v>
      </c>
      <c r="M221" s="101" t="s">
        <v>1562</v>
      </c>
      <c r="N221" s="101">
        <v>1</v>
      </c>
      <c r="O221" s="101">
        <v>40</v>
      </c>
      <c r="P221" s="101">
        <v>40</v>
      </c>
      <c r="Q221" s="102">
        <v>4</v>
      </c>
      <c r="R221" s="102">
        <v>4</v>
      </c>
      <c r="S221" s="80"/>
      <c r="T221" s="95"/>
      <c r="U221" s="95"/>
    </row>
    <row r="222" spans="2:23" ht="12.75" hidden="1">
      <c r="B222" s="40" t="s">
        <v>49</v>
      </c>
      <c r="C222" s="40" t="s">
        <v>22</v>
      </c>
      <c r="D222" s="81" t="s">
        <v>127</v>
      </c>
      <c r="E222" s="80" t="s">
        <v>128</v>
      </c>
      <c r="F222" s="81">
        <v>4</v>
      </c>
      <c r="G222" s="81">
        <v>0</v>
      </c>
      <c r="H222" s="81">
        <v>4</v>
      </c>
      <c r="I222" s="101" t="s">
        <v>71</v>
      </c>
      <c r="J222" s="101" t="s">
        <v>71</v>
      </c>
      <c r="K222" s="101" t="s">
        <v>125</v>
      </c>
      <c r="L222" s="80" t="s">
        <v>1488</v>
      </c>
      <c r="M222" s="101" t="s">
        <v>1562</v>
      </c>
      <c r="N222" s="101">
        <v>1</v>
      </c>
      <c r="O222" s="101">
        <v>40</v>
      </c>
      <c r="P222" s="101">
        <v>40</v>
      </c>
      <c r="Q222" s="102">
        <v>4</v>
      </c>
      <c r="R222" s="102">
        <v>4</v>
      </c>
      <c r="S222" s="80"/>
      <c r="T222" s="95"/>
      <c r="U222" s="95"/>
    </row>
    <row r="223" spans="2:23" ht="12.75" hidden="1">
      <c r="B223" s="40" t="s">
        <v>49</v>
      </c>
      <c r="C223" s="40" t="s">
        <v>22</v>
      </c>
      <c r="D223" s="81" t="s">
        <v>127</v>
      </c>
      <c r="E223" s="80" t="s">
        <v>128</v>
      </c>
      <c r="F223" s="81">
        <v>4</v>
      </c>
      <c r="G223" s="81">
        <v>0</v>
      </c>
      <c r="H223" s="81">
        <v>4</v>
      </c>
      <c r="I223" s="101" t="s">
        <v>71</v>
      </c>
      <c r="J223" s="101" t="s">
        <v>71</v>
      </c>
      <c r="K223" s="101" t="s">
        <v>125</v>
      </c>
      <c r="L223" s="80" t="s">
        <v>1491</v>
      </c>
      <c r="M223" s="101" t="s">
        <v>1562</v>
      </c>
      <c r="N223" s="101">
        <v>1</v>
      </c>
      <c r="O223" s="101">
        <v>40</v>
      </c>
      <c r="P223" s="101">
        <v>40</v>
      </c>
      <c r="Q223" s="102">
        <v>4</v>
      </c>
      <c r="R223" s="102">
        <v>4</v>
      </c>
      <c r="S223" s="80"/>
      <c r="T223" s="95"/>
      <c r="U223" s="95"/>
    </row>
    <row r="224" spans="2:23" ht="12.75" hidden="1">
      <c r="B224" s="40" t="s">
        <v>49</v>
      </c>
      <c r="C224" s="40" t="s">
        <v>22</v>
      </c>
      <c r="D224" s="81" t="s">
        <v>560</v>
      </c>
      <c r="E224" s="80" t="s">
        <v>561</v>
      </c>
      <c r="F224" s="81">
        <v>4</v>
      </c>
      <c r="G224" s="81">
        <v>0</v>
      </c>
      <c r="H224" s="81">
        <v>4</v>
      </c>
      <c r="I224" s="101" t="s">
        <v>71</v>
      </c>
      <c r="J224" s="101" t="s">
        <v>71</v>
      </c>
      <c r="K224" s="101" t="s">
        <v>76</v>
      </c>
      <c r="L224" s="80" t="s">
        <v>1488</v>
      </c>
      <c r="M224" s="101" t="s">
        <v>1562</v>
      </c>
      <c r="N224" s="101">
        <v>1</v>
      </c>
      <c r="O224" s="101">
        <v>40</v>
      </c>
      <c r="P224" s="101">
        <v>40</v>
      </c>
      <c r="Q224" s="102">
        <v>4</v>
      </c>
      <c r="R224" s="102">
        <v>4</v>
      </c>
      <c r="S224" s="80"/>
      <c r="T224" s="95"/>
      <c r="U224" s="95"/>
    </row>
    <row r="225" spans="2:23" ht="12.75" hidden="1">
      <c r="B225" s="40" t="s">
        <v>49</v>
      </c>
      <c r="C225" s="40" t="s">
        <v>22</v>
      </c>
      <c r="D225" s="81" t="s">
        <v>560</v>
      </c>
      <c r="E225" s="80" t="s">
        <v>561</v>
      </c>
      <c r="F225" s="81">
        <v>4</v>
      </c>
      <c r="G225" s="81">
        <v>0</v>
      </c>
      <c r="H225" s="81">
        <v>4</v>
      </c>
      <c r="I225" s="101" t="s">
        <v>71</v>
      </c>
      <c r="J225" s="101" t="s">
        <v>71</v>
      </c>
      <c r="K225" s="101" t="s">
        <v>76</v>
      </c>
      <c r="L225" s="80" t="s">
        <v>1491</v>
      </c>
      <c r="M225" s="101" t="s">
        <v>1562</v>
      </c>
      <c r="N225" s="101">
        <v>1</v>
      </c>
      <c r="O225" s="101">
        <v>40</v>
      </c>
      <c r="P225" s="101">
        <v>40</v>
      </c>
      <c r="Q225" s="102">
        <v>4</v>
      </c>
      <c r="R225" s="102">
        <v>4</v>
      </c>
      <c r="S225" s="80"/>
      <c r="T225" s="95"/>
      <c r="U225" s="95"/>
    </row>
    <row r="226" spans="2:23" ht="12.75" hidden="1">
      <c r="B226" s="40" t="s">
        <v>49</v>
      </c>
      <c r="C226" s="40" t="s">
        <v>22</v>
      </c>
      <c r="D226" s="81" t="s">
        <v>1104</v>
      </c>
      <c r="E226" s="80" t="s">
        <v>902</v>
      </c>
      <c r="F226" s="81">
        <v>3</v>
      </c>
      <c r="G226" s="81">
        <v>1</v>
      </c>
      <c r="H226" s="81">
        <v>4</v>
      </c>
      <c r="I226" s="101" t="s">
        <v>71</v>
      </c>
      <c r="J226" s="101" t="s">
        <v>71</v>
      </c>
      <c r="K226" s="101" t="s">
        <v>90</v>
      </c>
      <c r="L226" s="80" t="s">
        <v>1488</v>
      </c>
      <c r="M226" s="101" t="s">
        <v>1562</v>
      </c>
      <c r="N226" s="101">
        <v>1</v>
      </c>
      <c r="O226" s="101">
        <v>40</v>
      </c>
      <c r="P226" s="101">
        <v>40</v>
      </c>
      <c r="Q226" s="102">
        <v>4</v>
      </c>
      <c r="R226" s="102">
        <v>4</v>
      </c>
      <c r="S226" s="80"/>
      <c r="T226" s="95"/>
      <c r="U226" s="95"/>
    </row>
    <row r="227" spans="2:23" ht="12.75" hidden="1">
      <c r="B227" s="40" t="s">
        <v>49</v>
      </c>
      <c r="C227" s="40" t="s">
        <v>22</v>
      </c>
      <c r="D227" s="81" t="s">
        <v>1104</v>
      </c>
      <c r="E227" s="80" t="s">
        <v>902</v>
      </c>
      <c r="F227" s="81">
        <v>3</v>
      </c>
      <c r="G227" s="81">
        <v>1</v>
      </c>
      <c r="H227" s="81">
        <v>4</v>
      </c>
      <c r="I227" s="101" t="s">
        <v>71</v>
      </c>
      <c r="J227" s="101" t="s">
        <v>71</v>
      </c>
      <c r="K227" s="101" t="s">
        <v>90</v>
      </c>
      <c r="L227" s="80" t="s">
        <v>1491</v>
      </c>
      <c r="M227" s="101" t="s">
        <v>1562</v>
      </c>
      <c r="N227" s="101">
        <v>1</v>
      </c>
      <c r="O227" s="101">
        <v>40</v>
      </c>
      <c r="P227" s="101">
        <v>40</v>
      </c>
      <c r="Q227" s="102">
        <v>4</v>
      </c>
      <c r="R227" s="102">
        <v>4</v>
      </c>
      <c r="S227" s="80"/>
      <c r="T227" s="95"/>
      <c r="U227" s="95"/>
    </row>
    <row r="228" spans="2:23" ht="12.75" hidden="1">
      <c r="B228" s="40" t="s">
        <v>49</v>
      </c>
      <c r="C228" s="40" t="s">
        <v>22</v>
      </c>
      <c r="D228" s="81" t="s">
        <v>1071</v>
      </c>
      <c r="E228" s="80" t="s">
        <v>1072</v>
      </c>
      <c r="F228" s="81">
        <v>4</v>
      </c>
      <c r="G228" s="81">
        <v>0</v>
      </c>
      <c r="H228" s="81">
        <v>4</v>
      </c>
      <c r="I228" s="101" t="s">
        <v>71</v>
      </c>
      <c r="J228" s="101" t="s">
        <v>71</v>
      </c>
      <c r="K228" s="101" t="s">
        <v>1073</v>
      </c>
      <c r="L228" s="80" t="s">
        <v>1488</v>
      </c>
      <c r="M228" s="101" t="s">
        <v>1562</v>
      </c>
      <c r="N228" s="101">
        <v>1</v>
      </c>
      <c r="O228" s="101">
        <v>40</v>
      </c>
      <c r="P228" s="101">
        <v>40</v>
      </c>
      <c r="Q228" s="102">
        <v>4</v>
      </c>
      <c r="R228" s="102">
        <v>4</v>
      </c>
      <c r="S228" s="80"/>
      <c r="T228" s="95"/>
      <c r="U228" s="95"/>
    </row>
    <row r="229" spans="2:23" ht="12.75" hidden="1">
      <c r="B229" s="40" t="s">
        <v>49</v>
      </c>
      <c r="C229" s="40" t="s">
        <v>22</v>
      </c>
      <c r="D229" s="81" t="s">
        <v>1705</v>
      </c>
      <c r="E229" s="80" t="s">
        <v>1072</v>
      </c>
      <c r="F229" s="81">
        <v>4</v>
      </c>
      <c r="G229" s="81">
        <v>0</v>
      </c>
      <c r="H229" s="81">
        <v>4</v>
      </c>
      <c r="I229" s="101" t="s">
        <v>71</v>
      </c>
      <c r="J229" s="101" t="s">
        <v>71</v>
      </c>
      <c r="K229" s="101" t="s">
        <v>1073</v>
      </c>
      <c r="L229" s="80" t="s">
        <v>1491</v>
      </c>
      <c r="M229" s="101" t="s">
        <v>1562</v>
      </c>
      <c r="N229" s="101">
        <v>1</v>
      </c>
      <c r="O229" s="101">
        <v>40</v>
      </c>
      <c r="P229" s="101">
        <v>40</v>
      </c>
      <c r="Q229" s="102">
        <v>4</v>
      </c>
      <c r="R229" s="102">
        <v>4</v>
      </c>
      <c r="S229" s="80"/>
      <c r="T229" s="95"/>
      <c r="U229" s="95"/>
    </row>
    <row r="230" spans="2:23" ht="12.75" hidden="1">
      <c r="B230" s="40" t="s">
        <v>49</v>
      </c>
      <c r="C230" s="40" t="s">
        <v>22</v>
      </c>
      <c r="D230" s="81" t="s">
        <v>1334</v>
      </c>
      <c r="E230" s="80" t="s">
        <v>1335</v>
      </c>
      <c r="F230" s="81">
        <v>0</v>
      </c>
      <c r="G230" s="81">
        <v>4</v>
      </c>
      <c r="H230" s="81">
        <v>6</v>
      </c>
      <c r="I230" s="101" t="s">
        <v>70</v>
      </c>
      <c r="J230" s="101" t="s">
        <v>71</v>
      </c>
      <c r="K230" s="101" t="s">
        <v>76</v>
      </c>
      <c r="L230" s="80" t="s">
        <v>1491</v>
      </c>
      <c r="M230" s="101" t="s">
        <v>1562</v>
      </c>
      <c r="N230" s="101">
        <v>1</v>
      </c>
      <c r="O230" s="101">
        <v>40</v>
      </c>
      <c r="P230" s="101">
        <v>40</v>
      </c>
      <c r="Q230" s="102">
        <v>4</v>
      </c>
      <c r="R230" s="102">
        <v>4</v>
      </c>
      <c r="S230" s="80"/>
      <c r="T230" s="95"/>
      <c r="U230" s="95"/>
    </row>
    <row r="231" spans="2:23" ht="12.75" hidden="1">
      <c r="B231" s="40" t="s">
        <v>49</v>
      </c>
      <c r="C231" s="40" t="s">
        <v>22</v>
      </c>
      <c r="D231" s="81" t="s">
        <v>1706</v>
      </c>
      <c r="E231" s="80" t="s">
        <v>224</v>
      </c>
      <c r="F231" s="81">
        <v>4</v>
      </c>
      <c r="G231" s="81">
        <v>0</v>
      </c>
      <c r="H231" s="81">
        <v>4</v>
      </c>
      <c r="I231" s="101" t="s">
        <v>70</v>
      </c>
      <c r="J231" s="103" t="s">
        <v>71</v>
      </c>
      <c r="K231" s="101" t="s">
        <v>1707</v>
      </c>
      <c r="L231" s="80" t="s">
        <v>1488</v>
      </c>
      <c r="M231" s="101" t="s">
        <v>1562</v>
      </c>
      <c r="N231" s="101">
        <v>1</v>
      </c>
      <c r="O231" s="101">
        <v>40</v>
      </c>
      <c r="P231" s="101">
        <v>40</v>
      </c>
      <c r="Q231" s="102">
        <v>4</v>
      </c>
      <c r="R231" s="102">
        <v>4</v>
      </c>
      <c r="S231" s="80"/>
      <c r="T231" s="95"/>
      <c r="U231" s="95"/>
    </row>
    <row r="232" spans="2:23" ht="12.75" hidden="1">
      <c r="B232" s="40" t="s">
        <v>49</v>
      </c>
      <c r="C232" s="40" t="s">
        <v>22</v>
      </c>
      <c r="D232" s="81" t="s">
        <v>1706</v>
      </c>
      <c r="E232" s="80" t="s">
        <v>224</v>
      </c>
      <c r="F232" s="81">
        <v>4</v>
      </c>
      <c r="G232" s="81">
        <v>0</v>
      </c>
      <c r="H232" s="81">
        <v>4</v>
      </c>
      <c r="I232" s="101" t="s">
        <v>70</v>
      </c>
      <c r="J232" s="103" t="s">
        <v>71</v>
      </c>
      <c r="K232" s="101" t="s">
        <v>1707</v>
      </c>
      <c r="L232" s="80" t="s">
        <v>1491</v>
      </c>
      <c r="M232" s="101" t="s">
        <v>1562</v>
      </c>
      <c r="N232" s="101">
        <v>1</v>
      </c>
      <c r="O232" s="101">
        <v>40</v>
      </c>
      <c r="P232" s="101">
        <v>40</v>
      </c>
      <c r="Q232" s="102">
        <v>4</v>
      </c>
      <c r="R232" s="102">
        <v>4</v>
      </c>
      <c r="S232" s="80"/>
      <c r="T232" s="95"/>
      <c r="U232" s="95"/>
    </row>
    <row r="233" spans="2:23" ht="12.75" hidden="1">
      <c r="B233" s="40" t="s">
        <v>49</v>
      </c>
      <c r="C233" s="40" t="s">
        <v>22</v>
      </c>
      <c r="D233" s="81" t="s">
        <v>1192</v>
      </c>
      <c r="E233" s="80" t="s">
        <v>126</v>
      </c>
      <c r="F233" s="81">
        <v>4</v>
      </c>
      <c r="G233" s="81">
        <v>0</v>
      </c>
      <c r="H233" s="81">
        <v>4</v>
      </c>
      <c r="I233" s="101" t="s">
        <v>71</v>
      </c>
      <c r="J233" s="101" t="s">
        <v>71</v>
      </c>
      <c r="K233" s="101" t="s">
        <v>1193</v>
      </c>
      <c r="L233" s="80" t="s">
        <v>1488</v>
      </c>
      <c r="M233" s="101" t="s">
        <v>1562</v>
      </c>
      <c r="N233" s="101">
        <v>1</v>
      </c>
      <c r="O233" s="101">
        <v>40</v>
      </c>
      <c r="P233" s="101">
        <v>40</v>
      </c>
      <c r="Q233" s="102">
        <v>4</v>
      </c>
      <c r="R233" s="102">
        <v>4</v>
      </c>
      <c r="S233" s="80"/>
      <c r="T233" s="95"/>
      <c r="U233" s="95"/>
    </row>
    <row r="234" spans="2:23" ht="12.75" hidden="1">
      <c r="B234" s="40" t="s">
        <v>49</v>
      </c>
      <c r="C234" s="40" t="s">
        <v>22</v>
      </c>
      <c r="D234" s="81" t="s">
        <v>1192</v>
      </c>
      <c r="E234" s="80" t="s">
        <v>126</v>
      </c>
      <c r="F234" s="81">
        <v>4</v>
      </c>
      <c r="G234" s="81">
        <v>0</v>
      </c>
      <c r="H234" s="81">
        <v>4</v>
      </c>
      <c r="I234" s="101" t="s">
        <v>71</v>
      </c>
      <c r="J234" s="101" t="s">
        <v>71</v>
      </c>
      <c r="K234" s="101" t="s">
        <v>1193</v>
      </c>
      <c r="L234" s="80" t="s">
        <v>1491</v>
      </c>
      <c r="M234" s="101" t="s">
        <v>1562</v>
      </c>
      <c r="N234" s="101">
        <v>1</v>
      </c>
      <c r="O234" s="101">
        <v>40</v>
      </c>
      <c r="P234" s="101">
        <v>40</v>
      </c>
      <c r="Q234" s="102">
        <v>4</v>
      </c>
      <c r="R234" s="102">
        <v>4</v>
      </c>
      <c r="S234" s="80"/>
      <c r="T234" s="95"/>
      <c r="U234" s="95"/>
    </row>
    <row r="235" spans="2:23" ht="12.75" hidden="1">
      <c r="B235" s="40" t="s">
        <v>49</v>
      </c>
      <c r="C235" s="40" t="s">
        <v>22</v>
      </c>
      <c r="D235" s="81" t="s">
        <v>122</v>
      </c>
      <c r="E235" s="80" t="s">
        <v>123</v>
      </c>
      <c r="F235" s="81">
        <v>4</v>
      </c>
      <c r="G235" s="81">
        <v>0</v>
      </c>
      <c r="H235" s="81">
        <v>4</v>
      </c>
      <c r="I235" s="101" t="s">
        <v>73</v>
      </c>
      <c r="J235" s="101" t="s">
        <v>73</v>
      </c>
      <c r="K235" s="101" t="s">
        <v>120</v>
      </c>
      <c r="L235" s="80" t="s">
        <v>1488</v>
      </c>
      <c r="M235" s="101" t="s">
        <v>1562</v>
      </c>
      <c r="N235" s="101">
        <v>1</v>
      </c>
      <c r="O235" s="101">
        <v>40</v>
      </c>
      <c r="P235" s="101">
        <v>40</v>
      </c>
      <c r="Q235" s="102">
        <v>4</v>
      </c>
      <c r="R235" s="102">
        <v>4</v>
      </c>
      <c r="S235" s="80"/>
      <c r="T235" s="95"/>
      <c r="U235" s="95"/>
    </row>
    <row r="236" spans="2:23" ht="12.75" hidden="1">
      <c r="B236" s="40" t="s">
        <v>49</v>
      </c>
      <c r="C236" s="40" t="s">
        <v>22</v>
      </c>
      <c r="D236" s="81" t="s">
        <v>900</v>
      </c>
      <c r="E236" s="80" t="s">
        <v>901</v>
      </c>
      <c r="F236" s="81">
        <v>4</v>
      </c>
      <c r="G236" s="81">
        <v>0</v>
      </c>
      <c r="H236" s="81">
        <v>4</v>
      </c>
      <c r="I236" s="101" t="s">
        <v>73</v>
      </c>
      <c r="J236" s="103" t="s">
        <v>73</v>
      </c>
      <c r="K236" s="101" t="s">
        <v>902</v>
      </c>
      <c r="L236" s="80" t="s">
        <v>1488</v>
      </c>
      <c r="M236" s="101" t="s">
        <v>1562</v>
      </c>
      <c r="N236" s="101">
        <v>1</v>
      </c>
      <c r="O236" s="101">
        <v>40</v>
      </c>
      <c r="P236" s="101">
        <v>40</v>
      </c>
      <c r="Q236" s="102">
        <v>4</v>
      </c>
      <c r="R236" s="102">
        <v>4</v>
      </c>
      <c r="S236" s="80"/>
      <c r="T236" s="95"/>
      <c r="U236" s="95"/>
    </row>
    <row r="237" spans="2:23" ht="12.75" hidden="1">
      <c r="B237" s="40" t="s">
        <v>49</v>
      </c>
      <c r="C237" s="40" t="s">
        <v>22</v>
      </c>
      <c r="D237" s="81" t="s">
        <v>1708</v>
      </c>
      <c r="E237" s="80" t="s">
        <v>1709</v>
      </c>
      <c r="F237" s="81">
        <v>4</v>
      </c>
      <c r="G237" s="81">
        <v>0</v>
      </c>
      <c r="H237" s="81">
        <v>4</v>
      </c>
      <c r="I237" s="101" t="s">
        <v>73</v>
      </c>
      <c r="J237" s="101" t="s">
        <v>73</v>
      </c>
      <c r="K237" s="101" t="s">
        <v>76</v>
      </c>
      <c r="L237" s="80" t="s">
        <v>1491</v>
      </c>
      <c r="M237" s="101" t="s">
        <v>1562</v>
      </c>
      <c r="N237" s="101">
        <v>1</v>
      </c>
      <c r="O237" s="101">
        <v>40</v>
      </c>
      <c r="P237" s="101">
        <v>40</v>
      </c>
      <c r="Q237" s="102">
        <v>4</v>
      </c>
      <c r="R237" s="102">
        <v>4</v>
      </c>
      <c r="S237" s="80"/>
      <c r="T237" s="95"/>
      <c r="U237" s="95"/>
    </row>
    <row r="238" spans="2:23" ht="12.75" hidden="1">
      <c r="B238" s="40" t="s">
        <v>49</v>
      </c>
      <c r="C238" s="40" t="s">
        <v>22</v>
      </c>
      <c r="D238" s="81" t="s">
        <v>935</v>
      </c>
      <c r="E238" s="80" t="s">
        <v>936</v>
      </c>
      <c r="F238" s="81">
        <v>4</v>
      </c>
      <c r="G238" s="81">
        <v>0</v>
      </c>
      <c r="H238" s="81">
        <v>4</v>
      </c>
      <c r="I238" s="101" t="s">
        <v>73</v>
      </c>
      <c r="J238" s="101" t="s">
        <v>73</v>
      </c>
      <c r="K238" s="101" t="s">
        <v>937</v>
      </c>
      <c r="L238" s="80" t="s">
        <v>1491</v>
      </c>
      <c r="M238" s="101" t="s">
        <v>1562</v>
      </c>
      <c r="N238" s="101">
        <v>1</v>
      </c>
      <c r="O238" s="101">
        <v>40</v>
      </c>
      <c r="P238" s="101">
        <v>40</v>
      </c>
      <c r="Q238" s="102">
        <v>4</v>
      </c>
      <c r="R238" s="102">
        <v>4</v>
      </c>
      <c r="S238" s="80"/>
      <c r="T238" s="95"/>
      <c r="U238" s="95"/>
    </row>
    <row r="239" spans="2:23" ht="12.75" hidden="1">
      <c r="B239" s="45" t="s">
        <v>50</v>
      </c>
      <c r="C239" s="45" t="s">
        <v>23</v>
      </c>
      <c r="D239" s="81" t="s">
        <v>1218</v>
      </c>
      <c r="E239" s="80" t="s">
        <v>1219</v>
      </c>
      <c r="F239" s="81">
        <v>4</v>
      </c>
      <c r="G239" s="81">
        <v>2</v>
      </c>
      <c r="H239" s="81">
        <v>4</v>
      </c>
      <c r="I239" s="101" t="s">
        <v>71</v>
      </c>
      <c r="J239" s="101" t="s">
        <v>71</v>
      </c>
      <c r="K239" s="101" t="s">
        <v>197</v>
      </c>
      <c r="L239" s="80" t="s">
        <v>1491</v>
      </c>
      <c r="M239" s="101" t="s">
        <v>1528</v>
      </c>
      <c r="N239" s="101">
        <v>1</v>
      </c>
      <c r="O239" s="101">
        <v>30</v>
      </c>
      <c r="P239" s="101">
        <v>30</v>
      </c>
      <c r="Q239" s="102">
        <v>6</v>
      </c>
      <c r="R239" s="102">
        <v>6</v>
      </c>
      <c r="S239" s="102" t="s">
        <v>1714</v>
      </c>
      <c r="T239" s="102" t="s">
        <v>1518</v>
      </c>
      <c r="U239" s="80"/>
      <c r="V239" s="95"/>
      <c r="W239" s="95"/>
    </row>
    <row r="240" spans="2:23" ht="12.75" hidden="1">
      <c r="B240" s="45" t="s">
        <v>50</v>
      </c>
      <c r="C240" s="45" t="s">
        <v>23</v>
      </c>
      <c r="D240" s="81" t="s">
        <v>1106</v>
      </c>
      <c r="E240" s="80" t="s">
        <v>1107</v>
      </c>
      <c r="F240" s="81">
        <v>3</v>
      </c>
      <c r="G240" s="81">
        <v>1</v>
      </c>
      <c r="H240" s="81">
        <v>4</v>
      </c>
      <c r="I240" s="101" t="s">
        <v>71</v>
      </c>
      <c r="J240" s="101" t="s">
        <v>71</v>
      </c>
      <c r="K240" s="101" t="s">
        <v>76</v>
      </c>
      <c r="L240" s="80" t="s">
        <v>1488</v>
      </c>
      <c r="M240" s="101" t="s">
        <v>1528</v>
      </c>
      <c r="N240" s="101">
        <v>1</v>
      </c>
      <c r="O240" s="101">
        <v>30</v>
      </c>
      <c r="P240" s="101">
        <v>30</v>
      </c>
      <c r="Q240" s="102">
        <v>4</v>
      </c>
      <c r="R240" s="102">
        <v>4</v>
      </c>
      <c r="S240" s="102"/>
      <c r="T240" s="102"/>
      <c r="U240" s="80"/>
      <c r="V240" s="95"/>
      <c r="W240" s="95"/>
    </row>
    <row r="241" spans="2:23" ht="12.75" hidden="1">
      <c r="B241" s="45" t="s">
        <v>50</v>
      </c>
      <c r="C241" s="45" t="s">
        <v>23</v>
      </c>
      <c r="D241" s="81" t="s">
        <v>1106</v>
      </c>
      <c r="E241" s="80" t="s">
        <v>1107</v>
      </c>
      <c r="F241" s="81">
        <v>3</v>
      </c>
      <c r="G241" s="81">
        <v>1</v>
      </c>
      <c r="H241" s="81">
        <v>4</v>
      </c>
      <c r="I241" s="101" t="s">
        <v>71</v>
      </c>
      <c r="J241" s="101" t="s">
        <v>71</v>
      </c>
      <c r="K241" s="101" t="s">
        <v>76</v>
      </c>
      <c r="L241" s="80" t="s">
        <v>1491</v>
      </c>
      <c r="M241" s="101" t="s">
        <v>1528</v>
      </c>
      <c r="N241" s="101">
        <v>1</v>
      </c>
      <c r="O241" s="101">
        <v>30</v>
      </c>
      <c r="P241" s="101">
        <v>30</v>
      </c>
      <c r="Q241" s="102">
        <v>4</v>
      </c>
      <c r="R241" s="102">
        <v>4</v>
      </c>
      <c r="S241" s="102"/>
      <c r="T241" s="102"/>
      <c r="U241" s="80"/>
      <c r="V241" s="95"/>
      <c r="W241" s="95"/>
    </row>
    <row r="242" spans="2:23" ht="12.75" hidden="1">
      <c r="B242" s="45" t="s">
        <v>50</v>
      </c>
      <c r="C242" s="45" t="s">
        <v>23</v>
      </c>
      <c r="D242" s="81" t="s">
        <v>1106</v>
      </c>
      <c r="E242" s="80" t="s">
        <v>1107</v>
      </c>
      <c r="F242" s="81">
        <v>3</v>
      </c>
      <c r="G242" s="81">
        <v>1</v>
      </c>
      <c r="H242" s="81">
        <v>4</v>
      </c>
      <c r="I242" s="101" t="s">
        <v>71</v>
      </c>
      <c r="J242" s="101" t="s">
        <v>71</v>
      </c>
      <c r="K242" s="101" t="s">
        <v>76</v>
      </c>
      <c r="L242" s="80" t="s">
        <v>1488</v>
      </c>
      <c r="M242" s="101" t="s">
        <v>1562</v>
      </c>
      <c r="N242" s="101">
        <v>1</v>
      </c>
      <c r="O242" s="101">
        <v>30</v>
      </c>
      <c r="P242" s="101">
        <v>30</v>
      </c>
      <c r="Q242" s="102">
        <v>4</v>
      </c>
      <c r="R242" s="102">
        <v>4</v>
      </c>
      <c r="S242" s="102"/>
      <c r="T242" s="102"/>
      <c r="U242" s="80" t="s">
        <v>1712</v>
      </c>
      <c r="V242" s="95"/>
      <c r="W242" s="95"/>
    </row>
    <row r="243" spans="2:23" ht="12.75" hidden="1">
      <c r="B243" s="45" t="s">
        <v>50</v>
      </c>
      <c r="C243" s="45" t="s">
        <v>23</v>
      </c>
      <c r="D243" s="81" t="s">
        <v>1086</v>
      </c>
      <c r="E243" s="80" t="s">
        <v>1087</v>
      </c>
      <c r="F243" s="81">
        <v>4</v>
      </c>
      <c r="G243" s="81">
        <v>0</v>
      </c>
      <c r="H243" s="81">
        <v>4</v>
      </c>
      <c r="I243" s="101" t="s">
        <v>71</v>
      </c>
      <c r="J243" s="101" t="s">
        <v>71</v>
      </c>
      <c r="K243" s="101" t="s">
        <v>76</v>
      </c>
      <c r="L243" s="80" t="s">
        <v>1488</v>
      </c>
      <c r="M243" s="101" t="s">
        <v>1528</v>
      </c>
      <c r="N243" s="101">
        <v>1</v>
      </c>
      <c r="O243" s="101">
        <v>30</v>
      </c>
      <c r="P243" s="101">
        <v>30</v>
      </c>
      <c r="Q243" s="102">
        <v>4</v>
      </c>
      <c r="R243" s="102">
        <v>4</v>
      </c>
      <c r="S243" s="102" t="s">
        <v>1509</v>
      </c>
      <c r="T243" s="102" t="s">
        <v>1518</v>
      </c>
      <c r="U243" s="80"/>
      <c r="V243" s="95"/>
      <c r="W243" s="95"/>
    </row>
    <row r="244" spans="2:23" ht="12.75" hidden="1">
      <c r="B244" s="45" t="s">
        <v>50</v>
      </c>
      <c r="C244" s="45" t="s">
        <v>23</v>
      </c>
      <c r="D244" s="81" t="s">
        <v>1086</v>
      </c>
      <c r="E244" s="80" t="s">
        <v>1087</v>
      </c>
      <c r="F244" s="81">
        <v>4</v>
      </c>
      <c r="G244" s="81">
        <v>0</v>
      </c>
      <c r="H244" s="81">
        <v>4</v>
      </c>
      <c r="I244" s="101" t="s">
        <v>71</v>
      </c>
      <c r="J244" s="101" t="s">
        <v>71</v>
      </c>
      <c r="K244" s="101" t="s">
        <v>76</v>
      </c>
      <c r="L244" s="80" t="s">
        <v>1491</v>
      </c>
      <c r="M244" s="101" t="s">
        <v>1528</v>
      </c>
      <c r="N244" s="101">
        <v>1</v>
      </c>
      <c r="O244" s="101">
        <v>30</v>
      </c>
      <c r="P244" s="101">
        <v>30</v>
      </c>
      <c r="Q244" s="102">
        <v>4</v>
      </c>
      <c r="R244" s="102">
        <v>4</v>
      </c>
      <c r="S244" s="102" t="s">
        <v>1509</v>
      </c>
      <c r="T244" s="102" t="s">
        <v>1518</v>
      </c>
      <c r="U244" s="80"/>
      <c r="V244" s="95"/>
      <c r="W244" s="95"/>
    </row>
    <row r="245" spans="2:23" ht="12.75" hidden="1">
      <c r="B245" s="45" t="s">
        <v>50</v>
      </c>
      <c r="C245" s="45" t="s">
        <v>23</v>
      </c>
      <c r="D245" s="81" t="s">
        <v>1086</v>
      </c>
      <c r="E245" s="80" t="s">
        <v>1087</v>
      </c>
      <c r="F245" s="81">
        <v>4</v>
      </c>
      <c r="G245" s="81">
        <v>0</v>
      </c>
      <c r="H245" s="81">
        <v>4</v>
      </c>
      <c r="I245" s="101" t="s">
        <v>71</v>
      </c>
      <c r="J245" s="101" t="s">
        <v>71</v>
      </c>
      <c r="K245" s="101" t="s">
        <v>76</v>
      </c>
      <c r="L245" s="80" t="s">
        <v>1488</v>
      </c>
      <c r="M245" s="101" t="s">
        <v>1562</v>
      </c>
      <c r="N245" s="101">
        <v>1</v>
      </c>
      <c r="O245" s="101">
        <v>30</v>
      </c>
      <c r="P245" s="101">
        <v>30</v>
      </c>
      <c r="Q245" s="102">
        <v>4</v>
      </c>
      <c r="R245" s="102">
        <v>4</v>
      </c>
      <c r="S245" s="102" t="s">
        <v>1509</v>
      </c>
      <c r="T245" s="102" t="s">
        <v>1518</v>
      </c>
      <c r="U245" s="80" t="s">
        <v>1712</v>
      </c>
      <c r="V245" s="95"/>
      <c r="W245" s="95"/>
    </row>
    <row r="246" spans="2:23" ht="12.75" hidden="1">
      <c r="B246" s="45" t="s">
        <v>50</v>
      </c>
      <c r="C246" s="45" t="s">
        <v>23</v>
      </c>
      <c r="D246" s="81" t="s">
        <v>1395</v>
      </c>
      <c r="E246" s="80" t="s">
        <v>1396</v>
      </c>
      <c r="F246" s="81">
        <v>4</v>
      </c>
      <c r="G246" s="81">
        <v>0</v>
      </c>
      <c r="H246" s="81">
        <v>4</v>
      </c>
      <c r="I246" s="101" t="s">
        <v>73</v>
      </c>
      <c r="J246" s="101" t="s">
        <v>73</v>
      </c>
      <c r="K246" s="101" t="s">
        <v>172</v>
      </c>
      <c r="L246" s="80" t="s">
        <v>1488</v>
      </c>
      <c r="M246" s="101" t="s">
        <v>1528</v>
      </c>
      <c r="N246" s="101">
        <v>1</v>
      </c>
      <c r="O246" s="101">
        <v>30</v>
      </c>
      <c r="P246" s="101">
        <v>30</v>
      </c>
      <c r="Q246" s="102">
        <v>4</v>
      </c>
      <c r="R246" s="102">
        <v>4</v>
      </c>
      <c r="S246" s="102"/>
      <c r="T246" s="102"/>
      <c r="U246" s="80"/>
      <c r="V246" s="95"/>
      <c r="W246" s="95"/>
    </row>
    <row r="247" spans="2:23" ht="12.75" hidden="1">
      <c r="B247" s="45" t="s">
        <v>50</v>
      </c>
      <c r="C247" s="45" t="s">
        <v>23</v>
      </c>
      <c r="D247" s="81" t="s">
        <v>1395</v>
      </c>
      <c r="E247" s="80" t="s">
        <v>1396</v>
      </c>
      <c r="F247" s="81">
        <v>4</v>
      </c>
      <c r="G247" s="81">
        <v>0</v>
      </c>
      <c r="H247" s="81">
        <v>4</v>
      </c>
      <c r="I247" s="101" t="s">
        <v>73</v>
      </c>
      <c r="J247" s="101" t="s">
        <v>73</v>
      </c>
      <c r="K247" s="101" t="s">
        <v>172</v>
      </c>
      <c r="L247" s="80" t="s">
        <v>1491</v>
      </c>
      <c r="M247" s="101" t="s">
        <v>1528</v>
      </c>
      <c r="N247" s="101">
        <v>1</v>
      </c>
      <c r="O247" s="101">
        <v>30</v>
      </c>
      <c r="P247" s="101">
        <v>30</v>
      </c>
      <c r="Q247" s="102">
        <v>4</v>
      </c>
      <c r="R247" s="102">
        <v>4</v>
      </c>
      <c r="S247" s="102"/>
      <c r="T247" s="102"/>
      <c r="U247" s="80"/>
      <c r="V247" s="95"/>
      <c r="W247" s="95"/>
    </row>
    <row r="248" spans="2:23" ht="12.75" hidden="1">
      <c r="B248" s="45" t="s">
        <v>50</v>
      </c>
      <c r="C248" s="45" t="s">
        <v>23</v>
      </c>
      <c r="D248" s="81" t="s">
        <v>1395</v>
      </c>
      <c r="E248" s="80" t="s">
        <v>1396</v>
      </c>
      <c r="F248" s="81">
        <v>4</v>
      </c>
      <c r="G248" s="81">
        <v>0</v>
      </c>
      <c r="H248" s="81">
        <v>4</v>
      </c>
      <c r="I248" s="101" t="s">
        <v>73</v>
      </c>
      <c r="J248" s="101" t="s">
        <v>73</v>
      </c>
      <c r="K248" s="101" t="s">
        <v>172</v>
      </c>
      <c r="L248" s="80" t="s">
        <v>1488</v>
      </c>
      <c r="M248" s="101" t="s">
        <v>1562</v>
      </c>
      <c r="N248" s="101">
        <v>1</v>
      </c>
      <c r="O248" s="101">
        <v>30</v>
      </c>
      <c r="P248" s="101">
        <v>30</v>
      </c>
      <c r="Q248" s="102">
        <v>4</v>
      </c>
      <c r="R248" s="102">
        <v>4</v>
      </c>
      <c r="S248" s="102"/>
      <c r="T248" s="102"/>
      <c r="U248" s="80" t="s">
        <v>1712</v>
      </c>
      <c r="V248" s="95"/>
      <c r="W248" s="95"/>
    </row>
    <row r="249" spans="2:23" ht="12.75" hidden="1">
      <c r="B249" s="45" t="s">
        <v>50</v>
      </c>
      <c r="C249" s="45" t="s">
        <v>23</v>
      </c>
      <c r="D249" s="81" t="s">
        <v>1716</v>
      </c>
      <c r="E249" s="80" t="s">
        <v>1452</v>
      </c>
      <c r="F249" s="81">
        <v>4</v>
      </c>
      <c r="G249" s="81">
        <v>0</v>
      </c>
      <c r="H249" s="81">
        <v>4</v>
      </c>
      <c r="I249" s="101" t="s">
        <v>73</v>
      </c>
      <c r="J249" s="101" t="s">
        <v>73</v>
      </c>
      <c r="K249" s="101" t="s">
        <v>1133</v>
      </c>
      <c r="L249" s="80" t="s">
        <v>1488</v>
      </c>
      <c r="M249" s="101" t="s">
        <v>1528</v>
      </c>
      <c r="N249" s="101">
        <v>1</v>
      </c>
      <c r="O249" s="101">
        <v>30</v>
      </c>
      <c r="P249" s="101">
        <v>30</v>
      </c>
      <c r="Q249" s="102">
        <v>4</v>
      </c>
      <c r="R249" s="102">
        <v>4</v>
      </c>
      <c r="S249" s="102"/>
      <c r="T249" s="102"/>
      <c r="U249" s="80"/>
      <c r="V249" s="95"/>
      <c r="W249" s="95"/>
    </row>
    <row r="250" spans="2:23" ht="12.75" hidden="1">
      <c r="B250" s="45" t="s">
        <v>50</v>
      </c>
      <c r="C250" s="45" t="s">
        <v>23</v>
      </c>
      <c r="D250" s="81" t="s">
        <v>1716</v>
      </c>
      <c r="E250" s="80" t="s">
        <v>1452</v>
      </c>
      <c r="F250" s="81">
        <v>4</v>
      </c>
      <c r="G250" s="81">
        <v>0</v>
      </c>
      <c r="H250" s="81">
        <v>4</v>
      </c>
      <c r="I250" s="101" t="s">
        <v>73</v>
      </c>
      <c r="J250" s="101" t="s">
        <v>73</v>
      </c>
      <c r="K250" s="101" t="s">
        <v>1133</v>
      </c>
      <c r="L250" s="80" t="s">
        <v>1491</v>
      </c>
      <c r="M250" s="101" t="s">
        <v>1528</v>
      </c>
      <c r="N250" s="101">
        <v>1</v>
      </c>
      <c r="O250" s="101">
        <v>30</v>
      </c>
      <c r="P250" s="101">
        <v>30</v>
      </c>
      <c r="Q250" s="102">
        <v>4</v>
      </c>
      <c r="R250" s="102">
        <v>4</v>
      </c>
      <c r="S250" s="102"/>
      <c r="T250" s="102"/>
      <c r="U250" s="80"/>
      <c r="V250" s="95"/>
      <c r="W250" s="95"/>
    </row>
    <row r="251" spans="2:23" ht="12.75" hidden="1">
      <c r="B251" s="45" t="s">
        <v>50</v>
      </c>
      <c r="C251" s="45" t="s">
        <v>23</v>
      </c>
      <c r="D251" s="81" t="s">
        <v>1716</v>
      </c>
      <c r="E251" s="80" t="s">
        <v>1452</v>
      </c>
      <c r="F251" s="81">
        <v>4</v>
      </c>
      <c r="G251" s="81">
        <v>0</v>
      </c>
      <c r="H251" s="81">
        <v>4</v>
      </c>
      <c r="I251" s="101" t="s">
        <v>73</v>
      </c>
      <c r="J251" s="101" t="s">
        <v>73</v>
      </c>
      <c r="K251" s="101" t="s">
        <v>1133</v>
      </c>
      <c r="L251" s="80" t="s">
        <v>1488</v>
      </c>
      <c r="M251" s="101" t="s">
        <v>1562</v>
      </c>
      <c r="N251" s="101">
        <v>1</v>
      </c>
      <c r="O251" s="101">
        <v>30</v>
      </c>
      <c r="P251" s="101">
        <v>30</v>
      </c>
      <c r="Q251" s="102">
        <v>4</v>
      </c>
      <c r="R251" s="102">
        <v>4</v>
      </c>
      <c r="S251" s="102"/>
      <c r="T251" s="102"/>
      <c r="U251" s="80" t="s">
        <v>1712</v>
      </c>
      <c r="V251" s="95"/>
      <c r="W251" s="95"/>
    </row>
    <row r="252" spans="2:23" ht="12.75" hidden="1">
      <c r="B252" s="45" t="s">
        <v>50</v>
      </c>
      <c r="C252" s="45" t="s">
        <v>23</v>
      </c>
      <c r="D252" s="81" t="s">
        <v>793</v>
      </c>
      <c r="E252" s="80" t="s">
        <v>172</v>
      </c>
      <c r="F252" s="81">
        <v>4</v>
      </c>
      <c r="G252" s="81">
        <v>0</v>
      </c>
      <c r="H252" s="81">
        <v>5</v>
      </c>
      <c r="I252" s="101" t="s">
        <v>71</v>
      </c>
      <c r="J252" s="101" t="s">
        <v>71</v>
      </c>
      <c r="K252" s="101" t="s">
        <v>76</v>
      </c>
      <c r="L252" s="80" t="s">
        <v>1488</v>
      </c>
      <c r="M252" s="101" t="s">
        <v>1528</v>
      </c>
      <c r="N252" s="101">
        <v>1</v>
      </c>
      <c r="O252" s="101">
        <v>30</v>
      </c>
      <c r="P252" s="101">
        <v>30</v>
      </c>
      <c r="Q252" s="102">
        <v>4</v>
      </c>
      <c r="R252" s="102">
        <v>4</v>
      </c>
      <c r="S252" s="102"/>
      <c r="T252" s="102"/>
      <c r="U252" s="80"/>
      <c r="V252" s="95"/>
      <c r="W252" s="95"/>
    </row>
    <row r="253" spans="2:23" ht="12.75" hidden="1">
      <c r="B253" s="45" t="s">
        <v>50</v>
      </c>
      <c r="C253" s="45" t="s">
        <v>23</v>
      </c>
      <c r="D253" s="81" t="s">
        <v>793</v>
      </c>
      <c r="E253" s="80" t="s">
        <v>172</v>
      </c>
      <c r="F253" s="81">
        <v>4</v>
      </c>
      <c r="G253" s="81">
        <v>0</v>
      </c>
      <c r="H253" s="81">
        <v>5</v>
      </c>
      <c r="I253" s="101" t="s">
        <v>71</v>
      </c>
      <c r="J253" s="101" t="s">
        <v>71</v>
      </c>
      <c r="K253" s="101" t="s">
        <v>76</v>
      </c>
      <c r="L253" s="80" t="s">
        <v>1491</v>
      </c>
      <c r="M253" s="101" t="s">
        <v>1528</v>
      </c>
      <c r="N253" s="101">
        <v>1</v>
      </c>
      <c r="O253" s="101">
        <v>30</v>
      </c>
      <c r="P253" s="101">
        <v>30</v>
      </c>
      <c r="Q253" s="102">
        <v>4</v>
      </c>
      <c r="R253" s="102">
        <v>4</v>
      </c>
      <c r="S253" s="102"/>
      <c r="T253" s="102"/>
      <c r="U253" s="80"/>
      <c r="V253" s="95"/>
      <c r="W253" s="95"/>
    </row>
    <row r="254" spans="2:23" ht="12.75" hidden="1">
      <c r="B254" s="45" t="s">
        <v>50</v>
      </c>
      <c r="C254" s="45" t="s">
        <v>23</v>
      </c>
      <c r="D254" s="81" t="s">
        <v>787</v>
      </c>
      <c r="E254" s="80" t="s">
        <v>788</v>
      </c>
      <c r="F254" s="81">
        <v>2</v>
      </c>
      <c r="G254" s="81">
        <v>0</v>
      </c>
      <c r="H254" s="81">
        <v>2</v>
      </c>
      <c r="I254" s="101" t="s">
        <v>71</v>
      </c>
      <c r="J254" s="101" t="s">
        <v>71</v>
      </c>
      <c r="K254" s="101" t="s">
        <v>76</v>
      </c>
      <c r="L254" s="80" t="s">
        <v>1488</v>
      </c>
      <c r="M254" s="101" t="s">
        <v>1562</v>
      </c>
      <c r="N254" s="101">
        <v>1</v>
      </c>
      <c r="O254" s="101">
        <v>30</v>
      </c>
      <c r="P254" s="101">
        <v>30</v>
      </c>
      <c r="Q254" s="102">
        <v>2</v>
      </c>
      <c r="R254" s="102">
        <v>2</v>
      </c>
      <c r="S254" s="102"/>
      <c r="T254" s="102"/>
      <c r="U254" s="80" t="s">
        <v>1712</v>
      </c>
      <c r="V254" s="95"/>
      <c r="W254" s="95"/>
    </row>
    <row r="255" spans="2:23" ht="12.75" hidden="1">
      <c r="B255" s="69" t="s">
        <v>52</v>
      </c>
      <c r="C255" s="69" t="s">
        <v>24</v>
      </c>
      <c r="D255" s="81" t="s">
        <v>1003</v>
      </c>
      <c r="E255" s="80" t="s">
        <v>1004</v>
      </c>
      <c r="F255" s="81">
        <v>4</v>
      </c>
      <c r="G255" s="81">
        <v>0</v>
      </c>
      <c r="H255" s="81">
        <v>4</v>
      </c>
      <c r="I255" s="101" t="s">
        <v>71</v>
      </c>
      <c r="J255" s="101" t="s">
        <v>71</v>
      </c>
      <c r="K255" s="80" t="s">
        <v>76</v>
      </c>
      <c r="L255" s="101" t="s">
        <v>1488</v>
      </c>
      <c r="M255" s="101" t="s">
        <v>1528</v>
      </c>
      <c r="N255" s="101">
        <v>1</v>
      </c>
      <c r="O255" s="101">
        <v>38</v>
      </c>
      <c r="P255" s="102">
        <v>38</v>
      </c>
      <c r="Q255" s="102">
        <v>4</v>
      </c>
      <c r="R255" s="102">
        <v>4</v>
      </c>
      <c r="S255" s="80"/>
      <c r="T255" s="101"/>
      <c r="U255" s="80"/>
    </row>
    <row r="256" spans="2:23" ht="12.75" hidden="1">
      <c r="B256" s="69" t="s">
        <v>52</v>
      </c>
      <c r="C256" s="69" t="s">
        <v>24</v>
      </c>
      <c r="D256" s="81" t="s">
        <v>1008</v>
      </c>
      <c r="E256" s="80" t="s">
        <v>1009</v>
      </c>
      <c r="F256" s="81">
        <v>4</v>
      </c>
      <c r="G256" s="81">
        <v>0</v>
      </c>
      <c r="H256" s="81">
        <v>4</v>
      </c>
      <c r="I256" s="101" t="s">
        <v>71</v>
      </c>
      <c r="J256" s="101" t="s">
        <v>71</v>
      </c>
      <c r="K256" s="80" t="s">
        <v>76</v>
      </c>
      <c r="L256" s="101" t="s">
        <v>1488</v>
      </c>
      <c r="M256" s="101" t="s">
        <v>1528</v>
      </c>
      <c r="N256" s="101">
        <v>1</v>
      </c>
      <c r="O256" s="101">
        <v>38</v>
      </c>
      <c r="P256" s="102">
        <v>38</v>
      </c>
      <c r="Q256" s="102">
        <v>4</v>
      </c>
      <c r="R256" s="102">
        <v>4</v>
      </c>
      <c r="S256" s="80"/>
      <c r="T256" s="101"/>
      <c r="U256" s="80"/>
    </row>
    <row r="257" spans="1:21" ht="12.75" hidden="1">
      <c r="B257" s="69" t="s">
        <v>52</v>
      </c>
      <c r="C257" s="69" t="s">
        <v>24</v>
      </c>
      <c r="D257" s="81" t="s">
        <v>903</v>
      </c>
      <c r="E257" s="80" t="s">
        <v>904</v>
      </c>
      <c r="F257" s="81">
        <v>3</v>
      </c>
      <c r="G257" s="81">
        <v>1</v>
      </c>
      <c r="H257" s="81">
        <v>4</v>
      </c>
      <c r="I257" s="101" t="s">
        <v>71</v>
      </c>
      <c r="J257" s="101" t="s">
        <v>71</v>
      </c>
      <c r="K257" s="80" t="s">
        <v>76</v>
      </c>
      <c r="L257" s="101" t="s">
        <v>1488</v>
      </c>
      <c r="M257" s="101" t="s">
        <v>1528</v>
      </c>
      <c r="N257" s="101">
        <v>1</v>
      </c>
      <c r="O257" s="101">
        <v>38</v>
      </c>
      <c r="P257" s="102">
        <v>38</v>
      </c>
      <c r="Q257" s="102">
        <v>4</v>
      </c>
      <c r="R257" s="102">
        <v>4</v>
      </c>
      <c r="S257" s="80" t="s">
        <v>1625</v>
      </c>
      <c r="T257" s="101" t="s">
        <v>1518</v>
      </c>
      <c r="U257" s="80" t="s">
        <v>1626</v>
      </c>
    </row>
    <row r="258" spans="1:21" ht="12.75" hidden="1">
      <c r="B258" s="69" t="s">
        <v>52</v>
      </c>
      <c r="C258" s="69" t="s">
        <v>24</v>
      </c>
      <c r="D258" s="81" t="s">
        <v>962</v>
      </c>
      <c r="E258" s="80" t="s">
        <v>963</v>
      </c>
      <c r="F258" s="81">
        <v>0</v>
      </c>
      <c r="G258" s="81">
        <v>4</v>
      </c>
      <c r="H258" s="81">
        <v>4</v>
      </c>
      <c r="I258" s="101" t="s">
        <v>71</v>
      </c>
      <c r="J258" s="101" t="s">
        <v>71</v>
      </c>
      <c r="K258" s="80" t="s">
        <v>964</v>
      </c>
      <c r="L258" s="101" t="s">
        <v>1488</v>
      </c>
      <c r="M258" s="101" t="s">
        <v>1528</v>
      </c>
      <c r="N258" s="101">
        <v>1</v>
      </c>
      <c r="O258" s="101">
        <v>38</v>
      </c>
      <c r="P258" s="102">
        <v>38</v>
      </c>
      <c r="Q258" s="102">
        <v>4</v>
      </c>
      <c r="R258" s="102">
        <v>4</v>
      </c>
      <c r="S258" s="80" t="s">
        <v>1625</v>
      </c>
      <c r="T258" s="101" t="s">
        <v>1518</v>
      </c>
      <c r="U258" s="80" t="s">
        <v>1626</v>
      </c>
    </row>
    <row r="259" spans="1:21" ht="12.75" hidden="1">
      <c r="B259" s="69" t="s">
        <v>52</v>
      </c>
      <c r="C259" s="69" t="s">
        <v>24</v>
      </c>
      <c r="D259" s="81" t="s">
        <v>1003</v>
      </c>
      <c r="E259" s="80" t="s">
        <v>1004</v>
      </c>
      <c r="F259" s="81">
        <v>4</v>
      </c>
      <c r="G259" s="81">
        <v>0</v>
      </c>
      <c r="H259" s="81">
        <v>4</v>
      </c>
      <c r="I259" s="101" t="s">
        <v>71</v>
      </c>
      <c r="J259" s="101" t="s">
        <v>71</v>
      </c>
      <c r="K259" s="80" t="s">
        <v>76</v>
      </c>
      <c r="L259" s="101" t="s">
        <v>1491</v>
      </c>
      <c r="M259" s="101" t="s">
        <v>1528</v>
      </c>
      <c r="N259" s="101">
        <v>1</v>
      </c>
      <c r="O259" s="101">
        <v>38</v>
      </c>
      <c r="P259" s="102">
        <v>38</v>
      </c>
      <c r="Q259" s="102">
        <v>4</v>
      </c>
      <c r="R259" s="102">
        <v>4</v>
      </c>
      <c r="S259" s="80"/>
      <c r="T259" s="101"/>
      <c r="U259" s="80"/>
    </row>
    <row r="260" spans="1:21" ht="12.75" hidden="1">
      <c r="B260" s="69" t="s">
        <v>52</v>
      </c>
      <c r="C260" s="69" t="s">
        <v>24</v>
      </c>
      <c r="D260" s="81" t="s">
        <v>1008</v>
      </c>
      <c r="E260" s="80" t="s">
        <v>1009</v>
      </c>
      <c r="F260" s="81">
        <v>4</v>
      </c>
      <c r="G260" s="81">
        <v>0</v>
      </c>
      <c r="H260" s="81">
        <v>4</v>
      </c>
      <c r="I260" s="101" t="s">
        <v>71</v>
      </c>
      <c r="J260" s="101" t="s">
        <v>71</v>
      </c>
      <c r="K260" s="80" t="s">
        <v>76</v>
      </c>
      <c r="L260" s="101" t="s">
        <v>1491</v>
      </c>
      <c r="M260" s="101" t="s">
        <v>1528</v>
      </c>
      <c r="N260" s="101">
        <v>1</v>
      </c>
      <c r="O260" s="101">
        <v>38</v>
      </c>
      <c r="P260" s="102">
        <v>38</v>
      </c>
      <c r="Q260" s="102">
        <v>4</v>
      </c>
      <c r="R260" s="102">
        <v>4</v>
      </c>
      <c r="S260" s="80"/>
      <c r="T260" s="101"/>
      <c r="U260" s="80"/>
    </row>
    <row r="261" spans="1:21" ht="12.75" hidden="1">
      <c r="A261" s="8"/>
      <c r="B261" s="69" t="s">
        <v>52</v>
      </c>
      <c r="C261" s="69" t="s">
        <v>24</v>
      </c>
      <c r="D261" s="81" t="s">
        <v>903</v>
      </c>
      <c r="E261" s="80" t="s">
        <v>904</v>
      </c>
      <c r="F261" s="81">
        <v>3</v>
      </c>
      <c r="G261" s="81">
        <v>1</v>
      </c>
      <c r="H261" s="81">
        <v>4</v>
      </c>
      <c r="I261" s="101" t="s">
        <v>71</v>
      </c>
      <c r="J261" s="101" t="s">
        <v>71</v>
      </c>
      <c r="K261" s="80" t="s">
        <v>76</v>
      </c>
      <c r="L261" s="101" t="s">
        <v>1491</v>
      </c>
      <c r="M261" s="101" t="s">
        <v>1528</v>
      </c>
      <c r="N261" s="101">
        <v>1</v>
      </c>
      <c r="O261" s="101">
        <v>38</v>
      </c>
      <c r="P261" s="102">
        <v>38</v>
      </c>
      <c r="Q261" s="102">
        <v>4</v>
      </c>
      <c r="R261" s="102">
        <v>4</v>
      </c>
      <c r="S261" s="80" t="s">
        <v>1625</v>
      </c>
      <c r="T261" s="101" t="s">
        <v>1518</v>
      </c>
      <c r="U261" s="80" t="s">
        <v>1626</v>
      </c>
    </row>
    <row r="262" spans="1:21" ht="12.75" hidden="1">
      <c r="A262" s="8"/>
      <c r="B262" s="69" t="s">
        <v>52</v>
      </c>
      <c r="C262" s="69" t="s">
        <v>24</v>
      </c>
      <c r="D262" s="81" t="s">
        <v>962</v>
      </c>
      <c r="E262" s="80" t="s">
        <v>963</v>
      </c>
      <c r="F262" s="81">
        <v>0</v>
      </c>
      <c r="G262" s="81">
        <v>4</v>
      </c>
      <c r="H262" s="81">
        <v>4</v>
      </c>
      <c r="I262" s="101" t="s">
        <v>71</v>
      </c>
      <c r="J262" s="101" t="s">
        <v>71</v>
      </c>
      <c r="K262" s="80" t="s">
        <v>964</v>
      </c>
      <c r="L262" s="101" t="s">
        <v>1491</v>
      </c>
      <c r="M262" s="101" t="s">
        <v>1528</v>
      </c>
      <c r="N262" s="101">
        <v>1</v>
      </c>
      <c r="O262" s="101">
        <v>38</v>
      </c>
      <c r="P262" s="102">
        <v>38</v>
      </c>
      <c r="Q262" s="102">
        <v>4</v>
      </c>
      <c r="R262" s="102">
        <v>4</v>
      </c>
      <c r="S262" s="80" t="s">
        <v>1625</v>
      </c>
      <c r="T262" s="101" t="s">
        <v>1518</v>
      </c>
      <c r="U262" s="80" t="s">
        <v>1626</v>
      </c>
    </row>
    <row r="263" spans="1:21" ht="12.75" hidden="1">
      <c r="A263" s="8"/>
      <c r="B263" s="69" t="s">
        <v>52</v>
      </c>
      <c r="C263" s="69" t="s">
        <v>24</v>
      </c>
      <c r="D263" s="81" t="s">
        <v>138</v>
      </c>
      <c r="E263" s="80" t="s">
        <v>139</v>
      </c>
      <c r="F263" s="81">
        <v>2</v>
      </c>
      <c r="G263" s="81">
        <v>0</v>
      </c>
      <c r="H263" s="81">
        <v>2</v>
      </c>
      <c r="I263" s="101" t="s">
        <v>71</v>
      </c>
      <c r="J263" s="101" t="s">
        <v>71</v>
      </c>
      <c r="K263" s="80" t="s">
        <v>76</v>
      </c>
      <c r="L263" s="101" t="s">
        <v>1488</v>
      </c>
      <c r="M263" s="101" t="s">
        <v>1528</v>
      </c>
      <c r="N263" s="101">
        <v>1</v>
      </c>
      <c r="O263" s="101">
        <v>38</v>
      </c>
      <c r="P263" s="102">
        <v>38</v>
      </c>
      <c r="Q263" s="102">
        <v>2</v>
      </c>
      <c r="R263" s="102">
        <v>2</v>
      </c>
      <c r="S263" s="80"/>
      <c r="T263" s="101"/>
      <c r="U263" s="80"/>
    </row>
    <row r="264" spans="1:21" ht="12.75" hidden="1">
      <c r="A264" s="8"/>
      <c r="B264" s="69" t="s">
        <v>52</v>
      </c>
      <c r="C264" s="69" t="s">
        <v>24</v>
      </c>
      <c r="D264" s="81" t="s">
        <v>330</v>
      </c>
      <c r="E264" s="80" t="s">
        <v>331</v>
      </c>
      <c r="F264" s="81">
        <v>4</v>
      </c>
      <c r="G264" s="81">
        <v>0</v>
      </c>
      <c r="H264" s="81">
        <v>4</v>
      </c>
      <c r="I264" s="101" t="s">
        <v>71</v>
      </c>
      <c r="J264" s="101" t="s">
        <v>71</v>
      </c>
      <c r="K264" s="80" t="s">
        <v>76</v>
      </c>
      <c r="L264" s="101" t="s">
        <v>1488</v>
      </c>
      <c r="M264" s="101" t="s">
        <v>1528</v>
      </c>
      <c r="N264" s="101">
        <v>1</v>
      </c>
      <c r="O264" s="101">
        <v>38</v>
      </c>
      <c r="P264" s="102">
        <v>38</v>
      </c>
      <c r="Q264" s="102">
        <v>4</v>
      </c>
      <c r="R264" s="102">
        <v>4</v>
      </c>
      <c r="S264" s="80"/>
      <c r="T264" s="101"/>
      <c r="U264" s="80"/>
    </row>
    <row r="265" spans="1:21" ht="12.75" hidden="1">
      <c r="A265" s="8"/>
      <c r="B265" s="69" t="s">
        <v>52</v>
      </c>
      <c r="C265" s="69" t="s">
        <v>24</v>
      </c>
      <c r="D265" s="81" t="s">
        <v>1386</v>
      </c>
      <c r="E265" s="80" t="s">
        <v>1387</v>
      </c>
      <c r="F265" s="81">
        <v>4</v>
      </c>
      <c r="G265" s="81">
        <v>0</v>
      </c>
      <c r="H265" s="81">
        <v>3</v>
      </c>
      <c r="I265" s="101" t="s">
        <v>71</v>
      </c>
      <c r="J265" s="101" t="s">
        <v>71</v>
      </c>
      <c r="K265" s="80" t="s">
        <v>76</v>
      </c>
      <c r="L265" s="101" t="s">
        <v>1488</v>
      </c>
      <c r="M265" s="101" t="s">
        <v>1528</v>
      </c>
      <c r="N265" s="101">
        <v>1</v>
      </c>
      <c r="O265" s="101">
        <v>38</v>
      </c>
      <c r="P265" s="102">
        <v>38</v>
      </c>
      <c r="Q265" s="102">
        <v>4</v>
      </c>
      <c r="R265" s="102">
        <v>4</v>
      </c>
      <c r="S265" s="80"/>
      <c r="T265" s="101"/>
      <c r="U265" s="80"/>
    </row>
    <row r="266" spans="1:21" ht="12.75" hidden="1">
      <c r="A266" s="8"/>
      <c r="B266" s="69" t="s">
        <v>52</v>
      </c>
      <c r="C266" s="69" t="s">
        <v>24</v>
      </c>
      <c r="D266" s="81" t="s">
        <v>544</v>
      </c>
      <c r="E266" s="80" t="s">
        <v>545</v>
      </c>
      <c r="F266" s="81">
        <v>4</v>
      </c>
      <c r="G266" s="81">
        <v>0</v>
      </c>
      <c r="H266" s="81">
        <v>4</v>
      </c>
      <c r="I266" s="101" t="s">
        <v>71</v>
      </c>
      <c r="J266" s="101" t="s">
        <v>71</v>
      </c>
      <c r="K266" s="80" t="s">
        <v>76</v>
      </c>
      <c r="L266" s="101" t="s">
        <v>1488</v>
      </c>
      <c r="M266" s="101" t="s">
        <v>1528</v>
      </c>
      <c r="N266" s="101">
        <v>1</v>
      </c>
      <c r="O266" s="101">
        <v>38</v>
      </c>
      <c r="P266" s="102">
        <v>38</v>
      </c>
      <c r="Q266" s="102">
        <v>4</v>
      </c>
      <c r="R266" s="102">
        <v>4</v>
      </c>
      <c r="S266" s="80"/>
      <c r="T266" s="101"/>
      <c r="U266" s="80"/>
    </row>
    <row r="267" spans="1:21" ht="12.75" hidden="1">
      <c r="A267" s="8"/>
      <c r="B267" s="69" t="s">
        <v>52</v>
      </c>
      <c r="C267" s="69" t="s">
        <v>24</v>
      </c>
      <c r="D267" s="81" t="s">
        <v>1247</v>
      </c>
      <c r="E267" s="80" t="s">
        <v>1248</v>
      </c>
      <c r="F267" s="81">
        <v>4</v>
      </c>
      <c r="G267" s="81">
        <v>0</v>
      </c>
      <c r="H267" s="81">
        <v>4</v>
      </c>
      <c r="I267" s="101" t="s">
        <v>71</v>
      </c>
      <c r="J267" s="101" t="s">
        <v>71</v>
      </c>
      <c r="K267" s="80" t="s">
        <v>76</v>
      </c>
      <c r="L267" s="101" t="s">
        <v>1488</v>
      </c>
      <c r="M267" s="101" t="s">
        <v>1528</v>
      </c>
      <c r="N267" s="101">
        <v>1</v>
      </c>
      <c r="O267" s="101">
        <v>38</v>
      </c>
      <c r="P267" s="102">
        <v>38</v>
      </c>
      <c r="Q267" s="102">
        <v>4</v>
      </c>
      <c r="R267" s="102">
        <v>4</v>
      </c>
      <c r="S267" s="80"/>
      <c r="T267" s="101"/>
      <c r="U267" s="80"/>
    </row>
    <row r="268" spans="1:21" ht="12.75" hidden="1">
      <c r="A268" s="8"/>
      <c r="B268" s="69" t="s">
        <v>52</v>
      </c>
      <c r="C268" s="69" t="s">
        <v>24</v>
      </c>
      <c r="D268" s="81" t="s">
        <v>138</v>
      </c>
      <c r="E268" s="80" t="s">
        <v>139</v>
      </c>
      <c r="F268" s="81">
        <v>2</v>
      </c>
      <c r="G268" s="81">
        <v>0</v>
      </c>
      <c r="H268" s="81">
        <v>2</v>
      </c>
      <c r="I268" s="101" t="s">
        <v>71</v>
      </c>
      <c r="J268" s="101" t="s">
        <v>71</v>
      </c>
      <c r="K268" s="80" t="s">
        <v>76</v>
      </c>
      <c r="L268" s="101" t="s">
        <v>1491</v>
      </c>
      <c r="M268" s="101" t="s">
        <v>1528</v>
      </c>
      <c r="N268" s="101">
        <v>1</v>
      </c>
      <c r="O268" s="101">
        <v>38</v>
      </c>
      <c r="P268" s="102">
        <v>38</v>
      </c>
      <c r="Q268" s="102">
        <v>2</v>
      </c>
      <c r="R268" s="102">
        <v>2</v>
      </c>
      <c r="S268" s="80"/>
      <c r="T268" s="101"/>
      <c r="U268" s="80"/>
    </row>
    <row r="269" spans="1:21" ht="12.75" hidden="1">
      <c r="A269" s="8"/>
      <c r="B269" s="69" t="s">
        <v>52</v>
      </c>
      <c r="C269" s="69" t="s">
        <v>24</v>
      </c>
      <c r="D269" s="81" t="s">
        <v>330</v>
      </c>
      <c r="E269" s="80" t="s">
        <v>331</v>
      </c>
      <c r="F269" s="81">
        <v>4</v>
      </c>
      <c r="G269" s="81">
        <v>0</v>
      </c>
      <c r="H269" s="81">
        <v>4</v>
      </c>
      <c r="I269" s="101" t="s">
        <v>71</v>
      </c>
      <c r="J269" s="101" t="s">
        <v>71</v>
      </c>
      <c r="K269" s="80" t="s">
        <v>76</v>
      </c>
      <c r="L269" s="101" t="s">
        <v>1491</v>
      </c>
      <c r="M269" s="101" t="s">
        <v>1528</v>
      </c>
      <c r="N269" s="101">
        <v>1</v>
      </c>
      <c r="O269" s="101">
        <v>38</v>
      </c>
      <c r="P269" s="102">
        <v>38</v>
      </c>
      <c r="Q269" s="102">
        <v>4</v>
      </c>
      <c r="R269" s="102">
        <v>4</v>
      </c>
      <c r="S269" s="80"/>
      <c r="T269" s="101"/>
      <c r="U269" s="80"/>
    </row>
    <row r="270" spans="1:21" ht="12.75" hidden="1">
      <c r="A270" s="8"/>
      <c r="B270" s="69" t="s">
        <v>52</v>
      </c>
      <c r="C270" s="69" t="s">
        <v>24</v>
      </c>
      <c r="D270" s="81" t="s">
        <v>1386</v>
      </c>
      <c r="E270" s="80" t="s">
        <v>1387</v>
      </c>
      <c r="F270" s="81">
        <v>4</v>
      </c>
      <c r="G270" s="81">
        <v>0</v>
      </c>
      <c r="H270" s="81">
        <v>3</v>
      </c>
      <c r="I270" s="101" t="s">
        <v>71</v>
      </c>
      <c r="J270" s="101" t="s">
        <v>71</v>
      </c>
      <c r="K270" s="80" t="s">
        <v>76</v>
      </c>
      <c r="L270" s="101" t="s">
        <v>1491</v>
      </c>
      <c r="M270" s="101" t="s">
        <v>1528</v>
      </c>
      <c r="N270" s="101">
        <v>1</v>
      </c>
      <c r="O270" s="101">
        <v>38</v>
      </c>
      <c r="P270" s="102">
        <v>38</v>
      </c>
      <c r="Q270" s="102">
        <v>4</v>
      </c>
      <c r="R270" s="102">
        <v>4</v>
      </c>
      <c r="S270" s="80"/>
      <c r="T270" s="101"/>
      <c r="U270" s="80"/>
    </row>
    <row r="271" spans="1:21" ht="12.75" hidden="1">
      <c r="A271" s="8"/>
      <c r="B271" s="69" t="s">
        <v>52</v>
      </c>
      <c r="C271" s="69" t="s">
        <v>24</v>
      </c>
      <c r="D271" s="81" t="s">
        <v>544</v>
      </c>
      <c r="E271" s="80" t="s">
        <v>545</v>
      </c>
      <c r="F271" s="81">
        <v>4</v>
      </c>
      <c r="G271" s="81">
        <v>0</v>
      </c>
      <c r="H271" s="81">
        <v>4</v>
      </c>
      <c r="I271" s="101" t="s">
        <v>71</v>
      </c>
      <c r="J271" s="101" t="s">
        <v>71</v>
      </c>
      <c r="K271" s="80" t="s">
        <v>76</v>
      </c>
      <c r="L271" s="101" t="s">
        <v>1491</v>
      </c>
      <c r="M271" s="101" t="s">
        <v>1528</v>
      </c>
      <c r="N271" s="101">
        <v>1</v>
      </c>
      <c r="O271" s="101">
        <v>38</v>
      </c>
      <c r="P271" s="102">
        <v>38</v>
      </c>
      <c r="Q271" s="102">
        <v>4</v>
      </c>
      <c r="R271" s="102">
        <v>4</v>
      </c>
      <c r="S271" s="80"/>
      <c r="T271" s="101"/>
      <c r="U271" s="80"/>
    </row>
    <row r="272" spans="1:21" ht="12.75" hidden="1">
      <c r="A272" s="8"/>
      <c r="B272" s="69" t="s">
        <v>52</v>
      </c>
      <c r="C272" s="69" t="s">
        <v>24</v>
      </c>
      <c r="D272" s="81" t="s">
        <v>1247</v>
      </c>
      <c r="E272" s="80" t="s">
        <v>1248</v>
      </c>
      <c r="F272" s="81">
        <v>4</v>
      </c>
      <c r="G272" s="81">
        <v>0</v>
      </c>
      <c r="H272" s="81">
        <v>4</v>
      </c>
      <c r="I272" s="101" t="s">
        <v>71</v>
      </c>
      <c r="J272" s="101" t="s">
        <v>71</v>
      </c>
      <c r="K272" s="80" t="s">
        <v>76</v>
      </c>
      <c r="L272" s="101" t="s">
        <v>1491</v>
      </c>
      <c r="M272" s="101" t="s">
        <v>1528</v>
      </c>
      <c r="N272" s="101">
        <v>1</v>
      </c>
      <c r="O272" s="101">
        <v>38</v>
      </c>
      <c r="P272" s="102">
        <v>38</v>
      </c>
      <c r="Q272" s="102">
        <v>4</v>
      </c>
      <c r="R272" s="102">
        <v>4</v>
      </c>
      <c r="S272" s="80"/>
      <c r="T272" s="101"/>
      <c r="U272" s="80"/>
    </row>
    <row r="273" spans="1:21" ht="12.75" hidden="1">
      <c r="A273" s="8"/>
      <c r="B273" s="69" t="s">
        <v>52</v>
      </c>
      <c r="C273" s="69" t="s">
        <v>24</v>
      </c>
      <c r="D273" s="81" t="s">
        <v>1413</v>
      </c>
      <c r="E273" s="80" t="s">
        <v>1627</v>
      </c>
      <c r="F273" s="81">
        <v>4</v>
      </c>
      <c r="G273" s="81">
        <v>0</v>
      </c>
      <c r="H273" s="81">
        <v>4</v>
      </c>
      <c r="I273" s="101" t="s">
        <v>73</v>
      </c>
      <c r="J273" s="101" t="s">
        <v>73</v>
      </c>
      <c r="K273" s="80" t="e">
        <v>#N/A</v>
      </c>
      <c r="L273" s="101" t="s">
        <v>1488</v>
      </c>
      <c r="M273" s="101" t="s">
        <v>1528</v>
      </c>
      <c r="N273" s="101">
        <v>1</v>
      </c>
      <c r="O273" s="101">
        <v>38</v>
      </c>
      <c r="P273" s="102">
        <v>38</v>
      </c>
      <c r="Q273" s="102">
        <v>4</v>
      </c>
      <c r="R273" s="102">
        <v>4</v>
      </c>
      <c r="S273" s="80"/>
      <c r="T273" s="101"/>
      <c r="U273" s="80"/>
    </row>
    <row r="274" spans="1:21" ht="12.75" hidden="1">
      <c r="A274" s="8"/>
      <c r="B274" s="69" t="s">
        <v>52</v>
      </c>
      <c r="C274" s="69" t="s">
        <v>24</v>
      </c>
      <c r="D274" s="81" t="s">
        <v>1413</v>
      </c>
      <c r="E274" s="80" t="s">
        <v>1628</v>
      </c>
      <c r="F274" s="81">
        <v>4</v>
      </c>
      <c r="G274" s="81">
        <v>0</v>
      </c>
      <c r="H274" s="81">
        <v>4</v>
      </c>
      <c r="I274" s="101" t="s">
        <v>73</v>
      </c>
      <c r="J274" s="101" t="s">
        <v>73</v>
      </c>
      <c r="K274" s="80" t="e">
        <v>#N/A</v>
      </c>
      <c r="L274" s="101" t="s">
        <v>1491</v>
      </c>
      <c r="M274" s="101" t="s">
        <v>1528</v>
      </c>
      <c r="N274" s="101">
        <v>1</v>
      </c>
      <c r="O274" s="101">
        <v>38</v>
      </c>
      <c r="P274" s="102">
        <v>38</v>
      </c>
      <c r="Q274" s="102">
        <v>4</v>
      </c>
      <c r="R274" s="102">
        <v>4</v>
      </c>
      <c r="S274" s="80"/>
      <c r="T274" s="101"/>
      <c r="U274" s="80"/>
    </row>
    <row r="275" spans="1:21" ht="12.75" hidden="1">
      <c r="A275" s="8"/>
      <c r="B275" s="69" t="s">
        <v>52</v>
      </c>
      <c r="C275" s="69" t="s">
        <v>24</v>
      </c>
      <c r="D275" s="81" t="s">
        <v>1411</v>
      </c>
      <c r="E275" s="80" t="s">
        <v>1629</v>
      </c>
      <c r="F275" s="81">
        <v>1</v>
      </c>
      <c r="G275" s="81">
        <v>3</v>
      </c>
      <c r="H275" s="81">
        <v>4</v>
      </c>
      <c r="I275" s="101" t="s">
        <v>73</v>
      </c>
      <c r="J275" s="101" t="s">
        <v>73</v>
      </c>
      <c r="K275" s="80" t="e">
        <v>#N/A</v>
      </c>
      <c r="L275" s="101" t="s">
        <v>1488</v>
      </c>
      <c r="M275" s="101" t="s">
        <v>1528</v>
      </c>
      <c r="N275" s="101">
        <v>1</v>
      </c>
      <c r="O275" s="101">
        <v>38</v>
      </c>
      <c r="P275" s="102">
        <v>38</v>
      </c>
      <c r="Q275" s="102">
        <v>4</v>
      </c>
      <c r="R275" s="102">
        <v>4</v>
      </c>
      <c r="S275" s="80" t="s">
        <v>1630</v>
      </c>
      <c r="T275" s="101" t="s">
        <v>1518</v>
      </c>
      <c r="U275" s="80" t="s">
        <v>1623</v>
      </c>
    </row>
    <row r="276" spans="1:21" ht="12.75" hidden="1">
      <c r="A276" s="8"/>
      <c r="B276" s="69" t="s">
        <v>52</v>
      </c>
      <c r="C276" s="69" t="s">
        <v>24</v>
      </c>
      <c r="D276" s="81" t="s">
        <v>1411</v>
      </c>
      <c r="E276" s="80" t="s">
        <v>1629</v>
      </c>
      <c r="F276" s="81">
        <v>1</v>
      </c>
      <c r="G276" s="81">
        <v>3</v>
      </c>
      <c r="H276" s="81">
        <v>4</v>
      </c>
      <c r="I276" s="101" t="s">
        <v>73</v>
      </c>
      <c r="J276" s="101" t="s">
        <v>73</v>
      </c>
      <c r="K276" s="80" t="e">
        <v>#N/A</v>
      </c>
      <c r="L276" s="101" t="s">
        <v>1491</v>
      </c>
      <c r="M276" s="101" t="s">
        <v>1528</v>
      </c>
      <c r="N276" s="101">
        <v>1</v>
      </c>
      <c r="O276" s="101">
        <v>38</v>
      </c>
      <c r="P276" s="102">
        <v>38</v>
      </c>
      <c r="Q276" s="102">
        <v>4</v>
      </c>
      <c r="R276" s="102">
        <v>4</v>
      </c>
      <c r="S276" s="80" t="s">
        <v>1630</v>
      </c>
      <c r="T276" s="101" t="s">
        <v>1518</v>
      </c>
      <c r="U276" s="80" t="s">
        <v>1623</v>
      </c>
    </row>
    <row r="277" spans="1:21" s="112" customFormat="1" ht="12.75" hidden="1">
      <c r="A277" s="8"/>
      <c r="B277" s="39" t="s">
        <v>51</v>
      </c>
      <c r="C277" s="39" t="s">
        <v>25</v>
      </c>
      <c r="D277" s="81" t="s">
        <v>810</v>
      </c>
      <c r="E277" s="80" t="s">
        <v>811</v>
      </c>
      <c r="F277" s="81">
        <v>4</v>
      </c>
      <c r="G277" s="81">
        <v>0</v>
      </c>
      <c r="H277" s="81">
        <v>4</v>
      </c>
      <c r="I277" s="101" t="s">
        <v>71</v>
      </c>
      <c r="J277" s="101" t="s">
        <v>71</v>
      </c>
      <c r="K277" s="80" t="s">
        <v>76</v>
      </c>
      <c r="L277" s="101" t="s">
        <v>1488</v>
      </c>
      <c r="M277" s="101" t="s">
        <v>1528</v>
      </c>
      <c r="N277" s="101">
        <v>1</v>
      </c>
      <c r="O277" s="101">
        <v>45</v>
      </c>
      <c r="P277" s="102">
        <v>45</v>
      </c>
      <c r="Q277" s="102">
        <v>4</v>
      </c>
      <c r="R277" s="102">
        <v>4</v>
      </c>
      <c r="S277" s="80"/>
      <c r="T277" s="101"/>
      <c r="U277" s="80"/>
    </row>
    <row r="278" spans="1:21" s="112" customFormat="1" ht="12.75" hidden="1">
      <c r="A278" s="1"/>
      <c r="B278" s="39" t="s">
        <v>51</v>
      </c>
      <c r="C278" s="39" t="s">
        <v>25</v>
      </c>
      <c r="D278" s="81" t="s">
        <v>810</v>
      </c>
      <c r="E278" s="80" t="s">
        <v>811</v>
      </c>
      <c r="F278" s="81">
        <v>4</v>
      </c>
      <c r="G278" s="81">
        <v>0</v>
      </c>
      <c r="H278" s="81">
        <v>4</v>
      </c>
      <c r="I278" s="101" t="s">
        <v>71</v>
      </c>
      <c r="J278" s="101" t="s">
        <v>71</v>
      </c>
      <c r="K278" s="80" t="s">
        <v>76</v>
      </c>
      <c r="L278" s="101" t="s">
        <v>1491</v>
      </c>
      <c r="M278" s="101" t="s">
        <v>1528</v>
      </c>
      <c r="N278" s="101">
        <v>1</v>
      </c>
      <c r="O278" s="101">
        <v>45</v>
      </c>
      <c r="P278" s="102">
        <v>45</v>
      </c>
      <c r="Q278" s="102">
        <v>4</v>
      </c>
      <c r="R278" s="102">
        <v>4</v>
      </c>
      <c r="S278" s="80"/>
      <c r="T278" s="101"/>
      <c r="U278" s="80"/>
    </row>
    <row r="279" spans="1:21" s="112" customFormat="1" ht="12.75" hidden="1">
      <c r="A279" s="1"/>
      <c r="B279" s="39" t="s">
        <v>51</v>
      </c>
      <c r="C279" s="39" t="s">
        <v>25</v>
      </c>
      <c r="D279" s="81" t="s">
        <v>244</v>
      </c>
      <c r="E279" s="80" t="s">
        <v>245</v>
      </c>
      <c r="F279" s="81">
        <v>4</v>
      </c>
      <c r="G279" s="81">
        <v>0</v>
      </c>
      <c r="H279" s="81">
        <v>4</v>
      </c>
      <c r="I279" s="101" t="s">
        <v>71</v>
      </c>
      <c r="J279" s="101" t="s">
        <v>71</v>
      </c>
      <c r="K279" s="80" t="s">
        <v>76</v>
      </c>
      <c r="L279" s="101" t="s">
        <v>1488</v>
      </c>
      <c r="M279" s="101" t="s">
        <v>1528</v>
      </c>
      <c r="N279" s="101">
        <v>1</v>
      </c>
      <c r="O279" s="101">
        <v>45</v>
      </c>
      <c r="P279" s="102">
        <v>45</v>
      </c>
      <c r="Q279" s="102">
        <v>4</v>
      </c>
      <c r="R279" s="102">
        <v>4</v>
      </c>
      <c r="S279" s="80"/>
      <c r="T279" s="101"/>
      <c r="U279" s="80"/>
    </row>
    <row r="280" spans="1:21" s="112" customFormat="1" ht="12.75" hidden="1">
      <c r="A280" s="1"/>
      <c r="B280" s="39" t="s">
        <v>51</v>
      </c>
      <c r="C280" s="39" t="s">
        <v>25</v>
      </c>
      <c r="D280" s="81" t="s">
        <v>244</v>
      </c>
      <c r="E280" s="80" t="s">
        <v>245</v>
      </c>
      <c r="F280" s="81">
        <v>4</v>
      </c>
      <c r="G280" s="81">
        <v>0</v>
      </c>
      <c r="H280" s="81">
        <v>4</v>
      </c>
      <c r="I280" s="101" t="s">
        <v>71</v>
      </c>
      <c r="J280" s="101" t="s">
        <v>71</v>
      </c>
      <c r="K280" s="80" t="s">
        <v>76</v>
      </c>
      <c r="L280" s="101" t="s">
        <v>1491</v>
      </c>
      <c r="M280" s="101" t="s">
        <v>1528</v>
      </c>
      <c r="N280" s="101">
        <v>1</v>
      </c>
      <c r="O280" s="101">
        <v>45</v>
      </c>
      <c r="P280" s="102">
        <v>45</v>
      </c>
      <c r="Q280" s="102">
        <v>4</v>
      </c>
      <c r="R280" s="102">
        <v>4</v>
      </c>
      <c r="S280" s="80"/>
      <c r="T280" s="101"/>
      <c r="U280" s="80"/>
    </row>
    <row r="281" spans="1:21" s="112" customFormat="1" ht="12.75" hidden="1">
      <c r="A281" s="1"/>
      <c r="B281" s="39" t="s">
        <v>51</v>
      </c>
      <c r="C281" s="39" t="s">
        <v>25</v>
      </c>
      <c r="D281" s="81" t="s">
        <v>623</v>
      </c>
      <c r="E281" s="80" t="s">
        <v>624</v>
      </c>
      <c r="F281" s="81">
        <v>4</v>
      </c>
      <c r="G281" s="81">
        <v>0</v>
      </c>
      <c r="H281" s="81">
        <v>4</v>
      </c>
      <c r="I281" s="101" t="s">
        <v>71</v>
      </c>
      <c r="J281" s="101" t="s">
        <v>71</v>
      </c>
      <c r="K281" s="80" t="s">
        <v>76</v>
      </c>
      <c r="L281" s="101" t="s">
        <v>1488</v>
      </c>
      <c r="M281" s="101" t="s">
        <v>1528</v>
      </c>
      <c r="N281" s="101">
        <v>1</v>
      </c>
      <c r="O281" s="101">
        <v>45</v>
      </c>
      <c r="P281" s="102">
        <v>45</v>
      </c>
      <c r="Q281" s="102">
        <v>4</v>
      </c>
      <c r="R281" s="102">
        <v>4</v>
      </c>
      <c r="S281" s="80"/>
      <c r="T281" s="101"/>
      <c r="U281" s="80"/>
    </row>
    <row r="282" spans="1:21" s="112" customFormat="1" ht="12.75" hidden="1">
      <c r="A282" s="1"/>
      <c r="B282" s="39" t="s">
        <v>51</v>
      </c>
      <c r="C282" s="39" t="s">
        <v>25</v>
      </c>
      <c r="D282" s="81" t="s">
        <v>623</v>
      </c>
      <c r="E282" s="80" t="s">
        <v>624</v>
      </c>
      <c r="F282" s="81">
        <v>4</v>
      </c>
      <c r="G282" s="81">
        <v>0</v>
      </c>
      <c r="H282" s="81">
        <v>4</v>
      </c>
      <c r="I282" s="101" t="s">
        <v>71</v>
      </c>
      <c r="J282" s="101" t="s">
        <v>71</v>
      </c>
      <c r="K282" s="80" t="s">
        <v>76</v>
      </c>
      <c r="L282" s="101" t="s">
        <v>1491</v>
      </c>
      <c r="M282" s="101" t="s">
        <v>1528</v>
      </c>
      <c r="N282" s="101">
        <v>1</v>
      </c>
      <c r="O282" s="101">
        <v>45</v>
      </c>
      <c r="P282" s="102">
        <v>45</v>
      </c>
      <c r="Q282" s="102">
        <v>4</v>
      </c>
      <c r="R282" s="102">
        <v>4</v>
      </c>
      <c r="S282" s="80"/>
      <c r="T282" s="101"/>
      <c r="U282" s="80"/>
    </row>
    <row r="283" spans="1:21" s="112" customFormat="1" ht="12.75" hidden="1">
      <c r="A283" s="1"/>
      <c r="B283" s="39" t="s">
        <v>51</v>
      </c>
      <c r="C283" s="39" t="s">
        <v>25</v>
      </c>
      <c r="D283" s="81" t="s">
        <v>1380</v>
      </c>
      <c r="E283" s="80" t="s">
        <v>1211</v>
      </c>
      <c r="F283" s="81">
        <v>4</v>
      </c>
      <c r="G283" s="81">
        <v>0</v>
      </c>
      <c r="H283" s="81">
        <v>4</v>
      </c>
      <c r="I283" s="101" t="s">
        <v>71</v>
      </c>
      <c r="J283" s="101" t="s">
        <v>71</v>
      </c>
      <c r="K283" s="80" t="s">
        <v>76</v>
      </c>
      <c r="L283" s="101" t="s">
        <v>1488</v>
      </c>
      <c r="M283" s="101" t="s">
        <v>1528</v>
      </c>
      <c r="N283" s="101">
        <v>1</v>
      </c>
      <c r="O283" s="101">
        <v>45</v>
      </c>
      <c r="P283" s="102">
        <v>45</v>
      </c>
      <c r="Q283" s="102">
        <v>4</v>
      </c>
      <c r="R283" s="102">
        <v>4</v>
      </c>
      <c r="S283" s="80"/>
      <c r="T283" s="101"/>
      <c r="U283" s="80"/>
    </row>
    <row r="284" spans="1:21" s="112" customFormat="1" ht="12.75" hidden="1">
      <c r="A284" s="1"/>
      <c r="B284" s="39" t="s">
        <v>51</v>
      </c>
      <c r="C284" s="39" t="s">
        <v>25</v>
      </c>
      <c r="D284" s="81" t="s">
        <v>1380</v>
      </c>
      <c r="E284" s="80" t="s">
        <v>1211</v>
      </c>
      <c r="F284" s="81">
        <v>4</v>
      </c>
      <c r="G284" s="81">
        <v>0</v>
      </c>
      <c r="H284" s="81">
        <v>4</v>
      </c>
      <c r="I284" s="101" t="s">
        <v>71</v>
      </c>
      <c r="J284" s="101" t="s">
        <v>71</v>
      </c>
      <c r="K284" s="80" t="s">
        <v>76</v>
      </c>
      <c r="L284" s="101" t="s">
        <v>1491</v>
      </c>
      <c r="M284" s="101" t="s">
        <v>1528</v>
      </c>
      <c r="N284" s="101">
        <v>1</v>
      </c>
      <c r="O284" s="101">
        <v>45</v>
      </c>
      <c r="P284" s="102">
        <v>45</v>
      </c>
      <c r="Q284" s="102">
        <v>4</v>
      </c>
      <c r="R284" s="102">
        <v>4</v>
      </c>
      <c r="S284" s="80"/>
      <c r="T284" s="101"/>
      <c r="U284" s="80"/>
    </row>
    <row r="285" spans="1:21" s="112" customFormat="1" ht="12.75" hidden="1">
      <c r="A285" s="1"/>
      <c r="B285" s="39" t="s">
        <v>51</v>
      </c>
      <c r="C285" s="39" t="s">
        <v>25</v>
      </c>
      <c r="D285" s="81" t="s">
        <v>1382</v>
      </c>
      <c r="E285" s="80" t="s">
        <v>1383</v>
      </c>
      <c r="F285" s="81">
        <v>4</v>
      </c>
      <c r="G285" s="81">
        <v>0</v>
      </c>
      <c r="H285" s="81">
        <v>4</v>
      </c>
      <c r="I285" s="101" t="s">
        <v>71</v>
      </c>
      <c r="J285" s="101" t="s">
        <v>71</v>
      </c>
      <c r="K285" s="80" t="s">
        <v>76</v>
      </c>
      <c r="L285" s="101" t="s">
        <v>1488</v>
      </c>
      <c r="M285" s="101" t="s">
        <v>1528</v>
      </c>
      <c r="N285" s="101">
        <v>1</v>
      </c>
      <c r="O285" s="101">
        <v>45</v>
      </c>
      <c r="P285" s="102">
        <v>45</v>
      </c>
      <c r="Q285" s="102">
        <v>4</v>
      </c>
      <c r="R285" s="102">
        <v>4</v>
      </c>
      <c r="S285" s="80"/>
      <c r="T285" s="101"/>
      <c r="U285" s="80"/>
    </row>
    <row r="286" spans="1:21" s="112" customFormat="1" ht="12.75" hidden="1">
      <c r="A286" s="1"/>
      <c r="B286" s="39" t="s">
        <v>51</v>
      </c>
      <c r="C286" s="39" t="s">
        <v>25</v>
      </c>
      <c r="D286" s="81" t="s">
        <v>1382</v>
      </c>
      <c r="E286" s="80" t="s">
        <v>1383</v>
      </c>
      <c r="F286" s="81">
        <v>4</v>
      </c>
      <c r="G286" s="81">
        <v>0</v>
      </c>
      <c r="H286" s="81">
        <v>4</v>
      </c>
      <c r="I286" s="101" t="s">
        <v>71</v>
      </c>
      <c r="J286" s="101" t="s">
        <v>71</v>
      </c>
      <c r="K286" s="80" t="s">
        <v>76</v>
      </c>
      <c r="L286" s="101" t="s">
        <v>1491</v>
      </c>
      <c r="M286" s="101" t="s">
        <v>1528</v>
      </c>
      <c r="N286" s="101">
        <v>1</v>
      </c>
      <c r="O286" s="101">
        <v>45</v>
      </c>
      <c r="P286" s="102">
        <v>45</v>
      </c>
      <c r="Q286" s="102">
        <v>4</v>
      </c>
      <c r="R286" s="102">
        <v>4</v>
      </c>
      <c r="S286" s="80"/>
      <c r="T286" s="101"/>
      <c r="U286" s="80"/>
    </row>
    <row r="287" spans="1:21" s="112" customFormat="1" ht="12.75" hidden="1">
      <c r="A287" s="1"/>
      <c r="B287" s="39" t="s">
        <v>51</v>
      </c>
      <c r="C287" s="39" t="s">
        <v>25</v>
      </c>
      <c r="D287" s="81" t="s">
        <v>479</v>
      </c>
      <c r="E287" s="80" t="s">
        <v>480</v>
      </c>
      <c r="F287" s="81">
        <v>4</v>
      </c>
      <c r="G287" s="81">
        <v>0</v>
      </c>
      <c r="H287" s="81">
        <v>4</v>
      </c>
      <c r="I287" s="101" t="s">
        <v>71</v>
      </c>
      <c r="J287" s="101" t="s">
        <v>71</v>
      </c>
      <c r="K287" s="80" t="s">
        <v>76</v>
      </c>
      <c r="L287" s="101" t="s">
        <v>1488</v>
      </c>
      <c r="M287" s="101" t="s">
        <v>1528</v>
      </c>
      <c r="N287" s="101">
        <v>1</v>
      </c>
      <c r="O287" s="101">
        <v>45</v>
      </c>
      <c r="P287" s="102">
        <v>45</v>
      </c>
      <c r="Q287" s="102">
        <v>4</v>
      </c>
      <c r="R287" s="102">
        <v>4</v>
      </c>
      <c r="S287" s="80"/>
      <c r="T287" s="101"/>
      <c r="U287" s="80"/>
    </row>
    <row r="288" spans="1:21" s="112" customFormat="1" ht="12.75" hidden="1">
      <c r="A288" s="1"/>
      <c r="B288" s="39" t="s">
        <v>51</v>
      </c>
      <c r="C288" s="39" t="s">
        <v>25</v>
      </c>
      <c r="D288" s="81" t="s">
        <v>479</v>
      </c>
      <c r="E288" s="80" t="s">
        <v>480</v>
      </c>
      <c r="F288" s="81">
        <v>4</v>
      </c>
      <c r="G288" s="81">
        <v>0</v>
      </c>
      <c r="H288" s="81">
        <v>4</v>
      </c>
      <c r="I288" s="101" t="s">
        <v>71</v>
      </c>
      <c r="J288" s="101" t="s">
        <v>71</v>
      </c>
      <c r="K288" s="80" t="s">
        <v>76</v>
      </c>
      <c r="L288" s="101" t="s">
        <v>1491</v>
      </c>
      <c r="M288" s="101" t="s">
        <v>1528</v>
      </c>
      <c r="N288" s="101">
        <v>1</v>
      </c>
      <c r="O288" s="101">
        <v>45</v>
      </c>
      <c r="P288" s="102">
        <v>45</v>
      </c>
      <c r="Q288" s="102">
        <v>4</v>
      </c>
      <c r="R288" s="102">
        <v>4</v>
      </c>
      <c r="S288" s="80"/>
      <c r="T288" s="101"/>
      <c r="U288" s="80"/>
    </row>
    <row r="289" spans="1:21" s="112" customFormat="1" ht="12.75" hidden="1">
      <c r="A289" s="1"/>
      <c r="B289" s="39" t="s">
        <v>51</v>
      </c>
      <c r="C289" s="39" t="s">
        <v>25</v>
      </c>
      <c r="D289" s="81" t="s">
        <v>800</v>
      </c>
      <c r="E289" s="80" t="s">
        <v>801</v>
      </c>
      <c r="F289" s="81">
        <v>4</v>
      </c>
      <c r="G289" s="81">
        <v>0</v>
      </c>
      <c r="H289" s="81">
        <v>4</v>
      </c>
      <c r="I289" s="101" t="s">
        <v>71</v>
      </c>
      <c r="J289" s="101" t="s">
        <v>71</v>
      </c>
      <c r="K289" s="80" t="s">
        <v>76</v>
      </c>
      <c r="L289" s="101" t="s">
        <v>1488</v>
      </c>
      <c r="M289" s="101" t="s">
        <v>1528</v>
      </c>
      <c r="N289" s="101">
        <v>1</v>
      </c>
      <c r="O289" s="101">
        <v>45</v>
      </c>
      <c r="P289" s="102">
        <v>45</v>
      </c>
      <c r="Q289" s="102">
        <v>4</v>
      </c>
      <c r="R289" s="102">
        <v>4</v>
      </c>
      <c r="S289" s="80"/>
      <c r="T289" s="101"/>
      <c r="U289" s="80"/>
    </row>
    <row r="290" spans="1:21" s="112" customFormat="1" ht="12.75" hidden="1">
      <c r="A290" s="1"/>
      <c r="B290" s="39" t="s">
        <v>51</v>
      </c>
      <c r="C290" s="39" t="s">
        <v>25</v>
      </c>
      <c r="D290" s="81" t="s">
        <v>800</v>
      </c>
      <c r="E290" s="80" t="s">
        <v>801</v>
      </c>
      <c r="F290" s="81">
        <v>4</v>
      </c>
      <c r="G290" s="81">
        <v>0</v>
      </c>
      <c r="H290" s="81">
        <v>4</v>
      </c>
      <c r="I290" s="101" t="s">
        <v>71</v>
      </c>
      <c r="J290" s="101" t="s">
        <v>71</v>
      </c>
      <c r="K290" s="80" t="s">
        <v>76</v>
      </c>
      <c r="L290" s="101" t="s">
        <v>1491</v>
      </c>
      <c r="M290" s="101" t="s">
        <v>1528</v>
      </c>
      <c r="N290" s="101">
        <v>1</v>
      </c>
      <c r="O290" s="101">
        <v>45</v>
      </c>
      <c r="P290" s="102">
        <v>45</v>
      </c>
      <c r="Q290" s="102">
        <v>4</v>
      </c>
      <c r="R290" s="102">
        <v>4</v>
      </c>
      <c r="S290" s="80"/>
      <c r="T290" s="101"/>
      <c r="U290" s="80"/>
    </row>
    <row r="291" spans="1:21" s="112" customFormat="1" ht="12.75" hidden="1">
      <c r="A291" s="1"/>
      <c r="B291" s="39" t="s">
        <v>51</v>
      </c>
      <c r="C291" s="39" t="s">
        <v>25</v>
      </c>
      <c r="D291" s="81" t="s">
        <v>573</v>
      </c>
      <c r="E291" s="80" t="s">
        <v>574</v>
      </c>
      <c r="F291" s="81">
        <v>4</v>
      </c>
      <c r="G291" s="81">
        <v>0</v>
      </c>
      <c r="H291" s="81">
        <v>4</v>
      </c>
      <c r="I291" s="101" t="s">
        <v>71</v>
      </c>
      <c r="J291" s="101" t="s">
        <v>71</v>
      </c>
      <c r="K291" s="80" t="s">
        <v>76</v>
      </c>
      <c r="L291" s="101" t="s">
        <v>1488</v>
      </c>
      <c r="M291" s="101" t="s">
        <v>1528</v>
      </c>
      <c r="N291" s="101">
        <v>1</v>
      </c>
      <c r="O291" s="101">
        <v>45</v>
      </c>
      <c r="P291" s="102">
        <v>45</v>
      </c>
      <c r="Q291" s="102">
        <v>4</v>
      </c>
      <c r="R291" s="102">
        <v>4</v>
      </c>
      <c r="S291" s="80"/>
      <c r="T291" s="101"/>
      <c r="U291" s="80"/>
    </row>
    <row r="292" spans="1:21" s="112" customFormat="1" ht="12.75" hidden="1">
      <c r="A292" s="1"/>
      <c r="B292" s="39" t="s">
        <v>51</v>
      </c>
      <c r="C292" s="39" t="s">
        <v>25</v>
      </c>
      <c r="D292" s="81" t="s">
        <v>573</v>
      </c>
      <c r="E292" s="80" t="s">
        <v>574</v>
      </c>
      <c r="F292" s="81">
        <v>4</v>
      </c>
      <c r="G292" s="81">
        <v>0</v>
      </c>
      <c r="H292" s="81">
        <v>4</v>
      </c>
      <c r="I292" s="101" t="s">
        <v>71</v>
      </c>
      <c r="J292" s="101" t="s">
        <v>71</v>
      </c>
      <c r="K292" s="80" t="s">
        <v>76</v>
      </c>
      <c r="L292" s="101" t="s">
        <v>1491</v>
      </c>
      <c r="M292" s="101" t="s">
        <v>1528</v>
      </c>
      <c r="N292" s="101">
        <v>1</v>
      </c>
      <c r="O292" s="101">
        <v>45</v>
      </c>
      <c r="P292" s="102">
        <v>45</v>
      </c>
      <c r="Q292" s="102">
        <v>4</v>
      </c>
      <c r="R292" s="102">
        <v>4</v>
      </c>
      <c r="S292" s="80"/>
      <c r="T292" s="101"/>
      <c r="U292" s="80"/>
    </row>
    <row r="293" spans="1:21" ht="12.75" hidden="1">
      <c r="B293" s="39" t="s">
        <v>51</v>
      </c>
      <c r="C293" s="39" t="s">
        <v>25</v>
      </c>
      <c r="D293" s="81" t="s">
        <v>887</v>
      </c>
      <c r="E293" s="80" t="s">
        <v>888</v>
      </c>
      <c r="F293" s="81">
        <v>4</v>
      </c>
      <c r="G293" s="81">
        <v>0</v>
      </c>
      <c r="H293" s="81">
        <v>4</v>
      </c>
      <c r="I293" s="101" t="s">
        <v>71</v>
      </c>
      <c r="J293" s="101" t="s">
        <v>71</v>
      </c>
      <c r="K293" s="80" t="s">
        <v>76</v>
      </c>
      <c r="L293" s="101" t="s">
        <v>1488</v>
      </c>
      <c r="M293" s="101" t="s">
        <v>1528</v>
      </c>
      <c r="N293" s="101">
        <v>1</v>
      </c>
      <c r="O293" s="101">
        <v>45</v>
      </c>
      <c r="P293" s="102">
        <v>45</v>
      </c>
      <c r="Q293" s="102">
        <v>4</v>
      </c>
      <c r="R293" s="102">
        <v>4</v>
      </c>
      <c r="S293" s="80"/>
      <c r="T293" s="101"/>
      <c r="U293" s="80"/>
    </row>
    <row r="294" spans="1:21" ht="12.75" hidden="1">
      <c r="B294" s="39" t="s">
        <v>51</v>
      </c>
      <c r="C294" s="39" t="s">
        <v>25</v>
      </c>
      <c r="D294" s="81" t="s">
        <v>887</v>
      </c>
      <c r="E294" s="80" t="s">
        <v>888</v>
      </c>
      <c r="F294" s="81">
        <v>4</v>
      </c>
      <c r="G294" s="81">
        <v>0</v>
      </c>
      <c r="H294" s="81">
        <v>4</v>
      </c>
      <c r="I294" s="101" t="s">
        <v>71</v>
      </c>
      <c r="J294" s="101" t="s">
        <v>71</v>
      </c>
      <c r="K294" s="80" t="s">
        <v>76</v>
      </c>
      <c r="L294" s="101" t="s">
        <v>1491</v>
      </c>
      <c r="M294" s="101" t="s">
        <v>1528</v>
      </c>
      <c r="N294" s="101">
        <v>1</v>
      </c>
      <c r="O294" s="101">
        <v>45</v>
      </c>
      <c r="P294" s="102">
        <v>45</v>
      </c>
      <c r="Q294" s="102">
        <v>4</v>
      </c>
      <c r="R294" s="102">
        <v>4</v>
      </c>
      <c r="S294" s="80"/>
      <c r="T294" s="101"/>
      <c r="U294" s="80"/>
    </row>
    <row r="295" spans="1:21" ht="12.75" hidden="1">
      <c r="A295" s="1" t="s">
        <v>1672</v>
      </c>
      <c r="B295" s="39" t="s">
        <v>51</v>
      </c>
      <c r="C295" s="39" t="s">
        <v>25</v>
      </c>
      <c r="D295" s="81" t="s">
        <v>752</v>
      </c>
      <c r="E295" s="80" t="s">
        <v>753</v>
      </c>
      <c r="F295" s="81">
        <v>4</v>
      </c>
      <c r="G295" s="81">
        <v>0</v>
      </c>
      <c r="H295" s="81">
        <v>4</v>
      </c>
      <c r="I295" s="101" t="s">
        <v>71</v>
      </c>
      <c r="J295" s="101" t="s">
        <v>71</v>
      </c>
      <c r="K295" s="80" t="s">
        <v>76</v>
      </c>
      <c r="L295" s="101" t="s">
        <v>1488</v>
      </c>
      <c r="M295" s="101" t="s">
        <v>1528</v>
      </c>
      <c r="N295" s="101">
        <v>1</v>
      </c>
      <c r="O295" s="101">
        <v>45</v>
      </c>
      <c r="P295" s="102">
        <v>45</v>
      </c>
      <c r="Q295" s="102">
        <v>4</v>
      </c>
      <c r="R295" s="102">
        <v>4</v>
      </c>
      <c r="S295" s="80"/>
      <c r="T295" s="101"/>
      <c r="U295" s="80"/>
    </row>
    <row r="296" spans="1:21" ht="12.75" hidden="1">
      <c r="A296" s="1" t="s">
        <v>1672</v>
      </c>
      <c r="B296" s="39" t="s">
        <v>51</v>
      </c>
      <c r="C296" s="39" t="s">
        <v>25</v>
      </c>
      <c r="D296" s="81" t="s">
        <v>752</v>
      </c>
      <c r="E296" s="80" t="s">
        <v>753</v>
      </c>
      <c r="F296" s="81">
        <v>4</v>
      </c>
      <c r="G296" s="81">
        <v>0</v>
      </c>
      <c r="H296" s="81">
        <v>4</v>
      </c>
      <c r="I296" s="101" t="s">
        <v>71</v>
      </c>
      <c r="J296" s="101" t="s">
        <v>71</v>
      </c>
      <c r="K296" s="80" t="s">
        <v>76</v>
      </c>
      <c r="L296" s="101" t="s">
        <v>1491</v>
      </c>
      <c r="M296" s="101" t="s">
        <v>1528</v>
      </c>
      <c r="N296" s="101">
        <v>1</v>
      </c>
      <c r="O296" s="101">
        <v>45</v>
      </c>
      <c r="P296" s="102">
        <v>45</v>
      </c>
      <c r="Q296" s="102">
        <v>4</v>
      </c>
      <c r="R296" s="102">
        <v>4</v>
      </c>
      <c r="S296" s="80"/>
      <c r="T296" s="101"/>
      <c r="U296" s="80"/>
    </row>
    <row r="297" spans="1:21" ht="12.75" hidden="1">
      <c r="A297" s="1" t="s">
        <v>1672</v>
      </c>
      <c r="B297" s="39" t="s">
        <v>51</v>
      </c>
      <c r="C297" s="39" t="s">
        <v>25</v>
      </c>
      <c r="D297" s="81" t="s">
        <v>74</v>
      </c>
      <c r="E297" s="80" t="s">
        <v>75</v>
      </c>
      <c r="F297" s="81">
        <v>4</v>
      </c>
      <c r="G297" s="81">
        <v>0</v>
      </c>
      <c r="H297" s="81">
        <v>4</v>
      </c>
      <c r="I297" s="101" t="s">
        <v>71</v>
      </c>
      <c r="J297" s="101" t="s">
        <v>71</v>
      </c>
      <c r="K297" s="80" t="s">
        <v>76</v>
      </c>
      <c r="L297" s="101" t="s">
        <v>1488</v>
      </c>
      <c r="M297" s="101" t="s">
        <v>1528</v>
      </c>
      <c r="N297" s="101">
        <v>1</v>
      </c>
      <c r="O297" s="101">
        <v>45</v>
      </c>
      <c r="P297" s="102">
        <v>45</v>
      </c>
      <c r="Q297" s="102">
        <v>4</v>
      </c>
      <c r="R297" s="102">
        <v>4</v>
      </c>
      <c r="S297" s="80"/>
      <c r="T297" s="101"/>
      <c r="U297" s="80"/>
    </row>
    <row r="298" spans="1:21" ht="12.75" hidden="1">
      <c r="A298" s="1" t="s">
        <v>1672</v>
      </c>
      <c r="B298" s="39" t="s">
        <v>51</v>
      </c>
      <c r="C298" s="39" t="s">
        <v>25</v>
      </c>
      <c r="D298" s="81" t="s">
        <v>74</v>
      </c>
      <c r="E298" s="80" t="s">
        <v>75</v>
      </c>
      <c r="F298" s="81">
        <v>4</v>
      </c>
      <c r="G298" s="81">
        <v>0</v>
      </c>
      <c r="H298" s="81">
        <v>4</v>
      </c>
      <c r="I298" s="101" t="s">
        <v>71</v>
      </c>
      <c r="J298" s="101" t="s">
        <v>71</v>
      </c>
      <c r="K298" s="80" t="s">
        <v>76</v>
      </c>
      <c r="L298" s="101" t="s">
        <v>1491</v>
      </c>
      <c r="M298" s="101" t="s">
        <v>1528</v>
      </c>
      <c r="N298" s="101">
        <v>1</v>
      </c>
      <c r="O298" s="101">
        <v>45</v>
      </c>
      <c r="P298" s="102">
        <v>45</v>
      </c>
      <c r="Q298" s="102">
        <v>4</v>
      </c>
      <c r="R298" s="102">
        <v>4</v>
      </c>
      <c r="S298" s="80"/>
      <c r="T298" s="101"/>
      <c r="U298" s="80"/>
    </row>
    <row r="299" spans="1:21" ht="12.75" hidden="1">
      <c r="B299" s="39" t="s">
        <v>51</v>
      </c>
      <c r="C299" s="39" t="s">
        <v>25</v>
      </c>
      <c r="D299" s="81" t="s">
        <v>1325</v>
      </c>
      <c r="E299" s="80" t="s">
        <v>1326</v>
      </c>
      <c r="F299" s="81">
        <v>0</v>
      </c>
      <c r="G299" s="81">
        <v>2</v>
      </c>
      <c r="H299" s="81">
        <v>6</v>
      </c>
      <c r="I299" s="101" t="s">
        <v>71</v>
      </c>
      <c r="J299" s="101" t="s">
        <v>71</v>
      </c>
      <c r="K299" s="80" t="s">
        <v>76</v>
      </c>
      <c r="L299" s="101" t="s">
        <v>1488</v>
      </c>
      <c r="M299" s="101" t="s">
        <v>1528</v>
      </c>
      <c r="N299" s="101">
        <v>1</v>
      </c>
      <c r="O299" s="101">
        <v>45</v>
      </c>
      <c r="P299" s="102">
        <v>45</v>
      </c>
      <c r="Q299" s="102">
        <v>2</v>
      </c>
      <c r="R299" s="102">
        <v>2</v>
      </c>
      <c r="S299" s="80"/>
      <c r="T299" s="101"/>
      <c r="U299" s="80"/>
    </row>
    <row r="300" spans="1:21" ht="12.75" hidden="1">
      <c r="B300" s="39" t="s">
        <v>51</v>
      </c>
      <c r="C300" s="39" t="s">
        <v>25</v>
      </c>
      <c r="D300" s="81" t="s">
        <v>1327</v>
      </c>
      <c r="E300" s="80" t="s">
        <v>1328</v>
      </c>
      <c r="F300" s="81">
        <v>0</v>
      </c>
      <c r="G300" s="81">
        <v>2</v>
      </c>
      <c r="H300" s="81">
        <v>6</v>
      </c>
      <c r="I300" s="101" t="s">
        <v>71</v>
      </c>
      <c r="J300" s="101" t="s">
        <v>71</v>
      </c>
      <c r="K300" s="80" t="s">
        <v>76</v>
      </c>
      <c r="L300" s="101" t="s">
        <v>1488</v>
      </c>
      <c r="M300" s="101" t="s">
        <v>1528</v>
      </c>
      <c r="N300" s="101">
        <v>1</v>
      </c>
      <c r="O300" s="101">
        <v>45</v>
      </c>
      <c r="P300" s="102">
        <v>45</v>
      </c>
      <c r="Q300" s="102">
        <v>2</v>
      </c>
      <c r="R300" s="102">
        <v>2</v>
      </c>
      <c r="S300" s="80"/>
      <c r="T300" s="101"/>
      <c r="U300" s="80"/>
    </row>
    <row r="301" spans="1:21" ht="12.75" hidden="1">
      <c r="B301" s="39" t="s">
        <v>51</v>
      </c>
      <c r="C301" s="39" t="s">
        <v>25</v>
      </c>
      <c r="D301" s="81" t="s">
        <v>1415</v>
      </c>
      <c r="E301" s="80" t="s">
        <v>1607</v>
      </c>
      <c r="F301" s="81">
        <v>4</v>
      </c>
      <c r="G301" s="81">
        <v>0</v>
      </c>
      <c r="H301" s="81">
        <v>4</v>
      </c>
      <c r="I301" s="101" t="s">
        <v>73</v>
      </c>
      <c r="J301" s="101" t="s">
        <v>73</v>
      </c>
      <c r="K301" s="80" t="s">
        <v>76</v>
      </c>
      <c r="L301" s="101" t="s">
        <v>1488</v>
      </c>
      <c r="M301" s="101" t="s">
        <v>1528</v>
      </c>
      <c r="N301" s="101">
        <v>1</v>
      </c>
      <c r="O301" s="101">
        <v>45</v>
      </c>
      <c r="P301" s="102">
        <v>45</v>
      </c>
      <c r="Q301" s="102">
        <v>4</v>
      </c>
      <c r="R301" s="102">
        <v>4</v>
      </c>
      <c r="S301" s="80"/>
      <c r="T301" s="101"/>
      <c r="U301" s="80"/>
    </row>
    <row r="302" spans="1:21" ht="12.75" hidden="1">
      <c r="B302" s="39" t="s">
        <v>51</v>
      </c>
      <c r="C302" s="39" t="s">
        <v>25</v>
      </c>
      <c r="D302" s="81" t="s">
        <v>1415</v>
      </c>
      <c r="E302" s="80" t="s">
        <v>1607</v>
      </c>
      <c r="F302" s="81">
        <v>4</v>
      </c>
      <c r="G302" s="81">
        <v>0</v>
      </c>
      <c r="H302" s="81">
        <v>4</v>
      </c>
      <c r="I302" s="101" t="s">
        <v>73</v>
      </c>
      <c r="J302" s="101" t="s">
        <v>73</v>
      </c>
      <c r="K302" s="80" t="s">
        <v>76</v>
      </c>
      <c r="L302" s="101" t="s">
        <v>1491</v>
      </c>
      <c r="M302" s="101" t="s">
        <v>1528</v>
      </c>
      <c r="N302" s="101">
        <v>1</v>
      </c>
      <c r="O302" s="101">
        <v>45</v>
      </c>
      <c r="P302" s="102">
        <v>45</v>
      </c>
      <c r="Q302" s="102">
        <v>4</v>
      </c>
      <c r="R302" s="102">
        <v>4</v>
      </c>
      <c r="S302" s="80"/>
      <c r="T302" s="101"/>
      <c r="U302" s="80"/>
    </row>
    <row r="303" spans="1:21" ht="12.75" hidden="1">
      <c r="B303" s="39" t="s">
        <v>51</v>
      </c>
      <c r="C303" s="39" t="s">
        <v>25</v>
      </c>
      <c r="D303" s="81" t="s">
        <v>1416</v>
      </c>
      <c r="E303" s="80" t="s">
        <v>1608</v>
      </c>
      <c r="F303" s="81">
        <v>4</v>
      </c>
      <c r="G303" s="81">
        <v>0</v>
      </c>
      <c r="H303" s="81">
        <v>4</v>
      </c>
      <c r="I303" s="101" t="s">
        <v>73</v>
      </c>
      <c r="J303" s="101" t="s">
        <v>73</v>
      </c>
      <c r="K303" s="80" t="s">
        <v>76</v>
      </c>
      <c r="L303" s="101" t="s">
        <v>1488</v>
      </c>
      <c r="M303" s="101" t="s">
        <v>1528</v>
      </c>
      <c r="N303" s="101">
        <v>1</v>
      </c>
      <c r="O303" s="101">
        <v>45</v>
      </c>
      <c r="P303" s="102">
        <v>45</v>
      </c>
      <c r="Q303" s="102">
        <v>4</v>
      </c>
      <c r="R303" s="102">
        <v>4</v>
      </c>
      <c r="S303" s="80"/>
      <c r="T303" s="101"/>
      <c r="U303" s="80"/>
    </row>
    <row r="304" spans="1:21" ht="12.75" hidden="1">
      <c r="B304" s="39" t="s">
        <v>51</v>
      </c>
      <c r="C304" s="39" t="s">
        <v>25</v>
      </c>
      <c r="D304" s="81" t="s">
        <v>1416</v>
      </c>
      <c r="E304" s="80" t="s">
        <v>1608</v>
      </c>
      <c r="F304" s="81">
        <v>4</v>
      </c>
      <c r="G304" s="81">
        <v>0</v>
      </c>
      <c r="H304" s="81">
        <v>4</v>
      </c>
      <c r="I304" s="101" t="s">
        <v>73</v>
      </c>
      <c r="J304" s="101" t="s">
        <v>73</v>
      </c>
      <c r="K304" s="80" t="s">
        <v>76</v>
      </c>
      <c r="L304" s="101" t="s">
        <v>1491</v>
      </c>
      <c r="M304" s="101" t="s">
        <v>1528</v>
      </c>
      <c r="N304" s="101">
        <v>1</v>
      </c>
      <c r="O304" s="101">
        <v>45</v>
      </c>
      <c r="P304" s="102">
        <v>45</v>
      </c>
      <c r="Q304" s="102">
        <v>4</v>
      </c>
      <c r="R304" s="102">
        <v>4</v>
      </c>
      <c r="S304" s="80"/>
      <c r="T304" s="101"/>
      <c r="U304" s="80"/>
    </row>
    <row r="305" spans="2:23" ht="12.75" hidden="1">
      <c r="B305" s="38" t="s">
        <v>1637</v>
      </c>
      <c r="C305" s="38" t="s">
        <v>26</v>
      </c>
      <c r="D305" s="81" t="s">
        <v>1721</v>
      </c>
      <c r="E305" s="80" t="s">
        <v>1141</v>
      </c>
      <c r="F305" s="81">
        <v>2</v>
      </c>
      <c r="G305" s="81">
        <v>4</v>
      </c>
      <c r="H305" s="81">
        <v>6</v>
      </c>
      <c r="I305" s="101" t="s">
        <v>71</v>
      </c>
      <c r="J305" s="101" t="s">
        <v>71</v>
      </c>
      <c r="K305" s="101" t="e">
        <v>#N/A</v>
      </c>
      <c r="L305" s="80" t="s">
        <v>1488</v>
      </c>
      <c r="M305" s="101" t="s">
        <v>1562</v>
      </c>
      <c r="N305" s="101">
        <v>1</v>
      </c>
      <c r="O305" s="101">
        <v>30</v>
      </c>
      <c r="P305" s="101" t="s">
        <v>1527</v>
      </c>
      <c r="Q305" s="102">
        <v>6</v>
      </c>
      <c r="R305" s="102">
        <v>6</v>
      </c>
      <c r="S305" s="102" t="s">
        <v>1695</v>
      </c>
      <c r="T305" s="102" t="s">
        <v>1564</v>
      </c>
      <c r="U305" s="80"/>
      <c r="V305" s="95"/>
      <c r="W305" s="95"/>
    </row>
    <row r="306" spans="2:23" ht="12.75" hidden="1">
      <c r="B306" s="38" t="s">
        <v>1637</v>
      </c>
      <c r="C306" s="38" t="s">
        <v>26</v>
      </c>
      <c r="D306" s="81" t="s">
        <v>1150</v>
      </c>
      <c r="E306" s="80" t="s">
        <v>1151</v>
      </c>
      <c r="F306" s="81">
        <v>0</v>
      </c>
      <c r="G306" s="81">
        <v>4</v>
      </c>
      <c r="H306" s="81">
        <v>6</v>
      </c>
      <c r="I306" s="101" t="s">
        <v>71</v>
      </c>
      <c r="J306" s="101" t="s">
        <v>71</v>
      </c>
      <c r="K306" s="101" t="s">
        <v>76</v>
      </c>
      <c r="L306" s="80" t="s">
        <v>1488</v>
      </c>
      <c r="M306" s="101" t="s">
        <v>1562</v>
      </c>
      <c r="N306" s="101">
        <v>1</v>
      </c>
      <c r="O306" s="101">
        <v>30</v>
      </c>
      <c r="P306" s="101" t="s">
        <v>1527</v>
      </c>
      <c r="Q306" s="102">
        <v>4</v>
      </c>
      <c r="R306" s="102">
        <v>4</v>
      </c>
      <c r="S306" s="102" t="s">
        <v>1695</v>
      </c>
      <c r="T306" s="102" t="s">
        <v>1564</v>
      </c>
      <c r="U306" s="80"/>
      <c r="V306" s="95"/>
      <c r="W306" s="95"/>
    </row>
    <row r="307" spans="2:23" ht="12.75" hidden="1">
      <c r="B307" s="38" t="s">
        <v>1637</v>
      </c>
      <c r="C307" s="38" t="s">
        <v>26</v>
      </c>
      <c r="D307" s="81" t="s">
        <v>1338</v>
      </c>
      <c r="E307" s="80" t="s">
        <v>1339</v>
      </c>
      <c r="F307" s="81">
        <v>2</v>
      </c>
      <c r="G307" s="81">
        <v>0</v>
      </c>
      <c r="H307" s="81">
        <v>2</v>
      </c>
      <c r="I307" s="101" t="s">
        <v>71</v>
      </c>
      <c r="J307" s="101" t="s">
        <v>71</v>
      </c>
      <c r="K307" s="101" t="s">
        <v>76</v>
      </c>
      <c r="L307" s="80" t="s">
        <v>1488</v>
      </c>
      <c r="M307" s="101" t="s">
        <v>1562</v>
      </c>
      <c r="N307" s="101">
        <v>1</v>
      </c>
      <c r="O307" s="101">
        <v>15</v>
      </c>
      <c r="P307" s="101" t="s">
        <v>1527</v>
      </c>
      <c r="Q307" s="102">
        <v>2</v>
      </c>
      <c r="R307" s="102">
        <v>2</v>
      </c>
      <c r="S307" s="102"/>
      <c r="T307" s="102"/>
      <c r="U307" s="80"/>
      <c r="V307" s="95"/>
      <c r="W307" s="95"/>
    </row>
    <row r="308" spans="2:23" ht="12.75" hidden="1">
      <c r="B308" s="38" t="s">
        <v>1637</v>
      </c>
      <c r="C308" s="38" t="s">
        <v>26</v>
      </c>
      <c r="D308" s="81" t="s">
        <v>213</v>
      </c>
      <c r="E308" s="80" t="s">
        <v>214</v>
      </c>
      <c r="F308" s="81">
        <v>2</v>
      </c>
      <c r="G308" s="81">
        <v>4</v>
      </c>
      <c r="H308" s="81">
        <v>6</v>
      </c>
      <c r="I308" s="101" t="s">
        <v>71</v>
      </c>
      <c r="J308" s="101" t="s">
        <v>71</v>
      </c>
      <c r="K308" s="101" t="s">
        <v>76</v>
      </c>
      <c r="L308" s="80" t="s">
        <v>1488</v>
      </c>
      <c r="M308" s="101" t="s">
        <v>1562</v>
      </c>
      <c r="N308" s="101">
        <v>1</v>
      </c>
      <c r="O308" s="101">
        <v>30</v>
      </c>
      <c r="P308" s="101" t="s">
        <v>1527</v>
      </c>
      <c r="Q308" s="102">
        <v>6</v>
      </c>
      <c r="R308" s="102">
        <v>6</v>
      </c>
      <c r="S308" s="102" t="s">
        <v>1695</v>
      </c>
      <c r="T308" s="102" t="s">
        <v>1564</v>
      </c>
      <c r="U308" s="80"/>
      <c r="V308" s="95"/>
      <c r="W308" s="95"/>
    </row>
    <row r="309" spans="2:23" ht="12.75" hidden="1">
      <c r="B309" s="38" t="s">
        <v>1637</v>
      </c>
      <c r="C309" s="38" t="s">
        <v>26</v>
      </c>
      <c r="D309" s="81" t="s">
        <v>885</v>
      </c>
      <c r="E309" s="80" t="s">
        <v>886</v>
      </c>
      <c r="F309" s="81">
        <v>4</v>
      </c>
      <c r="G309" s="81">
        <v>0</v>
      </c>
      <c r="H309" s="81">
        <v>6</v>
      </c>
      <c r="I309" s="101" t="s">
        <v>71</v>
      </c>
      <c r="J309" s="101" t="s">
        <v>71</v>
      </c>
      <c r="K309" s="101" t="s">
        <v>76</v>
      </c>
      <c r="L309" s="80" t="s">
        <v>1488</v>
      </c>
      <c r="M309" s="101" t="s">
        <v>1562</v>
      </c>
      <c r="N309" s="101">
        <v>1</v>
      </c>
      <c r="O309" s="101">
        <v>50</v>
      </c>
      <c r="P309" s="101" t="s">
        <v>1527</v>
      </c>
      <c r="Q309" s="102">
        <v>4</v>
      </c>
      <c r="R309" s="102">
        <v>4</v>
      </c>
      <c r="S309" s="102"/>
      <c r="T309" s="102"/>
      <c r="U309" s="80"/>
      <c r="V309" s="95"/>
      <c r="W309" s="95"/>
    </row>
    <row r="310" spans="2:23" ht="12.75" hidden="1">
      <c r="B310" s="38" t="s">
        <v>1637</v>
      </c>
      <c r="C310" s="38" t="s">
        <v>26</v>
      </c>
      <c r="D310" s="81" t="s">
        <v>1722</v>
      </c>
      <c r="E310" s="80" t="s">
        <v>1139</v>
      </c>
      <c r="F310" s="81">
        <v>4</v>
      </c>
      <c r="G310" s="81">
        <v>2</v>
      </c>
      <c r="H310" s="81">
        <v>6</v>
      </c>
      <c r="I310" s="101" t="s">
        <v>71</v>
      </c>
      <c r="J310" s="101" t="s">
        <v>71</v>
      </c>
      <c r="K310" s="101" t="s">
        <v>76</v>
      </c>
      <c r="L310" s="80" t="s">
        <v>1488</v>
      </c>
      <c r="M310" s="101" t="s">
        <v>1562</v>
      </c>
      <c r="N310" s="101">
        <v>1</v>
      </c>
      <c r="O310" s="101">
        <v>30</v>
      </c>
      <c r="P310" s="101">
        <v>30</v>
      </c>
      <c r="Q310" s="102">
        <v>6</v>
      </c>
      <c r="R310" s="102">
        <v>6</v>
      </c>
      <c r="S310" s="102" t="s">
        <v>1695</v>
      </c>
      <c r="T310" s="102" t="s">
        <v>1564</v>
      </c>
      <c r="U310" s="80"/>
      <c r="V310" s="95"/>
      <c r="W310" s="95"/>
    </row>
    <row r="311" spans="2:23" ht="12.75" hidden="1">
      <c r="B311" s="38" t="s">
        <v>1637</v>
      </c>
      <c r="C311" s="38" t="s">
        <v>26</v>
      </c>
      <c r="D311" s="81" t="s">
        <v>334</v>
      </c>
      <c r="E311" s="80" t="s">
        <v>335</v>
      </c>
      <c r="F311" s="81">
        <v>3</v>
      </c>
      <c r="G311" s="81">
        <v>0</v>
      </c>
      <c r="H311" s="81">
        <v>4</v>
      </c>
      <c r="I311" s="101" t="s">
        <v>73</v>
      </c>
      <c r="J311" s="101" t="s">
        <v>73</v>
      </c>
      <c r="K311" s="101" t="s">
        <v>76</v>
      </c>
      <c r="L311" s="80" t="s">
        <v>1488</v>
      </c>
      <c r="M311" s="101" t="s">
        <v>1562</v>
      </c>
      <c r="N311" s="101">
        <v>1</v>
      </c>
      <c r="O311" s="101">
        <v>50</v>
      </c>
      <c r="P311" s="101" t="s">
        <v>1527</v>
      </c>
      <c r="Q311" s="102">
        <v>3</v>
      </c>
      <c r="R311" s="102">
        <v>3</v>
      </c>
      <c r="S311" s="102"/>
      <c r="T311" s="102"/>
      <c r="U311" s="80"/>
      <c r="V311" s="95"/>
      <c r="W311" s="95"/>
    </row>
    <row r="312" spans="2:23" ht="12.75" hidden="1">
      <c r="B312" s="38" t="s">
        <v>1637</v>
      </c>
      <c r="C312" s="38" t="s">
        <v>26</v>
      </c>
      <c r="D312" s="81" t="s">
        <v>1723</v>
      </c>
      <c r="E312" s="80" t="s">
        <v>1724</v>
      </c>
      <c r="F312" s="81">
        <v>4</v>
      </c>
      <c r="G312" s="81">
        <v>0</v>
      </c>
      <c r="H312" s="81">
        <v>4</v>
      </c>
      <c r="I312" s="101" t="s">
        <v>73</v>
      </c>
      <c r="J312" s="101" t="s">
        <v>73</v>
      </c>
      <c r="K312" s="101" t="s">
        <v>76</v>
      </c>
      <c r="L312" s="80" t="s">
        <v>1488</v>
      </c>
      <c r="M312" s="101" t="s">
        <v>1562</v>
      </c>
      <c r="N312" s="101">
        <v>1</v>
      </c>
      <c r="O312" s="101">
        <v>50</v>
      </c>
      <c r="P312" s="101" t="s">
        <v>1527</v>
      </c>
      <c r="Q312" s="102">
        <v>4</v>
      </c>
      <c r="R312" s="102">
        <v>4</v>
      </c>
      <c r="S312" s="102"/>
      <c r="T312" s="102"/>
      <c r="U312" s="80"/>
      <c r="V312" s="95"/>
      <c r="W312" s="95"/>
    </row>
    <row r="313" spans="2:23" ht="12.75" hidden="1">
      <c r="B313" s="38" t="s">
        <v>1637</v>
      </c>
      <c r="C313" s="38" t="s">
        <v>26</v>
      </c>
      <c r="D313" s="81" t="s">
        <v>1721</v>
      </c>
      <c r="E313" s="80" t="s">
        <v>1141</v>
      </c>
      <c r="F313" s="81">
        <v>2</v>
      </c>
      <c r="G313" s="81">
        <v>4</v>
      </c>
      <c r="H313" s="81">
        <v>6</v>
      </c>
      <c r="I313" s="101" t="s">
        <v>71</v>
      </c>
      <c r="J313" s="101" t="s">
        <v>71</v>
      </c>
      <c r="K313" s="101" t="e">
        <v>#N/A</v>
      </c>
      <c r="L313" s="80" t="s">
        <v>1491</v>
      </c>
      <c r="M313" s="101" t="s">
        <v>1562</v>
      </c>
      <c r="N313" s="101">
        <v>1</v>
      </c>
      <c r="O313" s="101">
        <v>30</v>
      </c>
      <c r="P313" s="101" t="s">
        <v>1527</v>
      </c>
      <c r="Q313" s="102">
        <v>6</v>
      </c>
      <c r="R313" s="102">
        <v>6</v>
      </c>
      <c r="S313" s="102" t="s">
        <v>1695</v>
      </c>
      <c r="T313" s="102" t="s">
        <v>1564</v>
      </c>
      <c r="U313" s="80"/>
      <c r="V313" s="95"/>
      <c r="W313" s="95"/>
    </row>
    <row r="314" spans="2:23" ht="12.75" hidden="1">
      <c r="B314" s="38" t="s">
        <v>1637</v>
      </c>
      <c r="C314" s="38" t="s">
        <v>26</v>
      </c>
      <c r="D314" s="81" t="s">
        <v>1150</v>
      </c>
      <c r="E314" s="80" t="s">
        <v>1151</v>
      </c>
      <c r="F314" s="81">
        <v>0</v>
      </c>
      <c r="G314" s="81">
        <v>4</v>
      </c>
      <c r="H314" s="81">
        <v>6</v>
      </c>
      <c r="I314" s="101" t="s">
        <v>71</v>
      </c>
      <c r="J314" s="101" t="s">
        <v>71</v>
      </c>
      <c r="K314" s="101" t="s">
        <v>76</v>
      </c>
      <c r="L314" s="80" t="s">
        <v>1491</v>
      </c>
      <c r="M314" s="101" t="s">
        <v>1562</v>
      </c>
      <c r="N314" s="101">
        <v>1</v>
      </c>
      <c r="O314" s="101">
        <v>30</v>
      </c>
      <c r="P314" s="101" t="s">
        <v>1527</v>
      </c>
      <c r="Q314" s="102">
        <v>4</v>
      </c>
      <c r="R314" s="102">
        <v>4</v>
      </c>
      <c r="S314" s="102" t="s">
        <v>1695</v>
      </c>
      <c r="T314" s="102" t="s">
        <v>1564</v>
      </c>
      <c r="U314" s="80"/>
      <c r="V314" s="95"/>
      <c r="W314" s="95"/>
    </row>
    <row r="315" spans="2:23" ht="12.75" hidden="1">
      <c r="B315" s="38" t="s">
        <v>1637</v>
      </c>
      <c r="C315" s="38" t="s">
        <v>26</v>
      </c>
      <c r="D315" s="81" t="s">
        <v>1338</v>
      </c>
      <c r="E315" s="80" t="s">
        <v>1339</v>
      </c>
      <c r="F315" s="81">
        <v>2</v>
      </c>
      <c r="G315" s="81">
        <v>0</v>
      </c>
      <c r="H315" s="81">
        <v>2</v>
      </c>
      <c r="I315" s="101" t="s">
        <v>71</v>
      </c>
      <c r="J315" s="101" t="s">
        <v>71</v>
      </c>
      <c r="K315" s="101" t="s">
        <v>76</v>
      </c>
      <c r="L315" s="80" t="s">
        <v>1491</v>
      </c>
      <c r="M315" s="101" t="s">
        <v>1562</v>
      </c>
      <c r="N315" s="101">
        <v>1</v>
      </c>
      <c r="O315" s="101">
        <v>15</v>
      </c>
      <c r="P315" s="101" t="s">
        <v>1527</v>
      </c>
      <c r="Q315" s="102">
        <v>2</v>
      </c>
      <c r="R315" s="102">
        <v>2</v>
      </c>
      <c r="S315" s="102"/>
      <c r="T315" s="102"/>
      <c r="U315" s="80"/>
      <c r="V315" s="95"/>
      <c r="W315" s="95"/>
    </row>
    <row r="316" spans="2:23" ht="12.75" hidden="1">
      <c r="B316" s="38" t="s">
        <v>1637</v>
      </c>
      <c r="C316" s="38" t="s">
        <v>26</v>
      </c>
      <c r="D316" s="81" t="s">
        <v>213</v>
      </c>
      <c r="E316" s="80" t="s">
        <v>214</v>
      </c>
      <c r="F316" s="81">
        <v>2</v>
      </c>
      <c r="G316" s="81">
        <v>4</v>
      </c>
      <c r="H316" s="81">
        <v>6</v>
      </c>
      <c r="I316" s="101" t="s">
        <v>71</v>
      </c>
      <c r="J316" s="101" t="s">
        <v>71</v>
      </c>
      <c r="K316" s="101" t="s">
        <v>76</v>
      </c>
      <c r="L316" s="80" t="s">
        <v>1491</v>
      </c>
      <c r="M316" s="101" t="s">
        <v>1562</v>
      </c>
      <c r="N316" s="101">
        <v>1</v>
      </c>
      <c r="O316" s="101">
        <v>30</v>
      </c>
      <c r="P316" s="101" t="s">
        <v>1527</v>
      </c>
      <c r="Q316" s="102">
        <v>6</v>
      </c>
      <c r="R316" s="102">
        <v>6</v>
      </c>
      <c r="S316" s="102" t="s">
        <v>1695</v>
      </c>
      <c r="T316" s="102" t="s">
        <v>1564</v>
      </c>
      <c r="U316" s="80"/>
      <c r="V316" s="95"/>
      <c r="W316" s="95"/>
    </row>
    <row r="317" spans="2:23" ht="12.75" hidden="1">
      <c r="B317" s="38" t="s">
        <v>1637</v>
      </c>
      <c r="C317" s="38" t="s">
        <v>26</v>
      </c>
      <c r="D317" s="81" t="s">
        <v>885</v>
      </c>
      <c r="E317" s="80" t="s">
        <v>886</v>
      </c>
      <c r="F317" s="81">
        <v>4</v>
      </c>
      <c r="G317" s="81">
        <v>0</v>
      </c>
      <c r="H317" s="81">
        <v>6</v>
      </c>
      <c r="I317" s="101" t="s">
        <v>71</v>
      </c>
      <c r="J317" s="101" t="s">
        <v>71</v>
      </c>
      <c r="K317" s="101" t="s">
        <v>76</v>
      </c>
      <c r="L317" s="80" t="s">
        <v>1491</v>
      </c>
      <c r="M317" s="101" t="s">
        <v>1562</v>
      </c>
      <c r="N317" s="101">
        <v>1</v>
      </c>
      <c r="O317" s="101">
        <v>50</v>
      </c>
      <c r="P317" s="101" t="s">
        <v>1527</v>
      </c>
      <c r="Q317" s="102">
        <v>4</v>
      </c>
      <c r="R317" s="102">
        <v>4</v>
      </c>
      <c r="S317" s="102"/>
      <c r="T317" s="102"/>
      <c r="U317" s="80"/>
      <c r="V317" s="95"/>
      <c r="W317" s="95"/>
    </row>
    <row r="318" spans="2:23" ht="12.75" hidden="1">
      <c r="B318" s="38" t="s">
        <v>1637</v>
      </c>
      <c r="C318" s="38" t="s">
        <v>26</v>
      </c>
      <c r="D318" s="81" t="s">
        <v>1722</v>
      </c>
      <c r="E318" s="80" t="s">
        <v>1139</v>
      </c>
      <c r="F318" s="81">
        <v>4</v>
      </c>
      <c r="G318" s="81">
        <v>2</v>
      </c>
      <c r="H318" s="81">
        <v>6</v>
      </c>
      <c r="I318" s="101" t="s">
        <v>71</v>
      </c>
      <c r="J318" s="101" t="s">
        <v>71</v>
      </c>
      <c r="K318" s="101" t="e">
        <v>#N/A</v>
      </c>
      <c r="L318" s="80" t="s">
        <v>1491</v>
      </c>
      <c r="M318" s="101" t="s">
        <v>1562</v>
      </c>
      <c r="N318" s="101">
        <v>1</v>
      </c>
      <c r="O318" s="101">
        <v>30</v>
      </c>
      <c r="P318" s="101" t="s">
        <v>1527</v>
      </c>
      <c r="Q318" s="102">
        <v>6</v>
      </c>
      <c r="R318" s="102">
        <v>6</v>
      </c>
      <c r="S318" s="102" t="s">
        <v>1695</v>
      </c>
      <c r="T318" s="102" t="s">
        <v>1564</v>
      </c>
      <c r="U318" s="80"/>
      <c r="V318" s="95"/>
      <c r="W318" s="95"/>
    </row>
    <row r="319" spans="2:23" ht="12.75" hidden="1">
      <c r="B319" s="38" t="s">
        <v>1637</v>
      </c>
      <c r="C319" s="38" t="s">
        <v>26</v>
      </c>
      <c r="D319" s="81" t="s">
        <v>334</v>
      </c>
      <c r="E319" s="80" t="s">
        <v>335</v>
      </c>
      <c r="F319" s="81">
        <v>3</v>
      </c>
      <c r="G319" s="81">
        <v>0</v>
      </c>
      <c r="H319" s="81">
        <v>4</v>
      </c>
      <c r="I319" s="101" t="s">
        <v>73</v>
      </c>
      <c r="J319" s="101" t="s">
        <v>73</v>
      </c>
      <c r="K319" s="101" t="s">
        <v>76</v>
      </c>
      <c r="L319" s="80" t="s">
        <v>1491</v>
      </c>
      <c r="M319" s="101" t="s">
        <v>1562</v>
      </c>
      <c r="N319" s="101">
        <v>1</v>
      </c>
      <c r="O319" s="101">
        <v>50</v>
      </c>
      <c r="P319" s="101" t="s">
        <v>1527</v>
      </c>
      <c r="Q319" s="102">
        <v>3</v>
      </c>
      <c r="R319" s="102">
        <v>3</v>
      </c>
      <c r="S319" s="102"/>
      <c r="T319" s="102"/>
      <c r="U319" s="80"/>
      <c r="V319" s="95"/>
      <c r="W319" s="95"/>
    </row>
    <row r="320" spans="2:23" ht="12.75" hidden="1">
      <c r="B320" s="38" t="s">
        <v>1637</v>
      </c>
      <c r="C320" s="38" t="s">
        <v>26</v>
      </c>
      <c r="D320" s="81" t="s">
        <v>1723</v>
      </c>
      <c r="E320" s="80" t="s">
        <v>1724</v>
      </c>
      <c r="F320" s="81">
        <v>4</v>
      </c>
      <c r="G320" s="81">
        <v>0</v>
      </c>
      <c r="H320" s="81">
        <v>4</v>
      </c>
      <c r="I320" s="101" t="s">
        <v>73</v>
      </c>
      <c r="J320" s="101" t="s">
        <v>73</v>
      </c>
      <c r="K320" s="101" t="s">
        <v>76</v>
      </c>
      <c r="L320" s="80" t="s">
        <v>1491</v>
      </c>
      <c r="M320" s="101" t="s">
        <v>1562</v>
      </c>
      <c r="N320" s="101">
        <v>1</v>
      </c>
      <c r="O320" s="101">
        <v>50</v>
      </c>
      <c r="P320" s="101" t="s">
        <v>1527</v>
      </c>
      <c r="Q320" s="102">
        <v>4</v>
      </c>
      <c r="R320" s="102">
        <v>4</v>
      </c>
      <c r="S320" s="102"/>
      <c r="T320" s="102"/>
      <c r="U320" s="80"/>
      <c r="V320" s="95"/>
      <c r="W320" s="95"/>
    </row>
    <row r="321" spans="2:23" ht="12.75" hidden="1">
      <c r="B321" s="38" t="s">
        <v>1637</v>
      </c>
      <c r="C321" s="38" t="s">
        <v>26</v>
      </c>
      <c r="D321" s="81" t="s">
        <v>1137</v>
      </c>
      <c r="E321" s="80" t="s">
        <v>1138</v>
      </c>
      <c r="F321" s="81">
        <v>2</v>
      </c>
      <c r="G321" s="81">
        <v>0</v>
      </c>
      <c r="H321" s="81">
        <v>4</v>
      </c>
      <c r="I321" s="101" t="s">
        <v>73</v>
      </c>
      <c r="J321" s="101" t="s">
        <v>73</v>
      </c>
      <c r="K321" s="101" t="s">
        <v>76</v>
      </c>
      <c r="L321" s="80" t="s">
        <v>1491</v>
      </c>
      <c r="M321" s="101" t="s">
        <v>1562</v>
      </c>
      <c r="N321" s="101">
        <v>1</v>
      </c>
      <c r="O321" s="101">
        <v>50</v>
      </c>
      <c r="P321" s="101" t="s">
        <v>1527</v>
      </c>
      <c r="Q321" s="102">
        <v>2</v>
      </c>
      <c r="R321" s="102">
        <v>2</v>
      </c>
      <c r="S321" s="102"/>
      <c r="T321" s="102"/>
      <c r="U321" s="80"/>
      <c r="V321" s="95"/>
      <c r="W321" s="95"/>
    </row>
    <row r="322" spans="2:23" ht="12.75" hidden="1">
      <c r="B322" s="38" t="s">
        <v>1637</v>
      </c>
      <c r="C322" s="38" t="s">
        <v>26</v>
      </c>
      <c r="D322" s="81" t="s">
        <v>540</v>
      </c>
      <c r="E322" s="80" t="s">
        <v>541</v>
      </c>
      <c r="F322" s="81">
        <v>4</v>
      </c>
      <c r="G322" s="81">
        <v>0</v>
      </c>
      <c r="H322" s="81">
        <v>4</v>
      </c>
      <c r="I322" s="101" t="s">
        <v>73</v>
      </c>
      <c r="J322" s="101" t="s">
        <v>73</v>
      </c>
      <c r="K322" s="101" t="s">
        <v>76</v>
      </c>
      <c r="L322" s="80" t="s">
        <v>1488</v>
      </c>
      <c r="M322" s="101" t="s">
        <v>1562</v>
      </c>
      <c r="N322" s="101">
        <v>1</v>
      </c>
      <c r="O322" s="101">
        <v>50</v>
      </c>
      <c r="P322" s="101" t="s">
        <v>1527</v>
      </c>
      <c r="Q322" s="102">
        <v>4</v>
      </c>
      <c r="R322" s="102">
        <v>4</v>
      </c>
      <c r="S322" s="102"/>
      <c r="T322" s="102"/>
      <c r="U322" s="80"/>
      <c r="V322" s="95"/>
      <c r="W322" s="95"/>
    </row>
    <row r="323" spans="2:23" ht="12.75" hidden="1">
      <c r="B323" s="38" t="s">
        <v>1637</v>
      </c>
      <c r="C323" s="38" t="s">
        <v>26</v>
      </c>
      <c r="D323" s="81" t="s">
        <v>920</v>
      </c>
      <c r="E323" s="80" t="s">
        <v>921</v>
      </c>
      <c r="F323" s="81">
        <v>3</v>
      </c>
      <c r="G323" s="81">
        <v>1</v>
      </c>
      <c r="H323" s="81">
        <v>4</v>
      </c>
      <c r="I323" s="101" t="s">
        <v>73</v>
      </c>
      <c r="J323" s="101" t="s">
        <v>73</v>
      </c>
      <c r="K323" s="101" t="s">
        <v>922</v>
      </c>
      <c r="L323" s="80" t="s">
        <v>1488</v>
      </c>
      <c r="M323" s="101" t="s">
        <v>1562</v>
      </c>
      <c r="N323" s="101">
        <v>1</v>
      </c>
      <c r="O323" s="101">
        <v>30</v>
      </c>
      <c r="P323" s="101" t="s">
        <v>1527</v>
      </c>
      <c r="Q323" s="102">
        <v>4</v>
      </c>
      <c r="R323" s="102">
        <v>4</v>
      </c>
      <c r="S323" s="102" t="s">
        <v>1695</v>
      </c>
      <c r="T323" s="102" t="s">
        <v>1720</v>
      </c>
      <c r="U323" s="80"/>
      <c r="V323" s="95"/>
      <c r="W323" s="95"/>
    </row>
    <row r="324" spans="2:23" ht="12.75" hidden="1">
      <c r="B324" s="38" t="s">
        <v>1637</v>
      </c>
      <c r="C324" s="38" t="s">
        <v>26</v>
      </c>
      <c r="D324" s="81" t="s">
        <v>1207</v>
      </c>
      <c r="E324" s="80" t="s">
        <v>1208</v>
      </c>
      <c r="F324" s="81">
        <v>3</v>
      </c>
      <c r="G324" s="81">
        <v>1</v>
      </c>
      <c r="H324" s="81">
        <v>4</v>
      </c>
      <c r="I324" s="101" t="s">
        <v>73</v>
      </c>
      <c r="J324" s="101" t="s">
        <v>73</v>
      </c>
      <c r="K324" s="101" t="s">
        <v>634</v>
      </c>
      <c r="L324" s="80" t="s">
        <v>1491</v>
      </c>
      <c r="M324" s="101" t="s">
        <v>1562</v>
      </c>
      <c r="N324" s="101">
        <v>1</v>
      </c>
      <c r="O324" s="101">
        <v>30</v>
      </c>
      <c r="P324" s="101" t="s">
        <v>1527</v>
      </c>
      <c r="Q324" s="102">
        <v>4</v>
      </c>
      <c r="R324" s="102">
        <v>4</v>
      </c>
      <c r="S324" s="102" t="s">
        <v>1695</v>
      </c>
      <c r="T324" s="102" t="s">
        <v>1720</v>
      </c>
      <c r="U324" s="80"/>
      <c r="V324" s="95"/>
      <c r="W324" s="95"/>
    </row>
    <row r="325" spans="2:23" ht="12.75" hidden="1">
      <c r="B325" s="38" t="s">
        <v>1637</v>
      </c>
      <c r="C325" s="38" t="s">
        <v>26</v>
      </c>
      <c r="D325" s="81" t="s">
        <v>1148</v>
      </c>
      <c r="E325" s="80" t="s">
        <v>1149</v>
      </c>
      <c r="F325" s="81">
        <v>4</v>
      </c>
      <c r="G325" s="81">
        <v>2</v>
      </c>
      <c r="H325" s="81">
        <v>6</v>
      </c>
      <c r="I325" s="101" t="s">
        <v>73</v>
      </c>
      <c r="J325" s="101" t="s">
        <v>73</v>
      </c>
      <c r="K325" s="101" t="s">
        <v>76</v>
      </c>
      <c r="L325" s="80" t="s">
        <v>1488</v>
      </c>
      <c r="M325" s="101" t="s">
        <v>1562</v>
      </c>
      <c r="N325" s="101">
        <v>1</v>
      </c>
      <c r="O325" s="101">
        <v>30</v>
      </c>
      <c r="P325" s="101" t="s">
        <v>1527</v>
      </c>
      <c r="Q325" s="102">
        <v>6</v>
      </c>
      <c r="R325" s="102">
        <v>6</v>
      </c>
      <c r="S325" s="102" t="s">
        <v>1695</v>
      </c>
      <c r="T325" s="102" t="s">
        <v>1564</v>
      </c>
      <c r="U325" s="80"/>
      <c r="V325" s="95"/>
      <c r="W325" s="95"/>
    </row>
    <row r="326" spans="2:23" ht="12.75" hidden="1">
      <c r="B326" s="38" t="s">
        <v>1637</v>
      </c>
      <c r="C326" s="38" t="s">
        <v>26</v>
      </c>
      <c r="D326" s="81" t="s">
        <v>1725</v>
      </c>
      <c r="E326" s="80" t="s">
        <v>784</v>
      </c>
      <c r="F326" s="81">
        <v>4</v>
      </c>
      <c r="G326" s="81">
        <v>0</v>
      </c>
      <c r="H326" s="81">
        <v>4</v>
      </c>
      <c r="I326" s="101" t="s">
        <v>73</v>
      </c>
      <c r="J326" s="101" t="s">
        <v>73</v>
      </c>
      <c r="K326" s="101" t="s">
        <v>608</v>
      </c>
      <c r="L326" s="80" t="s">
        <v>1491</v>
      </c>
      <c r="M326" s="101" t="s">
        <v>1562</v>
      </c>
      <c r="N326" s="101">
        <v>1</v>
      </c>
      <c r="O326" s="101">
        <v>50</v>
      </c>
      <c r="P326" s="101" t="s">
        <v>1527</v>
      </c>
      <c r="Q326" s="102">
        <v>4</v>
      </c>
      <c r="R326" s="102">
        <v>4</v>
      </c>
      <c r="S326" s="102"/>
      <c r="T326" s="102"/>
      <c r="U326" s="80"/>
      <c r="V326" s="95"/>
      <c r="W326" s="95"/>
    </row>
    <row r="327" spans="2:23" ht="12.75" hidden="1">
      <c r="B327" s="41" t="s">
        <v>54</v>
      </c>
      <c r="C327" s="41" t="s">
        <v>27</v>
      </c>
      <c r="D327" s="81" t="s">
        <v>736</v>
      </c>
      <c r="E327" s="80" t="s">
        <v>737</v>
      </c>
      <c r="F327" s="81">
        <v>4</v>
      </c>
      <c r="G327" s="81">
        <v>0</v>
      </c>
      <c r="H327" s="81">
        <v>4</v>
      </c>
      <c r="I327" s="101" t="s">
        <v>71</v>
      </c>
      <c r="J327" s="101" t="s">
        <v>71</v>
      </c>
      <c r="K327" s="80" t="s">
        <v>738</v>
      </c>
      <c r="L327" s="101" t="s">
        <v>1488</v>
      </c>
      <c r="M327" s="101" t="s">
        <v>1528</v>
      </c>
      <c r="N327" s="101">
        <v>1</v>
      </c>
      <c r="O327" s="101">
        <v>80</v>
      </c>
      <c r="P327" s="102">
        <v>80</v>
      </c>
      <c r="Q327" s="102">
        <v>4</v>
      </c>
      <c r="R327" s="102">
        <v>4</v>
      </c>
      <c r="S327" s="80"/>
      <c r="T327" s="101"/>
      <c r="U327" s="80"/>
    </row>
    <row r="328" spans="2:23" ht="12.75" hidden="1">
      <c r="B328" s="41" t="s">
        <v>54</v>
      </c>
      <c r="C328" s="41" t="s">
        <v>27</v>
      </c>
      <c r="D328" s="81" t="s">
        <v>736</v>
      </c>
      <c r="E328" s="80" t="s">
        <v>737</v>
      </c>
      <c r="F328" s="81">
        <v>4</v>
      </c>
      <c r="G328" s="81">
        <v>0</v>
      </c>
      <c r="H328" s="81">
        <v>4</v>
      </c>
      <c r="I328" s="101" t="s">
        <v>71</v>
      </c>
      <c r="J328" s="101" t="s">
        <v>71</v>
      </c>
      <c r="K328" s="80" t="s">
        <v>738</v>
      </c>
      <c r="L328" s="101" t="s">
        <v>1491</v>
      </c>
      <c r="M328" s="101" t="s">
        <v>1528</v>
      </c>
      <c r="N328" s="101">
        <v>1</v>
      </c>
      <c r="O328" s="101">
        <v>80</v>
      </c>
      <c r="P328" s="102">
        <v>80</v>
      </c>
      <c r="Q328" s="102">
        <v>4</v>
      </c>
      <c r="R328" s="102">
        <v>4</v>
      </c>
      <c r="S328" s="80"/>
      <c r="T328" s="101"/>
      <c r="U328" s="80"/>
    </row>
    <row r="329" spans="2:23" ht="12.75" hidden="1">
      <c r="B329" s="41" t="s">
        <v>54</v>
      </c>
      <c r="C329" s="41" t="s">
        <v>27</v>
      </c>
      <c r="D329" s="81" t="s">
        <v>695</v>
      </c>
      <c r="E329" s="80" t="s">
        <v>1617</v>
      </c>
      <c r="F329" s="81">
        <v>4</v>
      </c>
      <c r="G329" s="81">
        <v>0</v>
      </c>
      <c r="H329" s="81">
        <v>4</v>
      </c>
      <c r="I329" s="101" t="s">
        <v>71</v>
      </c>
      <c r="J329" s="101" t="s">
        <v>71</v>
      </c>
      <c r="K329" s="80" t="s">
        <v>1618</v>
      </c>
      <c r="L329" s="101" t="s">
        <v>1488</v>
      </c>
      <c r="M329" s="101" t="s">
        <v>1528</v>
      </c>
      <c r="N329" s="101">
        <v>1</v>
      </c>
      <c r="O329" s="101">
        <v>80</v>
      </c>
      <c r="P329" s="102">
        <v>80</v>
      </c>
      <c r="Q329" s="102">
        <v>4</v>
      </c>
      <c r="R329" s="102">
        <v>4</v>
      </c>
      <c r="S329" s="80"/>
      <c r="T329" s="101"/>
      <c r="U329" s="80"/>
    </row>
    <row r="330" spans="2:23" ht="12.75" hidden="1">
      <c r="B330" s="41" t="s">
        <v>54</v>
      </c>
      <c r="C330" s="41" t="s">
        <v>27</v>
      </c>
      <c r="D330" s="81" t="s">
        <v>1619</v>
      </c>
      <c r="E330" s="80" t="s">
        <v>1617</v>
      </c>
      <c r="F330" s="81">
        <v>4</v>
      </c>
      <c r="G330" s="81">
        <v>0</v>
      </c>
      <c r="H330" s="81">
        <v>4</v>
      </c>
      <c r="I330" s="101" t="s">
        <v>71</v>
      </c>
      <c r="J330" s="101" t="s">
        <v>71</v>
      </c>
      <c r="K330" s="80" t="s">
        <v>1618</v>
      </c>
      <c r="L330" s="101" t="s">
        <v>1491</v>
      </c>
      <c r="M330" s="101" t="s">
        <v>1528</v>
      </c>
      <c r="N330" s="101">
        <v>1</v>
      </c>
      <c r="O330" s="101">
        <v>80</v>
      </c>
      <c r="P330" s="102">
        <v>80</v>
      </c>
      <c r="Q330" s="102">
        <v>4</v>
      </c>
      <c r="R330" s="102">
        <v>4</v>
      </c>
      <c r="S330" s="80"/>
      <c r="T330" s="101"/>
      <c r="U330" s="80"/>
    </row>
    <row r="331" spans="2:23" ht="12.75" hidden="1">
      <c r="B331" s="41" t="s">
        <v>54</v>
      </c>
      <c r="C331" s="41" t="s">
        <v>27</v>
      </c>
      <c r="D331" s="81" t="s">
        <v>1212</v>
      </c>
      <c r="E331" s="80" t="s">
        <v>1213</v>
      </c>
      <c r="F331" s="81">
        <v>4</v>
      </c>
      <c r="G331" s="81">
        <v>0</v>
      </c>
      <c r="H331" s="81">
        <v>4</v>
      </c>
      <c r="I331" s="101" t="s">
        <v>71</v>
      </c>
      <c r="J331" s="101" t="s">
        <v>71</v>
      </c>
      <c r="K331" s="80" t="s">
        <v>76</v>
      </c>
      <c r="L331" s="101" t="s">
        <v>1488</v>
      </c>
      <c r="M331" s="101" t="s">
        <v>1528</v>
      </c>
      <c r="N331" s="101">
        <v>1</v>
      </c>
      <c r="O331" s="101">
        <v>80</v>
      </c>
      <c r="P331" s="102">
        <v>80</v>
      </c>
      <c r="Q331" s="102">
        <v>4</v>
      </c>
      <c r="R331" s="102">
        <v>4</v>
      </c>
      <c r="S331" s="80"/>
      <c r="T331" s="101"/>
      <c r="U331" s="80"/>
    </row>
    <row r="332" spans="2:23" ht="12.75" hidden="1">
      <c r="B332" s="41" t="s">
        <v>54</v>
      </c>
      <c r="C332" s="41" t="s">
        <v>27</v>
      </c>
      <c r="D332" s="81" t="s">
        <v>1212</v>
      </c>
      <c r="E332" s="80" t="s">
        <v>1213</v>
      </c>
      <c r="F332" s="81">
        <v>4</v>
      </c>
      <c r="G332" s="81">
        <v>0</v>
      </c>
      <c r="H332" s="81">
        <v>4</v>
      </c>
      <c r="I332" s="101" t="s">
        <v>71</v>
      </c>
      <c r="J332" s="101" t="s">
        <v>71</v>
      </c>
      <c r="K332" s="80" t="s">
        <v>76</v>
      </c>
      <c r="L332" s="101" t="s">
        <v>1491</v>
      </c>
      <c r="M332" s="101" t="s">
        <v>1528</v>
      </c>
      <c r="N332" s="101">
        <v>1</v>
      </c>
      <c r="O332" s="101">
        <v>80</v>
      </c>
      <c r="P332" s="102">
        <v>80</v>
      </c>
      <c r="Q332" s="102">
        <v>4</v>
      </c>
      <c r="R332" s="102">
        <v>4</v>
      </c>
      <c r="S332" s="80"/>
      <c r="T332" s="101"/>
      <c r="U332" s="80"/>
    </row>
    <row r="333" spans="2:23" ht="12.75" hidden="1">
      <c r="B333" s="41" t="s">
        <v>54</v>
      </c>
      <c r="C333" s="41" t="s">
        <v>27</v>
      </c>
      <c r="D333" s="81" t="s">
        <v>402</v>
      </c>
      <c r="E333" s="80" t="s">
        <v>403</v>
      </c>
      <c r="F333" s="81">
        <v>4</v>
      </c>
      <c r="G333" s="81">
        <v>0</v>
      </c>
      <c r="H333" s="81">
        <v>4</v>
      </c>
      <c r="I333" s="101" t="s">
        <v>71</v>
      </c>
      <c r="J333" s="101" t="s">
        <v>71</v>
      </c>
      <c r="K333" s="80" t="s">
        <v>76</v>
      </c>
      <c r="L333" s="101" t="s">
        <v>1488</v>
      </c>
      <c r="M333" s="101" t="s">
        <v>1528</v>
      </c>
      <c r="N333" s="101">
        <v>1</v>
      </c>
      <c r="O333" s="101">
        <v>80</v>
      </c>
      <c r="P333" s="102">
        <v>80</v>
      </c>
      <c r="Q333" s="102">
        <v>4</v>
      </c>
      <c r="R333" s="102">
        <v>4</v>
      </c>
      <c r="S333" s="80"/>
      <c r="T333" s="101"/>
      <c r="U333" s="80"/>
    </row>
    <row r="334" spans="2:23" ht="12.75" hidden="1">
      <c r="B334" s="41" t="s">
        <v>54</v>
      </c>
      <c r="C334" s="41" t="s">
        <v>27</v>
      </c>
      <c r="D334" s="81" t="s">
        <v>402</v>
      </c>
      <c r="E334" s="80" t="s">
        <v>403</v>
      </c>
      <c r="F334" s="81">
        <v>4</v>
      </c>
      <c r="G334" s="81">
        <v>0</v>
      </c>
      <c r="H334" s="81">
        <v>4</v>
      </c>
      <c r="I334" s="101" t="s">
        <v>71</v>
      </c>
      <c r="J334" s="101" t="s">
        <v>71</v>
      </c>
      <c r="K334" s="80" t="s">
        <v>76</v>
      </c>
      <c r="L334" s="101" t="s">
        <v>1491</v>
      </c>
      <c r="M334" s="101" t="s">
        <v>1528</v>
      </c>
      <c r="N334" s="101">
        <v>1</v>
      </c>
      <c r="O334" s="101">
        <v>80</v>
      </c>
      <c r="P334" s="102">
        <v>80</v>
      </c>
      <c r="Q334" s="102">
        <v>4</v>
      </c>
      <c r="R334" s="102">
        <v>4</v>
      </c>
      <c r="S334" s="80"/>
      <c r="T334" s="101"/>
      <c r="U334" s="80"/>
    </row>
    <row r="335" spans="2:23" ht="12.75" hidden="1">
      <c r="B335" s="41" t="s">
        <v>54</v>
      </c>
      <c r="C335" s="41" t="s">
        <v>27</v>
      </c>
      <c r="D335" s="81" t="s">
        <v>1302</v>
      </c>
      <c r="E335" s="80" t="s">
        <v>1303</v>
      </c>
      <c r="F335" s="81">
        <v>4</v>
      </c>
      <c r="G335" s="81">
        <v>0</v>
      </c>
      <c r="H335" s="81">
        <v>4</v>
      </c>
      <c r="I335" s="101" t="s">
        <v>71</v>
      </c>
      <c r="J335" s="101" t="s">
        <v>71</v>
      </c>
      <c r="K335" s="80" t="s">
        <v>76</v>
      </c>
      <c r="L335" s="101" t="s">
        <v>1488</v>
      </c>
      <c r="M335" s="101" t="s">
        <v>1528</v>
      </c>
      <c r="N335" s="101">
        <v>1</v>
      </c>
      <c r="O335" s="101">
        <v>80</v>
      </c>
      <c r="P335" s="102">
        <v>80</v>
      </c>
      <c r="Q335" s="102">
        <v>4</v>
      </c>
      <c r="R335" s="102">
        <v>4</v>
      </c>
      <c r="S335" s="80"/>
      <c r="T335" s="101"/>
      <c r="U335" s="80"/>
    </row>
    <row r="336" spans="2:23" ht="12.75" hidden="1">
      <c r="B336" s="41" t="s">
        <v>54</v>
      </c>
      <c r="C336" s="41" t="s">
        <v>27</v>
      </c>
      <c r="D336" s="81" t="s">
        <v>1302</v>
      </c>
      <c r="E336" s="80" t="s">
        <v>1303</v>
      </c>
      <c r="F336" s="81">
        <v>4</v>
      </c>
      <c r="G336" s="81">
        <v>0</v>
      </c>
      <c r="H336" s="81">
        <v>4</v>
      </c>
      <c r="I336" s="101" t="s">
        <v>71</v>
      </c>
      <c r="J336" s="101" t="s">
        <v>71</v>
      </c>
      <c r="K336" s="80" t="s">
        <v>76</v>
      </c>
      <c r="L336" s="101" t="s">
        <v>1491</v>
      </c>
      <c r="M336" s="101" t="s">
        <v>1528</v>
      </c>
      <c r="N336" s="101">
        <v>1</v>
      </c>
      <c r="O336" s="101">
        <v>80</v>
      </c>
      <c r="P336" s="102">
        <v>80</v>
      </c>
      <c r="Q336" s="102">
        <v>4</v>
      </c>
      <c r="R336" s="102">
        <v>4</v>
      </c>
      <c r="S336" s="80"/>
      <c r="T336" s="101"/>
      <c r="U336" s="80"/>
    </row>
    <row r="337" spans="2:21" ht="12.75" hidden="1">
      <c r="B337" s="41" t="s">
        <v>54</v>
      </c>
      <c r="C337" s="41" t="s">
        <v>27</v>
      </c>
      <c r="D337" s="81" t="s">
        <v>1177</v>
      </c>
      <c r="E337" s="80" t="s">
        <v>1178</v>
      </c>
      <c r="F337" s="81">
        <v>4</v>
      </c>
      <c r="G337" s="81">
        <v>0</v>
      </c>
      <c r="H337" s="81">
        <v>4</v>
      </c>
      <c r="I337" s="101" t="s">
        <v>71</v>
      </c>
      <c r="J337" s="101" t="s">
        <v>71</v>
      </c>
      <c r="K337" s="80" t="s">
        <v>76</v>
      </c>
      <c r="L337" s="101" t="s">
        <v>1488</v>
      </c>
      <c r="M337" s="101" t="s">
        <v>1528</v>
      </c>
      <c r="N337" s="101">
        <v>1</v>
      </c>
      <c r="O337" s="101">
        <v>80</v>
      </c>
      <c r="P337" s="102">
        <v>80</v>
      </c>
      <c r="Q337" s="102">
        <v>4</v>
      </c>
      <c r="R337" s="102">
        <v>4</v>
      </c>
      <c r="S337" s="80"/>
      <c r="T337" s="101"/>
      <c r="U337" s="80"/>
    </row>
    <row r="338" spans="2:21" ht="12.75" hidden="1">
      <c r="B338" s="41" t="s">
        <v>54</v>
      </c>
      <c r="C338" s="41" t="s">
        <v>27</v>
      </c>
      <c r="D338" s="81" t="s">
        <v>1177</v>
      </c>
      <c r="E338" s="80" t="s">
        <v>1178</v>
      </c>
      <c r="F338" s="81">
        <v>4</v>
      </c>
      <c r="G338" s="81">
        <v>0</v>
      </c>
      <c r="H338" s="81">
        <v>4</v>
      </c>
      <c r="I338" s="101" t="s">
        <v>71</v>
      </c>
      <c r="J338" s="101" t="s">
        <v>71</v>
      </c>
      <c r="K338" s="80" t="s">
        <v>76</v>
      </c>
      <c r="L338" s="101" t="s">
        <v>1491</v>
      </c>
      <c r="M338" s="101" t="s">
        <v>1528</v>
      </c>
      <c r="N338" s="101">
        <v>1</v>
      </c>
      <c r="O338" s="101">
        <v>80</v>
      </c>
      <c r="P338" s="102">
        <v>80</v>
      </c>
      <c r="Q338" s="102">
        <v>4</v>
      </c>
      <c r="R338" s="102">
        <v>4</v>
      </c>
      <c r="S338" s="80"/>
      <c r="T338" s="101"/>
      <c r="U338" s="80"/>
    </row>
    <row r="339" spans="2:21" ht="12.75" hidden="1">
      <c r="B339" s="41" t="s">
        <v>54</v>
      </c>
      <c r="C339" s="41" t="s">
        <v>27</v>
      </c>
      <c r="D339" s="81" t="s">
        <v>802</v>
      </c>
      <c r="E339" s="80" t="s">
        <v>371</v>
      </c>
      <c r="F339" s="81">
        <v>4</v>
      </c>
      <c r="G339" s="81">
        <v>0</v>
      </c>
      <c r="H339" s="81">
        <v>4</v>
      </c>
      <c r="I339" s="101" t="s">
        <v>71</v>
      </c>
      <c r="J339" s="101" t="s">
        <v>71</v>
      </c>
      <c r="K339" s="80" t="s">
        <v>76</v>
      </c>
      <c r="L339" s="101" t="s">
        <v>1488</v>
      </c>
      <c r="M339" s="101" t="s">
        <v>1528</v>
      </c>
      <c r="N339" s="101">
        <v>1</v>
      </c>
      <c r="O339" s="101">
        <v>80</v>
      </c>
      <c r="P339" s="102">
        <v>80</v>
      </c>
      <c r="Q339" s="102">
        <v>4</v>
      </c>
      <c r="R339" s="102">
        <v>4</v>
      </c>
      <c r="S339" s="80"/>
      <c r="T339" s="101"/>
      <c r="U339" s="80"/>
    </row>
    <row r="340" spans="2:21" ht="12.75" hidden="1">
      <c r="B340" s="41" t="s">
        <v>54</v>
      </c>
      <c r="C340" s="41" t="s">
        <v>27</v>
      </c>
      <c r="D340" s="81" t="s">
        <v>802</v>
      </c>
      <c r="E340" s="80" t="s">
        <v>371</v>
      </c>
      <c r="F340" s="81">
        <v>4</v>
      </c>
      <c r="G340" s="81">
        <v>0</v>
      </c>
      <c r="H340" s="81">
        <v>4</v>
      </c>
      <c r="I340" s="101" t="s">
        <v>71</v>
      </c>
      <c r="J340" s="101" t="s">
        <v>71</v>
      </c>
      <c r="K340" s="80" t="s">
        <v>76</v>
      </c>
      <c r="L340" s="101" t="s">
        <v>1491</v>
      </c>
      <c r="M340" s="101" t="s">
        <v>1528</v>
      </c>
      <c r="N340" s="101">
        <v>1</v>
      </c>
      <c r="O340" s="101">
        <v>80</v>
      </c>
      <c r="P340" s="102">
        <v>80</v>
      </c>
      <c r="Q340" s="102">
        <v>4</v>
      </c>
      <c r="R340" s="102">
        <v>4</v>
      </c>
      <c r="S340" s="80"/>
      <c r="T340" s="101"/>
      <c r="U340" s="80"/>
    </row>
    <row r="341" spans="2:21" ht="12.75" hidden="1">
      <c r="B341" s="41" t="s">
        <v>54</v>
      </c>
      <c r="C341" s="41" t="s">
        <v>27</v>
      </c>
      <c r="D341" s="81" t="s">
        <v>1620</v>
      </c>
      <c r="E341" s="80" t="s">
        <v>1621</v>
      </c>
      <c r="F341" s="81">
        <v>4</v>
      </c>
      <c r="G341" s="81">
        <v>0</v>
      </c>
      <c r="H341" s="81">
        <v>4</v>
      </c>
      <c r="I341" s="101" t="s">
        <v>73</v>
      </c>
      <c r="J341" s="101" t="s">
        <v>73</v>
      </c>
      <c r="K341" s="80" t="s">
        <v>76</v>
      </c>
      <c r="L341" s="101" t="s">
        <v>1488</v>
      </c>
      <c r="M341" s="101" t="s">
        <v>1528</v>
      </c>
      <c r="N341" s="101">
        <v>1</v>
      </c>
      <c r="O341" s="101">
        <v>40</v>
      </c>
      <c r="P341" s="102">
        <v>40</v>
      </c>
      <c r="Q341" s="102">
        <v>4</v>
      </c>
      <c r="R341" s="102">
        <v>4</v>
      </c>
      <c r="S341" s="80"/>
      <c r="T341" s="101"/>
      <c r="U341" s="80"/>
    </row>
    <row r="342" spans="2:21" ht="12.75" hidden="1">
      <c r="B342" s="46" t="s">
        <v>1773</v>
      </c>
      <c r="C342" s="46" t="s">
        <v>28</v>
      </c>
      <c r="D342" s="84" t="s">
        <v>1252</v>
      </c>
      <c r="E342" s="80" t="s">
        <v>1524</v>
      </c>
      <c r="F342" s="81">
        <v>3</v>
      </c>
      <c r="G342" s="81">
        <v>1</v>
      </c>
      <c r="H342" s="81">
        <v>4</v>
      </c>
      <c r="I342" s="101" t="s">
        <v>1511</v>
      </c>
      <c r="J342" s="101" t="s">
        <v>1511</v>
      </c>
      <c r="K342" s="80" t="s">
        <v>118</v>
      </c>
      <c r="L342" s="101" t="s">
        <v>1491</v>
      </c>
      <c r="M342" s="101" t="s">
        <v>1562</v>
      </c>
      <c r="N342" s="101">
        <v>1</v>
      </c>
      <c r="O342" s="101">
        <v>60</v>
      </c>
      <c r="P342" s="102">
        <v>60</v>
      </c>
      <c r="Q342" s="102">
        <v>4</v>
      </c>
      <c r="R342" s="102">
        <v>4</v>
      </c>
      <c r="S342" s="85" t="s">
        <v>1509</v>
      </c>
      <c r="T342" s="97" t="s">
        <v>1505</v>
      </c>
      <c r="U342" s="85"/>
    </row>
    <row r="343" spans="2:21" ht="12.75" hidden="1">
      <c r="B343" s="46" t="s">
        <v>1773</v>
      </c>
      <c r="C343" s="46" t="s">
        <v>28</v>
      </c>
      <c r="D343" s="84" t="s">
        <v>849</v>
      </c>
      <c r="E343" s="80" t="s">
        <v>1525</v>
      </c>
      <c r="F343" s="81">
        <v>4</v>
      </c>
      <c r="G343" s="81">
        <v>0</v>
      </c>
      <c r="H343" s="81">
        <v>4</v>
      </c>
      <c r="I343" s="101" t="s">
        <v>1511</v>
      </c>
      <c r="J343" s="101" t="s">
        <v>1511</v>
      </c>
      <c r="K343" s="80" t="s">
        <v>251</v>
      </c>
      <c r="L343" s="101" t="s">
        <v>1491</v>
      </c>
      <c r="M343" s="101" t="s">
        <v>1562</v>
      </c>
      <c r="N343" s="101">
        <v>1</v>
      </c>
      <c r="O343" s="101">
        <v>60</v>
      </c>
      <c r="P343" s="102">
        <v>60</v>
      </c>
      <c r="Q343" s="102">
        <v>4</v>
      </c>
      <c r="R343" s="102">
        <v>4</v>
      </c>
      <c r="S343" s="85"/>
      <c r="T343" s="97"/>
      <c r="U343" s="85"/>
    </row>
    <row r="344" spans="2:21" ht="12.75" hidden="1">
      <c r="B344" s="46" t="s">
        <v>1773</v>
      </c>
      <c r="C344" s="46" t="s">
        <v>28</v>
      </c>
      <c r="D344" s="84" t="s">
        <v>1368</v>
      </c>
      <c r="E344" s="80" t="s">
        <v>1369</v>
      </c>
      <c r="F344" s="81">
        <v>4</v>
      </c>
      <c r="G344" s="81">
        <v>0</v>
      </c>
      <c r="H344" s="81">
        <v>4</v>
      </c>
      <c r="I344" s="101" t="s">
        <v>1511</v>
      </c>
      <c r="J344" s="101" t="s">
        <v>1511</v>
      </c>
      <c r="K344" s="80" t="s">
        <v>1370</v>
      </c>
      <c r="L344" s="101" t="s">
        <v>1488</v>
      </c>
      <c r="M344" s="101" t="s">
        <v>1562</v>
      </c>
      <c r="N344" s="101">
        <v>1</v>
      </c>
      <c r="O344" s="101">
        <v>60</v>
      </c>
      <c r="P344" s="102">
        <v>60</v>
      </c>
      <c r="Q344" s="102">
        <v>4</v>
      </c>
      <c r="R344" s="102">
        <v>4</v>
      </c>
      <c r="S344" s="85"/>
      <c r="T344" s="97"/>
      <c r="U344" s="85"/>
    </row>
    <row r="345" spans="2:21" ht="12.75" hidden="1">
      <c r="B345" s="46" t="s">
        <v>1773</v>
      </c>
      <c r="C345" s="46" t="s">
        <v>28</v>
      </c>
      <c r="D345" s="84" t="s">
        <v>362</v>
      </c>
      <c r="E345" s="80" t="s">
        <v>363</v>
      </c>
      <c r="F345" s="81">
        <v>4</v>
      </c>
      <c r="G345" s="81">
        <v>0</v>
      </c>
      <c r="H345" s="81">
        <v>4</v>
      </c>
      <c r="I345" s="101" t="s">
        <v>1511</v>
      </c>
      <c r="J345" s="101" t="s">
        <v>1511</v>
      </c>
      <c r="K345" s="80" t="s">
        <v>260</v>
      </c>
      <c r="L345" s="101" t="s">
        <v>1488</v>
      </c>
      <c r="M345" s="101" t="s">
        <v>1562</v>
      </c>
      <c r="N345" s="101">
        <v>1</v>
      </c>
      <c r="O345" s="101">
        <v>60</v>
      </c>
      <c r="P345" s="102">
        <v>60</v>
      </c>
      <c r="Q345" s="102">
        <v>4</v>
      </c>
      <c r="R345" s="102">
        <v>4</v>
      </c>
      <c r="S345" s="85"/>
      <c r="T345" s="97"/>
      <c r="U345" s="85"/>
    </row>
    <row r="346" spans="2:21" ht="12.75" hidden="1">
      <c r="B346" s="46" t="s">
        <v>1773</v>
      </c>
      <c r="C346" s="46" t="s">
        <v>28</v>
      </c>
      <c r="D346" s="84" t="s">
        <v>1223</v>
      </c>
      <c r="E346" s="80" t="s">
        <v>657</v>
      </c>
      <c r="F346" s="81">
        <v>3</v>
      </c>
      <c r="G346" s="81">
        <v>2</v>
      </c>
      <c r="H346" s="81">
        <v>4</v>
      </c>
      <c r="I346" s="101" t="s">
        <v>71</v>
      </c>
      <c r="J346" s="101" t="s">
        <v>71</v>
      </c>
      <c r="K346" s="80" t="s">
        <v>1061</v>
      </c>
      <c r="L346" s="101" t="s">
        <v>1488</v>
      </c>
      <c r="M346" s="101" t="s">
        <v>1562</v>
      </c>
      <c r="N346" s="101">
        <v>1</v>
      </c>
      <c r="O346" s="101">
        <v>60</v>
      </c>
      <c r="P346" s="102">
        <v>60</v>
      </c>
      <c r="Q346" s="102">
        <v>5</v>
      </c>
      <c r="R346" s="102">
        <v>5</v>
      </c>
      <c r="S346" s="85" t="s">
        <v>1504</v>
      </c>
      <c r="T346" s="97" t="s">
        <v>1505</v>
      </c>
      <c r="U346" s="85"/>
    </row>
    <row r="347" spans="2:21" ht="12.75" hidden="1">
      <c r="B347" s="46" t="s">
        <v>1773</v>
      </c>
      <c r="C347" s="46" t="s">
        <v>28</v>
      </c>
      <c r="D347" s="84" t="s">
        <v>1224</v>
      </c>
      <c r="E347" s="80" t="s">
        <v>146</v>
      </c>
      <c r="F347" s="81">
        <v>3</v>
      </c>
      <c r="G347" s="81">
        <v>2</v>
      </c>
      <c r="H347" s="81">
        <v>4</v>
      </c>
      <c r="I347" s="101" t="s">
        <v>71</v>
      </c>
      <c r="J347" s="101" t="s">
        <v>71</v>
      </c>
      <c r="K347" s="80" t="s">
        <v>657</v>
      </c>
      <c r="L347" s="101" t="s">
        <v>1491</v>
      </c>
      <c r="M347" s="101" t="s">
        <v>1562</v>
      </c>
      <c r="N347" s="101">
        <v>1</v>
      </c>
      <c r="O347" s="101">
        <v>60</v>
      </c>
      <c r="P347" s="102">
        <v>60</v>
      </c>
      <c r="Q347" s="102">
        <v>5</v>
      </c>
      <c r="R347" s="102">
        <v>5</v>
      </c>
      <c r="S347" s="85" t="s">
        <v>1504</v>
      </c>
      <c r="T347" s="97" t="s">
        <v>1505</v>
      </c>
      <c r="U347" s="85"/>
    </row>
    <row r="348" spans="2:21" ht="12.75" hidden="1">
      <c r="B348" s="46" t="s">
        <v>1773</v>
      </c>
      <c r="C348" s="46" t="s">
        <v>28</v>
      </c>
      <c r="D348" s="84" t="s">
        <v>820</v>
      </c>
      <c r="E348" s="80" t="s">
        <v>1519</v>
      </c>
      <c r="F348" s="81">
        <v>0</v>
      </c>
      <c r="G348" s="81">
        <v>4</v>
      </c>
      <c r="H348" s="81">
        <v>4</v>
      </c>
      <c r="I348" s="101" t="s">
        <v>1511</v>
      </c>
      <c r="J348" s="101" t="s">
        <v>1511</v>
      </c>
      <c r="K348" s="80" t="s">
        <v>358</v>
      </c>
      <c r="L348" s="101" t="s">
        <v>1488</v>
      </c>
      <c r="M348" s="101" t="s">
        <v>1562</v>
      </c>
      <c r="N348" s="101">
        <v>1</v>
      </c>
      <c r="O348" s="101">
        <v>30</v>
      </c>
      <c r="P348" s="102">
        <v>30</v>
      </c>
      <c r="Q348" s="102">
        <v>4</v>
      </c>
      <c r="R348" s="102">
        <v>4</v>
      </c>
      <c r="S348" s="85" t="s">
        <v>1504</v>
      </c>
      <c r="T348" s="97" t="s">
        <v>1518</v>
      </c>
      <c r="U348" s="85"/>
    </row>
    <row r="349" spans="2:21" ht="12.75" hidden="1">
      <c r="B349" s="46" t="s">
        <v>1773</v>
      </c>
      <c r="C349" s="46" t="s">
        <v>28</v>
      </c>
      <c r="D349" s="84" t="s">
        <v>779</v>
      </c>
      <c r="E349" s="80" t="s">
        <v>1520</v>
      </c>
      <c r="F349" s="81">
        <v>2</v>
      </c>
      <c r="G349" s="81">
        <v>0</v>
      </c>
      <c r="H349" s="81">
        <v>3</v>
      </c>
      <c r="I349" s="101" t="s">
        <v>1508</v>
      </c>
      <c r="J349" s="101" t="s">
        <v>1508</v>
      </c>
      <c r="K349" s="80" t="s">
        <v>69</v>
      </c>
      <c r="L349" s="101" t="s">
        <v>1491</v>
      </c>
      <c r="M349" s="101" t="s">
        <v>1528</v>
      </c>
      <c r="N349" s="101">
        <v>1</v>
      </c>
      <c r="O349" s="101">
        <v>60</v>
      </c>
      <c r="P349" s="102">
        <v>60</v>
      </c>
      <c r="Q349" s="102">
        <v>2</v>
      </c>
      <c r="R349" s="102">
        <v>2</v>
      </c>
      <c r="S349" s="85"/>
      <c r="T349" s="97"/>
      <c r="U349" s="85"/>
    </row>
    <row r="350" spans="2:21" ht="12.75" hidden="1">
      <c r="B350" s="46" t="s">
        <v>1773</v>
      </c>
      <c r="C350" s="46" t="s">
        <v>28</v>
      </c>
      <c r="D350" s="84" t="s">
        <v>473</v>
      </c>
      <c r="E350" s="80" t="s">
        <v>1526</v>
      </c>
      <c r="F350" s="81">
        <v>4</v>
      </c>
      <c r="G350" s="81">
        <v>0</v>
      </c>
      <c r="H350" s="81">
        <v>4</v>
      </c>
      <c r="I350" s="101" t="s">
        <v>1511</v>
      </c>
      <c r="J350" s="101" t="s">
        <v>1511</v>
      </c>
      <c r="K350" s="80" t="s">
        <v>474</v>
      </c>
      <c r="L350" s="101" t="s">
        <v>1491</v>
      </c>
      <c r="M350" s="101" t="s">
        <v>1562</v>
      </c>
      <c r="N350" s="101">
        <v>1</v>
      </c>
      <c r="O350" s="101">
        <v>60</v>
      </c>
      <c r="P350" s="102">
        <v>60</v>
      </c>
      <c r="Q350" s="102">
        <v>4</v>
      </c>
      <c r="R350" s="102">
        <v>4</v>
      </c>
      <c r="S350" s="85"/>
      <c r="T350" s="97"/>
      <c r="U350" s="85"/>
    </row>
    <row r="351" spans="2:21" ht="12.75" hidden="1">
      <c r="B351" s="46" t="s">
        <v>1773</v>
      </c>
      <c r="C351" s="46" t="s">
        <v>28</v>
      </c>
      <c r="D351" s="84" t="s">
        <v>1363</v>
      </c>
      <c r="E351" s="80" t="s">
        <v>1061</v>
      </c>
      <c r="F351" s="81">
        <v>4</v>
      </c>
      <c r="G351" s="81">
        <v>0</v>
      </c>
      <c r="H351" s="81">
        <v>4</v>
      </c>
      <c r="I351" s="101" t="s">
        <v>1511</v>
      </c>
      <c r="J351" s="101" t="s">
        <v>1511</v>
      </c>
      <c r="K351" s="80" t="s">
        <v>227</v>
      </c>
      <c r="L351" s="101" t="s">
        <v>1491</v>
      </c>
      <c r="M351" s="101" t="s">
        <v>1562</v>
      </c>
      <c r="N351" s="101">
        <v>1</v>
      </c>
      <c r="O351" s="101">
        <v>60</v>
      </c>
      <c r="P351" s="102">
        <v>60</v>
      </c>
      <c r="Q351" s="102">
        <v>4</v>
      </c>
      <c r="R351" s="102">
        <v>4</v>
      </c>
      <c r="S351" s="85"/>
      <c r="T351" s="97"/>
      <c r="U351" s="85"/>
    </row>
    <row r="352" spans="2:21" ht="12.75" hidden="1">
      <c r="B352" s="46" t="s">
        <v>1773</v>
      </c>
      <c r="C352" s="46" t="s">
        <v>28</v>
      </c>
      <c r="D352" s="84" t="s">
        <v>154</v>
      </c>
      <c r="E352" s="80" t="s">
        <v>155</v>
      </c>
      <c r="F352" s="81">
        <v>4</v>
      </c>
      <c r="G352" s="81">
        <v>0</v>
      </c>
      <c r="H352" s="81">
        <v>4</v>
      </c>
      <c r="I352" s="101" t="s">
        <v>1508</v>
      </c>
      <c r="J352" s="101" t="s">
        <v>1508</v>
      </c>
      <c r="K352" s="80" t="s">
        <v>156</v>
      </c>
      <c r="L352" s="101" t="s">
        <v>1488</v>
      </c>
      <c r="M352" s="101" t="s">
        <v>1562</v>
      </c>
      <c r="N352" s="101">
        <v>1</v>
      </c>
      <c r="O352" s="101">
        <v>60</v>
      </c>
      <c r="P352" s="102">
        <v>60</v>
      </c>
      <c r="Q352" s="102">
        <v>4</v>
      </c>
      <c r="R352" s="102">
        <v>4</v>
      </c>
      <c r="S352" s="85"/>
      <c r="T352" s="97"/>
      <c r="U352" s="85"/>
    </row>
    <row r="353" spans="1:21" ht="12.75" hidden="1">
      <c r="B353" s="46" t="s">
        <v>1773</v>
      </c>
      <c r="C353" s="46" t="s">
        <v>28</v>
      </c>
      <c r="D353" s="84" t="s">
        <v>85</v>
      </c>
      <c r="E353" s="80" t="s">
        <v>86</v>
      </c>
      <c r="F353" s="81">
        <v>4</v>
      </c>
      <c r="G353" s="81">
        <v>0</v>
      </c>
      <c r="H353" s="81">
        <v>5</v>
      </c>
      <c r="I353" s="101" t="s">
        <v>71</v>
      </c>
      <c r="J353" s="101" t="s">
        <v>71</v>
      </c>
      <c r="K353" s="80" t="s">
        <v>87</v>
      </c>
      <c r="L353" s="101" t="s">
        <v>1488</v>
      </c>
      <c r="M353" s="101" t="s">
        <v>1562</v>
      </c>
      <c r="N353" s="101">
        <v>1</v>
      </c>
      <c r="O353" s="101">
        <v>60</v>
      </c>
      <c r="P353" s="102">
        <v>60</v>
      </c>
      <c r="Q353" s="102">
        <v>4</v>
      </c>
      <c r="R353" s="102">
        <v>4</v>
      </c>
      <c r="S353" s="85"/>
      <c r="T353" s="97"/>
      <c r="U353" s="85"/>
    </row>
    <row r="354" spans="1:21" ht="12.75" hidden="1">
      <c r="B354" s="46" t="s">
        <v>1773</v>
      </c>
      <c r="C354" s="46" t="s">
        <v>28</v>
      </c>
      <c r="D354" s="84" t="s">
        <v>1355</v>
      </c>
      <c r="E354" s="80" t="s">
        <v>1356</v>
      </c>
      <c r="F354" s="81">
        <v>3</v>
      </c>
      <c r="G354" s="81">
        <v>1</v>
      </c>
      <c r="H354" s="81">
        <v>4</v>
      </c>
      <c r="I354" s="101" t="s">
        <v>73</v>
      </c>
      <c r="J354" s="101" t="s">
        <v>73</v>
      </c>
      <c r="K354" s="80" t="s">
        <v>1357</v>
      </c>
      <c r="L354" s="101" t="s">
        <v>1488</v>
      </c>
      <c r="M354" s="101" t="s">
        <v>1562</v>
      </c>
      <c r="N354" s="101">
        <v>1</v>
      </c>
      <c r="O354" s="101">
        <v>60</v>
      </c>
      <c r="P354" s="102">
        <v>60</v>
      </c>
      <c r="Q354" s="102">
        <v>4</v>
      </c>
      <c r="R354" s="102">
        <v>4</v>
      </c>
      <c r="S354" s="85" t="s">
        <v>1515</v>
      </c>
      <c r="T354" s="97" t="s">
        <v>1505</v>
      </c>
      <c r="U354" s="85"/>
    </row>
    <row r="355" spans="1:21" ht="12.75" hidden="1">
      <c r="B355" s="46" t="s">
        <v>1773</v>
      </c>
      <c r="C355" s="46" t="s">
        <v>28</v>
      </c>
      <c r="D355" s="84" t="s">
        <v>1230</v>
      </c>
      <c r="E355" s="80" t="s">
        <v>1522</v>
      </c>
      <c r="F355" s="81">
        <v>3</v>
      </c>
      <c r="G355" s="81">
        <v>1</v>
      </c>
      <c r="H355" s="81">
        <v>5</v>
      </c>
      <c r="I355" s="101" t="s">
        <v>1511</v>
      </c>
      <c r="J355" s="101" t="s">
        <v>1511</v>
      </c>
      <c r="K355" s="80" t="s">
        <v>1231</v>
      </c>
      <c r="L355" s="101" t="s">
        <v>1488</v>
      </c>
      <c r="M355" s="101" t="s">
        <v>1562</v>
      </c>
      <c r="N355" s="101">
        <v>1</v>
      </c>
      <c r="O355" s="101">
        <v>60</v>
      </c>
      <c r="P355" s="102">
        <v>60</v>
      </c>
      <c r="Q355" s="102">
        <v>4</v>
      </c>
      <c r="R355" s="102">
        <v>4</v>
      </c>
      <c r="S355" s="85" t="s">
        <v>1515</v>
      </c>
      <c r="T355" s="97" t="s">
        <v>1505</v>
      </c>
      <c r="U355" s="85"/>
    </row>
    <row r="356" spans="1:21" ht="12.75" hidden="1">
      <c r="B356" s="46" t="s">
        <v>1773</v>
      </c>
      <c r="C356" s="46" t="s">
        <v>28</v>
      </c>
      <c r="D356" s="84" t="s">
        <v>1523</v>
      </c>
      <c r="E356" s="80" t="s">
        <v>79</v>
      </c>
      <c r="F356" s="81">
        <v>3</v>
      </c>
      <c r="G356" s="81">
        <v>1</v>
      </c>
      <c r="H356" s="81">
        <v>4</v>
      </c>
      <c r="I356" s="101" t="s">
        <v>71</v>
      </c>
      <c r="J356" s="101" t="s">
        <v>71</v>
      </c>
      <c r="K356" s="80" t="s">
        <v>82</v>
      </c>
      <c r="L356" s="101" t="s">
        <v>1488</v>
      </c>
      <c r="M356" s="101" t="s">
        <v>1562</v>
      </c>
      <c r="N356" s="101">
        <v>1</v>
      </c>
      <c r="O356" s="101">
        <v>60</v>
      </c>
      <c r="P356" s="102">
        <v>60</v>
      </c>
      <c r="Q356" s="102">
        <v>4</v>
      </c>
      <c r="R356" s="102">
        <v>4</v>
      </c>
      <c r="S356" s="85" t="s">
        <v>1515</v>
      </c>
      <c r="T356" s="97" t="s">
        <v>1505</v>
      </c>
      <c r="U356" s="85"/>
    </row>
    <row r="357" spans="1:21" ht="12.75" hidden="1">
      <c r="B357" s="46" t="s">
        <v>1773</v>
      </c>
      <c r="C357" s="46" t="s">
        <v>28</v>
      </c>
      <c r="D357" s="84" t="s">
        <v>1514</v>
      </c>
      <c r="E357" s="80" t="s">
        <v>82</v>
      </c>
      <c r="F357" s="81">
        <v>3</v>
      </c>
      <c r="G357" s="81">
        <v>1</v>
      </c>
      <c r="H357" s="81">
        <v>4</v>
      </c>
      <c r="I357" s="101" t="s">
        <v>71</v>
      </c>
      <c r="J357" s="101" t="s">
        <v>71</v>
      </c>
      <c r="K357" s="80" t="s">
        <v>270</v>
      </c>
      <c r="L357" s="101" t="s">
        <v>1491</v>
      </c>
      <c r="M357" s="101" t="s">
        <v>1562</v>
      </c>
      <c r="N357" s="101">
        <v>1</v>
      </c>
      <c r="O357" s="101">
        <v>60</v>
      </c>
      <c r="P357" s="102">
        <v>60</v>
      </c>
      <c r="Q357" s="102">
        <v>4</v>
      </c>
      <c r="R357" s="102">
        <v>4</v>
      </c>
      <c r="S357" s="85" t="s">
        <v>1515</v>
      </c>
      <c r="T357" s="97" t="s">
        <v>1505</v>
      </c>
      <c r="U357" s="85"/>
    </row>
    <row r="358" spans="1:21" ht="12.75" hidden="1">
      <c r="B358" s="46" t="s">
        <v>1773</v>
      </c>
      <c r="C358" s="46" t="s">
        <v>28</v>
      </c>
      <c r="D358" s="84" t="s">
        <v>279</v>
      </c>
      <c r="E358" s="80" t="s">
        <v>280</v>
      </c>
      <c r="F358" s="81">
        <v>3</v>
      </c>
      <c r="G358" s="81">
        <v>1</v>
      </c>
      <c r="H358" s="81">
        <v>4</v>
      </c>
      <c r="I358" s="101" t="s">
        <v>71</v>
      </c>
      <c r="J358" s="101" t="s">
        <v>71</v>
      </c>
      <c r="K358" s="80" t="s">
        <v>281</v>
      </c>
      <c r="L358" s="101" t="s">
        <v>1491</v>
      </c>
      <c r="M358" s="101" t="s">
        <v>1562</v>
      </c>
      <c r="N358" s="101">
        <v>1</v>
      </c>
      <c r="O358" s="101">
        <v>60</v>
      </c>
      <c r="P358" s="102">
        <v>60</v>
      </c>
      <c r="Q358" s="102">
        <v>4</v>
      </c>
      <c r="R358" s="102">
        <v>4</v>
      </c>
      <c r="S358" s="85" t="s">
        <v>1515</v>
      </c>
      <c r="T358" s="97" t="s">
        <v>1505</v>
      </c>
      <c r="U358" s="85"/>
    </row>
    <row r="359" spans="1:21" ht="12.75" hidden="1">
      <c r="B359" s="47" t="s">
        <v>1639</v>
      </c>
      <c r="C359" s="47" t="s">
        <v>29</v>
      </c>
      <c r="D359" s="81" t="s">
        <v>235</v>
      </c>
      <c r="E359" s="80" t="s">
        <v>236</v>
      </c>
      <c r="F359" s="81">
        <v>1</v>
      </c>
      <c r="G359" s="81">
        <v>3</v>
      </c>
      <c r="H359" s="81">
        <v>3</v>
      </c>
      <c r="I359" s="101" t="s">
        <v>71</v>
      </c>
      <c r="J359" s="101" t="s">
        <v>71</v>
      </c>
      <c r="K359" s="80" t="s">
        <v>76</v>
      </c>
      <c r="L359" s="101" t="s">
        <v>1488</v>
      </c>
      <c r="M359" s="101" t="s">
        <v>1562</v>
      </c>
      <c r="N359" s="101">
        <v>1</v>
      </c>
      <c r="O359" s="101">
        <v>30</v>
      </c>
      <c r="P359" s="102">
        <v>30</v>
      </c>
      <c r="Q359" s="102">
        <v>4</v>
      </c>
      <c r="R359" s="102">
        <v>4</v>
      </c>
      <c r="S359" s="80" t="s">
        <v>1489</v>
      </c>
      <c r="T359" s="101" t="s">
        <v>1490</v>
      </c>
      <c r="U359" s="80" t="s">
        <v>1496</v>
      </c>
    </row>
    <row r="360" spans="1:21" ht="12.75" hidden="1">
      <c r="B360" s="47" t="s">
        <v>1639</v>
      </c>
      <c r="C360" s="47" t="s">
        <v>29</v>
      </c>
      <c r="D360" s="81" t="s">
        <v>235</v>
      </c>
      <c r="E360" s="80" t="s">
        <v>236</v>
      </c>
      <c r="F360" s="81">
        <v>1</v>
      </c>
      <c r="G360" s="81">
        <v>3</v>
      </c>
      <c r="H360" s="81">
        <v>3</v>
      </c>
      <c r="I360" s="101" t="s">
        <v>71</v>
      </c>
      <c r="J360" s="101" t="s">
        <v>71</v>
      </c>
      <c r="K360" s="80" t="s">
        <v>76</v>
      </c>
      <c r="L360" s="101" t="s">
        <v>1491</v>
      </c>
      <c r="M360" s="101" t="s">
        <v>1562</v>
      </c>
      <c r="N360" s="101">
        <v>1</v>
      </c>
      <c r="O360" s="101">
        <v>30</v>
      </c>
      <c r="P360" s="102">
        <v>30</v>
      </c>
      <c r="Q360" s="102">
        <v>4</v>
      </c>
      <c r="R360" s="102">
        <v>4</v>
      </c>
      <c r="S360" s="80" t="s">
        <v>1489</v>
      </c>
      <c r="T360" s="101" t="s">
        <v>1490</v>
      </c>
      <c r="U360" s="80" t="s">
        <v>1496</v>
      </c>
    </row>
    <row r="361" spans="1:21" ht="12.75" hidden="1">
      <c r="B361" s="47" t="s">
        <v>1639</v>
      </c>
      <c r="C361" s="47" t="s">
        <v>29</v>
      </c>
      <c r="D361" s="81" t="s">
        <v>277</v>
      </c>
      <c r="E361" s="80" t="s">
        <v>278</v>
      </c>
      <c r="F361" s="81">
        <v>3</v>
      </c>
      <c r="G361" s="81">
        <v>0</v>
      </c>
      <c r="H361" s="81">
        <v>4</v>
      </c>
      <c r="I361" s="101" t="s">
        <v>71</v>
      </c>
      <c r="J361" s="101" t="s">
        <v>71</v>
      </c>
      <c r="K361" s="80" t="s">
        <v>76</v>
      </c>
      <c r="L361" s="101" t="s">
        <v>1488</v>
      </c>
      <c r="M361" s="101" t="s">
        <v>1562</v>
      </c>
      <c r="N361" s="101">
        <v>1</v>
      </c>
      <c r="O361" s="101">
        <v>60</v>
      </c>
      <c r="P361" s="102">
        <v>60</v>
      </c>
      <c r="Q361" s="102">
        <v>3</v>
      </c>
      <c r="R361" s="102">
        <v>3</v>
      </c>
      <c r="S361" s="80"/>
      <c r="T361" s="101"/>
      <c r="U361" s="80"/>
    </row>
    <row r="362" spans="1:21" ht="12.75" hidden="1">
      <c r="B362" s="47" t="s">
        <v>1639</v>
      </c>
      <c r="C362" s="47" t="s">
        <v>29</v>
      </c>
      <c r="D362" s="81" t="s">
        <v>277</v>
      </c>
      <c r="E362" s="80" t="s">
        <v>278</v>
      </c>
      <c r="F362" s="81">
        <v>3</v>
      </c>
      <c r="G362" s="81">
        <v>0</v>
      </c>
      <c r="H362" s="81">
        <v>4</v>
      </c>
      <c r="I362" s="101" t="s">
        <v>71</v>
      </c>
      <c r="J362" s="101" t="s">
        <v>71</v>
      </c>
      <c r="K362" s="80" t="s">
        <v>76</v>
      </c>
      <c r="L362" s="101" t="s">
        <v>1491</v>
      </c>
      <c r="M362" s="101" t="s">
        <v>1562</v>
      </c>
      <c r="N362" s="101">
        <v>1</v>
      </c>
      <c r="O362" s="101">
        <v>60</v>
      </c>
      <c r="P362" s="102">
        <v>60</v>
      </c>
      <c r="Q362" s="102">
        <v>3</v>
      </c>
      <c r="R362" s="102">
        <v>3</v>
      </c>
      <c r="S362" s="80"/>
      <c r="T362" s="101"/>
      <c r="U362" s="80"/>
    </row>
    <row r="363" spans="1:21" ht="12.75" hidden="1">
      <c r="B363" s="47" t="s">
        <v>1639</v>
      </c>
      <c r="C363" s="47" t="s">
        <v>29</v>
      </c>
      <c r="D363" s="81" t="s">
        <v>649</v>
      </c>
      <c r="E363" s="80" t="s">
        <v>650</v>
      </c>
      <c r="F363" s="81">
        <v>3</v>
      </c>
      <c r="G363" s="81">
        <v>1</v>
      </c>
      <c r="H363" s="81">
        <v>3</v>
      </c>
      <c r="I363" s="101" t="s">
        <v>71</v>
      </c>
      <c r="J363" s="101" t="s">
        <v>71</v>
      </c>
      <c r="K363" s="80" t="s">
        <v>1501</v>
      </c>
      <c r="L363" s="101" t="s">
        <v>1488</v>
      </c>
      <c r="M363" s="101" t="s">
        <v>1562</v>
      </c>
      <c r="N363" s="101">
        <v>1</v>
      </c>
      <c r="O363" s="101">
        <v>60</v>
      </c>
      <c r="P363" s="102">
        <v>60</v>
      </c>
      <c r="Q363" s="102">
        <v>4</v>
      </c>
      <c r="R363" s="102">
        <v>4</v>
      </c>
      <c r="S363" s="80"/>
      <c r="T363" s="101"/>
      <c r="U363" s="80"/>
    </row>
    <row r="364" spans="1:21" ht="12.75" hidden="1">
      <c r="B364" s="47" t="s">
        <v>1639</v>
      </c>
      <c r="C364" s="47" t="s">
        <v>29</v>
      </c>
      <c r="D364" s="81" t="s">
        <v>649</v>
      </c>
      <c r="E364" s="80" t="s">
        <v>650</v>
      </c>
      <c r="F364" s="81">
        <v>3</v>
      </c>
      <c r="G364" s="81">
        <v>1</v>
      </c>
      <c r="H364" s="81">
        <v>3</v>
      </c>
      <c r="I364" s="101" t="s">
        <v>71</v>
      </c>
      <c r="J364" s="101" t="s">
        <v>71</v>
      </c>
      <c r="K364" s="80" t="s">
        <v>1501</v>
      </c>
      <c r="L364" s="101" t="s">
        <v>1491</v>
      </c>
      <c r="M364" s="101" t="s">
        <v>1562</v>
      </c>
      <c r="N364" s="101">
        <v>1</v>
      </c>
      <c r="O364" s="101">
        <v>60</v>
      </c>
      <c r="P364" s="102">
        <v>60</v>
      </c>
      <c r="Q364" s="102">
        <v>4</v>
      </c>
      <c r="R364" s="102">
        <v>4</v>
      </c>
      <c r="S364" s="80"/>
      <c r="T364" s="101"/>
      <c r="U364" s="80"/>
    </row>
    <row r="365" spans="1:21" ht="12.75" hidden="1">
      <c r="A365" s="8"/>
      <c r="B365" s="47" t="s">
        <v>1639</v>
      </c>
      <c r="C365" s="47" t="s">
        <v>29</v>
      </c>
      <c r="D365" s="81" t="s">
        <v>708</v>
      </c>
      <c r="E365" s="80" t="s">
        <v>709</v>
      </c>
      <c r="F365" s="81">
        <v>3</v>
      </c>
      <c r="G365" s="81">
        <v>1</v>
      </c>
      <c r="H365" s="81">
        <v>3</v>
      </c>
      <c r="I365" s="101" t="s">
        <v>71</v>
      </c>
      <c r="J365" s="101" t="s">
        <v>71</v>
      </c>
      <c r="K365" s="80" t="s">
        <v>710</v>
      </c>
      <c r="L365" s="101" t="s">
        <v>1488</v>
      </c>
      <c r="M365" s="101" t="s">
        <v>1562</v>
      </c>
      <c r="N365" s="101">
        <v>1</v>
      </c>
      <c r="O365" s="101">
        <v>60</v>
      </c>
      <c r="P365" s="102">
        <v>60</v>
      </c>
      <c r="Q365" s="102">
        <v>4</v>
      </c>
      <c r="R365" s="102">
        <v>4</v>
      </c>
      <c r="S365" s="80"/>
      <c r="T365" s="101"/>
      <c r="U365" s="80"/>
    </row>
    <row r="366" spans="1:21" ht="12.75" hidden="1">
      <c r="A366" s="8"/>
      <c r="B366" s="47" t="s">
        <v>1639</v>
      </c>
      <c r="C366" s="47" t="s">
        <v>29</v>
      </c>
      <c r="D366" s="81" t="s">
        <v>708</v>
      </c>
      <c r="E366" s="80" t="s">
        <v>709</v>
      </c>
      <c r="F366" s="81">
        <v>3</v>
      </c>
      <c r="G366" s="81">
        <v>1</v>
      </c>
      <c r="H366" s="81">
        <v>3</v>
      </c>
      <c r="I366" s="101" t="s">
        <v>71</v>
      </c>
      <c r="J366" s="101" t="s">
        <v>71</v>
      </c>
      <c r="K366" s="80" t="s">
        <v>710</v>
      </c>
      <c r="L366" s="101" t="s">
        <v>1491</v>
      </c>
      <c r="M366" s="101" t="s">
        <v>1562</v>
      </c>
      <c r="N366" s="101">
        <v>1</v>
      </c>
      <c r="O366" s="101">
        <v>60</v>
      </c>
      <c r="P366" s="102">
        <v>60</v>
      </c>
      <c r="Q366" s="102">
        <v>4</v>
      </c>
      <c r="R366" s="102">
        <v>4</v>
      </c>
      <c r="S366" s="80"/>
      <c r="T366" s="101"/>
      <c r="U366" s="80"/>
    </row>
    <row r="367" spans="1:21" ht="12.75" hidden="1">
      <c r="A367" s="8"/>
      <c r="B367" s="47" t="s">
        <v>1639</v>
      </c>
      <c r="C367" s="47" t="s">
        <v>29</v>
      </c>
      <c r="D367" s="81" t="s">
        <v>1014</v>
      </c>
      <c r="E367" s="80" t="s">
        <v>1015</v>
      </c>
      <c r="F367" s="81">
        <v>3</v>
      </c>
      <c r="G367" s="81">
        <v>0</v>
      </c>
      <c r="H367" s="81">
        <v>4</v>
      </c>
      <c r="I367" s="101" t="s">
        <v>71</v>
      </c>
      <c r="J367" s="101" t="s">
        <v>71</v>
      </c>
      <c r="K367" s="80" t="s">
        <v>969</v>
      </c>
      <c r="L367" s="101" t="s">
        <v>1488</v>
      </c>
      <c r="M367" s="101" t="s">
        <v>1562</v>
      </c>
      <c r="N367" s="101">
        <v>1</v>
      </c>
      <c r="O367" s="101">
        <v>60</v>
      </c>
      <c r="P367" s="102">
        <v>60</v>
      </c>
      <c r="Q367" s="102">
        <v>3</v>
      </c>
      <c r="R367" s="102">
        <v>3</v>
      </c>
      <c r="S367" s="80"/>
      <c r="T367" s="101"/>
      <c r="U367" s="80"/>
    </row>
    <row r="368" spans="1:21" ht="12.75" hidden="1">
      <c r="A368" s="8"/>
      <c r="B368" s="47" t="s">
        <v>1639</v>
      </c>
      <c r="C368" s="47" t="s">
        <v>29</v>
      </c>
      <c r="D368" s="81" t="s">
        <v>1014</v>
      </c>
      <c r="E368" s="80" t="s">
        <v>1015</v>
      </c>
      <c r="F368" s="81">
        <v>3</v>
      </c>
      <c r="G368" s="81">
        <v>0</v>
      </c>
      <c r="H368" s="81">
        <v>4</v>
      </c>
      <c r="I368" s="101" t="s">
        <v>71</v>
      </c>
      <c r="J368" s="101" t="s">
        <v>71</v>
      </c>
      <c r="K368" s="80" t="s">
        <v>969</v>
      </c>
      <c r="L368" s="101" t="s">
        <v>1491</v>
      </c>
      <c r="M368" s="101" t="s">
        <v>1562</v>
      </c>
      <c r="N368" s="101">
        <v>1</v>
      </c>
      <c r="O368" s="101">
        <v>60</v>
      </c>
      <c r="P368" s="102">
        <v>60</v>
      </c>
      <c r="Q368" s="102">
        <v>3</v>
      </c>
      <c r="R368" s="102">
        <v>3</v>
      </c>
      <c r="S368" s="80"/>
      <c r="T368" s="101"/>
      <c r="U368" s="80"/>
    </row>
    <row r="369" spans="1:21" ht="12.75" hidden="1">
      <c r="A369" s="8"/>
      <c r="B369" s="47" t="s">
        <v>1639</v>
      </c>
      <c r="C369" s="47" t="s">
        <v>29</v>
      </c>
      <c r="D369" s="81" t="s">
        <v>1364</v>
      </c>
      <c r="E369" s="80" t="s">
        <v>1365</v>
      </c>
      <c r="F369" s="81">
        <v>2</v>
      </c>
      <c r="G369" s="81">
        <v>0</v>
      </c>
      <c r="H369" s="81">
        <v>4</v>
      </c>
      <c r="I369" s="101" t="s">
        <v>71</v>
      </c>
      <c r="J369" s="101" t="s">
        <v>71</v>
      </c>
      <c r="K369" s="80" t="s">
        <v>76</v>
      </c>
      <c r="L369" s="101" t="s">
        <v>1488</v>
      </c>
      <c r="M369" s="101" t="s">
        <v>1562</v>
      </c>
      <c r="N369" s="101">
        <v>1</v>
      </c>
      <c r="O369" s="101">
        <v>60</v>
      </c>
      <c r="P369" s="102">
        <v>60</v>
      </c>
      <c r="Q369" s="102">
        <v>2</v>
      </c>
      <c r="R369" s="102">
        <v>2</v>
      </c>
      <c r="S369" s="80"/>
      <c r="T369" s="101"/>
      <c r="U369" s="80"/>
    </row>
    <row r="370" spans="1:21" ht="12.75" hidden="1">
      <c r="A370" s="8"/>
      <c r="B370" s="47" t="s">
        <v>1639</v>
      </c>
      <c r="C370" s="47" t="s">
        <v>29</v>
      </c>
      <c r="D370" s="81" t="s">
        <v>1364</v>
      </c>
      <c r="E370" s="80" t="s">
        <v>1365</v>
      </c>
      <c r="F370" s="81">
        <v>2</v>
      </c>
      <c r="G370" s="81">
        <v>0</v>
      </c>
      <c r="H370" s="81">
        <v>4</v>
      </c>
      <c r="I370" s="101" t="s">
        <v>71</v>
      </c>
      <c r="J370" s="101" t="s">
        <v>71</v>
      </c>
      <c r="K370" s="80" t="s">
        <v>76</v>
      </c>
      <c r="L370" s="101" t="s">
        <v>1491</v>
      </c>
      <c r="M370" s="101" t="s">
        <v>1562</v>
      </c>
      <c r="N370" s="101">
        <v>1</v>
      </c>
      <c r="O370" s="101">
        <v>60</v>
      </c>
      <c r="P370" s="102">
        <v>60</v>
      </c>
      <c r="Q370" s="102">
        <v>2</v>
      </c>
      <c r="R370" s="102">
        <v>2</v>
      </c>
      <c r="S370" s="80"/>
      <c r="T370" s="101"/>
      <c r="U370" s="80"/>
    </row>
    <row r="371" spans="1:21" ht="12.75" hidden="1">
      <c r="A371" s="8"/>
      <c r="B371" s="47" t="s">
        <v>1639</v>
      </c>
      <c r="C371" s="47" t="s">
        <v>29</v>
      </c>
      <c r="D371" s="81" t="s">
        <v>1340</v>
      </c>
      <c r="E371" s="80" t="s">
        <v>1341</v>
      </c>
      <c r="F371" s="81">
        <v>0</v>
      </c>
      <c r="G371" s="81">
        <v>2</v>
      </c>
      <c r="H371" s="81">
        <v>4</v>
      </c>
      <c r="I371" s="101" t="s">
        <v>71</v>
      </c>
      <c r="J371" s="101" t="s">
        <v>71</v>
      </c>
      <c r="K371" s="80" t="s">
        <v>450</v>
      </c>
      <c r="L371" s="101" t="s">
        <v>1488</v>
      </c>
      <c r="M371" s="101" t="s">
        <v>1562</v>
      </c>
      <c r="N371" s="101">
        <v>1</v>
      </c>
      <c r="O371" s="101">
        <v>60</v>
      </c>
      <c r="P371" s="102">
        <v>60</v>
      </c>
      <c r="Q371" s="102">
        <v>2</v>
      </c>
      <c r="R371" s="102">
        <v>2</v>
      </c>
      <c r="S371" s="80"/>
      <c r="T371" s="101"/>
      <c r="U371" s="80"/>
    </row>
    <row r="372" spans="1:21" ht="12.75" hidden="1">
      <c r="A372" s="8"/>
      <c r="B372" s="47" t="s">
        <v>1639</v>
      </c>
      <c r="C372" s="47" t="s">
        <v>29</v>
      </c>
      <c r="D372" s="81" t="s">
        <v>1340</v>
      </c>
      <c r="E372" s="80" t="s">
        <v>1341</v>
      </c>
      <c r="F372" s="81">
        <v>0</v>
      </c>
      <c r="G372" s="81">
        <v>2</v>
      </c>
      <c r="H372" s="81">
        <v>4</v>
      </c>
      <c r="I372" s="101" t="s">
        <v>71</v>
      </c>
      <c r="J372" s="101" t="s">
        <v>71</v>
      </c>
      <c r="K372" s="80" t="s">
        <v>450</v>
      </c>
      <c r="L372" s="101" t="s">
        <v>1491</v>
      </c>
      <c r="M372" s="101" t="s">
        <v>1562</v>
      </c>
      <c r="N372" s="101">
        <v>1</v>
      </c>
      <c r="O372" s="101">
        <v>60</v>
      </c>
      <c r="P372" s="102">
        <v>60</v>
      </c>
      <c r="Q372" s="102">
        <v>2</v>
      </c>
      <c r="R372" s="102">
        <v>2</v>
      </c>
      <c r="S372" s="80"/>
      <c r="T372" s="101"/>
      <c r="U372" s="80"/>
    </row>
    <row r="373" spans="1:21" ht="12.75" hidden="1">
      <c r="A373" s="8"/>
      <c r="B373" s="47" t="s">
        <v>1639</v>
      </c>
      <c r="C373" s="47" t="s">
        <v>29</v>
      </c>
      <c r="D373" s="81" t="s">
        <v>1344</v>
      </c>
      <c r="E373" s="80" t="s">
        <v>1345</v>
      </c>
      <c r="F373" s="81">
        <v>0</v>
      </c>
      <c r="G373" s="81">
        <v>2</v>
      </c>
      <c r="H373" s="81">
        <v>4</v>
      </c>
      <c r="I373" s="101" t="s">
        <v>71</v>
      </c>
      <c r="J373" s="101" t="s">
        <v>71</v>
      </c>
      <c r="K373" s="80" t="s">
        <v>1494</v>
      </c>
      <c r="L373" s="101" t="s">
        <v>1488</v>
      </c>
      <c r="M373" s="101" t="s">
        <v>1562</v>
      </c>
      <c r="N373" s="101">
        <v>1</v>
      </c>
      <c r="O373" s="101">
        <v>60</v>
      </c>
      <c r="P373" s="102">
        <v>60</v>
      </c>
      <c r="Q373" s="102">
        <v>2</v>
      </c>
      <c r="R373" s="102">
        <v>2</v>
      </c>
      <c r="S373" s="80"/>
      <c r="T373" s="101"/>
      <c r="U373" s="80"/>
    </row>
    <row r="374" spans="1:21" ht="12.75" hidden="1">
      <c r="A374" s="8"/>
      <c r="B374" s="47" t="s">
        <v>1639</v>
      </c>
      <c r="C374" s="47" t="s">
        <v>29</v>
      </c>
      <c r="D374" s="81" t="s">
        <v>1344</v>
      </c>
      <c r="E374" s="80" t="s">
        <v>1345</v>
      </c>
      <c r="F374" s="81">
        <v>0</v>
      </c>
      <c r="G374" s="81">
        <v>2</v>
      </c>
      <c r="H374" s="81">
        <v>4</v>
      </c>
      <c r="I374" s="101" t="s">
        <v>71</v>
      </c>
      <c r="J374" s="101" t="s">
        <v>71</v>
      </c>
      <c r="K374" s="80" t="s">
        <v>1494</v>
      </c>
      <c r="L374" s="101" t="s">
        <v>1491</v>
      </c>
      <c r="M374" s="101" t="s">
        <v>1562</v>
      </c>
      <c r="N374" s="101">
        <v>1</v>
      </c>
      <c r="O374" s="101">
        <v>60</v>
      </c>
      <c r="P374" s="102">
        <v>60</v>
      </c>
      <c r="Q374" s="102">
        <v>2</v>
      </c>
      <c r="R374" s="102">
        <v>2</v>
      </c>
      <c r="S374" s="80"/>
      <c r="T374" s="101"/>
      <c r="U374" s="80"/>
    </row>
    <row r="375" spans="1:21" ht="12.75" hidden="1">
      <c r="A375" s="8"/>
      <c r="B375" s="47" t="s">
        <v>1639</v>
      </c>
      <c r="C375" s="47" t="s">
        <v>29</v>
      </c>
      <c r="D375" s="81" t="s">
        <v>1348</v>
      </c>
      <c r="E375" s="80" t="s">
        <v>1349</v>
      </c>
      <c r="F375" s="81">
        <v>0</v>
      </c>
      <c r="G375" s="81">
        <v>2</v>
      </c>
      <c r="H375" s="81">
        <v>4</v>
      </c>
      <c r="I375" s="101" t="s">
        <v>71</v>
      </c>
      <c r="J375" s="101" t="s">
        <v>71</v>
      </c>
      <c r="K375" s="80" t="s">
        <v>1495</v>
      </c>
      <c r="L375" s="101" t="s">
        <v>1488</v>
      </c>
      <c r="M375" s="101" t="s">
        <v>1562</v>
      </c>
      <c r="N375" s="101">
        <v>1</v>
      </c>
      <c r="O375" s="101">
        <v>60</v>
      </c>
      <c r="P375" s="102">
        <v>60</v>
      </c>
      <c r="Q375" s="102">
        <v>2</v>
      </c>
      <c r="R375" s="102">
        <v>2</v>
      </c>
      <c r="S375" s="80"/>
      <c r="T375" s="101"/>
      <c r="U375" s="80"/>
    </row>
    <row r="376" spans="1:21" s="112" customFormat="1" ht="12.75" hidden="1">
      <c r="A376" s="8"/>
      <c r="B376" s="47" t="s">
        <v>1639</v>
      </c>
      <c r="C376" s="47" t="s">
        <v>29</v>
      </c>
      <c r="D376" s="81" t="s">
        <v>1348</v>
      </c>
      <c r="E376" s="80" t="s">
        <v>1349</v>
      </c>
      <c r="F376" s="81">
        <v>0</v>
      </c>
      <c r="G376" s="81">
        <v>2</v>
      </c>
      <c r="H376" s="81">
        <v>4</v>
      </c>
      <c r="I376" s="101" t="s">
        <v>71</v>
      </c>
      <c r="J376" s="101" t="s">
        <v>71</v>
      </c>
      <c r="K376" s="80" t="s">
        <v>1495</v>
      </c>
      <c r="L376" s="101" t="s">
        <v>1491</v>
      </c>
      <c r="M376" s="101" t="s">
        <v>1562</v>
      </c>
      <c r="N376" s="101">
        <v>1</v>
      </c>
      <c r="O376" s="101">
        <v>60</v>
      </c>
      <c r="P376" s="102">
        <v>60</v>
      </c>
      <c r="Q376" s="102">
        <v>2</v>
      </c>
      <c r="R376" s="102">
        <v>2</v>
      </c>
      <c r="S376" s="80"/>
      <c r="T376" s="101"/>
      <c r="U376" s="80"/>
    </row>
    <row r="377" spans="1:21" s="112" customFormat="1" ht="12.75" hidden="1">
      <c r="A377" s="8"/>
      <c r="B377" s="47" t="s">
        <v>1639</v>
      </c>
      <c r="C377" s="47" t="s">
        <v>29</v>
      </c>
      <c r="D377" s="81" t="s">
        <v>285</v>
      </c>
      <c r="E377" s="80" t="s">
        <v>286</v>
      </c>
      <c r="F377" s="81">
        <v>1</v>
      </c>
      <c r="G377" s="81">
        <v>1</v>
      </c>
      <c r="H377" s="81">
        <v>2</v>
      </c>
      <c r="I377" s="101" t="s">
        <v>73</v>
      </c>
      <c r="J377" s="101" t="s">
        <v>73</v>
      </c>
      <c r="K377" s="80" t="s">
        <v>287</v>
      </c>
      <c r="L377" s="101" t="s">
        <v>1488</v>
      </c>
      <c r="M377" s="101" t="s">
        <v>1562</v>
      </c>
      <c r="N377" s="101">
        <v>1</v>
      </c>
      <c r="O377" s="101">
        <v>60</v>
      </c>
      <c r="P377" s="102">
        <v>60</v>
      </c>
      <c r="Q377" s="102">
        <v>2</v>
      </c>
      <c r="R377" s="102">
        <v>2</v>
      </c>
      <c r="S377" s="80" t="s">
        <v>1493</v>
      </c>
      <c r="T377" s="101" t="s">
        <v>1490</v>
      </c>
      <c r="U377" s="80"/>
    </row>
    <row r="378" spans="1:21" s="112" customFormat="1" ht="12.75" hidden="1">
      <c r="A378" s="8"/>
      <c r="B378" s="47" t="s">
        <v>1639</v>
      </c>
      <c r="C378" s="47" t="s">
        <v>29</v>
      </c>
      <c r="D378" s="81" t="s">
        <v>285</v>
      </c>
      <c r="E378" s="80" t="s">
        <v>286</v>
      </c>
      <c r="F378" s="81">
        <v>1</v>
      </c>
      <c r="G378" s="81">
        <v>1</v>
      </c>
      <c r="H378" s="81">
        <v>2</v>
      </c>
      <c r="I378" s="101" t="s">
        <v>73</v>
      </c>
      <c r="J378" s="101" t="s">
        <v>73</v>
      </c>
      <c r="K378" s="80" t="s">
        <v>287</v>
      </c>
      <c r="L378" s="101" t="s">
        <v>1491</v>
      </c>
      <c r="M378" s="101" t="s">
        <v>1562</v>
      </c>
      <c r="N378" s="101">
        <v>1</v>
      </c>
      <c r="O378" s="101">
        <v>60</v>
      </c>
      <c r="P378" s="102">
        <v>60</v>
      </c>
      <c r="Q378" s="102">
        <v>2</v>
      </c>
      <c r="R378" s="102">
        <v>2</v>
      </c>
      <c r="S378" s="80" t="s">
        <v>1493</v>
      </c>
      <c r="T378" s="101" t="s">
        <v>1490</v>
      </c>
      <c r="U378" s="80"/>
    </row>
    <row r="379" spans="1:21" s="112" customFormat="1" ht="12.75" hidden="1">
      <c r="A379" s="8"/>
      <c r="B379" s="47" t="s">
        <v>1639</v>
      </c>
      <c r="C379" s="47" t="s">
        <v>29</v>
      </c>
      <c r="D379" s="81" t="s">
        <v>336</v>
      </c>
      <c r="E379" s="80" t="s">
        <v>337</v>
      </c>
      <c r="F379" s="81">
        <v>0</v>
      </c>
      <c r="G379" s="81">
        <v>2</v>
      </c>
      <c r="H379" s="81">
        <v>2</v>
      </c>
      <c r="I379" s="101" t="s">
        <v>73</v>
      </c>
      <c r="J379" s="101" t="s">
        <v>73</v>
      </c>
      <c r="K379" s="80" t="s">
        <v>237</v>
      </c>
      <c r="L379" s="101" t="s">
        <v>1488</v>
      </c>
      <c r="M379" s="101" t="s">
        <v>1562</v>
      </c>
      <c r="N379" s="101">
        <v>1</v>
      </c>
      <c r="O379" s="101">
        <v>30</v>
      </c>
      <c r="P379" s="102">
        <v>30</v>
      </c>
      <c r="Q379" s="102">
        <v>2</v>
      </c>
      <c r="R379" s="102">
        <v>2</v>
      </c>
      <c r="S379" s="80"/>
      <c r="T379" s="101"/>
      <c r="U379" s="80"/>
    </row>
    <row r="380" spans="1:21" s="112" customFormat="1" ht="12.75" hidden="1">
      <c r="A380" s="8"/>
      <c r="B380" s="47" t="s">
        <v>1639</v>
      </c>
      <c r="C380" s="47" t="s">
        <v>29</v>
      </c>
      <c r="D380" s="81" t="s">
        <v>336</v>
      </c>
      <c r="E380" s="80" t="s">
        <v>337</v>
      </c>
      <c r="F380" s="81">
        <v>0</v>
      </c>
      <c r="G380" s="81">
        <v>2</v>
      </c>
      <c r="H380" s="81">
        <v>2</v>
      </c>
      <c r="I380" s="101" t="s">
        <v>73</v>
      </c>
      <c r="J380" s="101" t="s">
        <v>73</v>
      </c>
      <c r="K380" s="80" t="s">
        <v>237</v>
      </c>
      <c r="L380" s="101" t="s">
        <v>1491</v>
      </c>
      <c r="M380" s="101" t="s">
        <v>1562</v>
      </c>
      <c r="N380" s="101">
        <v>1</v>
      </c>
      <c r="O380" s="101">
        <v>30</v>
      </c>
      <c r="P380" s="102">
        <v>30</v>
      </c>
      <c r="Q380" s="102">
        <v>2</v>
      </c>
      <c r="R380" s="102">
        <v>2</v>
      </c>
      <c r="S380" s="80"/>
      <c r="T380" s="101"/>
      <c r="U380" s="80"/>
    </row>
    <row r="381" spans="1:21" s="112" customFormat="1" ht="12.75" hidden="1">
      <c r="A381" s="8"/>
      <c r="B381" s="47" t="s">
        <v>1639</v>
      </c>
      <c r="C381" s="47" t="s">
        <v>29</v>
      </c>
      <c r="D381" s="81" t="s">
        <v>685</v>
      </c>
      <c r="E381" s="80" t="s">
        <v>686</v>
      </c>
      <c r="F381" s="81">
        <v>3</v>
      </c>
      <c r="G381" s="81">
        <v>0</v>
      </c>
      <c r="H381" s="81">
        <v>3</v>
      </c>
      <c r="I381" s="101" t="s">
        <v>73</v>
      </c>
      <c r="J381" s="101" t="s">
        <v>73</v>
      </c>
      <c r="K381" s="80" t="s">
        <v>76</v>
      </c>
      <c r="L381" s="101" t="s">
        <v>1488</v>
      </c>
      <c r="M381" s="101" t="s">
        <v>1562</v>
      </c>
      <c r="N381" s="101">
        <v>1</v>
      </c>
      <c r="O381" s="101">
        <v>60</v>
      </c>
      <c r="P381" s="102">
        <v>60</v>
      </c>
      <c r="Q381" s="102">
        <v>3</v>
      </c>
      <c r="R381" s="102">
        <v>3</v>
      </c>
      <c r="S381" s="80"/>
      <c r="T381" s="101"/>
      <c r="U381" s="80"/>
    </row>
    <row r="382" spans="1:21" s="112" customFormat="1" ht="12.75" hidden="1">
      <c r="A382" s="8"/>
      <c r="B382" s="47" t="s">
        <v>1639</v>
      </c>
      <c r="C382" s="47" t="s">
        <v>29</v>
      </c>
      <c r="D382" s="81" t="s">
        <v>685</v>
      </c>
      <c r="E382" s="80" t="s">
        <v>686</v>
      </c>
      <c r="F382" s="81">
        <v>3</v>
      </c>
      <c r="G382" s="81">
        <v>0</v>
      </c>
      <c r="H382" s="81">
        <v>3</v>
      </c>
      <c r="I382" s="101" t="s">
        <v>73</v>
      </c>
      <c r="J382" s="101" t="s">
        <v>73</v>
      </c>
      <c r="K382" s="80" t="s">
        <v>76</v>
      </c>
      <c r="L382" s="101" t="s">
        <v>1491</v>
      </c>
      <c r="M382" s="101" t="s">
        <v>1562</v>
      </c>
      <c r="N382" s="101">
        <v>1</v>
      </c>
      <c r="O382" s="101">
        <v>60</v>
      </c>
      <c r="P382" s="102">
        <v>60</v>
      </c>
      <c r="Q382" s="102">
        <v>3</v>
      </c>
      <c r="R382" s="102">
        <v>3</v>
      </c>
      <c r="S382" s="80"/>
      <c r="T382" s="101"/>
      <c r="U382" s="80"/>
    </row>
    <row r="383" spans="1:21" s="112" customFormat="1" ht="12.75" hidden="1">
      <c r="A383" s="1"/>
      <c r="B383" s="42" t="s">
        <v>1774</v>
      </c>
      <c r="C383" s="42" t="s">
        <v>30</v>
      </c>
      <c r="D383" s="81" t="s">
        <v>161</v>
      </c>
      <c r="E383" s="80" t="s">
        <v>162</v>
      </c>
      <c r="F383" s="81">
        <v>3</v>
      </c>
      <c r="G383" s="81">
        <v>2</v>
      </c>
      <c r="H383" s="81">
        <v>5</v>
      </c>
      <c r="I383" s="101" t="s">
        <v>71</v>
      </c>
      <c r="J383" s="101" t="s">
        <v>71</v>
      </c>
      <c r="K383" s="80" t="s">
        <v>163</v>
      </c>
      <c r="L383" s="101" t="s">
        <v>1488</v>
      </c>
      <c r="M383" s="101" t="s">
        <v>1528</v>
      </c>
      <c r="N383" s="101">
        <v>1</v>
      </c>
      <c r="O383" s="101">
        <v>30</v>
      </c>
      <c r="P383" s="102">
        <v>30</v>
      </c>
      <c r="Q383" s="102">
        <v>5</v>
      </c>
      <c r="R383" s="102">
        <v>5</v>
      </c>
      <c r="S383" s="80"/>
      <c r="T383" s="101"/>
      <c r="U383" s="80"/>
    </row>
    <row r="384" spans="1:21" s="112" customFormat="1" ht="12.75" hidden="1">
      <c r="A384" s="1"/>
      <c r="B384" s="42" t="s">
        <v>1774</v>
      </c>
      <c r="C384" s="42" t="s">
        <v>30</v>
      </c>
      <c r="D384" s="81" t="s">
        <v>161</v>
      </c>
      <c r="E384" s="80" t="s">
        <v>162</v>
      </c>
      <c r="F384" s="81">
        <v>3</v>
      </c>
      <c r="G384" s="81">
        <v>2</v>
      </c>
      <c r="H384" s="81">
        <v>5</v>
      </c>
      <c r="I384" s="101" t="s">
        <v>71</v>
      </c>
      <c r="J384" s="101" t="s">
        <v>71</v>
      </c>
      <c r="K384" s="80" t="s">
        <v>163</v>
      </c>
      <c r="L384" s="101" t="s">
        <v>1491</v>
      </c>
      <c r="M384" s="101" t="s">
        <v>1528</v>
      </c>
      <c r="N384" s="101">
        <v>1</v>
      </c>
      <c r="O384" s="101">
        <v>30</v>
      </c>
      <c r="P384" s="102">
        <v>30</v>
      </c>
      <c r="Q384" s="102">
        <v>5</v>
      </c>
      <c r="R384" s="102">
        <v>5</v>
      </c>
      <c r="S384" s="80"/>
      <c r="T384" s="101"/>
      <c r="U384" s="80"/>
    </row>
    <row r="385" spans="1:21" s="112" customFormat="1" ht="12.75" hidden="1">
      <c r="A385" s="1"/>
      <c r="B385" s="42" t="s">
        <v>1774</v>
      </c>
      <c r="C385" s="42" t="s">
        <v>30</v>
      </c>
      <c r="D385" s="81" t="s">
        <v>264</v>
      </c>
      <c r="E385" s="80" t="s">
        <v>265</v>
      </c>
      <c r="F385" s="81">
        <v>3</v>
      </c>
      <c r="G385" s="81">
        <v>2</v>
      </c>
      <c r="H385" s="81">
        <v>4</v>
      </c>
      <c r="I385" s="101" t="s">
        <v>71</v>
      </c>
      <c r="J385" s="101" t="s">
        <v>71</v>
      </c>
      <c r="K385" s="80" t="s">
        <v>156</v>
      </c>
      <c r="L385" s="101" t="s">
        <v>1488</v>
      </c>
      <c r="M385" s="101" t="s">
        <v>1528</v>
      </c>
      <c r="N385" s="101">
        <v>1</v>
      </c>
      <c r="O385" s="101">
        <v>30</v>
      </c>
      <c r="P385" s="102">
        <v>30</v>
      </c>
      <c r="Q385" s="102">
        <v>5</v>
      </c>
      <c r="R385" s="102">
        <v>5</v>
      </c>
      <c r="S385" s="80"/>
      <c r="T385" s="101"/>
      <c r="U385" s="80"/>
    </row>
    <row r="386" spans="1:21" s="112" customFormat="1" ht="12.75" hidden="1">
      <c r="A386" s="1"/>
      <c r="B386" s="42" t="s">
        <v>1774</v>
      </c>
      <c r="C386" s="42" t="s">
        <v>30</v>
      </c>
      <c r="D386" s="81" t="s">
        <v>264</v>
      </c>
      <c r="E386" s="80" t="s">
        <v>265</v>
      </c>
      <c r="F386" s="81">
        <v>3</v>
      </c>
      <c r="G386" s="81">
        <v>2</v>
      </c>
      <c r="H386" s="81">
        <v>4</v>
      </c>
      <c r="I386" s="101" t="s">
        <v>71</v>
      </c>
      <c r="J386" s="101" t="s">
        <v>71</v>
      </c>
      <c r="K386" s="80" t="s">
        <v>156</v>
      </c>
      <c r="L386" s="101" t="s">
        <v>1491</v>
      </c>
      <c r="M386" s="101" t="s">
        <v>1528</v>
      </c>
      <c r="N386" s="101">
        <v>1</v>
      </c>
      <c r="O386" s="101">
        <v>30</v>
      </c>
      <c r="P386" s="102">
        <v>30</v>
      </c>
      <c r="Q386" s="102">
        <v>5</v>
      </c>
      <c r="R386" s="102">
        <v>5</v>
      </c>
      <c r="S386" s="80"/>
      <c r="T386" s="101"/>
      <c r="U386" s="80"/>
    </row>
    <row r="387" spans="1:21" s="112" customFormat="1" ht="12.75" hidden="1">
      <c r="A387" s="1"/>
      <c r="B387" s="42" t="s">
        <v>1774</v>
      </c>
      <c r="C387" s="42" t="s">
        <v>30</v>
      </c>
      <c r="D387" s="81" t="s">
        <v>826</v>
      </c>
      <c r="E387" s="80" t="s">
        <v>1529</v>
      </c>
      <c r="F387" s="81">
        <v>2</v>
      </c>
      <c r="G387" s="81">
        <v>0</v>
      </c>
      <c r="H387" s="81">
        <v>2</v>
      </c>
      <c r="I387" s="101" t="s">
        <v>71</v>
      </c>
      <c r="J387" s="101" t="s">
        <v>71</v>
      </c>
      <c r="K387" s="80" t="s">
        <v>178</v>
      </c>
      <c r="L387" s="101" t="s">
        <v>1488</v>
      </c>
      <c r="M387" s="101" t="s">
        <v>1562</v>
      </c>
      <c r="N387" s="101">
        <v>1</v>
      </c>
      <c r="O387" s="101">
        <v>60</v>
      </c>
      <c r="P387" s="102">
        <v>60</v>
      </c>
      <c r="Q387" s="102">
        <v>2</v>
      </c>
      <c r="R387" s="102">
        <v>2</v>
      </c>
      <c r="S387" s="80"/>
      <c r="T387" s="101"/>
      <c r="U387" s="80"/>
    </row>
    <row r="388" spans="1:21" s="112" customFormat="1" ht="12.75" hidden="1">
      <c r="A388" s="1"/>
      <c r="B388" s="42" t="s">
        <v>1774</v>
      </c>
      <c r="C388" s="42" t="s">
        <v>30</v>
      </c>
      <c r="D388" s="81" t="s">
        <v>826</v>
      </c>
      <c r="E388" s="80" t="s">
        <v>1529</v>
      </c>
      <c r="F388" s="81">
        <v>2</v>
      </c>
      <c r="G388" s="81">
        <v>0</v>
      </c>
      <c r="H388" s="81">
        <v>2</v>
      </c>
      <c r="I388" s="101" t="s">
        <v>71</v>
      </c>
      <c r="J388" s="101" t="s">
        <v>71</v>
      </c>
      <c r="K388" s="80" t="s">
        <v>178</v>
      </c>
      <c r="L388" s="101" t="s">
        <v>1491</v>
      </c>
      <c r="M388" s="101" t="s">
        <v>1562</v>
      </c>
      <c r="N388" s="101">
        <v>1</v>
      </c>
      <c r="O388" s="101">
        <v>60</v>
      </c>
      <c r="P388" s="102">
        <v>60</v>
      </c>
      <c r="Q388" s="102">
        <v>2</v>
      </c>
      <c r="R388" s="102">
        <v>2</v>
      </c>
      <c r="S388" s="80"/>
      <c r="T388" s="101"/>
      <c r="U388" s="80"/>
    </row>
    <row r="389" spans="1:21" s="112" customFormat="1" ht="12.75" hidden="1">
      <c r="A389" s="1"/>
      <c r="B389" s="42" t="s">
        <v>1774</v>
      </c>
      <c r="C389" s="42" t="s">
        <v>30</v>
      </c>
      <c r="D389" s="81" t="s">
        <v>112</v>
      </c>
      <c r="E389" s="80" t="s">
        <v>1530</v>
      </c>
      <c r="F389" s="81">
        <v>2</v>
      </c>
      <c r="G389" s="81">
        <v>2</v>
      </c>
      <c r="H389" s="81">
        <v>4</v>
      </c>
      <c r="I389" s="101" t="s">
        <v>71</v>
      </c>
      <c r="J389" s="101" t="s">
        <v>71</v>
      </c>
      <c r="K389" s="80" t="s">
        <v>1531</v>
      </c>
      <c r="L389" s="101" t="s">
        <v>1488</v>
      </c>
      <c r="M389" s="101" t="s">
        <v>1562</v>
      </c>
      <c r="N389" s="101">
        <v>1</v>
      </c>
      <c r="O389" s="101">
        <v>30</v>
      </c>
      <c r="P389" s="102">
        <v>30</v>
      </c>
      <c r="Q389" s="102">
        <v>4</v>
      </c>
      <c r="R389" s="102">
        <v>4</v>
      </c>
      <c r="S389" s="80"/>
      <c r="T389" s="101"/>
      <c r="U389" s="80"/>
    </row>
    <row r="390" spans="1:21" s="112" customFormat="1" ht="12.75" hidden="1">
      <c r="A390" s="1"/>
      <c r="B390" s="42" t="s">
        <v>1774</v>
      </c>
      <c r="C390" s="42" t="s">
        <v>30</v>
      </c>
      <c r="D390" s="81" t="s">
        <v>112</v>
      </c>
      <c r="E390" s="80" t="s">
        <v>1530</v>
      </c>
      <c r="F390" s="81">
        <v>2</v>
      </c>
      <c r="G390" s="81">
        <v>2</v>
      </c>
      <c r="H390" s="81">
        <v>4</v>
      </c>
      <c r="I390" s="101" t="s">
        <v>71</v>
      </c>
      <c r="J390" s="101" t="s">
        <v>71</v>
      </c>
      <c r="K390" s="80" t="s">
        <v>1531</v>
      </c>
      <c r="L390" s="101" t="s">
        <v>1491</v>
      </c>
      <c r="M390" s="101" t="s">
        <v>1562</v>
      </c>
      <c r="N390" s="101">
        <v>1</v>
      </c>
      <c r="O390" s="101">
        <v>30</v>
      </c>
      <c r="P390" s="102">
        <v>30</v>
      </c>
      <c r="Q390" s="102">
        <v>4</v>
      </c>
      <c r="R390" s="102">
        <v>4</v>
      </c>
      <c r="S390" s="80"/>
      <c r="T390" s="101"/>
      <c r="U390" s="80"/>
    </row>
    <row r="391" spans="1:21" s="112" customFormat="1" ht="12.75" hidden="1">
      <c r="A391" s="1"/>
      <c r="B391" s="42" t="s">
        <v>1774</v>
      </c>
      <c r="C391" s="42" t="s">
        <v>30</v>
      </c>
      <c r="D391" s="81" t="s">
        <v>1070</v>
      </c>
      <c r="E391" s="80" t="s">
        <v>445</v>
      </c>
      <c r="F391" s="81">
        <v>2</v>
      </c>
      <c r="G391" s="81">
        <v>2</v>
      </c>
      <c r="H391" s="81">
        <v>4</v>
      </c>
      <c r="I391" s="101" t="s">
        <v>71</v>
      </c>
      <c r="J391" s="101" t="s">
        <v>71</v>
      </c>
      <c r="K391" s="80" t="s">
        <v>1532</v>
      </c>
      <c r="L391" s="101" t="s">
        <v>1488</v>
      </c>
      <c r="M391" s="101" t="s">
        <v>1562</v>
      </c>
      <c r="N391" s="101">
        <v>1</v>
      </c>
      <c r="O391" s="101">
        <v>30</v>
      </c>
      <c r="P391" s="102">
        <v>30</v>
      </c>
      <c r="Q391" s="102">
        <v>4</v>
      </c>
      <c r="R391" s="102">
        <v>4</v>
      </c>
      <c r="S391" s="80"/>
      <c r="T391" s="101"/>
      <c r="U391" s="80"/>
    </row>
    <row r="392" spans="1:21" s="112" customFormat="1" ht="12.75" hidden="1">
      <c r="A392" s="1"/>
      <c r="B392" s="42" t="s">
        <v>1774</v>
      </c>
      <c r="C392" s="42" t="s">
        <v>30</v>
      </c>
      <c r="D392" s="81" t="s">
        <v>1070</v>
      </c>
      <c r="E392" s="80" t="s">
        <v>445</v>
      </c>
      <c r="F392" s="81">
        <v>2</v>
      </c>
      <c r="G392" s="81">
        <v>2</v>
      </c>
      <c r="H392" s="81">
        <v>4</v>
      </c>
      <c r="I392" s="101" t="s">
        <v>71</v>
      </c>
      <c r="J392" s="101" t="s">
        <v>71</v>
      </c>
      <c r="K392" s="80" t="s">
        <v>1532</v>
      </c>
      <c r="L392" s="101" t="s">
        <v>1491</v>
      </c>
      <c r="M392" s="101" t="s">
        <v>1562</v>
      </c>
      <c r="N392" s="101">
        <v>1</v>
      </c>
      <c r="O392" s="101">
        <v>30</v>
      </c>
      <c r="P392" s="102">
        <v>30</v>
      </c>
      <c r="Q392" s="102">
        <v>4</v>
      </c>
      <c r="R392" s="102">
        <v>4</v>
      </c>
      <c r="S392" s="80"/>
      <c r="T392" s="101"/>
      <c r="U392" s="80"/>
    </row>
    <row r="393" spans="1:21" ht="12.75" hidden="1">
      <c r="B393" s="42" t="s">
        <v>1774</v>
      </c>
      <c r="C393" s="42" t="s">
        <v>30</v>
      </c>
      <c r="D393" s="81" t="s">
        <v>1093</v>
      </c>
      <c r="E393" s="80" t="s">
        <v>1533</v>
      </c>
      <c r="F393" s="81">
        <v>2</v>
      </c>
      <c r="G393" s="81">
        <v>2</v>
      </c>
      <c r="H393" s="81">
        <v>4</v>
      </c>
      <c r="I393" s="101" t="s">
        <v>73</v>
      </c>
      <c r="J393" s="101" t="s">
        <v>73</v>
      </c>
      <c r="K393" s="80" t="s">
        <v>764</v>
      </c>
      <c r="L393" s="101" t="s">
        <v>1488</v>
      </c>
      <c r="M393" s="101" t="s">
        <v>1562</v>
      </c>
      <c r="N393" s="101">
        <v>1</v>
      </c>
      <c r="O393" s="101">
        <v>30</v>
      </c>
      <c r="P393" s="102">
        <v>30</v>
      </c>
      <c r="Q393" s="102">
        <v>4</v>
      </c>
      <c r="R393" s="102">
        <v>4</v>
      </c>
      <c r="S393" s="80"/>
      <c r="T393" s="101"/>
      <c r="U393" s="80"/>
    </row>
    <row r="394" spans="1:21" ht="12.75" hidden="1">
      <c r="B394" s="42" t="s">
        <v>1774</v>
      </c>
      <c r="C394" s="42" t="s">
        <v>30</v>
      </c>
      <c r="D394" s="81" t="s">
        <v>1092</v>
      </c>
      <c r="E394" s="80" t="s">
        <v>1534</v>
      </c>
      <c r="F394" s="81">
        <v>3</v>
      </c>
      <c r="G394" s="81">
        <v>2</v>
      </c>
      <c r="H394" s="81">
        <v>5</v>
      </c>
      <c r="I394" s="101" t="s">
        <v>73</v>
      </c>
      <c r="J394" s="101" t="s">
        <v>73</v>
      </c>
      <c r="K394" s="80" t="s">
        <v>229</v>
      </c>
      <c r="L394" s="101" t="s">
        <v>1488</v>
      </c>
      <c r="M394" s="101" t="s">
        <v>1562</v>
      </c>
      <c r="N394" s="101">
        <v>1</v>
      </c>
      <c r="O394" s="101">
        <v>30</v>
      </c>
      <c r="P394" s="102">
        <v>30</v>
      </c>
      <c r="Q394" s="102">
        <v>5</v>
      </c>
      <c r="R394" s="102">
        <v>5</v>
      </c>
      <c r="S394" s="80"/>
      <c r="T394" s="101"/>
      <c r="U394" s="80"/>
    </row>
    <row r="395" spans="1:21" ht="12.75" hidden="1">
      <c r="A395" s="1" t="s">
        <v>1672</v>
      </c>
      <c r="B395" s="42" t="s">
        <v>1774</v>
      </c>
      <c r="C395" s="42" t="s">
        <v>30</v>
      </c>
      <c r="D395" s="81" t="s">
        <v>785</v>
      </c>
      <c r="E395" s="80" t="s">
        <v>786</v>
      </c>
      <c r="F395" s="81">
        <v>2</v>
      </c>
      <c r="G395" s="81">
        <v>0</v>
      </c>
      <c r="H395" s="81">
        <v>4</v>
      </c>
      <c r="I395" s="101" t="s">
        <v>73</v>
      </c>
      <c r="J395" s="101" t="s">
        <v>73</v>
      </c>
      <c r="K395" s="80" t="s">
        <v>76</v>
      </c>
      <c r="L395" s="101" t="s">
        <v>1488</v>
      </c>
      <c r="M395" s="101" t="s">
        <v>1562</v>
      </c>
      <c r="N395" s="101">
        <v>1</v>
      </c>
      <c r="O395" s="101">
        <v>60</v>
      </c>
      <c r="P395" s="102">
        <v>60</v>
      </c>
      <c r="Q395" s="102">
        <v>2</v>
      </c>
      <c r="R395" s="102">
        <v>2</v>
      </c>
      <c r="S395" s="80"/>
      <c r="T395" s="101"/>
      <c r="U395" s="80"/>
    </row>
    <row r="396" spans="1:21" ht="12.75" hidden="1">
      <c r="A396" s="1" t="s">
        <v>1672</v>
      </c>
      <c r="B396" s="42" t="s">
        <v>1774</v>
      </c>
      <c r="C396" s="42" t="s">
        <v>30</v>
      </c>
      <c r="D396" s="81" t="s">
        <v>785</v>
      </c>
      <c r="E396" s="80" t="s">
        <v>786</v>
      </c>
      <c r="F396" s="81">
        <v>2</v>
      </c>
      <c r="G396" s="81">
        <v>0</v>
      </c>
      <c r="H396" s="81">
        <v>4</v>
      </c>
      <c r="I396" s="101" t="s">
        <v>73</v>
      </c>
      <c r="J396" s="101" t="s">
        <v>73</v>
      </c>
      <c r="K396" s="80" t="s">
        <v>76</v>
      </c>
      <c r="L396" s="101" t="s">
        <v>1491</v>
      </c>
      <c r="M396" s="101" t="s">
        <v>1562</v>
      </c>
      <c r="N396" s="101">
        <v>1</v>
      </c>
      <c r="O396" s="101">
        <v>60</v>
      </c>
      <c r="P396" s="102">
        <v>60</v>
      </c>
      <c r="Q396" s="102">
        <v>2</v>
      </c>
      <c r="R396" s="102">
        <v>2</v>
      </c>
      <c r="S396" s="80"/>
      <c r="T396" s="101"/>
      <c r="U396" s="80"/>
    </row>
    <row r="397" spans="1:21" ht="12.75" hidden="1">
      <c r="B397" s="42" t="s">
        <v>1774</v>
      </c>
      <c r="C397" s="42" t="s">
        <v>30</v>
      </c>
      <c r="D397" s="81" t="s">
        <v>431</v>
      </c>
      <c r="E397" s="80" t="s">
        <v>1535</v>
      </c>
      <c r="F397" s="81">
        <v>3</v>
      </c>
      <c r="G397" s="81">
        <v>2</v>
      </c>
      <c r="H397" s="81">
        <v>5</v>
      </c>
      <c r="I397" s="101" t="s">
        <v>73</v>
      </c>
      <c r="J397" s="101" t="s">
        <v>73</v>
      </c>
      <c r="K397" s="80" t="s">
        <v>1536</v>
      </c>
      <c r="L397" s="101" t="s">
        <v>1491</v>
      </c>
      <c r="M397" s="101" t="s">
        <v>1562</v>
      </c>
      <c r="N397" s="101">
        <v>1</v>
      </c>
      <c r="O397" s="101">
        <v>30</v>
      </c>
      <c r="P397" s="102">
        <v>30</v>
      </c>
      <c r="Q397" s="102">
        <v>5</v>
      </c>
      <c r="R397" s="102">
        <v>5</v>
      </c>
      <c r="S397" s="80"/>
      <c r="T397" s="101"/>
      <c r="U397" s="80"/>
    </row>
    <row r="398" spans="1:21" ht="12.75" hidden="1">
      <c r="B398" s="42" t="s">
        <v>1774</v>
      </c>
      <c r="C398" s="42" t="s">
        <v>30</v>
      </c>
      <c r="D398" s="81" t="s">
        <v>484</v>
      </c>
      <c r="E398" s="80" t="s">
        <v>485</v>
      </c>
      <c r="F398" s="81">
        <v>0</v>
      </c>
      <c r="G398" s="81">
        <v>7</v>
      </c>
      <c r="H398" s="81">
        <v>0</v>
      </c>
      <c r="I398" s="101" t="s">
        <v>71</v>
      </c>
      <c r="J398" s="101" t="s">
        <v>71</v>
      </c>
      <c r="K398" s="80" t="s">
        <v>76</v>
      </c>
      <c r="L398" s="101"/>
      <c r="M398" s="101" t="s">
        <v>1562</v>
      </c>
      <c r="N398" s="101">
        <v>1</v>
      </c>
      <c r="O398" s="101"/>
      <c r="P398" s="102">
        <v>60</v>
      </c>
      <c r="Q398" s="102">
        <v>3</v>
      </c>
      <c r="R398" s="102">
        <v>3</v>
      </c>
      <c r="S398" s="80"/>
      <c r="T398" s="101"/>
      <c r="U398" s="80"/>
    </row>
    <row r="399" spans="1:21" ht="12.75" hidden="1">
      <c r="B399" s="42" t="s">
        <v>1774</v>
      </c>
      <c r="C399" s="42" t="s">
        <v>30</v>
      </c>
      <c r="D399" s="81" t="s">
        <v>488</v>
      </c>
      <c r="E399" s="80" t="s">
        <v>489</v>
      </c>
      <c r="F399" s="81">
        <v>0</v>
      </c>
      <c r="G399" s="81">
        <v>7</v>
      </c>
      <c r="H399" s="81">
        <v>0</v>
      </c>
      <c r="I399" s="101" t="s">
        <v>71</v>
      </c>
      <c r="J399" s="101" t="s">
        <v>71</v>
      </c>
      <c r="K399" s="80" t="s">
        <v>485</v>
      </c>
      <c r="L399" s="101"/>
      <c r="M399" s="101" t="s">
        <v>1562</v>
      </c>
      <c r="N399" s="101">
        <v>1</v>
      </c>
      <c r="O399" s="101"/>
      <c r="P399" s="102">
        <v>60</v>
      </c>
      <c r="Q399" s="102">
        <v>3</v>
      </c>
      <c r="R399" s="102">
        <v>3</v>
      </c>
      <c r="S399" s="80"/>
      <c r="T399" s="101"/>
      <c r="U399" s="80"/>
    </row>
    <row r="400" spans="1:21" ht="12.75" hidden="1">
      <c r="B400" s="42" t="s">
        <v>1774</v>
      </c>
      <c r="C400" s="42" t="s">
        <v>30</v>
      </c>
      <c r="D400" s="81" t="s">
        <v>1342</v>
      </c>
      <c r="E400" s="80" t="s">
        <v>1343</v>
      </c>
      <c r="F400" s="81">
        <v>0</v>
      </c>
      <c r="G400" s="81">
        <v>2</v>
      </c>
      <c r="H400" s="81">
        <v>4</v>
      </c>
      <c r="I400" s="101" t="s">
        <v>71</v>
      </c>
      <c r="J400" s="101" t="s">
        <v>71</v>
      </c>
      <c r="K400" s="80" t="e">
        <v>#N/A</v>
      </c>
      <c r="L400" s="101"/>
      <c r="M400" s="101" t="s">
        <v>1562</v>
      </c>
      <c r="N400" s="101">
        <v>1</v>
      </c>
      <c r="O400" s="101"/>
      <c r="P400" s="102">
        <v>60</v>
      </c>
      <c r="Q400" s="102">
        <v>2</v>
      </c>
      <c r="R400" s="102">
        <v>2</v>
      </c>
      <c r="S400" s="80"/>
      <c r="T400" s="101"/>
      <c r="U400" s="80"/>
    </row>
    <row r="401" spans="2:21" ht="12.75" hidden="1">
      <c r="B401" s="42" t="s">
        <v>1774</v>
      </c>
      <c r="C401" s="42" t="s">
        <v>30</v>
      </c>
      <c r="D401" s="81" t="s">
        <v>1346</v>
      </c>
      <c r="E401" s="80" t="s">
        <v>1347</v>
      </c>
      <c r="F401" s="81">
        <v>0</v>
      </c>
      <c r="G401" s="81">
        <v>2</v>
      </c>
      <c r="H401" s="81">
        <v>4</v>
      </c>
      <c r="I401" s="101" t="s">
        <v>71</v>
      </c>
      <c r="J401" s="101" t="s">
        <v>71</v>
      </c>
      <c r="K401" s="80" t="s">
        <v>1343</v>
      </c>
      <c r="L401" s="101"/>
      <c r="M401" s="101" t="s">
        <v>1562</v>
      </c>
      <c r="N401" s="101">
        <v>1</v>
      </c>
      <c r="O401" s="101"/>
      <c r="P401" s="102">
        <v>60</v>
      </c>
      <c r="Q401" s="102">
        <v>2</v>
      </c>
      <c r="R401" s="102">
        <v>2</v>
      </c>
      <c r="S401" s="80"/>
      <c r="T401" s="101"/>
      <c r="U401" s="80"/>
    </row>
    <row r="402" spans="2:21" ht="12.75" hidden="1">
      <c r="B402" s="42" t="s">
        <v>1774</v>
      </c>
      <c r="C402" s="42" t="s">
        <v>30</v>
      </c>
      <c r="D402" s="81" t="s">
        <v>1350</v>
      </c>
      <c r="E402" s="80" t="s">
        <v>1351</v>
      </c>
      <c r="F402" s="81">
        <v>0</v>
      </c>
      <c r="G402" s="81">
        <v>2</v>
      </c>
      <c r="H402" s="81">
        <v>4</v>
      </c>
      <c r="I402" s="101" t="s">
        <v>71</v>
      </c>
      <c r="J402" s="101" t="s">
        <v>71</v>
      </c>
      <c r="K402" s="80" t="s">
        <v>1347</v>
      </c>
      <c r="L402" s="101"/>
      <c r="M402" s="101" t="s">
        <v>1562</v>
      </c>
      <c r="N402" s="101">
        <v>1</v>
      </c>
      <c r="O402" s="101"/>
      <c r="P402" s="102">
        <v>60</v>
      </c>
      <c r="Q402" s="102">
        <v>2</v>
      </c>
      <c r="R402" s="102">
        <v>2</v>
      </c>
      <c r="S402" s="80"/>
      <c r="T402" s="101"/>
      <c r="U402" s="80"/>
    </row>
    <row r="403" spans="2:21" ht="12.75" hidden="1">
      <c r="B403" s="49" t="s">
        <v>1775</v>
      </c>
      <c r="C403" s="49" t="s">
        <v>31</v>
      </c>
      <c r="D403" s="81" t="s">
        <v>264</v>
      </c>
      <c r="E403" s="80" t="s">
        <v>265</v>
      </c>
      <c r="F403" s="81">
        <v>3</v>
      </c>
      <c r="G403" s="81">
        <v>2</v>
      </c>
      <c r="H403" s="81">
        <v>4</v>
      </c>
      <c r="I403" s="101" t="s">
        <v>71</v>
      </c>
      <c r="J403" s="101" t="s">
        <v>71</v>
      </c>
      <c r="K403" s="80" t="s">
        <v>156</v>
      </c>
      <c r="L403" s="101" t="s">
        <v>1491</v>
      </c>
      <c r="M403" s="101" t="s">
        <v>1562</v>
      </c>
      <c r="N403" s="101">
        <v>1</v>
      </c>
      <c r="O403" s="101">
        <v>60</v>
      </c>
      <c r="P403" s="102">
        <v>60</v>
      </c>
      <c r="Q403" s="102">
        <v>5</v>
      </c>
      <c r="R403" s="102">
        <v>5</v>
      </c>
      <c r="S403" s="80" t="s">
        <v>1583</v>
      </c>
      <c r="T403" s="101" t="s">
        <v>1564</v>
      </c>
      <c r="U403" s="80"/>
    </row>
    <row r="404" spans="2:21" ht="12.75" hidden="1">
      <c r="B404" s="49" t="s">
        <v>1775</v>
      </c>
      <c r="C404" s="49" t="s">
        <v>31</v>
      </c>
      <c r="D404" s="81" t="s">
        <v>873</v>
      </c>
      <c r="E404" s="80" t="s">
        <v>874</v>
      </c>
      <c r="F404" s="81">
        <v>3</v>
      </c>
      <c r="G404" s="81">
        <v>1</v>
      </c>
      <c r="H404" s="81">
        <v>5</v>
      </c>
      <c r="I404" s="101" t="s">
        <v>71</v>
      </c>
      <c r="J404" s="101" t="s">
        <v>71</v>
      </c>
      <c r="K404" s="80" t="s">
        <v>270</v>
      </c>
      <c r="L404" s="101" t="s">
        <v>1491</v>
      </c>
      <c r="M404" s="101" t="s">
        <v>1562</v>
      </c>
      <c r="N404" s="101">
        <v>1</v>
      </c>
      <c r="O404" s="101">
        <v>60</v>
      </c>
      <c r="P404" s="102">
        <v>60</v>
      </c>
      <c r="Q404" s="102">
        <v>4</v>
      </c>
      <c r="R404" s="102">
        <v>4</v>
      </c>
      <c r="S404" s="80"/>
      <c r="T404" s="101"/>
      <c r="U404" s="80"/>
    </row>
    <row r="405" spans="2:21" ht="12.75" hidden="1">
      <c r="B405" s="49" t="s">
        <v>1775</v>
      </c>
      <c r="C405" s="49" t="s">
        <v>31</v>
      </c>
      <c r="D405" s="81" t="s">
        <v>619</v>
      </c>
      <c r="E405" s="80" t="s">
        <v>620</v>
      </c>
      <c r="F405" s="81">
        <v>4</v>
      </c>
      <c r="G405" s="81">
        <v>0</v>
      </c>
      <c r="H405" s="81">
        <v>4</v>
      </c>
      <c r="I405" s="101" t="s">
        <v>71</v>
      </c>
      <c r="J405" s="101" t="s">
        <v>71</v>
      </c>
      <c r="K405" s="80" t="s">
        <v>72</v>
      </c>
      <c r="L405" s="101" t="s">
        <v>1491</v>
      </c>
      <c r="M405" s="101" t="s">
        <v>1562</v>
      </c>
      <c r="N405" s="101">
        <v>1</v>
      </c>
      <c r="O405" s="101">
        <v>60</v>
      </c>
      <c r="P405" s="102">
        <v>60</v>
      </c>
      <c r="Q405" s="102">
        <v>4</v>
      </c>
      <c r="R405" s="102">
        <v>4</v>
      </c>
      <c r="S405" s="80"/>
      <c r="T405" s="101"/>
      <c r="U405" s="80"/>
    </row>
    <row r="406" spans="2:21" ht="12.75" hidden="1">
      <c r="B406" s="49" t="s">
        <v>1775</v>
      </c>
      <c r="C406" s="49" t="s">
        <v>31</v>
      </c>
      <c r="D406" s="81" t="s">
        <v>1353</v>
      </c>
      <c r="E406" s="80" t="s">
        <v>1352</v>
      </c>
      <c r="F406" s="81">
        <v>3</v>
      </c>
      <c r="G406" s="81">
        <v>1</v>
      </c>
      <c r="H406" s="81">
        <v>4</v>
      </c>
      <c r="I406" s="101" t="s">
        <v>71</v>
      </c>
      <c r="J406" s="101" t="s">
        <v>71</v>
      </c>
      <c r="K406" s="80" t="s">
        <v>1354</v>
      </c>
      <c r="L406" s="101" t="s">
        <v>1491</v>
      </c>
      <c r="M406" s="101" t="s">
        <v>1562</v>
      </c>
      <c r="N406" s="101">
        <v>1</v>
      </c>
      <c r="O406" s="101">
        <v>60</v>
      </c>
      <c r="P406" s="102">
        <v>60</v>
      </c>
      <c r="Q406" s="102">
        <v>4</v>
      </c>
      <c r="R406" s="102">
        <v>4</v>
      </c>
      <c r="S406" s="80"/>
      <c r="T406" s="101"/>
      <c r="U406" s="80"/>
    </row>
    <row r="407" spans="2:21" ht="12.75" hidden="1">
      <c r="B407" s="49" t="s">
        <v>1775</v>
      </c>
      <c r="C407" s="49" t="s">
        <v>31</v>
      </c>
      <c r="D407" s="81" t="s">
        <v>266</v>
      </c>
      <c r="E407" s="80" t="s">
        <v>267</v>
      </c>
      <c r="F407" s="81">
        <v>3</v>
      </c>
      <c r="G407" s="81">
        <v>2</v>
      </c>
      <c r="H407" s="81">
        <v>4</v>
      </c>
      <c r="I407" s="101" t="s">
        <v>71</v>
      </c>
      <c r="J407" s="101" t="s">
        <v>71</v>
      </c>
      <c r="K407" s="80" t="s">
        <v>265</v>
      </c>
      <c r="L407" s="101" t="s">
        <v>1491</v>
      </c>
      <c r="M407" s="101" t="s">
        <v>1562</v>
      </c>
      <c r="N407" s="101">
        <v>1</v>
      </c>
      <c r="O407" s="101">
        <v>60</v>
      </c>
      <c r="P407" s="102">
        <v>60</v>
      </c>
      <c r="Q407" s="102">
        <v>5</v>
      </c>
      <c r="R407" s="102">
        <v>5</v>
      </c>
      <c r="S407" s="80" t="s">
        <v>1583</v>
      </c>
      <c r="T407" s="101" t="s">
        <v>1564</v>
      </c>
      <c r="U407" s="80"/>
    </row>
    <row r="408" spans="2:21" ht="12.75" hidden="1">
      <c r="B408" s="49" t="s">
        <v>1775</v>
      </c>
      <c r="C408" s="49" t="s">
        <v>31</v>
      </c>
      <c r="D408" s="81" t="s">
        <v>967</v>
      </c>
      <c r="E408" s="80" t="s">
        <v>968</v>
      </c>
      <c r="F408" s="81">
        <v>3</v>
      </c>
      <c r="G408" s="81">
        <v>1</v>
      </c>
      <c r="H408" s="81">
        <v>4</v>
      </c>
      <c r="I408" s="101" t="s">
        <v>71</v>
      </c>
      <c r="J408" s="101" t="s">
        <v>71</v>
      </c>
      <c r="K408" s="80" t="s">
        <v>117</v>
      </c>
      <c r="L408" s="101" t="s">
        <v>1491</v>
      </c>
      <c r="M408" s="101" t="s">
        <v>1562</v>
      </c>
      <c r="N408" s="101">
        <v>1</v>
      </c>
      <c r="O408" s="101">
        <v>60</v>
      </c>
      <c r="P408" s="102">
        <v>60</v>
      </c>
      <c r="Q408" s="102">
        <v>4</v>
      </c>
      <c r="R408" s="102">
        <v>4</v>
      </c>
      <c r="S408" s="80"/>
      <c r="T408" s="101"/>
      <c r="U408" s="80"/>
    </row>
    <row r="409" spans="2:21" ht="12.75" hidden="1">
      <c r="B409" s="49" t="s">
        <v>1775</v>
      </c>
      <c r="C409" s="49" t="s">
        <v>31</v>
      </c>
      <c r="D409" s="81" t="s">
        <v>1584</v>
      </c>
      <c r="E409" s="80" t="s">
        <v>116</v>
      </c>
      <c r="F409" s="81">
        <v>4</v>
      </c>
      <c r="G409" s="81">
        <v>0</v>
      </c>
      <c r="H409" s="81">
        <v>5</v>
      </c>
      <c r="I409" s="101" t="s">
        <v>71</v>
      </c>
      <c r="J409" s="101" t="s">
        <v>71</v>
      </c>
      <c r="K409" s="80" t="s">
        <v>329</v>
      </c>
      <c r="L409" s="101" t="s">
        <v>1491</v>
      </c>
      <c r="M409" s="101" t="s">
        <v>1562</v>
      </c>
      <c r="N409" s="101">
        <v>1</v>
      </c>
      <c r="O409" s="101">
        <v>60</v>
      </c>
      <c r="P409" s="102">
        <v>60</v>
      </c>
      <c r="Q409" s="102">
        <v>4</v>
      </c>
      <c r="R409" s="102">
        <v>4</v>
      </c>
      <c r="S409" s="80"/>
      <c r="T409" s="101"/>
      <c r="U409" s="80"/>
    </row>
    <row r="410" spans="2:21" ht="12.75" hidden="1">
      <c r="B410" s="49" t="s">
        <v>1775</v>
      </c>
      <c r="C410" s="49" t="s">
        <v>31</v>
      </c>
      <c r="D410" s="81" t="s">
        <v>1587</v>
      </c>
      <c r="E410" s="80" t="s">
        <v>429</v>
      </c>
      <c r="F410" s="81">
        <v>4</v>
      </c>
      <c r="G410" s="81">
        <v>0</v>
      </c>
      <c r="H410" s="81">
        <v>5</v>
      </c>
      <c r="I410" s="101" t="s">
        <v>71</v>
      </c>
      <c r="J410" s="101" t="s">
        <v>71</v>
      </c>
      <c r="K410" s="80" t="s">
        <v>72</v>
      </c>
      <c r="L410" s="101" t="s">
        <v>1488</v>
      </c>
      <c r="M410" s="101" t="s">
        <v>1562</v>
      </c>
      <c r="N410" s="101">
        <v>1</v>
      </c>
      <c r="O410" s="101">
        <v>60</v>
      </c>
      <c r="P410" s="102">
        <v>60</v>
      </c>
      <c r="Q410" s="102">
        <v>4</v>
      </c>
      <c r="R410" s="102">
        <v>4</v>
      </c>
      <c r="S410" s="80"/>
      <c r="T410" s="101"/>
      <c r="U410" s="80"/>
    </row>
    <row r="411" spans="2:21" ht="12.75" hidden="1">
      <c r="B411" s="49" t="s">
        <v>1775</v>
      </c>
      <c r="C411" s="49" t="s">
        <v>31</v>
      </c>
      <c r="D411" s="81" t="s">
        <v>842</v>
      </c>
      <c r="E411" s="80" t="s">
        <v>68</v>
      </c>
      <c r="F411" s="81">
        <v>3</v>
      </c>
      <c r="G411" s="81">
        <v>2</v>
      </c>
      <c r="H411" s="81">
        <v>4</v>
      </c>
      <c r="I411" s="101" t="s">
        <v>71</v>
      </c>
      <c r="J411" s="101" t="s">
        <v>71</v>
      </c>
      <c r="K411" s="80" t="s">
        <v>655</v>
      </c>
      <c r="L411" s="101" t="s">
        <v>1488</v>
      </c>
      <c r="M411" s="101" t="s">
        <v>1562</v>
      </c>
      <c r="N411" s="101">
        <v>2</v>
      </c>
      <c r="O411" s="101">
        <v>30</v>
      </c>
      <c r="P411" s="102">
        <v>60</v>
      </c>
      <c r="Q411" s="102">
        <v>10</v>
      </c>
      <c r="R411" s="102">
        <v>7</v>
      </c>
      <c r="S411" s="80"/>
      <c r="T411" s="101"/>
      <c r="U411" s="80"/>
    </row>
    <row r="412" spans="2:21" ht="12.75" hidden="1">
      <c r="B412" s="49" t="s">
        <v>1775</v>
      </c>
      <c r="C412" s="49" t="s">
        <v>31</v>
      </c>
      <c r="D412" s="81" t="s">
        <v>1588</v>
      </c>
      <c r="E412" s="80" t="s">
        <v>117</v>
      </c>
      <c r="F412" s="81">
        <v>3</v>
      </c>
      <c r="G412" s="81">
        <v>1</v>
      </c>
      <c r="H412" s="81">
        <v>5</v>
      </c>
      <c r="I412" s="101" t="s">
        <v>71</v>
      </c>
      <c r="J412" s="101" t="s">
        <v>71</v>
      </c>
      <c r="K412" s="80" t="s">
        <v>265</v>
      </c>
      <c r="L412" s="101" t="s">
        <v>1488</v>
      </c>
      <c r="M412" s="101" t="s">
        <v>1562</v>
      </c>
      <c r="N412" s="101">
        <v>1</v>
      </c>
      <c r="O412" s="101">
        <v>60</v>
      </c>
      <c r="P412" s="102">
        <v>60</v>
      </c>
      <c r="Q412" s="102">
        <v>4</v>
      </c>
      <c r="R412" s="102">
        <v>4</v>
      </c>
      <c r="S412" s="80"/>
      <c r="T412" s="101"/>
      <c r="U412" s="80"/>
    </row>
    <row r="413" spans="2:21" ht="12.75" hidden="1">
      <c r="B413" s="49" t="s">
        <v>1775</v>
      </c>
      <c r="C413" s="49" t="s">
        <v>31</v>
      </c>
      <c r="D413" s="81" t="s">
        <v>1589</v>
      </c>
      <c r="E413" s="80" t="s">
        <v>389</v>
      </c>
      <c r="F413" s="81">
        <v>2</v>
      </c>
      <c r="G413" s="81">
        <v>0</v>
      </c>
      <c r="H413" s="81">
        <v>4</v>
      </c>
      <c r="I413" s="101" t="s">
        <v>71</v>
      </c>
      <c r="J413" s="101" t="s">
        <v>71</v>
      </c>
      <c r="K413" s="80" t="s">
        <v>72</v>
      </c>
      <c r="L413" s="101" t="s">
        <v>1488</v>
      </c>
      <c r="M413" s="101" t="s">
        <v>1562</v>
      </c>
      <c r="N413" s="101">
        <v>1</v>
      </c>
      <c r="O413" s="101">
        <v>60</v>
      </c>
      <c r="P413" s="102">
        <v>60</v>
      </c>
      <c r="Q413" s="102">
        <v>2</v>
      </c>
      <c r="R413" s="102">
        <v>2</v>
      </c>
      <c r="S413" s="80"/>
      <c r="T413" s="101"/>
      <c r="U413" s="80"/>
    </row>
    <row r="414" spans="2:21" ht="12.75" hidden="1">
      <c r="B414" s="49" t="s">
        <v>1775</v>
      </c>
      <c r="C414" s="49" t="s">
        <v>31</v>
      </c>
      <c r="D414" s="81" t="s">
        <v>1355</v>
      </c>
      <c r="E414" s="80" t="s">
        <v>1356</v>
      </c>
      <c r="F414" s="81">
        <v>3</v>
      </c>
      <c r="G414" s="81">
        <v>1</v>
      </c>
      <c r="H414" s="81">
        <v>4</v>
      </c>
      <c r="I414" s="101" t="s">
        <v>71</v>
      </c>
      <c r="J414" s="101" t="s">
        <v>71</v>
      </c>
      <c r="K414" s="80" t="s">
        <v>1357</v>
      </c>
      <c r="L414" s="101" t="s">
        <v>1488</v>
      </c>
      <c r="M414" s="101" t="s">
        <v>1562</v>
      </c>
      <c r="N414" s="101">
        <v>1</v>
      </c>
      <c r="O414" s="101">
        <v>60</v>
      </c>
      <c r="P414" s="102">
        <v>60</v>
      </c>
      <c r="Q414" s="102">
        <v>4</v>
      </c>
      <c r="R414" s="102">
        <v>4</v>
      </c>
      <c r="S414" s="80"/>
      <c r="T414" s="101"/>
      <c r="U414" s="80"/>
    </row>
    <row r="415" spans="2:21" ht="12.75" hidden="1">
      <c r="B415" s="49" t="s">
        <v>1775</v>
      </c>
      <c r="C415" s="49" t="s">
        <v>31</v>
      </c>
      <c r="D415" s="81" t="s">
        <v>1590</v>
      </c>
      <c r="E415" s="80" t="s">
        <v>240</v>
      </c>
      <c r="F415" s="81">
        <v>3</v>
      </c>
      <c r="G415" s="81">
        <v>2</v>
      </c>
      <c r="H415" s="81">
        <v>4</v>
      </c>
      <c r="I415" s="101" t="s">
        <v>71</v>
      </c>
      <c r="J415" s="101" t="s">
        <v>71</v>
      </c>
      <c r="K415" s="80" t="s">
        <v>941</v>
      </c>
      <c r="L415" s="101" t="s">
        <v>1488</v>
      </c>
      <c r="M415" s="101" t="s">
        <v>1562</v>
      </c>
      <c r="N415" s="101">
        <v>2</v>
      </c>
      <c r="O415" s="101">
        <v>30</v>
      </c>
      <c r="P415" s="102">
        <v>60</v>
      </c>
      <c r="Q415" s="102">
        <v>10</v>
      </c>
      <c r="R415" s="102">
        <v>7</v>
      </c>
      <c r="S415" s="80"/>
      <c r="T415" s="101"/>
      <c r="U415" s="80"/>
    </row>
    <row r="416" spans="2:21" ht="12.75" hidden="1">
      <c r="B416" s="49" t="s">
        <v>1775</v>
      </c>
      <c r="C416" s="49" t="s">
        <v>31</v>
      </c>
      <c r="D416" s="81" t="s">
        <v>1585</v>
      </c>
      <c r="E416" s="80" t="s">
        <v>1586</v>
      </c>
      <c r="F416" s="81">
        <v>4</v>
      </c>
      <c r="G416" s="81">
        <v>0</v>
      </c>
      <c r="H416" s="81">
        <v>4</v>
      </c>
      <c r="I416" s="101" t="s">
        <v>73</v>
      </c>
      <c r="J416" s="101" t="s">
        <v>73</v>
      </c>
      <c r="K416" s="80"/>
      <c r="L416" s="101" t="s">
        <v>1488</v>
      </c>
      <c r="M416" s="101" t="s">
        <v>1562</v>
      </c>
      <c r="N416" s="101">
        <v>3</v>
      </c>
      <c r="O416" s="101">
        <v>30</v>
      </c>
      <c r="P416" s="102">
        <v>90</v>
      </c>
      <c r="Q416" s="102">
        <v>12</v>
      </c>
      <c r="R416" s="102">
        <v>12</v>
      </c>
      <c r="S416" s="80"/>
      <c r="T416" s="101"/>
      <c r="U416" s="80"/>
    </row>
    <row r="417" spans="2:21" ht="12.75" hidden="1">
      <c r="B417" s="49" t="s">
        <v>1775</v>
      </c>
      <c r="C417" s="49" t="s">
        <v>31</v>
      </c>
      <c r="D417" s="81" t="s">
        <v>1585</v>
      </c>
      <c r="E417" s="80" t="s">
        <v>1586</v>
      </c>
      <c r="F417" s="81">
        <v>4</v>
      </c>
      <c r="G417" s="81">
        <v>0</v>
      </c>
      <c r="H417" s="81">
        <v>4</v>
      </c>
      <c r="I417" s="101" t="s">
        <v>73</v>
      </c>
      <c r="J417" s="101" t="s">
        <v>73</v>
      </c>
      <c r="K417" s="80"/>
      <c r="L417" s="101" t="s">
        <v>1491</v>
      </c>
      <c r="M417" s="101" t="s">
        <v>1562</v>
      </c>
      <c r="N417" s="101">
        <v>4</v>
      </c>
      <c r="O417" s="101">
        <v>30</v>
      </c>
      <c r="P417" s="102">
        <v>120</v>
      </c>
      <c r="Q417" s="102">
        <v>16</v>
      </c>
      <c r="R417" s="102">
        <v>16</v>
      </c>
      <c r="S417" s="80"/>
      <c r="T417" s="101"/>
      <c r="U417" s="80"/>
    </row>
    <row r="418" spans="2:21" ht="12.75" hidden="1">
      <c r="B418" s="48" t="s">
        <v>1776</v>
      </c>
      <c r="C418" s="48" t="s">
        <v>32</v>
      </c>
      <c r="D418" s="81" t="s">
        <v>1239</v>
      </c>
      <c r="E418" s="80" t="s">
        <v>1240</v>
      </c>
      <c r="F418" s="81">
        <v>2</v>
      </c>
      <c r="G418" s="81">
        <v>2</v>
      </c>
      <c r="H418" s="81">
        <v>4</v>
      </c>
      <c r="I418" s="101" t="s">
        <v>71</v>
      </c>
      <c r="J418" s="101" t="s">
        <v>71</v>
      </c>
      <c r="K418" s="80" t="s">
        <v>1554</v>
      </c>
      <c r="L418" s="101" t="s">
        <v>1491</v>
      </c>
      <c r="M418" s="101" t="s">
        <v>1562</v>
      </c>
      <c r="N418" s="101">
        <v>1</v>
      </c>
      <c r="O418" s="101">
        <v>63</v>
      </c>
      <c r="P418" s="102">
        <v>63</v>
      </c>
      <c r="Q418" s="102">
        <v>4</v>
      </c>
      <c r="R418" s="102">
        <v>4</v>
      </c>
      <c r="S418" s="80"/>
      <c r="T418" s="101"/>
      <c r="U418" s="80"/>
    </row>
    <row r="419" spans="2:21" ht="12.75" hidden="1">
      <c r="B419" s="48" t="s">
        <v>1776</v>
      </c>
      <c r="C419" s="48" t="s">
        <v>32</v>
      </c>
      <c r="D419" s="81" t="s">
        <v>344</v>
      </c>
      <c r="E419" s="80" t="s">
        <v>345</v>
      </c>
      <c r="F419" s="81">
        <v>2</v>
      </c>
      <c r="G419" s="81">
        <v>2</v>
      </c>
      <c r="H419" s="81">
        <v>5</v>
      </c>
      <c r="I419" s="101" t="s">
        <v>71</v>
      </c>
      <c r="J419" s="101" t="s">
        <v>71</v>
      </c>
      <c r="K419" s="80" t="s">
        <v>346</v>
      </c>
      <c r="L419" s="101" t="s">
        <v>1491</v>
      </c>
      <c r="M419" s="101" t="s">
        <v>1562</v>
      </c>
      <c r="N419" s="101">
        <v>1</v>
      </c>
      <c r="O419" s="101">
        <v>63</v>
      </c>
      <c r="P419" s="102">
        <v>63</v>
      </c>
      <c r="Q419" s="102">
        <v>4</v>
      </c>
      <c r="R419" s="102">
        <v>4</v>
      </c>
      <c r="S419" s="80"/>
      <c r="T419" s="101"/>
      <c r="U419" s="80"/>
    </row>
    <row r="420" spans="2:21" ht="12.75" hidden="1">
      <c r="B420" s="48" t="s">
        <v>1776</v>
      </c>
      <c r="C420" s="48" t="s">
        <v>32</v>
      </c>
      <c r="D420" s="81" t="s">
        <v>457</v>
      </c>
      <c r="E420" s="80" t="s">
        <v>458</v>
      </c>
      <c r="F420" s="81">
        <v>2</v>
      </c>
      <c r="G420" s="81">
        <v>2</v>
      </c>
      <c r="H420" s="81">
        <v>4</v>
      </c>
      <c r="I420" s="101" t="s">
        <v>71</v>
      </c>
      <c r="J420" s="101" t="s">
        <v>71</v>
      </c>
      <c r="K420" s="80" t="s">
        <v>459</v>
      </c>
      <c r="L420" s="101" t="s">
        <v>1491</v>
      </c>
      <c r="M420" s="101" t="s">
        <v>1562</v>
      </c>
      <c r="N420" s="101">
        <v>1</v>
      </c>
      <c r="O420" s="101">
        <v>63</v>
      </c>
      <c r="P420" s="102">
        <v>63</v>
      </c>
      <c r="Q420" s="102">
        <v>4</v>
      </c>
      <c r="R420" s="102">
        <v>4</v>
      </c>
      <c r="S420" s="80"/>
      <c r="T420" s="101"/>
      <c r="U420" s="80"/>
    </row>
    <row r="421" spans="2:21" ht="12.75" hidden="1">
      <c r="B421" s="48" t="s">
        <v>1776</v>
      </c>
      <c r="C421" s="48" t="s">
        <v>32</v>
      </c>
      <c r="D421" s="81" t="s">
        <v>978</v>
      </c>
      <c r="E421" s="80" t="s">
        <v>1547</v>
      </c>
      <c r="F421" s="81">
        <v>3</v>
      </c>
      <c r="G421" s="81">
        <v>1</v>
      </c>
      <c r="H421" s="81">
        <v>4</v>
      </c>
      <c r="I421" s="101" t="s">
        <v>71</v>
      </c>
      <c r="J421" s="101" t="s">
        <v>71</v>
      </c>
      <c r="K421" s="80" t="s">
        <v>76</v>
      </c>
      <c r="L421" s="101" t="s">
        <v>1491</v>
      </c>
      <c r="M421" s="101" t="s">
        <v>1562</v>
      </c>
      <c r="N421" s="101">
        <v>1</v>
      </c>
      <c r="O421" s="101">
        <v>63</v>
      </c>
      <c r="P421" s="102">
        <v>63</v>
      </c>
      <c r="Q421" s="102">
        <v>4</v>
      </c>
      <c r="R421" s="102">
        <v>4</v>
      </c>
      <c r="S421" s="80"/>
      <c r="T421" s="101"/>
      <c r="U421" s="80"/>
    </row>
    <row r="422" spans="2:21" ht="12.75" hidden="1">
      <c r="B422" s="48" t="s">
        <v>1776</v>
      </c>
      <c r="C422" s="48" t="s">
        <v>32</v>
      </c>
      <c r="D422" s="81" t="s">
        <v>530</v>
      </c>
      <c r="E422" s="80" t="s">
        <v>1555</v>
      </c>
      <c r="F422" s="81">
        <v>2</v>
      </c>
      <c r="G422" s="81">
        <v>2</v>
      </c>
      <c r="H422" s="81">
        <v>4</v>
      </c>
      <c r="I422" s="101" t="s">
        <v>71</v>
      </c>
      <c r="J422" s="101" t="s">
        <v>71</v>
      </c>
      <c r="K422" s="80" t="s">
        <v>76</v>
      </c>
      <c r="L422" s="101" t="s">
        <v>1491</v>
      </c>
      <c r="M422" s="101" t="s">
        <v>1562</v>
      </c>
      <c r="N422" s="101">
        <v>1</v>
      </c>
      <c r="O422" s="101">
        <v>63</v>
      </c>
      <c r="P422" s="102">
        <v>63</v>
      </c>
      <c r="Q422" s="102">
        <v>4</v>
      </c>
      <c r="R422" s="102">
        <v>4</v>
      </c>
      <c r="S422" s="80"/>
      <c r="T422" s="101"/>
      <c r="U422" s="80"/>
    </row>
    <row r="423" spans="2:21" ht="12.75" hidden="1">
      <c r="B423" s="48" t="s">
        <v>1776</v>
      </c>
      <c r="C423" s="48" t="s">
        <v>32</v>
      </c>
      <c r="D423" s="81" t="s">
        <v>1125</v>
      </c>
      <c r="E423" s="80" t="s">
        <v>755</v>
      </c>
      <c r="F423" s="81">
        <v>2</v>
      </c>
      <c r="G423" s="81">
        <v>2</v>
      </c>
      <c r="H423" s="81">
        <v>4</v>
      </c>
      <c r="I423" s="101" t="s">
        <v>71</v>
      </c>
      <c r="J423" s="101" t="s">
        <v>71</v>
      </c>
      <c r="K423" s="80" t="s">
        <v>76</v>
      </c>
      <c r="L423" s="101" t="s">
        <v>1491</v>
      </c>
      <c r="M423" s="101" t="s">
        <v>1562</v>
      </c>
      <c r="N423" s="101">
        <v>1</v>
      </c>
      <c r="O423" s="101">
        <v>63</v>
      </c>
      <c r="P423" s="102">
        <v>63</v>
      </c>
      <c r="Q423" s="102">
        <v>4</v>
      </c>
      <c r="R423" s="102">
        <v>4</v>
      </c>
      <c r="S423" s="80"/>
      <c r="T423" s="101"/>
      <c r="U423" s="80"/>
    </row>
    <row r="424" spans="2:21" ht="12.75" hidden="1">
      <c r="B424" s="48" t="s">
        <v>1776</v>
      </c>
      <c r="C424" s="48" t="s">
        <v>32</v>
      </c>
      <c r="D424" s="81" t="s">
        <v>1136</v>
      </c>
      <c r="E424" s="80" t="s">
        <v>919</v>
      </c>
      <c r="F424" s="81">
        <v>4</v>
      </c>
      <c r="G424" s="81">
        <v>0</v>
      </c>
      <c r="H424" s="81">
        <v>5</v>
      </c>
      <c r="I424" s="101" t="s">
        <v>71</v>
      </c>
      <c r="J424" s="101" t="s">
        <v>71</v>
      </c>
      <c r="K424" s="80" t="s">
        <v>76</v>
      </c>
      <c r="L424" s="101" t="s">
        <v>1491</v>
      </c>
      <c r="M424" s="101" t="s">
        <v>1562</v>
      </c>
      <c r="N424" s="101">
        <v>1</v>
      </c>
      <c r="O424" s="101">
        <v>63</v>
      </c>
      <c r="P424" s="102">
        <v>63</v>
      </c>
      <c r="Q424" s="102">
        <v>4</v>
      </c>
      <c r="R424" s="102">
        <v>4</v>
      </c>
      <c r="S424" s="80"/>
      <c r="T424" s="101"/>
      <c r="U424" s="80"/>
    </row>
    <row r="425" spans="2:21" ht="12.75" hidden="1">
      <c r="B425" s="48" t="s">
        <v>1776</v>
      </c>
      <c r="C425" s="48" t="s">
        <v>32</v>
      </c>
      <c r="D425" s="81" t="s">
        <v>453</v>
      </c>
      <c r="E425" s="80" t="s">
        <v>454</v>
      </c>
      <c r="F425" s="81">
        <v>4</v>
      </c>
      <c r="G425" s="81">
        <v>0</v>
      </c>
      <c r="H425" s="81">
        <v>5</v>
      </c>
      <c r="I425" s="101" t="s">
        <v>73</v>
      </c>
      <c r="J425" s="101" t="s">
        <v>73</v>
      </c>
      <c r="K425" s="80" t="s">
        <v>455</v>
      </c>
      <c r="L425" s="101" t="s">
        <v>1491</v>
      </c>
      <c r="M425" s="101" t="s">
        <v>1562</v>
      </c>
      <c r="N425" s="101">
        <v>1</v>
      </c>
      <c r="O425" s="101">
        <v>63</v>
      </c>
      <c r="P425" s="102">
        <v>63</v>
      </c>
      <c r="Q425" s="102">
        <v>4</v>
      </c>
      <c r="R425" s="102">
        <v>4</v>
      </c>
      <c r="S425" s="80"/>
      <c r="T425" s="101"/>
      <c r="U425" s="80"/>
    </row>
    <row r="426" spans="2:21" ht="12.75" hidden="1">
      <c r="B426" s="48" t="s">
        <v>1776</v>
      </c>
      <c r="C426" s="48" t="s">
        <v>32</v>
      </c>
      <c r="D426" s="81" t="s">
        <v>274</v>
      </c>
      <c r="E426" s="80" t="s">
        <v>275</v>
      </c>
      <c r="F426" s="81">
        <v>2</v>
      </c>
      <c r="G426" s="81">
        <v>0</v>
      </c>
      <c r="H426" s="81">
        <v>3</v>
      </c>
      <c r="I426" s="101" t="s">
        <v>73</v>
      </c>
      <c r="J426" s="101" t="s">
        <v>73</v>
      </c>
      <c r="K426" s="80" t="s">
        <v>276</v>
      </c>
      <c r="L426" s="101" t="s">
        <v>1491</v>
      </c>
      <c r="M426" s="101" t="s">
        <v>1562</v>
      </c>
      <c r="N426" s="101">
        <v>1</v>
      </c>
      <c r="O426" s="101">
        <v>63</v>
      </c>
      <c r="P426" s="102">
        <v>63</v>
      </c>
      <c r="Q426" s="102">
        <v>2</v>
      </c>
      <c r="R426" s="102">
        <v>2</v>
      </c>
      <c r="S426" s="80"/>
      <c r="T426" s="101"/>
      <c r="U426" s="80"/>
    </row>
    <row r="427" spans="2:21" ht="12.75" hidden="1">
      <c r="B427" s="48" t="s">
        <v>1776</v>
      </c>
      <c r="C427" s="48" t="s">
        <v>32</v>
      </c>
      <c r="D427" s="81" t="s">
        <v>1239</v>
      </c>
      <c r="E427" s="80" t="s">
        <v>1240</v>
      </c>
      <c r="F427" s="81">
        <v>2</v>
      </c>
      <c r="G427" s="81">
        <v>2</v>
      </c>
      <c r="H427" s="81">
        <v>4</v>
      </c>
      <c r="I427" s="101" t="s">
        <v>71</v>
      </c>
      <c r="J427" s="101" t="s">
        <v>71</v>
      </c>
      <c r="K427" s="80" t="s">
        <v>1554</v>
      </c>
      <c r="L427" s="101" t="s">
        <v>1488</v>
      </c>
      <c r="M427" s="101" t="s">
        <v>1562</v>
      </c>
      <c r="N427" s="101">
        <v>1</v>
      </c>
      <c r="O427" s="101">
        <v>62</v>
      </c>
      <c r="P427" s="102">
        <v>62</v>
      </c>
      <c r="Q427" s="102">
        <v>4</v>
      </c>
      <c r="R427" s="102">
        <v>4</v>
      </c>
      <c r="S427" s="80"/>
      <c r="T427" s="101"/>
      <c r="U427" s="80"/>
    </row>
    <row r="428" spans="2:21" ht="12.75" hidden="1">
      <c r="B428" s="48" t="s">
        <v>1776</v>
      </c>
      <c r="C428" s="48" t="s">
        <v>32</v>
      </c>
      <c r="D428" s="81" t="s">
        <v>344</v>
      </c>
      <c r="E428" s="80" t="s">
        <v>345</v>
      </c>
      <c r="F428" s="81">
        <v>2</v>
      </c>
      <c r="G428" s="81">
        <v>2</v>
      </c>
      <c r="H428" s="81">
        <v>5</v>
      </c>
      <c r="I428" s="101" t="s">
        <v>71</v>
      </c>
      <c r="J428" s="101" t="s">
        <v>71</v>
      </c>
      <c r="K428" s="80" t="s">
        <v>346</v>
      </c>
      <c r="L428" s="101" t="s">
        <v>1488</v>
      </c>
      <c r="M428" s="101" t="s">
        <v>1562</v>
      </c>
      <c r="N428" s="101">
        <v>1</v>
      </c>
      <c r="O428" s="101">
        <v>62</v>
      </c>
      <c r="P428" s="102">
        <v>62</v>
      </c>
      <c r="Q428" s="102">
        <v>4</v>
      </c>
      <c r="R428" s="102">
        <v>4</v>
      </c>
      <c r="S428" s="80"/>
      <c r="T428" s="101"/>
      <c r="U428" s="80"/>
    </row>
    <row r="429" spans="2:21" ht="12.75" hidden="1">
      <c r="B429" s="48" t="s">
        <v>1776</v>
      </c>
      <c r="C429" s="48" t="s">
        <v>32</v>
      </c>
      <c r="D429" s="81" t="s">
        <v>457</v>
      </c>
      <c r="E429" s="80" t="s">
        <v>458</v>
      </c>
      <c r="F429" s="81">
        <v>2</v>
      </c>
      <c r="G429" s="81">
        <v>2</v>
      </c>
      <c r="H429" s="81">
        <v>4</v>
      </c>
      <c r="I429" s="101" t="s">
        <v>71</v>
      </c>
      <c r="J429" s="101" t="s">
        <v>71</v>
      </c>
      <c r="K429" s="80" t="s">
        <v>459</v>
      </c>
      <c r="L429" s="101" t="s">
        <v>1488</v>
      </c>
      <c r="M429" s="101" t="s">
        <v>1562</v>
      </c>
      <c r="N429" s="101">
        <v>1</v>
      </c>
      <c r="O429" s="101">
        <v>62</v>
      </c>
      <c r="P429" s="102">
        <v>62</v>
      </c>
      <c r="Q429" s="102">
        <v>4</v>
      </c>
      <c r="R429" s="102">
        <v>4</v>
      </c>
      <c r="S429" s="80"/>
      <c r="T429" s="101"/>
      <c r="U429" s="80"/>
    </row>
    <row r="430" spans="2:21" ht="12.75" hidden="1">
      <c r="B430" s="48" t="s">
        <v>1776</v>
      </c>
      <c r="C430" s="48" t="s">
        <v>32</v>
      </c>
      <c r="D430" s="81" t="s">
        <v>978</v>
      </c>
      <c r="E430" s="80" t="s">
        <v>1547</v>
      </c>
      <c r="F430" s="81">
        <v>3</v>
      </c>
      <c r="G430" s="81">
        <v>1</v>
      </c>
      <c r="H430" s="81">
        <v>4</v>
      </c>
      <c r="I430" s="101" t="s">
        <v>71</v>
      </c>
      <c r="J430" s="101" t="s">
        <v>71</v>
      </c>
      <c r="K430" s="80" t="s">
        <v>76</v>
      </c>
      <c r="L430" s="101" t="s">
        <v>1488</v>
      </c>
      <c r="M430" s="101" t="s">
        <v>1562</v>
      </c>
      <c r="N430" s="101">
        <v>1</v>
      </c>
      <c r="O430" s="101">
        <v>62</v>
      </c>
      <c r="P430" s="102">
        <v>62</v>
      </c>
      <c r="Q430" s="102">
        <v>4</v>
      </c>
      <c r="R430" s="102">
        <v>4</v>
      </c>
      <c r="S430" s="80"/>
      <c r="T430" s="101"/>
      <c r="U430" s="80"/>
    </row>
    <row r="431" spans="2:21" ht="12.75" hidden="1">
      <c r="B431" s="48" t="s">
        <v>1776</v>
      </c>
      <c r="C431" s="48" t="s">
        <v>32</v>
      </c>
      <c r="D431" s="81" t="s">
        <v>530</v>
      </c>
      <c r="E431" s="80" t="s">
        <v>1555</v>
      </c>
      <c r="F431" s="81">
        <v>2</v>
      </c>
      <c r="G431" s="81">
        <v>2</v>
      </c>
      <c r="H431" s="81">
        <v>4</v>
      </c>
      <c r="I431" s="101" t="s">
        <v>71</v>
      </c>
      <c r="J431" s="101" t="s">
        <v>71</v>
      </c>
      <c r="K431" s="80" t="s">
        <v>76</v>
      </c>
      <c r="L431" s="101" t="s">
        <v>1488</v>
      </c>
      <c r="M431" s="101" t="s">
        <v>1562</v>
      </c>
      <c r="N431" s="101">
        <v>1</v>
      </c>
      <c r="O431" s="101">
        <v>62</v>
      </c>
      <c r="P431" s="102">
        <v>62</v>
      </c>
      <c r="Q431" s="102">
        <v>4</v>
      </c>
      <c r="R431" s="102">
        <v>4</v>
      </c>
      <c r="S431" s="80"/>
      <c r="T431" s="101"/>
      <c r="U431" s="80"/>
    </row>
    <row r="432" spans="2:21" ht="12.75" hidden="1">
      <c r="B432" s="48" t="s">
        <v>1776</v>
      </c>
      <c r="C432" s="48" t="s">
        <v>32</v>
      </c>
      <c r="D432" s="81" t="s">
        <v>805</v>
      </c>
      <c r="E432" s="80" t="s">
        <v>1548</v>
      </c>
      <c r="F432" s="81">
        <v>4</v>
      </c>
      <c r="G432" s="81">
        <v>2</v>
      </c>
      <c r="H432" s="81">
        <v>4</v>
      </c>
      <c r="I432" s="101" t="s">
        <v>71</v>
      </c>
      <c r="J432" s="101" t="s">
        <v>71</v>
      </c>
      <c r="K432" s="80" t="s">
        <v>149</v>
      </c>
      <c r="L432" s="101" t="s">
        <v>1488</v>
      </c>
      <c r="M432" s="101" t="s">
        <v>1562</v>
      </c>
      <c r="N432" s="101">
        <v>1</v>
      </c>
      <c r="O432" s="101">
        <v>62</v>
      </c>
      <c r="P432" s="102">
        <v>62</v>
      </c>
      <c r="Q432" s="102">
        <v>6</v>
      </c>
      <c r="R432" s="102">
        <v>6</v>
      </c>
      <c r="S432" s="80"/>
      <c r="T432" s="101"/>
      <c r="U432" s="80"/>
    </row>
    <row r="433" spans="1:21" ht="12.75" hidden="1">
      <c r="B433" s="48" t="s">
        <v>1776</v>
      </c>
      <c r="C433" s="48" t="s">
        <v>32</v>
      </c>
      <c r="D433" s="81" t="s">
        <v>1125</v>
      </c>
      <c r="E433" s="80" t="s">
        <v>755</v>
      </c>
      <c r="F433" s="81">
        <v>2</v>
      </c>
      <c r="G433" s="81">
        <v>2</v>
      </c>
      <c r="H433" s="81">
        <v>4</v>
      </c>
      <c r="I433" s="101" t="s">
        <v>71</v>
      </c>
      <c r="J433" s="101" t="s">
        <v>71</v>
      </c>
      <c r="K433" s="80" t="s">
        <v>76</v>
      </c>
      <c r="L433" s="101" t="s">
        <v>1488</v>
      </c>
      <c r="M433" s="101" t="s">
        <v>1562</v>
      </c>
      <c r="N433" s="101">
        <v>1</v>
      </c>
      <c r="O433" s="101">
        <v>62</v>
      </c>
      <c r="P433" s="102">
        <v>62</v>
      </c>
      <c r="Q433" s="102">
        <v>4</v>
      </c>
      <c r="R433" s="102">
        <v>4</v>
      </c>
      <c r="S433" s="80"/>
      <c r="T433" s="101"/>
      <c r="U433" s="80"/>
    </row>
    <row r="434" spans="1:21" ht="12.75" hidden="1">
      <c r="B434" s="48" t="s">
        <v>1776</v>
      </c>
      <c r="C434" s="48" t="s">
        <v>32</v>
      </c>
      <c r="D434" s="81" t="s">
        <v>1136</v>
      </c>
      <c r="E434" s="80" t="s">
        <v>919</v>
      </c>
      <c r="F434" s="81">
        <v>4</v>
      </c>
      <c r="G434" s="81">
        <v>0</v>
      </c>
      <c r="H434" s="81">
        <v>5</v>
      </c>
      <c r="I434" s="101" t="s">
        <v>71</v>
      </c>
      <c r="J434" s="101" t="s">
        <v>71</v>
      </c>
      <c r="K434" s="80" t="s">
        <v>76</v>
      </c>
      <c r="L434" s="101" t="s">
        <v>1488</v>
      </c>
      <c r="M434" s="101" t="s">
        <v>1562</v>
      </c>
      <c r="N434" s="101">
        <v>1</v>
      </c>
      <c r="O434" s="101">
        <v>62</v>
      </c>
      <c r="P434" s="102">
        <v>62</v>
      </c>
      <c r="Q434" s="102">
        <v>4</v>
      </c>
      <c r="R434" s="102">
        <v>4</v>
      </c>
      <c r="S434" s="80"/>
      <c r="T434" s="101"/>
      <c r="U434" s="80"/>
    </row>
    <row r="435" spans="1:21" ht="12.75" hidden="1">
      <c r="B435" s="48" t="s">
        <v>1776</v>
      </c>
      <c r="C435" s="48" t="s">
        <v>32</v>
      </c>
      <c r="D435" s="81" t="s">
        <v>453</v>
      </c>
      <c r="E435" s="80" t="s">
        <v>454</v>
      </c>
      <c r="F435" s="81">
        <v>4</v>
      </c>
      <c r="G435" s="81">
        <v>0</v>
      </c>
      <c r="H435" s="81">
        <v>5</v>
      </c>
      <c r="I435" s="101" t="s">
        <v>73</v>
      </c>
      <c r="J435" s="101" t="s">
        <v>73</v>
      </c>
      <c r="K435" s="80" t="s">
        <v>455</v>
      </c>
      <c r="L435" s="101" t="s">
        <v>1488</v>
      </c>
      <c r="M435" s="101" t="s">
        <v>1562</v>
      </c>
      <c r="N435" s="101">
        <v>1</v>
      </c>
      <c r="O435" s="101">
        <v>62</v>
      </c>
      <c r="P435" s="102">
        <v>62</v>
      </c>
      <c r="Q435" s="102">
        <v>4</v>
      </c>
      <c r="R435" s="102">
        <v>4</v>
      </c>
      <c r="S435" s="80"/>
      <c r="T435" s="101"/>
      <c r="U435" s="80"/>
    </row>
    <row r="436" spans="1:21" ht="12.75" hidden="1">
      <c r="B436" s="48" t="s">
        <v>1776</v>
      </c>
      <c r="C436" s="48" t="s">
        <v>32</v>
      </c>
      <c r="D436" s="81" t="s">
        <v>274</v>
      </c>
      <c r="E436" s="80" t="s">
        <v>275</v>
      </c>
      <c r="F436" s="81">
        <v>2</v>
      </c>
      <c r="G436" s="81">
        <v>0</v>
      </c>
      <c r="H436" s="81">
        <v>3</v>
      </c>
      <c r="I436" s="101" t="s">
        <v>73</v>
      </c>
      <c r="J436" s="101" t="s">
        <v>73</v>
      </c>
      <c r="K436" s="80" t="s">
        <v>276</v>
      </c>
      <c r="L436" s="101" t="s">
        <v>1488</v>
      </c>
      <c r="M436" s="101" t="s">
        <v>1562</v>
      </c>
      <c r="N436" s="101">
        <v>1</v>
      </c>
      <c r="O436" s="101">
        <v>62</v>
      </c>
      <c r="P436" s="102">
        <v>62</v>
      </c>
      <c r="Q436" s="102">
        <v>2</v>
      </c>
      <c r="R436" s="102">
        <v>2</v>
      </c>
      <c r="S436" s="80"/>
      <c r="T436" s="101"/>
      <c r="U436" s="80"/>
    </row>
    <row r="437" spans="1:21" ht="12.75" hidden="1">
      <c r="B437" s="48" t="s">
        <v>1776</v>
      </c>
      <c r="C437" s="48" t="s">
        <v>32</v>
      </c>
      <c r="D437" s="81" t="s">
        <v>690</v>
      </c>
      <c r="E437" s="80" t="s">
        <v>691</v>
      </c>
      <c r="F437" s="81">
        <v>2</v>
      </c>
      <c r="G437" s="81">
        <v>0</v>
      </c>
      <c r="H437" s="81">
        <v>2</v>
      </c>
      <c r="I437" s="101" t="s">
        <v>73</v>
      </c>
      <c r="J437" s="101" t="s">
        <v>73</v>
      </c>
      <c r="K437" s="80" t="s">
        <v>76</v>
      </c>
      <c r="L437" s="101" t="s">
        <v>1488</v>
      </c>
      <c r="M437" s="101" t="s">
        <v>1562</v>
      </c>
      <c r="N437" s="101">
        <v>1</v>
      </c>
      <c r="O437" s="101">
        <v>62</v>
      </c>
      <c r="P437" s="102">
        <v>62</v>
      </c>
      <c r="Q437" s="102">
        <v>2</v>
      </c>
      <c r="R437" s="102">
        <v>2</v>
      </c>
      <c r="S437" s="80"/>
      <c r="T437" s="101"/>
      <c r="U437" s="80"/>
    </row>
    <row r="438" spans="1:21" ht="12.75" hidden="1">
      <c r="A438" s="1" t="s">
        <v>1672</v>
      </c>
      <c r="B438" s="52" t="s">
        <v>1777</v>
      </c>
      <c r="C438" s="52" t="s">
        <v>33</v>
      </c>
      <c r="D438" s="84" t="s">
        <v>1573</v>
      </c>
      <c r="E438" s="80" t="s">
        <v>1061</v>
      </c>
      <c r="F438" s="81">
        <v>4</v>
      </c>
      <c r="G438" s="81">
        <v>0</v>
      </c>
      <c r="H438" s="81">
        <v>4</v>
      </c>
      <c r="I438" s="101" t="s">
        <v>71</v>
      </c>
      <c r="J438" s="101" t="s">
        <v>71</v>
      </c>
      <c r="K438" s="80" t="s">
        <v>227</v>
      </c>
      <c r="L438" s="101" t="s">
        <v>1488</v>
      </c>
      <c r="M438" s="101" t="s">
        <v>1562</v>
      </c>
      <c r="N438" s="101">
        <v>1</v>
      </c>
      <c r="O438" s="101">
        <v>60</v>
      </c>
      <c r="P438" s="102">
        <v>60</v>
      </c>
      <c r="Q438" s="102">
        <v>4</v>
      </c>
      <c r="R438" s="102">
        <v>4</v>
      </c>
      <c r="S438" s="85"/>
      <c r="T438" s="97"/>
      <c r="U438" s="85"/>
    </row>
    <row r="439" spans="1:21" ht="12.75" hidden="1">
      <c r="A439" s="1" t="s">
        <v>1672</v>
      </c>
      <c r="B439" s="52" t="s">
        <v>1777</v>
      </c>
      <c r="C439" s="52" t="s">
        <v>33</v>
      </c>
      <c r="D439" s="84" t="s">
        <v>1573</v>
      </c>
      <c r="E439" s="80" t="s">
        <v>1061</v>
      </c>
      <c r="F439" s="81">
        <v>4</v>
      </c>
      <c r="G439" s="81">
        <v>0</v>
      </c>
      <c r="H439" s="81">
        <v>4</v>
      </c>
      <c r="I439" s="101" t="s">
        <v>71</v>
      </c>
      <c r="J439" s="101" t="s">
        <v>71</v>
      </c>
      <c r="K439" s="80" t="s">
        <v>227</v>
      </c>
      <c r="L439" s="101" t="s">
        <v>1491</v>
      </c>
      <c r="M439" s="101" t="s">
        <v>1562</v>
      </c>
      <c r="N439" s="101">
        <v>1</v>
      </c>
      <c r="O439" s="101">
        <v>60</v>
      </c>
      <c r="P439" s="102">
        <v>60</v>
      </c>
      <c r="Q439" s="102">
        <v>4</v>
      </c>
      <c r="R439" s="102">
        <v>4</v>
      </c>
      <c r="S439" s="85"/>
      <c r="T439" s="97"/>
      <c r="U439" s="85"/>
    </row>
    <row r="440" spans="1:21" ht="12.75" hidden="1">
      <c r="B440" s="52" t="s">
        <v>1777</v>
      </c>
      <c r="C440" s="52" t="s">
        <v>33</v>
      </c>
      <c r="D440" s="84" t="s">
        <v>264</v>
      </c>
      <c r="E440" s="80" t="s">
        <v>265</v>
      </c>
      <c r="F440" s="81">
        <v>3</v>
      </c>
      <c r="G440" s="81">
        <v>2</v>
      </c>
      <c r="H440" s="81">
        <v>4</v>
      </c>
      <c r="I440" s="101" t="s">
        <v>71</v>
      </c>
      <c r="J440" s="101" t="s">
        <v>71</v>
      </c>
      <c r="K440" s="80" t="s">
        <v>156</v>
      </c>
      <c r="L440" s="101" t="s">
        <v>1488</v>
      </c>
      <c r="M440" s="101" t="s">
        <v>1562</v>
      </c>
      <c r="N440" s="101">
        <v>1</v>
      </c>
      <c r="O440" s="101">
        <v>60</v>
      </c>
      <c r="P440" s="102">
        <v>60</v>
      </c>
      <c r="Q440" s="102">
        <v>5</v>
      </c>
      <c r="R440" s="102">
        <v>5</v>
      </c>
      <c r="S440" s="85" t="s">
        <v>1504</v>
      </c>
      <c r="T440" s="97" t="s">
        <v>1505</v>
      </c>
      <c r="U440" s="85"/>
    </row>
    <row r="441" spans="1:21" ht="12.75" hidden="1">
      <c r="B441" s="52" t="s">
        <v>1777</v>
      </c>
      <c r="C441" s="52" t="s">
        <v>33</v>
      </c>
      <c r="D441" s="84" t="s">
        <v>264</v>
      </c>
      <c r="E441" s="80" t="s">
        <v>265</v>
      </c>
      <c r="F441" s="81">
        <v>3</v>
      </c>
      <c r="G441" s="81">
        <v>2</v>
      </c>
      <c r="H441" s="81">
        <v>4</v>
      </c>
      <c r="I441" s="101" t="s">
        <v>71</v>
      </c>
      <c r="J441" s="101" t="s">
        <v>71</v>
      </c>
      <c r="K441" s="80" t="s">
        <v>156</v>
      </c>
      <c r="L441" s="101" t="s">
        <v>1491</v>
      </c>
      <c r="M441" s="101" t="s">
        <v>1562</v>
      </c>
      <c r="N441" s="101">
        <v>1</v>
      </c>
      <c r="O441" s="101">
        <v>60</v>
      </c>
      <c r="P441" s="102">
        <v>60</v>
      </c>
      <c r="Q441" s="102">
        <v>5</v>
      </c>
      <c r="R441" s="102">
        <v>5</v>
      </c>
      <c r="S441" s="85" t="s">
        <v>1504</v>
      </c>
      <c r="T441" s="97" t="s">
        <v>1505</v>
      </c>
      <c r="U441" s="85"/>
    </row>
    <row r="442" spans="1:21" ht="12.75" hidden="1">
      <c r="B442" s="52" t="s">
        <v>1777</v>
      </c>
      <c r="C442" s="52" t="s">
        <v>33</v>
      </c>
      <c r="D442" s="84" t="s">
        <v>293</v>
      </c>
      <c r="E442" s="80" t="s">
        <v>294</v>
      </c>
      <c r="F442" s="81">
        <v>3</v>
      </c>
      <c r="G442" s="81">
        <v>1</v>
      </c>
      <c r="H442" s="81">
        <v>4</v>
      </c>
      <c r="I442" s="101" t="s">
        <v>71</v>
      </c>
      <c r="J442" s="101" t="s">
        <v>71</v>
      </c>
      <c r="K442" s="80" t="s">
        <v>295</v>
      </c>
      <c r="L442" s="101" t="s">
        <v>1488</v>
      </c>
      <c r="M442" s="101" t="s">
        <v>1562</v>
      </c>
      <c r="N442" s="101">
        <v>1</v>
      </c>
      <c r="O442" s="101">
        <v>30</v>
      </c>
      <c r="P442" s="102">
        <v>30</v>
      </c>
      <c r="Q442" s="102">
        <v>4</v>
      </c>
      <c r="R442" s="102">
        <v>4</v>
      </c>
      <c r="S442" s="85" t="s">
        <v>1504</v>
      </c>
      <c r="T442" s="97" t="s">
        <v>1505</v>
      </c>
      <c r="U442" s="85"/>
    </row>
    <row r="443" spans="1:21" ht="12.75" hidden="1">
      <c r="B443" s="52" t="s">
        <v>1777</v>
      </c>
      <c r="C443" s="52" t="s">
        <v>33</v>
      </c>
      <c r="D443" s="84" t="s">
        <v>293</v>
      </c>
      <c r="E443" s="80" t="s">
        <v>294</v>
      </c>
      <c r="F443" s="81">
        <v>3</v>
      </c>
      <c r="G443" s="81">
        <v>1</v>
      </c>
      <c r="H443" s="81">
        <v>4</v>
      </c>
      <c r="I443" s="101" t="s">
        <v>71</v>
      </c>
      <c r="J443" s="101" t="s">
        <v>71</v>
      </c>
      <c r="K443" s="80" t="s">
        <v>295</v>
      </c>
      <c r="L443" s="101" t="s">
        <v>1491</v>
      </c>
      <c r="M443" s="101" t="s">
        <v>1562</v>
      </c>
      <c r="N443" s="101">
        <v>1</v>
      </c>
      <c r="O443" s="101">
        <v>30</v>
      </c>
      <c r="P443" s="102">
        <v>30</v>
      </c>
      <c r="Q443" s="102">
        <v>4</v>
      </c>
      <c r="R443" s="102">
        <v>4</v>
      </c>
      <c r="S443" s="85" t="s">
        <v>1504</v>
      </c>
      <c r="T443" s="97" t="s">
        <v>1505</v>
      </c>
      <c r="U443" s="85"/>
    </row>
    <row r="444" spans="1:21" ht="12.75" hidden="1">
      <c r="B444" s="52" t="s">
        <v>1777</v>
      </c>
      <c r="C444" s="52" t="s">
        <v>33</v>
      </c>
      <c r="D444" s="84" t="s">
        <v>965</v>
      </c>
      <c r="E444" s="80" t="s">
        <v>966</v>
      </c>
      <c r="F444" s="81">
        <v>3</v>
      </c>
      <c r="G444" s="81">
        <v>1</v>
      </c>
      <c r="H444" s="81">
        <v>4</v>
      </c>
      <c r="I444" s="101" t="s">
        <v>71</v>
      </c>
      <c r="J444" s="101" t="s">
        <v>71</v>
      </c>
      <c r="K444" s="80" t="s">
        <v>263</v>
      </c>
      <c r="L444" s="101" t="s">
        <v>1488</v>
      </c>
      <c r="M444" s="101" t="s">
        <v>1562</v>
      </c>
      <c r="N444" s="101">
        <v>1</v>
      </c>
      <c r="O444" s="101">
        <v>30</v>
      </c>
      <c r="P444" s="102">
        <v>30</v>
      </c>
      <c r="Q444" s="102">
        <v>4</v>
      </c>
      <c r="R444" s="102">
        <v>4</v>
      </c>
      <c r="S444" s="85" t="s">
        <v>1504</v>
      </c>
      <c r="T444" s="97" t="s">
        <v>1505</v>
      </c>
      <c r="U444" s="85"/>
    </row>
    <row r="445" spans="1:21" ht="12.75" hidden="1">
      <c r="B445" s="52" t="s">
        <v>1777</v>
      </c>
      <c r="C445" s="52" t="s">
        <v>33</v>
      </c>
      <c r="D445" s="84" t="s">
        <v>965</v>
      </c>
      <c r="E445" s="80" t="s">
        <v>966</v>
      </c>
      <c r="F445" s="81">
        <v>3</v>
      </c>
      <c r="G445" s="81">
        <v>1</v>
      </c>
      <c r="H445" s="81">
        <v>4</v>
      </c>
      <c r="I445" s="101" t="s">
        <v>71</v>
      </c>
      <c r="J445" s="101" t="s">
        <v>71</v>
      </c>
      <c r="K445" s="80" t="s">
        <v>263</v>
      </c>
      <c r="L445" s="101" t="s">
        <v>1491</v>
      </c>
      <c r="M445" s="101" t="s">
        <v>1562</v>
      </c>
      <c r="N445" s="101">
        <v>1</v>
      </c>
      <c r="O445" s="101">
        <v>30</v>
      </c>
      <c r="P445" s="102">
        <v>30</v>
      </c>
      <c r="Q445" s="102">
        <v>4</v>
      </c>
      <c r="R445" s="102">
        <v>4</v>
      </c>
      <c r="S445" s="85" t="s">
        <v>1504</v>
      </c>
      <c r="T445" s="97" t="s">
        <v>1505</v>
      </c>
      <c r="U445" s="85"/>
    </row>
    <row r="446" spans="1:21" ht="12.75" hidden="1">
      <c r="B446" s="52" t="s">
        <v>1777</v>
      </c>
      <c r="C446" s="52" t="s">
        <v>33</v>
      </c>
      <c r="D446" s="84" t="s">
        <v>1243</v>
      </c>
      <c r="E446" s="80" t="s">
        <v>1244</v>
      </c>
      <c r="F446" s="81">
        <v>2</v>
      </c>
      <c r="G446" s="81">
        <v>2</v>
      </c>
      <c r="H446" s="81">
        <v>4</v>
      </c>
      <c r="I446" s="101" t="s">
        <v>71</v>
      </c>
      <c r="J446" s="101" t="s">
        <v>71</v>
      </c>
      <c r="K446" s="80" t="s">
        <v>424</v>
      </c>
      <c r="L446" s="101" t="s">
        <v>1488</v>
      </c>
      <c r="M446" s="101" t="s">
        <v>1562</v>
      </c>
      <c r="N446" s="101">
        <v>1</v>
      </c>
      <c r="O446" s="101">
        <v>60</v>
      </c>
      <c r="P446" s="102">
        <v>60</v>
      </c>
      <c r="Q446" s="102">
        <v>4</v>
      </c>
      <c r="R446" s="102">
        <v>4</v>
      </c>
      <c r="S446" s="85" t="s">
        <v>1504</v>
      </c>
      <c r="T446" s="97" t="s">
        <v>1518</v>
      </c>
      <c r="U446" s="85"/>
    </row>
    <row r="447" spans="1:21" ht="12.75" hidden="1">
      <c r="B447" s="52" t="s">
        <v>1777</v>
      </c>
      <c r="C447" s="52" t="s">
        <v>33</v>
      </c>
      <c r="D447" s="84" t="s">
        <v>1243</v>
      </c>
      <c r="E447" s="80" t="s">
        <v>1244</v>
      </c>
      <c r="F447" s="81">
        <v>2</v>
      </c>
      <c r="G447" s="81">
        <v>2</v>
      </c>
      <c r="H447" s="81">
        <v>4</v>
      </c>
      <c r="I447" s="101" t="s">
        <v>71</v>
      </c>
      <c r="J447" s="101" t="s">
        <v>71</v>
      </c>
      <c r="K447" s="80" t="s">
        <v>424</v>
      </c>
      <c r="L447" s="101" t="s">
        <v>1491</v>
      </c>
      <c r="M447" s="101" t="s">
        <v>1562</v>
      </c>
      <c r="N447" s="101">
        <v>1</v>
      </c>
      <c r="O447" s="101">
        <v>60</v>
      </c>
      <c r="P447" s="102">
        <v>60</v>
      </c>
      <c r="Q447" s="102">
        <v>4</v>
      </c>
      <c r="R447" s="102">
        <v>4</v>
      </c>
      <c r="S447" s="85" t="s">
        <v>1504</v>
      </c>
      <c r="T447" s="97" t="s">
        <v>1518</v>
      </c>
      <c r="U447" s="85"/>
    </row>
    <row r="448" spans="1:21" ht="12.75" hidden="1">
      <c r="A448" s="1" t="s">
        <v>1672</v>
      </c>
      <c r="B448" s="52" t="s">
        <v>1777</v>
      </c>
      <c r="C448" s="52" t="s">
        <v>33</v>
      </c>
      <c r="D448" s="84" t="s">
        <v>1574</v>
      </c>
      <c r="E448" s="80" t="s">
        <v>302</v>
      </c>
      <c r="F448" s="81">
        <v>2</v>
      </c>
      <c r="G448" s="81">
        <v>1</v>
      </c>
      <c r="H448" s="81">
        <v>4</v>
      </c>
      <c r="I448" s="101" t="s">
        <v>71</v>
      </c>
      <c r="J448" s="101" t="s">
        <v>71</v>
      </c>
      <c r="K448" s="80" t="s">
        <v>1632</v>
      </c>
      <c r="L448" s="101" t="s">
        <v>1488</v>
      </c>
      <c r="M448" s="101" t="s">
        <v>1562</v>
      </c>
      <c r="N448" s="101">
        <v>1</v>
      </c>
      <c r="O448" s="101">
        <v>30</v>
      </c>
      <c r="P448" s="102">
        <v>30</v>
      </c>
      <c r="Q448" s="102">
        <v>3</v>
      </c>
      <c r="R448" s="102">
        <v>3</v>
      </c>
      <c r="S448" s="85" t="s">
        <v>1509</v>
      </c>
      <c r="T448" s="97" t="s">
        <v>1505</v>
      </c>
      <c r="U448" s="85"/>
    </row>
    <row r="449" spans="1:21" ht="12.75" hidden="1">
      <c r="A449" s="1" t="s">
        <v>1672</v>
      </c>
      <c r="B449" s="52" t="s">
        <v>1777</v>
      </c>
      <c r="C449" s="52" t="s">
        <v>33</v>
      </c>
      <c r="D449" s="84" t="s">
        <v>1574</v>
      </c>
      <c r="E449" s="80" t="s">
        <v>302</v>
      </c>
      <c r="F449" s="81">
        <v>2</v>
      </c>
      <c r="G449" s="81">
        <v>1</v>
      </c>
      <c r="H449" s="81">
        <v>4</v>
      </c>
      <c r="I449" s="101" t="s">
        <v>71</v>
      </c>
      <c r="J449" s="101" t="s">
        <v>71</v>
      </c>
      <c r="K449" s="80" t="s">
        <v>1632</v>
      </c>
      <c r="L449" s="101" t="s">
        <v>1491</v>
      </c>
      <c r="M449" s="101" t="s">
        <v>1562</v>
      </c>
      <c r="N449" s="101">
        <v>1</v>
      </c>
      <c r="O449" s="101">
        <v>30</v>
      </c>
      <c r="P449" s="102">
        <v>30</v>
      </c>
      <c r="Q449" s="102">
        <v>3</v>
      </c>
      <c r="R449" s="102">
        <v>3</v>
      </c>
      <c r="S449" s="85" t="s">
        <v>1509</v>
      </c>
      <c r="T449" s="97" t="s">
        <v>1505</v>
      </c>
      <c r="U449" s="85"/>
    </row>
    <row r="450" spans="1:21" ht="12.75" hidden="1">
      <c r="A450" s="1" t="s">
        <v>1672</v>
      </c>
      <c r="B450" s="52" t="s">
        <v>1777</v>
      </c>
      <c r="C450" s="52" t="s">
        <v>33</v>
      </c>
      <c r="D450" s="84" t="s">
        <v>1575</v>
      </c>
      <c r="E450" s="80" t="s">
        <v>1110</v>
      </c>
      <c r="F450" s="81">
        <v>2</v>
      </c>
      <c r="G450" s="81">
        <v>2</v>
      </c>
      <c r="H450" s="81">
        <v>4</v>
      </c>
      <c r="I450" s="101" t="s">
        <v>73</v>
      </c>
      <c r="J450" s="101" t="s">
        <v>73</v>
      </c>
      <c r="K450" s="80" t="s">
        <v>303</v>
      </c>
      <c r="L450" s="101" t="s">
        <v>1488</v>
      </c>
      <c r="M450" s="101" t="s">
        <v>1562</v>
      </c>
      <c r="N450" s="101">
        <v>1</v>
      </c>
      <c r="O450" s="101">
        <v>30</v>
      </c>
      <c r="P450" s="102">
        <v>30</v>
      </c>
      <c r="Q450" s="102">
        <v>4</v>
      </c>
      <c r="R450" s="102">
        <v>4</v>
      </c>
      <c r="S450" s="85" t="s">
        <v>1509</v>
      </c>
      <c r="T450" s="97" t="s">
        <v>1518</v>
      </c>
      <c r="U450" s="85"/>
    </row>
    <row r="451" spans="1:21" ht="12.75" hidden="1">
      <c r="A451" s="1" t="s">
        <v>1672</v>
      </c>
      <c r="B451" s="52" t="s">
        <v>1777</v>
      </c>
      <c r="C451" s="52" t="s">
        <v>33</v>
      </c>
      <c r="D451" s="84" t="s">
        <v>1575</v>
      </c>
      <c r="E451" s="80" t="s">
        <v>1110</v>
      </c>
      <c r="F451" s="81">
        <v>2</v>
      </c>
      <c r="G451" s="81">
        <v>2</v>
      </c>
      <c r="H451" s="81">
        <v>4</v>
      </c>
      <c r="I451" s="101" t="s">
        <v>73</v>
      </c>
      <c r="J451" s="101" t="s">
        <v>73</v>
      </c>
      <c r="K451" s="80" t="s">
        <v>303</v>
      </c>
      <c r="L451" s="101" t="s">
        <v>1491</v>
      </c>
      <c r="M451" s="101" t="s">
        <v>1562</v>
      </c>
      <c r="N451" s="101">
        <v>1</v>
      </c>
      <c r="O451" s="101">
        <v>30</v>
      </c>
      <c r="P451" s="102">
        <v>30</v>
      </c>
      <c r="Q451" s="102">
        <v>4</v>
      </c>
      <c r="R451" s="102">
        <v>4</v>
      </c>
      <c r="S451" s="85" t="s">
        <v>1509</v>
      </c>
      <c r="T451" s="97" t="s">
        <v>1518</v>
      </c>
      <c r="U451" s="85"/>
    </row>
    <row r="452" spans="1:21" ht="12.75" hidden="1">
      <c r="A452" s="1" t="s">
        <v>1672</v>
      </c>
      <c r="B452" s="52" t="s">
        <v>1777</v>
      </c>
      <c r="C452" s="52" t="s">
        <v>33</v>
      </c>
      <c r="D452" s="84" t="s">
        <v>1158</v>
      </c>
      <c r="E452" s="80" t="s">
        <v>1159</v>
      </c>
      <c r="F452" s="81">
        <v>3</v>
      </c>
      <c r="G452" s="81">
        <v>1</v>
      </c>
      <c r="H452" s="81">
        <v>4</v>
      </c>
      <c r="I452" s="101" t="s">
        <v>73</v>
      </c>
      <c r="J452" s="101" t="s">
        <v>73</v>
      </c>
      <c r="K452" s="80" t="s">
        <v>150</v>
      </c>
      <c r="L452" s="101" t="s">
        <v>1488</v>
      </c>
      <c r="M452" s="101" t="s">
        <v>1562</v>
      </c>
      <c r="N452" s="101">
        <v>1</v>
      </c>
      <c r="O452" s="101">
        <v>30</v>
      </c>
      <c r="P452" s="102">
        <v>30</v>
      </c>
      <c r="Q452" s="102">
        <v>4</v>
      </c>
      <c r="R452" s="102">
        <v>4</v>
      </c>
      <c r="S452" s="85" t="s">
        <v>1509</v>
      </c>
      <c r="T452" s="97" t="s">
        <v>1505</v>
      </c>
      <c r="U452" s="85"/>
    </row>
    <row r="453" spans="1:21" ht="12.75" hidden="1">
      <c r="A453" s="1" t="s">
        <v>1672</v>
      </c>
      <c r="B453" s="52" t="s">
        <v>1777</v>
      </c>
      <c r="C453" s="52" t="s">
        <v>33</v>
      </c>
      <c r="D453" s="84" t="s">
        <v>1158</v>
      </c>
      <c r="E453" s="80" t="s">
        <v>1159</v>
      </c>
      <c r="F453" s="81">
        <v>3</v>
      </c>
      <c r="G453" s="81">
        <v>1</v>
      </c>
      <c r="H453" s="81">
        <v>4</v>
      </c>
      <c r="I453" s="101" t="s">
        <v>73</v>
      </c>
      <c r="J453" s="101" t="s">
        <v>73</v>
      </c>
      <c r="K453" s="80" t="s">
        <v>150</v>
      </c>
      <c r="L453" s="101" t="s">
        <v>1491</v>
      </c>
      <c r="M453" s="101" t="s">
        <v>1562</v>
      </c>
      <c r="N453" s="101">
        <v>1</v>
      </c>
      <c r="O453" s="101">
        <v>30</v>
      </c>
      <c r="P453" s="102">
        <v>30</v>
      </c>
      <c r="Q453" s="102">
        <v>4</v>
      </c>
      <c r="R453" s="102">
        <v>4</v>
      </c>
      <c r="S453" s="85" t="s">
        <v>1509</v>
      </c>
      <c r="T453" s="97" t="s">
        <v>1505</v>
      </c>
      <c r="U453" s="85"/>
    </row>
    <row r="454" spans="1:21" ht="12.75" hidden="1">
      <c r="A454" s="1" t="s">
        <v>1672</v>
      </c>
      <c r="B454" s="52" t="s">
        <v>1777</v>
      </c>
      <c r="C454" s="52" t="s">
        <v>33</v>
      </c>
      <c r="D454" s="84" t="s">
        <v>1565</v>
      </c>
      <c r="E454" s="80" t="s">
        <v>1494</v>
      </c>
      <c r="F454" s="81">
        <v>0</v>
      </c>
      <c r="G454" s="81">
        <v>2</v>
      </c>
      <c r="H454" s="81">
        <v>4</v>
      </c>
      <c r="I454" s="101" t="s">
        <v>71</v>
      </c>
      <c r="J454" s="101" t="s">
        <v>71</v>
      </c>
      <c r="K454" s="80" t="s">
        <v>76</v>
      </c>
      <c r="L454" s="101" t="s">
        <v>1488</v>
      </c>
      <c r="M454" s="101" t="s">
        <v>1562</v>
      </c>
      <c r="N454" s="101">
        <v>1</v>
      </c>
      <c r="O454" s="101">
        <v>30</v>
      </c>
      <c r="P454" s="102">
        <v>30</v>
      </c>
      <c r="Q454" s="102">
        <v>2</v>
      </c>
      <c r="R454" s="102">
        <v>2</v>
      </c>
      <c r="S454" s="85"/>
      <c r="T454" s="97"/>
      <c r="U454" s="85"/>
    </row>
    <row r="455" spans="1:21" ht="12.75" hidden="1">
      <c r="A455" s="1" t="s">
        <v>1672</v>
      </c>
      <c r="B455" s="52" t="s">
        <v>1777</v>
      </c>
      <c r="C455" s="52" t="s">
        <v>33</v>
      </c>
      <c r="D455" s="84" t="s">
        <v>1576</v>
      </c>
      <c r="E455" s="80" t="s">
        <v>1494</v>
      </c>
      <c r="F455" s="81">
        <v>0</v>
      </c>
      <c r="G455" s="81">
        <v>2</v>
      </c>
      <c r="H455" s="81">
        <v>4</v>
      </c>
      <c r="I455" s="101" t="s">
        <v>71</v>
      </c>
      <c r="J455" s="101" t="s">
        <v>71</v>
      </c>
      <c r="K455" s="80" t="s">
        <v>76</v>
      </c>
      <c r="L455" s="101" t="s">
        <v>1491</v>
      </c>
      <c r="M455" s="101" t="s">
        <v>1562</v>
      </c>
      <c r="N455" s="101">
        <v>1</v>
      </c>
      <c r="O455" s="101">
        <v>30</v>
      </c>
      <c r="P455" s="102">
        <v>30</v>
      </c>
      <c r="Q455" s="102">
        <v>2</v>
      </c>
      <c r="R455" s="102">
        <v>2</v>
      </c>
      <c r="S455" s="85"/>
      <c r="T455" s="97"/>
      <c r="U455" s="85"/>
    </row>
    <row r="456" spans="1:21" ht="12.75" hidden="1">
      <c r="B456" s="52" t="s">
        <v>1777</v>
      </c>
      <c r="C456" s="52" t="s">
        <v>33</v>
      </c>
      <c r="D456" s="84" t="s">
        <v>486</v>
      </c>
      <c r="E456" s="80" t="s">
        <v>487</v>
      </c>
      <c r="F456" s="81">
        <v>0</v>
      </c>
      <c r="G456" s="81">
        <v>7</v>
      </c>
      <c r="H456" s="81">
        <v>0</v>
      </c>
      <c r="I456" s="101" t="s">
        <v>71</v>
      </c>
      <c r="J456" s="101" t="s">
        <v>71</v>
      </c>
      <c r="K456" s="80" t="s">
        <v>76</v>
      </c>
      <c r="L456" s="101" t="s">
        <v>1488</v>
      </c>
      <c r="M456" s="101" t="s">
        <v>1562</v>
      </c>
      <c r="N456" s="101">
        <v>1</v>
      </c>
      <c r="O456" s="101">
        <v>30</v>
      </c>
      <c r="P456" s="102">
        <v>30</v>
      </c>
      <c r="Q456" s="102">
        <v>3</v>
      </c>
      <c r="R456" s="102">
        <v>3</v>
      </c>
      <c r="S456" s="85"/>
      <c r="T456" s="97"/>
      <c r="U456" s="85"/>
    </row>
    <row r="457" spans="1:21" ht="12.75" hidden="1">
      <c r="B457" s="52" t="s">
        <v>1777</v>
      </c>
      <c r="C457" s="52" t="s">
        <v>33</v>
      </c>
      <c r="D457" s="84" t="s">
        <v>486</v>
      </c>
      <c r="E457" s="80" t="s">
        <v>487</v>
      </c>
      <c r="F457" s="81">
        <v>0</v>
      </c>
      <c r="G457" s="81">
        <v>7</v>
      </c>
      <c r="H457" s="81">
        <v>0</v>
      </c>
      <c r="I457" s="101" t="s">
        <v>71</v>
      </c>
      <c r="J457" s="101" t="s">
        <v>71</v>
      </c>
      <c r="K457" s="80" t="s">
        <v>76</v>
      </c>
      <c r="L457" s="101" t="s">
        <v>1491</v>
      </c>
      <c r="M457" s="101" t="s">
        <v>1562</v>
      </c>
      <c r="N457" s="101">
        <v>1</v>
      </c>
      <c r="O457" s="101">
        <v>30</v>
      </c>
      <c r="P457" s="102">
        <v>30</v>
      </c>
      <c r="Q457" s="102">
        <v>3</v>
      </c>
      <c r="R457" s="102">
        <v>3</v>
      </c>
      <c r="S457" s="85"/>
      <c r="T457" s="97"/>
      <c r="U457" s="85"/>
    </row>
    <row r="458" spans="1:21" ht="12.75" hidden="1">
      <c r="A458" s="1" t="s">
        <v>1672</v>
      </c>
      <c r="B458" s="52" t="s">
        <v>1777</v>
      </c>
      <c r="C458" s="52" t="s">
        <v>33</v>
      </c>
      <c r="D458" s="84" t="s">
        <v>1566</v>
      </c>
      <c r="E458" s="80" t="s">
        <v>1495</v>
      </c>
      <c r="F458" s="81">
        <v>0</v>
      </c>
      <c r="G458" s="81">
        <v>2</v>
      </c>
      <c r="H458" s="81">
        <v>4</v>
      </c>
      <c r="I458" s="101" t="s">
        <v>71</v>
      </c>
      <c r="J458" s="101" t="s">
        <v>71</v>
      </c>
      <c r="K458" s="80" t="s">
        <v>1494</v>
      </c>
      <c r="L458" s="101" t="s">
        <v>1488</v>
      </c>
      <c r="M458" s="101" t="s">
        <v>1562</v>
      </c>
      <c r="N458" s="101">
        <v>1</v>
      </c>
      <c r="O458" s="101">
        <v>30</v>
      </c>
      <c r="P458" s="102">
        <v>30</v>
      </c>
      <c r="Q458" s="102">
        <v>2</v>
      </c>
      <c r="R458" s="102">
        <v>2</v>
      </c>
      <c r="S458" s="85"/>
      <c r="T458" s="97"/>
      <c r="U458" s="85"/>
    </row>
    <row r="459" spans="1:21" ht="12.75" hidden="1">
      <c r="A459" s="1" t="s">
        <v>1672</v>
      </c>
      <c r="B459" s="52" t="s">
        <v>1777</v>
      </c>
      <c r="C459" s="52" t="s">
        <v>33</v>
      </c>
      <c r="D459" s="84" t="s">
        <v>1566</v>
      </c>
      <c r="E459" s="80" t="s">
        <v>1495</v>
      </c>
      <c r="F459" s="81">
        <v>0</v>
      </c>
      <c r="G459" s="81">
        <v>2</v>
      </c>
      <c r="H459" s="81">
        <v>4</v>
      </c>
      <c r="I459" s="101" t="s">
        <v>71</v>
      </c>
      <c r="J459" s="101" t="s">
        <v>71</v>
      </c>
      <c r="K459" s="80" t="s">
        <v>1494</v>
      </c>
      <c r="L459" s="101" t="s">
        <v>1491</v>
      </c>
      <c r="M459" s="101" t="s">
        <v>1562</v>
      </c>
      <c r="N459" s="101">
        <v>1</v>
      </c>
      <c r="O459" s="101">
        <v>30</v>
      </c>
      <c r="P459" s="102">
        <v>30</v>
      </c>
      <c r="Q459" s="102">
        <v>2</v>
      </c>
      <c r="R459" s="102">
        <v>2</v>
      </c>
      <c r="S459" s="85"/>
      <c r="T459" s="97"/>
      <c r="U459" s="85"/>
    </row>
    <row r="460" spans="1:21" ht="12.75" hidden="1">
      <c r="B460" s="52" t="s">
        <v>1777</v>
      </c>
      <c r="C460" s="52" t="s">
        <v>33</v>
      </c>
      <c r="D460" s="84" t="s">
        <v>490</v>
      </c>
      <c r="E460" s="80" t="s">
        <v>491</v>
      </c>
      <c r="F460" s="81">
        <v>0</v>
      </c>
      <c r="G460" s="81">
        <v>7</v>
      </c>
      <c r="H460" s="81">
        <v>0</v>
      </c>
      <c r="I460" s="101" t="s">
        <v>71</v>
      </c>
      <c r="J460" s="101" t="s">
        <v>71</v>
      </c>
      <c r="K460" s="80" t="s">
        <v>487</v>
      </c>
      <c r="L460" s="101" t="s">
        <v>1488</v>
      </c>
      <c r="M460" s="101" t="s">
        <v>1562</v>
      </c>
      <c r="N460" s="101">
        <v>1</v>
      </c>
      <c r="O460" s="101">
        <v>30</v>
      </c>
      <c r="P460" s="102">
        <v>30</v>
      </c>
      <c r="Q460" s="102">
        <v>3</v>
      </c>
      <c r="R460" s="102">
        <v>3</v>
      </c>
      <c r="S460" s="85"/>
      <c r="T460" s="97"/>
      <c r="U460" s="85"/>
    </row>
    <row r="461" spans="1:21" ht="12.75" hidden="1">
      <c r="B461" s="52" t="s">
        <v>1777</v>
      </c>
      <c r="C461" s="52" t="s">
        <v>33</v>
      </c>
      <c r="D461" s="84" t="s">
        <v>490</v>
      </c>
      <c r="E461" s="80" t="s">
        <v>491</v>
      </c>
      <c r="F461" s="81">
        <v>0</v>
      </c>
      <c r="G461" s="81">
        <v>7</v>
      </c>
      <c r="H461" s="81">
        <v>0</v>
      </c>
      <c r="I461" s="101" t="s">
        <v>71</v>
      </c>
      <c r="J461" s="101" t="s">
        <v>71</v>
      </c>
      <c r="K461" s="80" t="s">
        <v>487</v>
      </c>
      <c r="L461" s="101" t="s">
        <v>1491</v>
      </c>
      <c r="M461" s="101" t="s">
        <v>1562</v>
      </c>
      <c r="N461" s="101">
        <v>1</v>
      </c>
      <c r="O461" s="101">
        <v>30</v>
      </c>
      <c r="P461" s="102">
        <v>30</v>
      </c>
      <c r="Q461" s="102">
        <v>3</v>
      </c>
      <c r="R461" s="102">
        <v>3</v>
      </c>
      <c r="S461" s="85"/>
      <c r="T461" s="97"/>
      <c r="U461" s="85"/>
    </row>
    <row r="462" spans="1:21" ht="12.75" hidden="1">
      <c r="A462" s="1" t="s">
        <v>1672</v>
      </c>
      <c r="B462" s="52" t="s">
        <v>1777</v>
      </c>
      <c r="C462" s="52" t="s">
        <v>33</v>
      </c>
      <c r="D462" s="84" t="s">
        <v>1567</v>
      </c>
      <c r="E462" s="80" t="s">
        <v>1568</v>
      </c>
      <c r="F462" s="81">
        <v>0</v>
      </c>
      <c r="G462" s="81">
        <v>2</v>
      </c>
      <c r="H462" s="81">
        <v>4</v>
      </c>
      <c r="I462" s="101" t="s">
        <v>71</v>
      </c>
      <c r="J462" s="101" t="s">
        <v>71</v>
      </c>
      <c r="K462" s="80" t="s">
        <v>1495</v>
      </c>
      <c r="L462" s="101" t="s">
        <v>1488</v>
      </c>
      <c r="M462" s="101" t="s">
        <v>1562</v>
      </c>
      <c r="N462" s="101">
        <v>1</v>
      </c>
      <c r="O462" s="101">
        <v>30</v>
      </c>
      <c r="P462" s="102">
        <v>30</v>
      </c>
      <c r="Q462" s="102">
        <v>2</v>
      </c>
      <c r="R462" s="102">
        <v>2</v>
      </c>
      <c r="S462" s="85"/>
      <c r="T462" s="97"/>
      <c r="U462" s="85"/>
    </row>
    <row r="463" spans="1:21" ht="12.75" hidden="1">
      <c r="A463" s="1" t="s">
        <v>1672</v>
      </c>
      <c r="B463" s="52" t="s">
        <v>1777</v>
      </c>
      <c r="C463" s="52" t="s">
        <v>33</v>
      </c>
      <c r="D463" s="84" t="s">
        <v>1567</v>
      </c>
      <c r="E463" s="80" t="s">
        <v>1568</v>
      </c>
      <c r="F463" s="81">
        <v>0</v>
      </c>
      <c r="G463" s="81">
        <v>2</v>
      </c>
      <c r="H463" s="81">
        <v>4</v>
      </c>
      <c r="I463" s="101" t="s">
        <v>71</v>
      </c>
      <c r="J463" s="101" t="s">
        <v>71</v>
      </c>
      <c r="K463" s="80" t="s">
        <v>1495</v>
      </c>
      <c r="L463" s="101" t="s">
        <v>1491</v>
      </c>
      <c r="M463" s="101" t="s">
        <v>1562</v>
      </c>
      <c r="N463" s="101">
        <v>1</v>
      </c>
      <c r="O463" s="101">
        <v>30</v>
      </c>
      <c r="P463" s="102">
        <v>30</v>
      </c>
      <c r="Q463" s="102">
        <v>2</v>
      </c>
      <c r="R463" s="102">
        <v>2</v>
      </c>
      <c r="S463" s="85"/>
      <c r="T463" s="97"/>
      <c r="U463" s="85"/>
    </row>
    <row r="464" spans="1:21" ht="12.75" hidden="1">
      <c r="B464" s="54" t="s">
        <v>1644</v>
      </c>
      <c r="C464" s="54" t="s">
        <v>34</v>
      </c>
      <c r="D464" s="81" t="s">
        <v>264</v>
      </c>
      <c r="E464" s="80" t="s">
        <v>265</v>
      </c>
      <c r="F464" s="81">
        <v>3</v>
      </c>
      <c r="G464" s="81">
        <v>2</v>
      </c>
      <c r="H464" s="81">
        <v>4</v>
      </c>
      <c r="I464" s="101" t="s">
        <v>71</v>
      </c>
      <c r="J464" s="101" t="s">
        <v>71</v>
      </c>
      <c r="K464" s="80" t="s">
        <v>156</v>
      </c>
      <c r="L464" s="101" t="s">
        <v>1491</v>
      </c>
      <c r="M464" s="101" t="s">
        <v>1562</v>
      </c>
      <c r="N464" s="101">
        <v>1</v>
      </c>
      <c r="O464" s="101">
        <v>30</v>
      </c>
      <c r="P464" s="102">
        <v>30</v>
      </c>
      <c r="Q464" s="102">
        <v>5</v>
      </c>
      <c r="R464" s="102">
        <v>5</v>
      </c>
      <c r="S464" s="80" t="s">
        <v>1504</v>
      </c>
      <c r="T464" s="101" t="s">
        <v>1518</v>
      </c>
      <c r="U464" s="80"/>
    </row>
    <row r="465" spans="1:21" ht="12.75" hidden="1">
      <c r="B465" s="54" t="s">
        <v>1644</v>
      </c>
      <c r="C465" s="54" t="s">
        <v>34</v>
      </c>
      <c r="D465" s="81" t="s">
        <v>842</v>
      </c>
      <c r="E465" s="80" t="s">
        <v>68</v>
      </c>
      <c r="F465" s="81">
        <v>3</v>
      </c>
      <c r="G465" s="81">
        <v>2</v>
      </c>
      <c r="H465" s="81">
        <v>4</v>
      </c>
      <c r="I465" s="101" t="s">
        <v>71</v>
      </c>
      <c r="J465" s="101" t="s">
        <v>71</v>
      </c>
      <c r="K465" s="80" t="s">
        <v>655</v>
      </c>
      <c r="L465" s="101" t="s">
        <v>1488</v>
      </c>
      <c r="M465" s="101" t="s">
        <v>1562</v>
      </c>
      <c r="N465" s="101">
        <v>1</v>
      </c>
      <c r="O465" s="101">
        <v>30</v>
      </c>
      <c r="P465" s="102">
        <v>30</v>
      </c>
      <c r="Q465" s="102">
        <v>5</v>
      </c>
      <c r="R465" s="102">
        <v>5</v>
      </c>
      <c r="S465" s="80" t="s">
        <v>1504</v>
      </c>
      <c r="T465" s="101" t="s">
        <v>1518</v>
      </c>
      <c r="U465" s="80"/>
    </row>
    <row r="466" spans="1:21" ht="12.75" hidden="1">
      <c r="B466" s="54" t="s">
        <v>1644</v>
      </c>
      <c r="C466" s="54" t="s">
        <v>34</v>
      </c>
      <c r="D466" s="81" t="s">
        <v>842</v>
      </c>
      <c r="E466" s="80" t="s">
        <v>68</v>
      </c>
      <c r="F466" s="81">
        <v>3</v>
      </c>
      <c r="G466" s="81">
        <v>2</v>
      </c>
      <c r="H466" s="81">
        <v>4</v>
      </c>
      <c r="I466" s="101" t="s">
        <v>71</v>
      </c>
      <c r="J466" s="101" t="s">
        <v>71</v>
      </c>
      <c r="K466" s="80" t="s">
        <v>655</v>
      </c>
      <c r="L466" s="101" t="s">
        <v>1491</v>
      </c>
      <c r="M466" s="101" t="s">
        <v>1562</v>
      </c>
      <c r="N466" s="101">
        <v>2</v>
      </c>
      <c r="O466" s="101">
        <v>30</v>
      </c>
      <c r="P466" s="102">
        <v>60</v>
      </c>
      <c r="Q466" s="102">
        <v>10</v>
      </c>
      <c r="R466" s="102">
        <v>7</v>
      </c>
      <c r="S466" s="80" t="s">
        <v>1504</v>
      </c>
      <c r="T466" s="101" t="s">
        <v>1518</v>
      </c>
      <c r="U466" s="80" t="s">
        <v>1561</v>
      </c>
    </row>
    <row r="467" spans="1:21" ht="12.75" hidden="1">
      <c r="A467" s="1" t="s">
        <v>1672</v>
      </c>
      <c r="B467" s="54" t="s">
        <v>1644</v>
      </c>
      <c r="C467" s="54" t="s">
        <v>34</v>
      </c>
      <c r="D467" s="81" t="s">
        <v>1224</v>
      </c>
      <c r="E467" s="80" t="s">
        <v>146</v>
      </c>
      <c r="F467" s="81">
        <v>3</v>
      </c>
      <c r="G467" s="81">
        <v>2</v>
      </c>
      <c r="H467" s="81">
        <v>4</v>
      </c>
      <c r="I467" s="101" t="s">
        <v>71</v>
      </c>
      <c r="J467" s="101" t="s">
        <v>71</v>
      </c>
      <c r="K467" s="80" t="s">
        <v>657</v>
      </c>
      <c r="L467" s="101" t="s">
        <v>1488</v>
      </c>
      <c r="M467" s="101" t="s">
        <v>1562</v>
      </c>
      <c r="N467" s="101">
        <v>1</v>
      </c>
      <c r="O467" s="101">
        <v>30</v>
      </c>
      <c r="P467" s="102">
        <v>30</v>
      </c>
      <c r="Q467" s="102">
        <v>5</v>
      </c>
      <c r="R467" s="102">
        <v>5</v>
      </c>
      <c r="S467" s="80" t="s">
        <v>1504</v>
      </c>
      <c r="T467" s="101" t="s">
        <v>1518</v>
      </c>
      <c r="U467" s="80"/>
    </row>
    <row r="468" spans="1:21" ht="12.75" hidden="1">
      <c r="A468" s="1" t="s">
        <v>1672</v>
      </c>
      <c r="B468" s="54" t="s">
        <v>1644</v>
      </c>
      <c r="C468" s="54" t="s">
        <v>34</v>
      </c>
      <c r="D468" s="81" t="s">
        <v>1224</v>
      </c>
      <c r="E468" s="80" t="s">
        <v>146</v>
      </c>
      <c r="F468" s="81">
        <v>3</v>
      </c>
      <c r="G468" s="81">
        <v>2</v>
      </c>
      <c r="H468" s="81">
        <v>4</v>
      </c>
      <c r="I468" s="101" t="s">
        <v>71</v>
      </c>
      <c r="J468" s="101" t="s">
        <v>71</v>
      </c>
      <c r="K468" s="80" t="s">
        <v>657</v>
      </c>
      <c r="L468" s="101" t="s">
        <v>1491</v>
      </c>
      <c r="M468" s="101" t="s">
        <v>1562</v>
      </c>
      <c r="N468" s="101">
        <v>1</v>
      </c>
      <c r="O468" s="101">
        <v>30</v>
      </c>
      <c r="P468" s="102">
        <v>30</v>
      </c>
      <c r="Q468" s="102">
        <v>5</v>
      </c>
      <c r="R468" s="102">
        <v>5</v>
      </c>
      <c r="S468" s="80" t="s">
        <v>1504</v>
      </c>
      <c r="T468" s="101" t="s">
        <v>1518</v>
      </c>
      <c r="U468" s="80"/>
    </row>
    <row r="469" spans="1:21" ht="12.75" hidden="1">
      <c r="A469" s="1" t="s">
        <v>1672</v>
      </c>
      <c r="B469" s="54" t="s">
        <v>1644</v>
      </c>
      <c r="C469" s="54" t="s">
        <v>34</v>
      </c>
      <c r="D469" s="81" t="s">
        <v>656</v>
      </c>
      <c r="E469" s="80" t="s">
        <v>321</v>
      </c>
      <c r="F469" s="81">
        <v>3</v>
      </c>
      <c r="G469" s="81">
        <v>1</v>
      </c>
      <c r="H469" s="81">
        <v>4</v>
      </c>
      <c r="I469" s="101" t="s">
        <v>71</v>
      </c>
      <c r="J469" s="101" t="s">
        <v>71</v>
      </c>
      <c r="K469" s="80" t="s">
        <v>657</v>
      </c>
      <c r="L469" s="101" t="s">
        <v>1491</v>
      </c>
      <c r="M469" s="101" t="s">
        <v>1562</v>
      </c>
      <c r="N469" s="101">
        <v>1</v>
      </c>
      <c r="O469" s="101">
        <v>20</v>
      </c>
      <c r="P469" s="102">
        <v>20</v>
      </c>
      <c r="Q469" s="102">
        <v>4</v>
      </c>
      <c r="R469" s="102">
        <v>4</v>
      </c>
      <c r="S469" s="80" t="s">
        <v>1504</v>
      </c>
      <c r="T469" s="101" t="s">
        <v>1518</v>
      </c>
      <c r="U469" s="80"/>
    </row>
    <row r="470" spans="1:21" ht="12.75" hidden="1">
      <c r="A470" s="1" t="s">
        <v>1672</v>
      </c>
      <c r="B470" s="54" t="s">
        <v>1644</v>
      </c>
      <c r="C470" s="54" t="s">
        <v>34</v>
      </c>
      <c r="D470" s="81" t="s">
        <v>1190</v>
      </c>
      <c r="E470" s="80" t="s">
        <v>1191</v>
      </c>
      <c r="F470" s="81">
        <v>3</v>
      </c>
      <c r="G470" s="81">
        <v>1</v>
      </c>
      <c r="H470" s="81">
        <v>4</v>
      </c>
      <c r="I470" s="101" t="s">
        <v>71</v>
      </c>
      <c r="J470" s="101" t="s">
        <v>71</v>
      </c>
      <c r="K470" s="80" t="s">
        <v>1119</v>
      </c>
      <c r="L470" s="101" t="s">
        <v>1488</v>
      </c>
      <c r="M470" s="101" t="s">
        <v>1562</v>
      </c>
      <c r="N470" s="101">
        <v>1</v>
      </c>
      <c r="O470" s="101">
        <v>30</v>
      </c>
      <c r="P470" s="102">
        <v>30</v>
      </c>
      <c r="Q470" s="102">
        <v>4</v>
      </c>
      <c r="R470" s="102">
        <v>4</v>
      </c>
      <c r="S470" s="80" t="s">
        <v>1504</v>
      </c>
      <c r="T470" s="101" t="s">
        <v>1505</v>
      </c>
      <c r="U470" s="80"/>
    </row>
    <row r="471" spans="1:21" ht="12.75" hidden="1">
      <c r="A471" s="1" t="s">
        <v>1672</v>
      </c>
      <c r="B471" s="54" t="s">
        <v>1644</v>
      </c>
      <c r="C471" s="54" t="s">
        <v>34</v>
      </c>
      <c r="D471" s="81" t="s">
        <v>1190</v>
      </c>
      <c r="E471" s="80" t="s">
        <v>1191</v>
      </c>
      <c r="F471" s="81">
        <v>3</v>
      </c>
      <c r="G471" s="81">
        <v>1</v>
      </c>
      <c r="H471" s="81">
        <v>4</v>
      </c>
      <c r="I471" s="101" t="s">
        <v>71</v>
      </c>
      <c r="J471" s="101" t="s">
        <v>71</v>
      </c>
      <c r="K471" s="80" t="s">
        <v>1119</v>
      </c>
      <c r="L471" s="101" t="s">
        <v>1491</v>
      </c>
      <c r="M471" s="101" t="s">
        <v>1562</v>
      </c>
      <c r="N471" s="101">
        <v>1</v>
      </c>
      <c r="O471" s="101">
        <v>30</v>
      </c>
      <c r="P471" s="102">
        <v>30</v>
      </c>
      <c r="Q471" s="102">
        <v>4</v>
      </c>
      <c r="R471" s="102">
        <v>4</v>
      </c>
      <c r="S471" s="80" t="s">
        <v>1504</v>
      </c>
      <c r="T471" s="101" t="s">
        <v>1505</v>
      </c>
      <c r="U471" s="80"/>
    </row>
    <row r="472" spans="1:21" ht="12.75" hidden="1">
      <c r="B472" s="54" t="s">
        <v>1644</v>
      </c>
      <c r="C472" s="54" t="s">
        <v>34</v>
      </c>
      <c r="D472" s="81" t="s">
        <v>1243</v>
      </c>
      <c r="E472" s="80" t="s">
        <v>1244</v>
      </c>
      <c r="F472" s="81">
        <v>2</v>
      </c>
      <c r="G472" s="81">
        <v>2</v>
      </c>
      <c r="H472" s="81">
        <v>4</v>
      </c>
      <c r="I472" s="101" t="s">
        <v>71</v>
      </c>
      <c r="J472" s="101" t="s">
        <v>71</v>
      </c>
      <c r="K472" s="80" t="s">
        <v>424</v>
      </c>
      <c r="L472" s="101" t="s">
        <v>1488</v>
      </c>
      <c r="M472" s="101" t="s">
        <v>1562</v>
      </c>
      <c r="N472" s="101">
        <v>1</v>
      </c>
      <c r="O472" s="101">
        <v>30</v>
      </c>
      <c r="P472" s="102">
        <v>30</v>
      </c>
      <c r="Q472" s="102">
        <v>4</v>
      </c>
      <c r="R472" s="102">
        <v>4</v>
      </c>
      <c r="S472" s="80" t="s">
        <v>1504</v>
      </c>
      <c r="T472" s="101" t="s">
        <v>1518</v>
      </c>
      <c r="U472" s="80"/>
    </row>
    <row r="473" spans="1:21" ht="12.75" hidden="1">
      <c r="B473" s="54" t="s">
        <v>1644</v>
      </c>
      <c r="C473" s="54" t="s">
        <v>34</v>
      </c>
      <c r="D473" s="81" t="s">
        <v>1243</v>
      </c>
      <c r="E473" s="80" t="s">
        <v>1244</v>
      </c>
      <c r="F473" s="81">
        <v>2</v>
      </c>
      <c r="G473" s="81">
        <v>2</v>
      </c>
      <c r="H473" s="81">
        <v>4</v>
      </c>
      <c r="I473" s="101" t="s">
        <v>71</v>
      </c>
      <c r="J473" s="101" t="s">
        <v>71</v>
      </c>
      <c r="K473" s="80" t="s">
        <v>424</v>
      </c>
      <c r="L473" s="101" t="s">
        <v>1491</v>
      </c>
      <c r="M473" s="101" t="s">
        <v>1562</v>
      </c>
      <c r="N473" s="101">
        <v>1</v>
      </c>
      <c r="O473" s="101">
        <v>30</v>
      </c>
      <c r="P473" s="102">
        <v>30</v>
      </c>
      <c r="Q473" s="102">
        <v>4</v>
      </c>
      <c r="R473" s="102">
        <v>4</v>
      </c>
      <c r="S473" s="80" t="s">
        <v>1504</v>
      </c>
      <c r="T473" s="101" t="s">
        <v>1518</v>
      </c>
      <c r="U473" s="80"/>
    </row>
    <row r="474" spans="1:21" ht="12.75" hidden="1">
      <c r="B474" s="54" t="s">
        <v>1644</v>
      </c>
      <c r="C474" s="54" t="s">
        <v>34</v>
      </c>
      <c r="D474" s="81" t="s">
        <v>1291</v>
      </c>
      <c r="E474" s="80" t="s">
        <v>1292</v>
      </c>
      <c r="F474" s="81">
        <v>3</v>
      </c>
      <c r="G474" s="81">
        <v>0</v>
      </c>
      <c r="H474" s="81">
        <v>4</v>
      </c>
      <c r="I474" s="101" t="s">
        <v>73</v>
      </c>
      <c r="J474" s="101" t="s">
        <v>73</v>
      </c>
      <c r="K474" s="80" t="s">
        <v>414</v>
      </c>
      <c r="L474" s="101" t="s">
        <v>1488</v>
      </c>
      <c r="M474" s="101" t="s">
        <v>1562</v>
      </c>
      <c r="N474" s="101">
        <v>1</v>
      </c>
      <c r="O474" s="101">
        <v>30</v>
      </c>
      <c r="P474" s="102">
        <v>30</v>
      </c>
      <c r="Q474" s="102">
        <v>3</v>
      </c>
      <c r="R474" s="102">
        <v>3</v>
      </c>
      <c r="S474" s="80" t="s">
        <v>1558</v>
      </c>
      <c r="T474" s="101"/>
      <c r="U474" s="80"/>
    </row>
    <row r="475" spans="1:21" ht="12.75" hidden="1">
      <c r="B475" s="54" t="s">
        <v>1644</v>
      </c>
      <c r="C475" s="54" t="s">
        <v>34</v>
      </c>
      <c r="D475" s="81" t="s">
        <v>1291</v>
      </c>
      <c r="E475" s="80" t="s">
        <v>1292</v>
      </c>
      <c r="F475" s="81">
        <v>3</v>
      </c>
      <c r="G475" s="81">
        <v>0</v>
      </c>
      <c r="H475" s="81">
        <v>4</v>
      </c>
      <c r="I475" s="101" t="s">
        <v>73</v>
      </c>
      <c r="J475" s="101" t="s">
        <v>73</v>
      </c>
      <c r="K475" s="80" t="s">
        <v>414</v>
      </c>
      <c r="L475" s="101" t="s">
        <v>1491</v>
      </c>
      <c r="M475" s="101" t="s">
        <v>1562</v>
      </c>
      <c r="N475" s="101">
        <v>1</v>
      </c>
      <c r="O475" s="101">
        <v>30</v>
      </c>
      <c r="P475" s="102">
        <v>30</v>
      </c>
      <c r="Q475" s="102">
        <v>3</v>
      </c>
      <c r="R475" s="102">
        <v>3</v>
      </c>
      <c r="S475" s="80" t="s">
        <v>1558</v>
      </c>
      <c r="T475" s="101"/>
      <c r="U475" s="80"/>
    </row>
    <row r="476" spans="1:21" ht="12.75" hidden="1">
      <c r="B476" s="54" t="s">
        <v>1644</v>
      </c>
      <c r="C476" s="54" t="s">
        <v>34</v>
      </c>
      <c r="D476" s="81" t="s">
        <v>1225</v>
      </c>
      <c r="E476" s="80" t="s">
        <v>1226</v>
      </c>
      <c r="F476" s="81">
        <v>3</v>
      </c>
      <c r="G476" s="81">
        <v>2</v>
      </c>
      <c r="H476" s="81">
        <v>4</v>
      </c>
      <c r="I476" s="101" t="s">
        <v>73</v>
      </c>
      <c r="J476" s="101" t="s">
        <v>73</v>
      </c>
      <c r="K476" s="80" t="s">
        <v>146</v>
      </c>
      <c r="L476" s="101" t="s">
        <v>1488</v>
      </c>
      <c r="M476" s="101" t="s">
        <v>1562</v>
      </c>
      <c r="N476" s="101">
        <v>1</v>
      </c>
      <c r="O476" s="101">
        <v>30</v>
      </c>
      <c r="P476" s="102">
        <v>30</v>
      </c>
      <c r="Q476" s="102">
        <v>5</v>
      </c>
      <c r="R476" s="102">
        <v>5</v>
      </c>
      <c r="S476" s="80" t="s">
        <v>1504</v>
      </c>
      <c r="T476" s="101" t="s">
        <v>1518</v>
      </c>
      <c r="U476" s="80"/>
    </row>
    <row r="477" spans="1:21" ht="12.75" hidden="1">
      <c r="B477" s="54" t="s">
        <v>1644</v>
      </c>
      <c r="C477" s="54" t="s">
        <v>34</v>
      </c>
      <c r="D477" s="81" t="s">
        <v>322</v>
      </c>
      <c r="E477" s="80" t="s">
        <v>323</v>
      </c>
      <c r="F477" s="81">
        <v>3</v>
      </c>
      <c r="G477" s="81">
        <v>1</v>
      </c>
      <c r="H477" s="81">
        <v>4</v>
      </c>
      <c r="I477" s="101" t="s">
        <v>73</v>
      </c>
      <c r="J477" s="101" t="s">
        <v>73</v>
      </c>
      <c r="K477" s="80" t="s">
        <v>146</v>
      </c>
      <c r="L477" s="101" t="s">
        <v>1488</v>
      </c>
      <c r="M477" s="101" t="s">
        <v>1562</v>
      </c>
      <c r="N477" s="101">
        <v>1</v>
      </c>
      <c r="O477" s="101">
        <v>30</v>
      </c>
      <c r="P477" s="102">
        <v>30</v>
      </c>
      <c r="Q477" s="102">
        <v>4</v>
      </c>
      <c r="R477" s="102">
        <v>4</v>
      </c>
      <c r="S477" s="80" t="s">
        <v>1504</v>
      </c>
      <c r="T477" s="101" t="s">
        <v>1505</v>
      </c>
      <c r="U477" s="80"/>
    </row>
    <row r="478" spans="1:21" ht="12.75" hidden="1">
      <c r="B478" s="54" t="s">
        <v>1644</v>
      </c>
      <c r="C478" s="54" t="s">
        <v>34</v>
      </c>
      <c r="D478" s="81" t="s">
        <v>460</v>
      </c>
      <c r="E478" s="80" t="s">
        <v>461</v>
      </c>
      <c r="F478" s="81">
        <v>3</v>
      </c>
      <c r="G478" s="81">
        <v>1</v>
      </c>
      <c r="H478" s="81">
        <v>4</v>
      </c>
      <c r="I478" s="101" t="s">
        <v>73</v>
      </c>
      <c r="J478" s="101" t="s">
        <v>73</v>
      </c>
      <c r="K478" s="80" t="s">
        <v>156</v>
      </c>
      <c r="L478" s="101" t="s">
        <v>1488</v>
      </c>
      <c r="M478" s="101" t="s">
        <v>1562</v>
      </c>
      <c r="N478" s="101">
        <v>1</v>
      </c>
      <c r="O478" s="101">
        <v>30</v>
      </c>
      <c r="P478" s="102">
        <v>30</v>
      </c>
      <c r="Q478" s="102">
        <v>4</v>
      </c>
      <c r="R478" s="102">
        <v>4</v>
      </c>
      <c r="S478" s="80" t="s">
        <v>1504</v>
      </c>
      <c r="T478" s="101" t="s">
        <v>1505</v>
      </c>
      <c r="U478" s="80"/>
    </row>
    <row r="479" spans="1:21" ht="12.75" hidden="1">
      <c r="B479" s="54" t="s">
        <v>1644</v>
      </c>
      <c r="C479" s="54" t="s">
        <v>34</v>
      </c>
      <c r="D479" s="81" t="s">
        <v>460</v>
      </c>
      <c r="E479" s="80" t="s">
        <v>461</v>
      </c>
      <c r="F479" s="81">
        <v>3</v>
      </c>
      <c r="G479" s="81">
        <v>1</v>
      </c>
      <c r="H479" s="81">
        <v>4</v>
      </c>
      <c r="I479" s="101" t="s">
        <v>73</v>
      </c>
      <c r="J479" s="101" t="s">
        <v>73</v>
      </c>
      <c r="K479" s="80" t="s">
        <v>156</v>
      </c>
      <c r="L479" s="101" t="s">
        <v>1491</v>
      </c>
      <c r="M479" s="101" t="s">
        <v>1562</v>
      </c>
      <c r="N479" s="101">
        <v>1</v>
      </c>
      <c r="O479" s="101">
        <v>30</v>
      </c>
      <c r="P479" s="102">
        <v>30</v>
      </c>
      <c r="Q479" s="102">
        <v>4</v>
      </c>
      <c r="R479" s="102">
        <v>4</v>
      </c>
      <c r="S479" s="80" t="s">
        <v>1504</v>
      </c>
      <c r="T479" s="101" t="s">
        <v>1505</v>
      </c>
      <c r="U479" s="80"/>
    </row>
    <row r="480" spans="1:21" ht="12.75" hidden="1">
      <c r="B480" s="54" t="s">
        <v>1644</v>
      </c>
      <c r="C480" s="54" t="s">
        <v>34</v>
      </c>
      <c r="D480" s="81" t="s">
        <v>1080</v>
      </c>
      <c r="E480" s="80" t="s">
        <v>1081</v>
      </c>
      <c r="F480" s="81">
        <v>3</v>
      </c>
      <c r="G480" s="81">
        <v>1</v>
      </c>
      <c r="H480" s="81">
        <v>4</v>
      </c>
      <c r="I480" s="101" t="s">
        <v>73</v>
      </c>
      <c r="J480" s="101" t="s">
        <v>73</v>
      </c>
      <c r="K480" s="80" t="s">
        <v>303</v>
      </c>
      <c r="L480" s="101" t="s">
        <v>1488</v>
      </c>
      <c r="M480" s="101" t="s">
        <v>1562</v>
      </c>
      <c r="N480" s="101">
        <v>1</v>
      </c>
      <c r="O480" s="101">
        <v>30</v>
      </c>
      <c r="P480" s="102">
        <v>30</v>
      </c>
      <c r="Q480" s="102">
        <v>4</v>
      </c>
      <c r="R480" s="102">
        <v>4</v>
      </c>
      <c r="S480" s="80" t="s">
        <v>1504</v>
      </c>
      <c r="T480" s="101" t="s">
        <v>1505</v>
      </c>
      <c r="U480" s="80"/>
    </row>
    <row r="481" spans="2:21" ht="12.75" hidden="1">
      <c r="B481" s="54" t="s">
        <v>1644</v>
      </c>
      <c r="C481" s="54" t="s">
        <v>34</v>
      </c>
      <c r="D481" s="81" t="s">
        <v>834</v>
      </c>
      <c r="E481" s="80" t="s">
        <v>835</v>
      </c>
      <c r="F481" s="81">
        <v>3</v>
      </c>
      <c r="G481" s="81">
        <v>1</v>
      </c>
      <c r="H481" s="81">
        <v>4</v>
      </c>
      <c r="I481" s="101" t="s">
        <v>73</v>
      </c>
      <c r="J481" s="101" t="s">
        <v>73</v>
      </c>
      <c r="K481" s="80" t="s">
        <v>424</v>
      </c>
      <c r="L481" s="101" t="s">
        <v>1488</v>
      </c>
      <c r="M481" s="101" t="s">
        <v>1562</v>
      </c>
      <c r="N481" s="101">
        <v>1</v>
      </c>
      <c r="O481" s="101">
        <v>30</v>
      </c>
      <c r="P481" s="102">
        <v>30</v>
      </c>
      <c r="Q481" s="102">
        <v>4</v>
      </c>
      <c r="R481" s="102">
        <v>4</v>
      </c>
      <c r="S481" s="80" t="s">
        <v>1504</v>
      </c>
      <c r="T481" s="101" t="s">
        <v>1505</v>
      </c>
      <c r="U481" s="80"/>
    </row>
    <row r="482" spans="2:21" ht="12.75" hidden="1">
      <c r="B482" s="54" t="s">
        <v>1644</v>
      </c>
      <c r="C482" s="54" t="s">
        <v>34</v>
      </c>
      <c r="D482" s="81" t="s">
        <v>834</v>
      </c>
      <c r="E482" s="80" t="s">
        <v>835</v>
      </c>
      <c r="F482" s="81">
        <v>3</v>
      </c>
      <c r="G482" s="81">
        <v>1</v>
      </c>
      <c r="H482" s="81">
        <v>4</v>
      </c>
      <c r="I482" s="101" t="s">
        <v>73</v>
      </c>
      <c r="J482" s="101" t="s">
        <v>73</v>
      </c>
      <c r="K482" s="80" t="s">
        <v>424</v>
      </c>
      <c r="L482" s="101" t="s">
        <v>1491</v>
      </c>
      <c r="M482" s="101" t="s">
        <v>1562</v>
      </c>
      <c r="N482" s="101">
        <v>1</v>
      </c>
      <c r="O482" s="101">
        <v>30</v>
      </c>
      <c r="P482" s="102">
        <v>30</v>
      </c>
      <c r="Q482" s="102">
        <v>4</v>
      </c>
      <c r="R482" s="102">
        <v>4</v>
      </c>
      <c r="S482" s="80" t="s">
        <v>1504</v>
      </c>
      <c r="T482" s="101" t="s">
        <v>1505</v>
      </c>
      <c r="U482" s="80"/>
    </row>
    <row r="483" spans="2:21" ht="12.75" hidden="1">
      <c r="B483" s="54" t="s">
        <v>1644</v>
      </c>
      <c r="C483" s="54" t="s">
        <v>34</v>
      </c>
      <c r="D483" s="81" t="s">
        <v>654</v>
      </c>
      <c r="E483" s="80" t="s">
        <v>655</v>
      </c>
      <c r="F483" s="81">
        <v>2</v>
      </c>
      <c r="G483" s="81">
        <v>2</v>
      </c>
      <c r="H483" s="81">
        <v>5</v>
      </c>
      <c r="I483" s="101" t="s">
        <v>73</v>
      </c>
      <c r="J483" s="101" t="s">
        <v>73</v>
      </c>
      <c r="K483" s="80" t="s">
        <v>265</v>
      </c>
      <c r="L483" s="101" t="s">
        <v>1491</v>
      </c>
      <c r="M483" s="101" t="s">
        <v>1562</v>
      </c>
      <c r="N483" s="101">
        <v>1</v>
      </c>
      <c r="O483" s="101">
        <v>30</v>
      </c>
      <c r="P483" s="102">
        <v>30</v>
      </c>
      <c r="Q483" s="102">
        <v>4</v>
      </c>
      <c r="R483" s="102">
        <v>4</v>
      </c>
      <c r="S483" s="80" t="s">
        <v>1504</v>
      </c>
      <c r="T483" s="101" t="s">
        <v>1518</v>
      </c>
      <c r="U483" s="80"/>
    </row>
    <row r="484" spans="2:21" ht="12.75" hidden="1">
      <c r="B484" s="54" t="s">
        <v>1644</v>
      </c>
      <c r="C484" s="54" t="s">
        <v>34</v>
      </c>
      <c r="D484" s="81" t="s">
        <v>1220</v>
      </c>
      <c r="E484" s="80" t="s">
        <v>149</v>
      </c>
      <c r="F484" s="81">
        <v>3</v>
      </c>
      <c r="G484" s="81">
        <v>1</v>
      </c>
      <c r="H484" s="81">
        <v>4</v>
      </c>
      <c r="I484" s="101" t="s">
        <v>71</v>
      </c>
      <c r="J484" s="101" t="s">
        <v>71</v>
      </c>
      <c r="K484" s="80" t="s">
        <v>237</v>
      </c>
      <c r="L484" s="101" t="s">
        <v>1488</v>
      </c>
      <c r="M484" s="101" t="s">
        <v>1562</v>
      </c>
      <c r="N484" s="101">
        <v>1</v>
      </c>
      <c r="O484" s="101">
        <v>32</v>
      </c>
      <c r="P484" s="102">
        <v>32</v>
      </c>
      <c r="Q484" s="102">
        <v>4</v>
      </c>
      <c r="R484" s="102">
        <v>4</v>
      </c>
      <c r="S484" s="80" t="s">
        <v>1509</v>
      </c>
      <c r="T484" s="101" t="s">
        <v>1518</v>
      </c>
      <c r="U484" s="80"/>
    </row>
    <row r="485" spans="2:21" ht="12.75" hidden="1">
      <c r="B485" s="54" t="s">
        <v>1644</v>
      </c>
      <c r="C485" s="54" t="s">
        <v>34</v>
      </c>
      <c r="D485" s="81" t="s">
        <v>1220</v>
      </c>
      <c r="E485" s="80" t="s">
        <v>149</v>
      </c>
      <c r="F485" s="81">
        <v>3</v>
      </c>
      <c r="G485" s="81">
        <v>1</v>
      </c>
      <c r="H485" s="81">
        <v>4</v>
      </c>
      <c r="I485" s="101" t="s">
        <v>71</v>
      </c>
      <c r="J485" s="101" t="s">
        <v>71</v>
      </c>
      <c r="K485" s="80" t="s">
        <v>237</v>
      </c>
      <c r="L485" s="101" t="s">
        <v>1491</v>
      </c>
      <c r="M485" s="101" t="s">
        <v>1562</v>
      </c>
      <c r="N485" s="101">
        <v>1</v>
      </c>
      <c r="O485" s="101">
        <v>32</v>
      </c>
      <c r="P485" s="102">
        <v>32</v>
      </c>
      <c r="Q485" s="102">
        <v>4</v>
      </c>
      <c r="R485" s="102">
        <v>4</v>
      </c>
      <c r="S485" s="80" t="s">
        <v>1509</v>
      </c>
      <c r="T485" s="101" t="s">
        <v>1518</v>
      </c>
      <c r="U485" s="80"/>
    </row>
    <row r="486" spans="2:21" ht="12.75" hidden="1">
      <c r="B486" s="55" t="s">
        <v>55</v>
      </c>
      <c r="C486" s="55" t="s">
        <v>35</v>
      </c>
      <c r="D486" s="81" t="s">
        <v>633</v>
      </c>
      <c r="E486" s="80" t="s">
        <v>634</v>
      </c>
      <c r="F486" s="81">
        <v>4</v>
      </c>
      <c r="G486" s="81">
        <v>0</v>
      </c>
      <c r="H486" s="81">
        <v>6</v>
      </c>
      <c r="I486" s="101" t="s">
        <v>71</v>
      </c>
      <c r="J486" s="101" t="s">
        <v>71</v>
      </c>
      <c r="K486" s="80" t="s">
        <v>76</v>
      </c>
      <c r="L486" s="101" t="s">
        <v>1488</v>
      </c>
      <c r="M486" s="101" t="s">
        <v>1562</v>
      </c>
      <c r="N486" s="101">
        <v>1</v>
      </c>
      <c r="O486" s="101">
        <v>60</v>
      </c>
      <c r="P486" s="102">
        <v>60</v>
      </c>
      <c r="Q486" s="102">
        <v>4</v>
      </c>
      <c r="R486" s="102">
        <v>4</v>
      </c>
      <c r="S486" s="80"/>
      <c r="T486" s="101"/>
      <c r="U486" s="80"/>
    </row>
    <row r="487" spans="2:21" ht="12.75" hidden="1">
      <c r="B487" s="55" t="s">
        <v>55</v>
      </c>
      <c r="C487" s="55" t="s">
        <v>35</v>
      </c>
      <c r="D487" s="81" t="s">
        <v>633</v>
      </c>
      <c r="E487" s="80" t="s">
        <v>634</v>
      </c>
      <c r="F487" s="81">
        <v>4</v>
      </c>
      <c r="G487" s="81">
        <v>0</v>
      </c>
      <c r="H487" s="81">
        <v>6</v>
      </c>
      <c r="I487" s="101" t="s">
        <v>71</v>
      </c>
      <c r="J487" s="101" t="s">
        <v>71</v>
      </c>
      <c r="K487" s="80" t="s">
        <v>76</v>
      </c>
      <c r="L487" s="101" t="s">
        <v>1491</v>
      </c>
      <c r="M487" s="101" t="s">
        <v>1562</v>
      </c>
      <c r="N487" s="101">
        <v>1</v>
      </c>
      <c r="O487" s="101">
        <v>60</v>
      </c>
      <c r="P487" s="102">
        <v>60</v>
      </c>
      <c r="Q487" s="102">
        <v>4</v>
      </c>
      <c r="R487" s="102">
        <v>4</v>
      </c>
      <c r="S487" s="80"/>
      <c r="T487" s="101"/>
      <c r="U487" s="80"/>
    </row>
    <row r="488" spans="2:21" ht="12.75" hidden="1">
      <c r="B488" s="55" t="s">
        <v>55</v>
      </c>
      <c r="C488" s="55" t="s">
        <v>35</v>
      </c>
      <c r="D488" s="81" t="s">
        <v>1318</v>
      </c>
      <c r="E488" s="80" t="s">
        <v>1319</v>
      </c>
      <c r="F488" s="81">
        <v>0</v>
      </c>
      <c r="G488" s="81">
        <v>4</v>
      </c>
      <c r="H488" s="81">
        <v>4</v>
      </c>
      <c r="I488" s="101" t="s">
        <v>71</v>
      </c>
      <c r="J488" s="101" t="s">
        <v>71</v>
      </c>
      <c r="K488" s="80" t="s">
        <v>1577</v>
      </c>
      <c r="L488" s="101" t="s">
        <v>1491</v>
      </c>
      <c r="M488" s="101" t="s">
        <v>1562</v>
      </c>
      <c r="N488" s="101">
        <v>1</v>
      </c>
      <c r="O488" s="101">
        <v>30</v>
      </c>
      <c r="P488" s="102">
        <v>30</v>
      </c>
      <c r="Q488" s="102">
        <v>4</v>
      </c>
      <c r="R488" s="102">
        <v>4</v>
      </c>
      <c r="S488" s="80" t="s">
        <v>1578</v>
      </c>
      <c r="T488" s="101" t="s">
        <v>1518</v>
      </c>
      <c r="U488" s="80"/>
    </row>
    <row r="489" spans="2:21" ht="12.75" hidden="1">
      <c r="B489" s="55" t="s">
        <v>55</v>
      </c>
      <c r="C489" s="55" t="s">
        <v>35</v>
      </c>
      <c r="D489" s="81" t="s">
        <v>1316</v>
      </c>
      <c r="E489" s="80" t="s">
        <v>364</v>
      </c>
      <c r="F489" s="81">
        <v>2</v>
      </c>
      <c r="G489" s="81">
        <v>2</v>
      </c>
      <c r="H489" s="81">
        <v>5</v>
      </c>
      <c r="I489" s="101" t="s">
        <v>71</v>
      </c>
      <c r="J489" s="101" t="s">
        <v>71</v>
      </c>
      <c r="K489" s="80" t="s">
        <v>1317</v>
      </c>
      <c r="L489" s="101" t="s">
        <v>1488</v>
      </c>
      <c r="M489" s="101" t="s">
        <v>1562</v>
      </c>
      <c r="N489" s="101">
        <v>1</v>
      </c>
      <c r="O489" s="101">
        <v>30</v>
      </c>
      <c r="P489" s="102">
        <v>30</v>
      </c>
      <c r="Q489" s="102">
        <v>4</v>
      </c>
      <c r="R489" s="102">
        <v>4</v>
      </c>
      <c r="S489" s="80" t="s">
        <v>1509</v>
      </c>
      <c r="T489" s="101" t="s">
        <v>1518</v>
      </c>
      <c r="U489" s="80"/>
    </row>
    <row r="490" spans="2:21" ht="12.75" hidden="1">
      <c r="B490" s="55" t="s">
        <v>55</v>
      </c>
      <c r="C490" s="55" t="s">
        <v>35</v>
      </c>
      <c r="D490" s="81" t="s">
        <v>1316</v>
      </c>
      <c r="E490" s="80" t="s">
        <v>364</v>
      </c>
      <c r="F490" s="81">
        <v>2</v>
      </c>
      <c r="G490" s="81">
        <v>2</v>
      </c>
      <c r="H490" s="81">
        <v>5</v>
      </c>
      <c r="I490" s="101" t="s">
        <v>71</v>
      </c>
      <c r="J490" s="101" t="s">
        <v>71</v>
      </c>
      <c r="K490" s="80" t="s">
        <v>1317</v>
      </c>
      <c r="L490" s="101" t="s">
        <v>1491</v>
      </c>
      <c r="M490" s="101" t="s">
        <v>1562</v>
      </c>
      <c r="N490" s="101">
        <v>1</v>
      </c>
      <c r="O490" s="101">
        <v>30</v>
      </c>
      <c r="P490" s="102">
        <v>30</v>
      </c>
      <c r="Q490" s="102">
        <v>4</v>
      </c>
      <c r="R490" s="102">
        <v>4</v>
      </c>
      <c r="S490" s="80" t="s">
        <v>1509</v>
      </c>
      <c r="T490" s="101" t="s">
        <v>1518</v>
      </c>
      <c r="U490" s="80"/>
    </row>
    <row r="491" spans="2:21" ht="12.75" hidden="1">
      <c r="B491" s="55" t="s">
        <v>55</v>
      </c>
      <c r="C491" s="55" t="s">
        <v>35</v>
      </c>
      <c r="D491" s="81" t="s">
        <v>249</v>
      </c>
      <c r="E491" s="80" t="s">
        <v>250</v>
      </c>
      <c r="F491" s="81">
        <v>4</v>
      </c>
      <c r="G491" s="81">
        <v>0</v>
      </c>
      <c r="H491" s="81">
        <v>4</v>
      </c>
      <c r="I491" s="101" t="s">
        <v>71</v>
      </c>
      <c r="J491" s="101" t="s">
        <v>71</v>
      </c>
      <c r="K491" s="80" t="s">
        <v>251</v>
      </c>
      <c r="L491" s="101" t="s">
        <v>1488</v>
      </c>
      <c r="M491" s="101" t="s">
        <v>1562</v>
      </c>
      <c r="N491" s="101">
        <v>1</v>
      </c>
      <c r="O491" s="101">
        <v>60</v>
      </c>
      <c r="P491" s="102">
        <v>60</v>
      </c>
      <c r="Q491" s="102">
        <v>4</v>
      </c>
      <c r="R491" s="102">
        <v>4</v>
      </c>
      <c r="S491" s="80"/>
      <c r="T491" s="101"/>
      <c r="U491" s="80"/>
    </row>
    <row r="492" spans="2:21" ht="12.75" hidden="1">
      <c r="B492" s="55" t="s">
        <v>55</v>
      </c>
      <c r="C492" s="55" t="s">
        <v>35</v>
      </c>
      <c r="D492" s="81" t="s">
        <v>249</v>
      </c>
      <c r="E492" s="80" t="s">
        <v>250</v>
      </c>
      <c r="F492" s="81">
        <v>4</v>
      </c>
      <c r="G492" s="81">
        <v>0</v>
      </c>
      <c r="H492" s="81">
        <v>4</v>
      </c>
      <c r="I492" s="101" t="s">
        <v>71</v>
      </c>
      <c r="J492" s="101" t="s">
        <v>71</v>
      </c>
      <c r="K492" s="80" t="s">
        <v>251</v>
      </c>
      <c r="L492" s="101" t="s">
        <v>1491</v>
      </c>
      <c r="M492" s="101" t="s">
        <v>1562</v>
      </c>
      <c r="N492" s="101">
        <v>1</v>
      </c>
      <c r="O492" s="101">
        <v>60</v>
      </c>
      <c r="P492" s="102">
        <v>60</v>
      </c>
      <c r="Q492" s="102">
        <v>4</v>
      </c>
      <c r="R492" s="102">
        <v>4</v>
      </c>
      <c r="S492" s="80"/>
      <c r="T492" s="101"/>
      <c r="U492" s="80"/>
    </row>
    <row r="493" spans="2:21" ht="12.75" hidden="1">
      <c r="B493" s="55" t="s">
        <v>55</v>
      </c>
      <c r="C493" s="55" t="s">
        <v>35</v>
      </c>
      <c r="D493" s="81" t="s">
        <v>847</v>
      </c>
      <c r="E493" s="80" t="s">
        <v>848</v>
      </c>
      <c r="F493" s="81">
        <v>3</v>
      </c>
      <c r="G493" s="81">
        <v>1</v>
      </c>
      <c r="H493" s="81">
        <v>4</v>
      </c>
      <c r="I493" s="101" t="s">
        <v>71</v>
      </c>
      <c r="J493" s="101" t="s">
        <v>71</v>
      </c>
      <c r="K493" s="80" t="s">
        <v>251</v>
      </c>
      <c r="L493" s="101" t="s">
        <v>1491</v>
      </c>
      <c r="M493" s="101" t="s">
        <v>1562</v>
      </c>
      <c r="N493" s="101">
        <v>1</v>
      </c>
      <c r="O493" s="101">
        <v>30</v>
      </c>
      <c r="P493" s="102">
        <v>30</v>
      </c>
      <c r="Q493" s="102">
        <v>4</v>
      </c>
      <c r="R493" s="102">
        <v>4</v>
      </c>
      <c r="S493" s="80" t="s">
        <v>1515</v>
      </c>
      <c r="T493" s="101" t="s">
        <v>1505</v>
      </c>
      <c r="U493" s="80"/>
    </row>
    <row r="494" spans="2:21" ht="12.75" hidden="1">
      <c r="B494" s="55" t="s">
        <v>55</v>
      </c>
      <c r="C494" s="55" t="s">
        <v>35</v>
      </c>
      <c r="D494" s="81" t="s">
        <v>1127</v>
      </c>
      <c r="E494" s="80" t="s">
        <v>1128</v>
      </c>
      <c r="F494" s="81">
        <v>3</v>
      </c>
      <c r="G494" s="81">
        <v>1</v>
      </c>
      <c r="H494" s="81">
        <v>4</v>
      </c>
      <c r="I494" s="101" t="s">
        <v>71</v>
      </c>
      <c r="J494" s="101" t="s">
        <v>71</v>
      </c>
      <c r="K494" s="80" t="s">
        <v>1129</v>
      </c>
      <c r="L494" s="101" t="s">
        <v>1488</v>
      </c>
      <c r="M494" s="101" t="s">
        <v>1562</v>
      </c>
      <c r="N494" s="101">
        <v>1</v>
      </c>
      <c r="O494" s="101">
        <v>30</v>
      </c>
      <c r="P494" s="102">
        <v>30</v>
      </c>
      <c r="Q494" s="102">
        <v>4</v>
      </c>
      <c r="R494" s="102">
        <v>4</v>
      </c>
      <c r="S494" s="80" t="s">
        <v>1504</v>
      </c>
      <c r="T494" s="101" t="s">
        <v>1505</v>
      </c>
      <c r="U494" s="80"/>
    </row>
    <row r="495" spans="2:21" ht="12.75" hidden="1">
      <c r="B495" s="55" t="s">
        <v>55</v>
      </c>
      <c r="C495" s="55" t="s">
        <v>35</v>
      </c>
      <c r="D495" s="81" t="s">
        <v>1127</v>
      </c>
      <c r="E495" s="80" t="s">
        <v>1128</v>
      </c>
      <c r="F495" s="81">
        <v>3</v>
      </c>
      <c r="G495" s="81">
        <v>1</v>
      </c>
      <c r="H495" s="81">
        <v>4</v>
      </c>
      <c r="I495" s="101" t="s">
        <v>71</v>
      </c>
      <c r="J495" s="101" t="s">
        <v>71</v>
      </c>
      <c r="K495" s="80" t="s">
        <v>1129</v>
      </c>
      <c r="L495" s="101" t="s">
        <v>1491</v>
      </c>
      <c r="M495" s="101" t="s">
        <v>1562</v>
      </c>
      <c r="N495" s="101">
        <v>1</v>
      </c>
      <c r="O495" s="101">
        <v>30</v>
      </c>
      <c r="P495" s="102">
        <v>30</v>
      </c>
      <c r="Q495" s="102">
        <v>4</v>
      </c>
      <c r="R495" s="102">
        <v>4</v>
      </c>
      <c r="S495" s="80" t="s">
        <v>1504</v>
      </c>
      <c r="T495" s="101" t="s">
        <v>1505</v>
      </c>
      <c r="U495" s="80"/>
    </row>
    <row r="496" spans="2:21" ht="12.75" hidden="1">
      <c r="B496" s="55" t="s">
        <v>55</v>
      </c>
      <c r="C496" s="55" t="s">
        <v>35</v>
      </c>
      <c r="D496" s="81" t="s">
        <v>1126</v>
      </c>
      <c r="E496" s="80" t="s">
        <v>351</v>
      </c>
      <c r="F496" s="81">
        <v>3</v>
      </c>
      <c r="G496" s="81">
        <v>1</v>
      </c>
      <c r="H496" s="81">
        <v>4</v>
      </c>
      <c r="I496" s="101" t="s">
        <v>71</v>
      </c>
      <c r="J496" s="101" t="s">
        <v>71</v>
      </c>
      <c r="K496" s="80" t="s">
        <v>250</v>
      </c>
      <c r="L496" s="101" t="s">
        <v>1488</v>
      </c>
      <c r="M496" s="101" t="s">
        <v>1562</v>
      </c>
      <c r="N496" s="101">
        <v>1</v>
      </c>
      <c r="O496" s="101">
        <v>30</v>
      </c>
      <c r="P496" s="102">
        <v>30</v>
      </c>
      <c r="Q496" s="102">
        <v>4</v>
      </c>
      <c r="R496" s="102">
        <v>4</v>
      </c>
      <c r="S496" s="80" t="s">
        <v>1504</v>
      </c>
      <c r="T496" s="101" t="s">
        <v>1505</v>
      </c>
      <c r="U496" s="80"/>
    </row>
    <row r="497" spans="2:21" ht="12.75" hidden="1">
      <c r="B497" s="55" t="s">
        <v>55</v>
      </c>
      <c r="C497" s="55" t="s">
        <v>35</v>
      </c>
      <c r="D497" s="81" t="s">
        <v>1126</v>
      </c>
      <c r="E497" s="80" t="s">
        <v>351</v>
      </c>
      <c r="F497" s="81">
        <v>3</v>
      </c>
      <c r="G497" s="81">
        <v>1</v>
      </c>
      <c r="H497" s="81">
        <v>4</v>
      </c>
      <c r="I497" s="101" t="s">
        <v>71</v>
      </c>
      <c r="J497" s="101" t="s">
        <v>71</v>
      </c>
      <c r="K497" s="80" t="s">
        <v>250</v>
      </c>
      <c r="L497" s="101" t="s">
        <v>1491</v>
      </c>
      <c r="M497" s="101" t="s">
        <v>1562</v>
      </c>
      <c r="N497" s="101">
        <v>1</v>
      </c>
      <c r="O497" s="101">
        <v>30</v>
      </c>
      <c r="P497" s="102">
        <v>30</v>
      </c>
      <c r="Q497" s="102">
        <v>4</v>
      </c>
      <c r="R497" s="102">
        <v>4</v>
      </c>
      <c r="S497" s="80" t="s">
        <v>1504</v>
      </c>
      <c r="T497" s="101" t="s">
        <v>1505</v>
      </c>
      <c r="U497" s="80"/>
    </row>
    <row r="498" spans="2:21" ht="12.75" hidden="1">
      <c r="B498" s="55" t="s">
        <v>55</v>
      </c>
      <c r="C498" s="55" t="s">
        <v>35</v>
      </c>
      <c r="D498" s="81" t="s">
        <v>1182</v>
      </c>
      <c r="E498" s="80" t="s">
        <v>1183</v>
      </c>
      <c r="F498" s="81">
        <v>2</v>
      </c>
      <c r="G498" s="81">
        <v>0</v>
      </c>
      <c r="H498" s="81">
        <v>2</v>
      </c>
      <c r="I498" s="101" t="s">
        <v>73</v>
      </c>
      <c r="J498" s="101" t="s">
        <v>73</v>
      </c>
      <c r="K498" s="80" t="s">
        <v>1184</v>
      </c>
      <c r="L498" s="101" t="s">
        <v>1491</v>
      </c>
      <c r="M498" s="101" t="s">
        <v>1562</v>
      </c>
      <c r="N498" s="101">
        <v>1</v>
      </c>
      <c r="O498" s="101">
        <v>60</v>
      </c>
      <c r="P498" s="102">
        <v>60</v>
      </c>
      <c r="Q498" s="102">
        <v>2</v>
      </c>
      <c r="R498" s="102">
        <v>2</v>
      </c>
      <c r="S498" s="80"/>
      <c r="T498" s="101"/>
      <c r="U498" s="80"/>
    </row>
    <row r="499" spans="2:21" ht="12.75" hidden="1">
      <c r="B499" s="55" t="s">
        <v>55</v>
      </c>
      <c r="C499" s="55" t="s">
        <v>35</v>
      </c>
      <c r="D499" s="81" t="s">
        <v>1156</v>
      </c>
      <c r="E499" s="80" t="s">
        <v>1157</v>
      </c>
      <c r="F499" s="81">
        <v>4</v>
      </c>
      <c r="G499" s="81">
        <v>0</v>
      </c>
      <c r="H499" s="81">
        <v>4</v>
      </c>
      <c r="I499" s="101" t="s">
        <v>73</v>
      </c>
      <c r="J499" s="101" t="s">
        <v>73</v>
      </c>
      <c r="K499" s="80" t="s">
        <v>251</v>
      </c>
      <c r="L499" s="101" t="s">
        <v>1491</v>
      </c>
      <c r="M499" s="101" t="s">
        <v>1562</v>
      </c>
      <c r="N499" s="101">
        <v>1</v>
      </c>
      <c r="O499" s="101">
        <v>60</v>
      </c>
      <c r="P499" s="102">
        <v>60</v>
      </c>
      <c r="Q499" s="102">
        <v>4</v>
      </c>
      <c r="R499" s="102">
        <v>4</v>
      </c>
      <c r="S499" s="80"/>
      <c r="T499" s="101"/>
      <c r="U499" s="80"/>
    </row>
    <row r="500" spans="2:21" ht="12.75" hidden="1">
      <c r="B500" s="55" t="s">
        <v>55</v>
      </c>
      <c r="C500" s="55" t="s">
        <v>35</v>
      </c>
      <c r="D500" s="81" t="s">
        <v>415</v>
      </c>
      <c r="E500" s="80" t="s">
        <v>416</v>
      </c>
      <c r="F500" s="81">
        <v>3</v>
      </c>
      <c r="G500" s="81">
        <v>1</v>
      </c>
      <c r="H500" s="81">
        <v>4</v>
      </c>
      <c r="I500" s="101" t="s">
        <v>73</v>
      </c>
      <c r="J500" s="101" t="s">
        <v>73</v>
      </c>
      <c r="K500" s="80" t="s">
        <v>364</v>
      </c>
      <c r="L500" s="101" t="s">
        <v>1491</v>
      </c>
      <c r="M500" s="101" t="s">
        <v>1562</v>
      </c>
      <c r="N500" s="101">
        <v>1</v>
      </c>
      <c r="O500" s="101">
        <v>30</v>
      </c>
      <c r="P500" s="102">
        <v>30</v>
      </c>
      <c r="Q500" s="102">
        <v>4</v>
      </c>
      <c r="R500" s="102">
        <v>4</v>
      </c>
      <c r="S500" s="80" t="s">
        <v>1509</v>
      </c>
      <c r="T500" s="101" t="s">
        <v>1505</v>
      </c>
      <c r="U500" s="80"/>
    </row>
    <row r="501" spans="2:21" ht="12.75" hidden="1">
      <c r="B501" s="55" t="s">
        <v>55</v>
      </c>
      <c r="C501" s="55" t="s">
        <v>35</v>
      </c>
      <c r="D501" s="81" t="s">
        <v>1256</v>
      </c>
      <c r="E501" s="80" t="s">
        <v>1257</v>
      </c>
      <c r="F501" s="81">
        <v>4</v>
      </c>
      <c r="G501" s="81">
        <v>0</v>
      </c>
      <c r="H501" s="81">
        <v>4</v>
      </c>
      <c r="I501" s="101" t="s">
        <v>73</v>
      </c>
      <c r="J501" s="101" t="s">
        <v>73</v>
      </c>
      <c r="K501" s="80" t="s">
        <v>1258</v>
      </c>
      <c r="L501" s="101" t="s">
        <v>1491</v>
      </c>
      <c r="M501" s="101" t="s">
        <v>1562</v>
      </c>
      <c r="N501" s="101">
        <v>1</v>
      </c>
      <c r="O501" s="101">
        <v>60</v>
      </c>
      <c r="P501" s="102">
        <v>60</v>
      </c>
      <c r="Q501" s="102">
        <v>4</v>
      </c>
      <c r="R501" s="102">
        <v>4</v>
      </c>
      <c r="S501" s="80"/>
      <c r="T501" s="101"/>
      <c r="U501" s="80"/>
    </row>
    <row r="502" spans="2:21" ht="12.75" hidden="1">
      <c r="B502" s="55" t="s">
        <v>55</v>
      </c>
      <c r="C502" s="55" t="s">
        <v>35</v>
      </c>
      <c r="D502" s="81" t="s">
        <v>440</v>
      </c>
      <c r="E502" s="80" t="s">
        <v>441</v>
      </c>
      <c r="F502" s="81">
        <v>4</v>
      </c>
      <c r="G502" s="81">
        <v>0</v>
      </c>
      <c r="H502" s="81">
        <v>4</v>
      </c>
      <c r="I502" s="101" t="s">
        <v>73</v>
      </c>
      <c r="J502" s="101" t="s">
        <v>73</v>
      </c>
      <c r="K502" s="80" t="s">
        <v>442</v>
      </c>
      <c r="L502" s="101" t="s">
        <v>1491</v>
      </c>
      <c r="M502" s="101" t="s">
        <v>1562</v>
      </c>
      <c r="N502" s="101">
        <v>1</v>
      </c>
      <c r="O502" s="101">
        <v>60</v>
      </c>
      <c r="P502" s="102">
        <v>60</v>
      </c>
      <c r="Q502" s="102">
        <v>4</v>
      </c>
      <c r="R502" s="102">
        <v>4</v>
      </c>
      <c r="S502" s="80"/>
      <c r="T502" s="101"/>
      <c r="U502" s="80"/>
    </row>
    <row r="503" spans="2:21" ht="12.75" hidden="1">
      <c r="B503" s="55" t="s">
        <v>55</v>
      </c>
      <c r="C503" s="55" t="s">
        <v>35</v>
      </c>
      <c r="D503" s="81" t="s">
        <v>863</v>
      </c>
      <c r="E503" s="80" t="s">
        <v>864</v>
      </c>
      <c r="F503" s="81">
        <v>4</v>
      </c>
      <c r="G503" s="81">
        <v>0</v>
      </c>
      <c r="H503" s="81">
        <v>4</v>
      </c>
      <c r="I503" s="101" t="s">
        <v>73</v>
      </c>
      <c r="J503" s="101" t="s">
        <v>73</v>
      </c>
      <c r="K503" s="80" t="s">
        <v>243</v>
      </c>
      <c r="L503" s="101" t="s">
        <v>1491</v>
      </c>
      <c r="M503" s="101" t="s">
        <v>1562</v>
      </c>
      <c r="N503" s="101">
        <v>1</v>
      </c>
      <c r="O503" s="101">
        <v>60</v>
      </c>
      <c r="P503" s="102">
        <v>60</v>
      </c>
      <c r="Q503" s="102">
        <v>4</v>
      </c>
      <c r="R503" s="102">
        <v>4</v>
      </c>
      <c r="S503" s="80"/>
      <c r="T503" s="101"/>
      <c r="U503" s="80"/>
    </row>
    <row r="504" spans="2:21" ht="12.75" hidden="1">
      <c r="B504" s="55" t="s">
        <v>55</v>
      </c>
      <c r="C504" s="55" t="s">
        <v>35</v>
      </c>
      <c r="D504" s="81" t="s">
        <v>241</v>
      </c>
      <c r="E504" s="80" t="s">
        <v>242</v>
      </c>
      <c r="F504" s="81">
        <v>4</v>
      </c>
      <c r="G504" s="81">
        <v>0</v>
      </c>
      <c r="H504" s="81">
        <v>4</v>
      </c>
      <c r="I504" s="101" t="s">
        <v>73</v>
      </c>
      <c r="J504" s="101" t="s">
        <v>73</v>
      </c>
      <c r="K504" s="80" t="s">
        <v>243</v>
      </c>
      <c r="L504" s="101" t="s">
        <v>1491</v>
      </c>
      <c r="M504" s="101" t="s">
        <v>1562</v>
      </c>
      <c r="N504" s="101">
        <v>1</v>
      </c>
      <c r="O504" s="101">
        <v>60</v>
      </c>
      <c r="P504" s="102">
        <v>60</v>
      </c>
      <c r="Q504" s="102">
        <v>4</v>
      </c>
      <c r="R504" s="102">
        <v>4</v>
      </c>
      <c r="S504" s="80"/>
      <c r="T504" s="101"/>
      <c r="U504" s="80"/>
    </row>
    <row r="505" spans="2:21" ht="12.75" hidden="1">
      <c r="B505" s="55" t="s">
        <v>55</v>
      </c>
      <c r="C505" s="55" t="s">
        <v>35</v>
      </c>
      <c r="D505" s="81" t="s">
        <v>889</v>
      </c>
      <c r="E505" s="80" t="s">
        <v>890</v>
      </c>
      <c r="F505" s="81">
        <v>4</v>
      </c>
      <c r="G505" s="81">
        <v>0</v>
      </c>
      <c r="H505" s="81">
        <v>4</v>
      </c>
      <c r="I505" s="101" t="s">
        <v>73</v>
      </c>
      <c r="J505" s="101" t="s">
        <v>73</v>
      </c>
      <c r="K505" s="80" t="s">
        <v>439</v>
      </c>
      <c r="L505" s="101" t="s">
        <v>1491</v>
      </c>
      <c r="M505" s="101" t="s">
        <v>1562</v>
      </c>
      <c r="N505" s="101">
        <v>1</v>
      </c>
      <c r="O505" s="101">
        <v>60</v>
      </c>
      <c r="P505" s="102">
        <v>60</v>
      </c>
      <c r="Q505" s="102">
        <v>4</v>
      </c>
      <c r="R505" s="102">
        <v>4</v>
      </c>
      <c r="S505" s="80"/>
      <c r="T505" s="101"/>
      <c r="U505" s="80"/>
    </row>
    <row r="506" spans="2:21" ht="12.75" hidden="1">
      <c r="B506" s="55" t="s">
        <v>55</v>
      </c>
      <c r="C506" s="55" t="s">
        <v>35</v>
      </c>
      <c r="D506" s="81" t="s">
        <v>859</v>
      </c>
      <c r="E506" s="80" t="s">
        <v>860</v>
      </c>
      <c r="F506" s="81">
        <v>4</v>
      </c>
      <c r="G506" s="81">
        <v>0</v>
      </c>
      <c r="H506" s="81">
        <v>4</v>
      </c>
      <c r="I506" s="101" t="s">
        <v>73</v>
      </c>
      <c r="J506" s="101" t="s">
        <v>73</v>
      </c>
      <c r="K506" s="80" t="s">
        <v>351</v>
      </c>
      <c r="L506" s="101" t="s">
        <v>1491</v>
      </c>
      <c r="M506" s="101" t="s">
        <v>1562</v>
      </c>
      <c r="N506" s="101">
        <v>1</v>
      </c>
      <c r="O506" s="101">
        <v>60</v>
      </c>
      <c r="P506" s="102">
        <v>60</v>
      </c>
      <c r="Q506" s="102">
        <v>4</v>
      </c>
      <c r="R506" s="102">
        <v>4</v>
      </c>
      <c r="S506" s="80"/>
      <c r="T506" s="101"/>
      <c r="U506" s="80"/>
    </row>
    <row r="507" spans="2:21" ht="12.75" hidden="1">
      <c r="B507" s="55" t="s">
        <v>55</v>
      </c>
      <c r="C507" s="55" t="s">
        <v>35</v>
      </c>
      <c r="D507" s="81" t="s">
        <v>945</v>
      </c>
      <c r="E507" s="80" t="s">
        <v>946</v>
      </c>
      <c r="F507" s="81">
        <v>4</v>
      </c>
      <c r="G507" s="81">
        <v>0</v>
      </c>
      <c r="H507" s="81">
        <v>4</v>
      </c>
      <c r="I507" s="101" t="s">
        <v>73</v>
      </c>
      <c r="J507" s="101" t="s">
        <v>73</v>
      </c>
      <c r="K507" s="80" t="s">
        <v>947</v>
      </c>
      <c r="L507" s="101" t="s">
        <v>1491</v>
      </c>
      <c r="M507" s="101" t="s">
        <v>1562</v>
      </c>
      <c r="N507" s="101">
        <v>1</v>
      </c>
      <c r="O507" s="101">
        <v>60</v>
      </c>
      <c r="P507" s="102">
        <v>60</v>
      </c>
      <c r="Q507" s="102">
        <v>4</v>
      </c>
      <c r="R507" s="102">
        <v>4</v>
      </c>
      <c r="S507" s="80"/>
      <c r="T507" s="101"/>
      <c r="U507" s="80"/>
    </row>
    <row r="508" spans="2:21" ht="12.75" hidden="1">
      <c r="B508" s="44" t="s">
        <v>1646</v>
      </c>
      <c r="C508" s="44" t="s">
        <v>1485</v>
      </c>
      <c r="D508" s="81" t="s">
        <v>262</v>
      </c>
      <c r="E508" s="80" t="s">
        <v>156</v>
      </c>
      <c r="F508" s="81">
        <v>3</v>
      </c>
      <c r="G508" s="81">
        <v>1</v>
      </c>
      <c r="H508" s="81">
        <v>5</v>
      </c>
      <c r="I508" s="101" t="s">
        <v>71</v>
      </c>
      <c r="J508" s="101" t="s">
        <v>71</v>
      </c>
      <c r="K508" s="80" t="s">
        <v>263</v>
      </c>
      <c r="L508" s="101" t="s">
        <v>1488</v>
      </c>
      <c r="M508" s="101" t="s">
        <v>1562</v>
      </c>
      <c r="N508" s="101">
        <v>2</v>
      </c>
      <c r="O508" s="101">
        <v>60</v>
      </c>
      <c r="P508" s="102">
        <v>120</v>
      </c>
      <c r="Q508" s="102">
        <v>16</v>
      </c>
      <c r="R508" s="102">
        <v>10</v>
      </c>
      <c r="S508" s="80" t="s">
        <v>1498</v>
      </c>
      <c r="T508" s="101" t="s">
        <v>1580</v>
      </c>
      <c r="U508" s="80"/>
    </row>
    <row r="509" spans="2:21" ht="12.75" hidden="1">
      <c r="B509" s="44" t="s">
        <v>1646</v>
      </c>
      <c r="C509" s="44" t="s">
        <v>1485</v>
      </c>
      <c r="D509" s="81" t="s">
        <v>262</v>
      </c>
      <c r="E509" s="80" t="s">
        <v>156</v>
      </c>
      <c r="F509" s="81">
        <v>3</v>
      </c>
      <c r="G509" s="81">
        <v>1</v>
      </c>
      <c r="H509" s="81">
        <v>5</v>
      </c>
      <c r="I509" s="101" t="s">
        <v>71</v>
      </c>
      <c r="J509" s="101" t="s">
        <v>71</v>
      </c>
      <c r="K509" s="80" t="s">
        <v>263</v>
      </c>
      <c r="L509" s="101" t="s">
        <v>1491</v>
      </c>
      <c r="M509" s="101" t="s">
        <v>1562</v>
      </c>
      <c r="N509" s="101">
        <v>2</v>
      </c>
      <c r="O509" s="101">
        <v>60</v>
      </c>
      <c r="P509" s="102">
        <v>120</v>
      </c>
      <c r="Q509" s="102">
        <v>16</v>
      </c>
      <c r="R509" s="102">
        <v>10</v>
      </c>
      <c r="S509" s="80" t="s">
        <v>1498</v>
      </c>
      <c r="T509" s="101" t="s">
        <v>1580</v>
      </c>
      <c r="U509" s="80"/>
    </row>
    <row r="510" spans="2:21" ht="12.75" hidden="1">
      <c r="B510" s="44" t="s">
        <v>1646</v>
      </c>
      <c r="C510" s="44" t="s">
        <v>1485</v>
      </c>
      <c r="D510" s="81" t="s">
        <v>449</v>
      </c>
      <c r="E510" s="80" t="s">
        <v>329</v>
      </c>
      <c r="F510" s="81">
        <v>2</v>
      </c>
      <c r="G510" s="81">
        <v>1</v>
      </c>
      <c r="H510" s="81">
        <v>3</v>
      </c>
      <c r="I510" s="101" t="s">
        <v>71</v>
      </c>
      <c r="J510" s="101" t="s">
        <v>71</v>
      </c>
      <c r="K510" s="80" t="s">
        <v>450</v>
      </c>
      <c r="L510" s="101" t="s">
        <v>1488</v>
      </c>
      <c r="M510" s="101" t="s">
        <v>1562</v>
      </c>
      <c r="N510" s="101">
        <v>2</v>
      </c>
      <c r="O510" s="101">
        <v>60</v>
      </c>
      <c r="P510" s="102">
        <v>120</v>
      </c>
      <c r="Q510" s="102">
        <v>6</v>
      </c>
      <c r="R510" s="102">
        <v>6</v>
      </c>
      <c r="S510" s="80"/>
      <c r="T510" s="101"/>
      <c r="U510" s="80"/>
    </row>
    <row r="511" spans="2:21" ht="12.75" hidden="1">
      <c r="B511" s="44" t="s">
        <v>1646</v>
      </c>
      <c r="C511" s="44" t="s">
        <v>1485</v>
      </c>
      <c r="D511" s="81" t="s">
        <v>449</v>
      </c>
      <c r="E511" s="80" t="s">
        <v>329</v>
      </c>
      <c r="F511" s="81">
        <v>2</v>
      </c>
      <c r="G511" s="81">
        <v>1</v>
      </c>
      <c r="H511" s="81">
        <v>3</v>
      </c>
      <c r="I511" s="101" t="s">
        <v>71</v>
      </c>
      <c r="J511" s="101" t="s">
        <v>71</v>
      </c>
      <c r="K511" s="80" t="s">
        <v>450</v>
      </c>
      <c r="L511" s="101" t="s">
        <v>1491</v>
      </c>
      <c r="M511" s="101" t="s">
        <v>1562</v>
      </c>
      <c r="N511" s="101">
        <v>2</v>
      </c>
      <c r="O511" s="101">
        <v>60</v>
      </c>
      <c r="P511" s="102">
        <v>120</v>
      </c>
      <c r="Q511" s="102">
        <v>6</v>
      </c>
      <c r="R511" s="102">
        <v>6</v>
      </c>
      <c r="S511" s="80"/>
      <c r="T511" s="101"/>
      <c r="U511" s="80"/>
    </row>
    <row r="512" spans="2:21" ht="12.75" hidden="1">
      <c r="B512" s="44" t="s">
        <v>1646</v>
      </c>
      <c r="C512" s="44" t="s">
        <v>1485</v>
      </c>
      <c r="D512" s="81" t="s">
        <v>462</v>
      </c>
      <c r="E512" s="80" t="s">
        <v>463</v>
      </c>
      <c r="F512" s="81">
        <v>0</v>
      </c>
      <c r="G512" s="81">
        <v>3</v>
      </c>
      <c r="H512" s="81">
        <v>5</v>
      </c>
      <c r="I512" s="101" t="s">
        <v>71</v>
      </c>
      <c r="J512" s="101" t="s">
        <v>71</v>
      </c>
      <c r="K512" s="80" t="s">
        <v>450</v>
      </c>
      <c r="L512" s="101" t="s">
        <v>1488</v>
      </c>
      <c r="M512" s="101" t="s">
        <v>1562</v>
      </c>
      <c r="N512" s="101">
        <v>2</v>
      </c>
      <c r="O512" s="101">
        <v>30</v>
      </c>
      <c r="P512" s="102">
        <v>60</v>
      </c>
      <c r="Q512" s="102">
        <v>6</v>
      </c>
      <c r="R512" s="102">
        <v>6</v>
      </c>
      <c r="S512" s="80" t="s">
        <v>1498</v>
      </c>
      <c r="T512" s="101" t="s">
        <v>1580</v>
      </c>
      <c r="U512" s="80"/>
    </row>
    <row r="513" spans="2:21" ht="12.75" hidden="1">
      <c r="B513" s="44" t="s">
        <v>1646</v>
      </c>
      <c r="C513" s="44" t="s">
        <v>1485</v>
      </c>
      <c r="D513" s="81" t="s">
        <v>462</v>
      </c>
      <c r="E513" s="80" t="s">
        <v>463</v>
      </c>
      <c r="F513" s="81">
        <v>0</v>
      </c>
      <c r="G513" s="81">
        <v>3</v>
      </c>
      <c r="H513" s="81">
        <v>5</v>
      </c>
      <c r="I513" s="101" t="s">
        <v>71</v>
      </c>
      <c r="J513" s="101" t="s">
        <v>71</v>
      </c>
      <c r="K513" s="80" t="s">
        <v>450</v>
      </c>
      <c r="L513" s="101" t="s">
        <v>1491</v>
      </c>
      <c r="M513" s="101" t="s">
        <v>1562</v>
      </c>
      <c r="N513" s="101">
        <v>3</v>
      </c>
      <c r="O513" s="101">
        <v>30</v>
      </c>
      <c r="P513" s="102">
        <v>90</v>
      </c>
      <c r="Q513" s="102">
        <v>9</v>
      </c>
      <c r="R513" s="102">
        <v>9</v>
      </c>
      <c r="S513" s="80" t="s">
        <v>1498</v>
      </c>
      <c r="T513" s="101" t="s">
        <v>1580</v>
      </c>
      <c r="U513" s="80"/>
    </row>
    <row r="514" spans="2:21" ht="12.75" hidden="1">
      <c r="B514" s="44" t="s">
        <v>1646</v>
      </c>
      <c r="C514" s="44" t="s">
        <v>1485</v>
      </c>
      <c r="D514" s="81" t="s">
        <v>464</v>
      </c>
      <c r="E514" s="80" t="s">
        <v>465</v>
      </c>
      <c r="F514" s="81">
        <v>0</v>
      </c>
      <c r="G514" s="81">
        <v>3</v>
      </c>
      <c r="H514" s="81">
        <v>5</v>
      </c>
      <c r="I514" s="101" t="s">
        <v>71</v>
      </c>
      <c r="J514" s="101" t="s">
        <v>71</v>
      </c>
      <c r="K514" s="80" t="s">
        <v>450</v>
      </c>
      <c r="L514" s="101" t="s">
        <v>1488</v>
      </c>
      <c r="M514" s="101" t="s">
        <v>1562</v>
      </c>
      <c r="N514" s="101">
        <v>2</v>
      </c>
      <c r="O514" s="101">
        <v>30</v>
      </c>
      <c r="P514" s="102">
        <v>60</v>
      </c>
      <c r="Q514" s="102">
        <v>6</v>
      </c>
      <c r="R514" s="102">
        <v>6</v>
      </c>
      <c r="S514" s="80" t="s">
        <v>1498</v>
      </c>
      <c r="T514" s="101" t="s">
        <v>1580</v>
      </c>
      <c r="U514" s="80"/>
    </row>
    <row r="515" spans="2:21" ht="12.75" hidden="1">
      <c r="B515" s="44" t="s">
        <v>1646</v>
      </c>
      <c r="C515" s="44" t="s">
        <v>1485</v>
      </c>
      <c r="D515" s="81" t="s">
        <v>464</v>
      </c>
      <c r="E515" s="80" t="s">
        <v>465</v>
      </c>
      <c r="F515" s="81">
        <v>0</v>
      </c>
      <c r="G515" s="81">
        <v>3</v>
      </c>
      <c r="H515" s="81">
        <v>5</v>
      </c>
      <c r="I515" s="101" t="s">
        <v>71</v>
      </c>
      <c r="J515" s="101" t="s">
        <v>71</v>
      </c>
      <c r="K515" s="80" t="s">
        <v>450</v>
      </c>
      <c r="L515" s="101" t="s">
        <v>1491</v>
      </c>
      <c r="M515" s="101" t="s">
        <v>1562</v>
      </c>
      <c r="N515" s="101">
        <v>3</v>
      </c>
      <c r="O515" s="101">
        <v>30</v>
      </c>
      <c r="P515" s="102">
        <v>90</v>
      </c>
      <c r="Q515" s="102">
        <v>9</v>
      </c>
      <c r="R515" s="102">
        <v>9</v>
      </c>
      <c r="S515" s="80" t="s">
        <v>1498</v>
      </c>
      <c r="T515" s="101" t="s">
        <v>1580</v>
      </c>
      <c r="U515" s="80"/>
    </row>
    <row r="516" spans="2:21" ht="12.75" hidden="1">
      <c r="B516" s="44" t="s">
        <v>1646</v>
      </c>
      <c r="C516" s="44" t="s">
        <v>1485</v>
      </c>
      <c r="D516" s="81" t="s">
        <v>648</v>
      </c>
      <c r="E516" s="80" t="s">
        <v>237</v>
      </c>
      <c r="F516" s="81">
        <v>1</v>
      </c>
      <c r="G516" s="81">
        <v>3</v>
      </c>
      <c r="H516" s="81">
        <v>4</v>
      </c>
      <c r="I516" s="101" t="s">
        <v>71</v>
      </c>
      <c r="J516" s="101" t="s">
        <v>71</v>
      </c>
      <c r="K516" s="80" t="s">
        <v>76</v>
      </c>
      <c r="L516" s="101" t="s">
        <v>1488</v>
      </c>
      <c r="M516" s="101" t="s">
        <v>1562</v>
      </c>
      <c r="N516" s="101">
        <v>3</v>
      </c>
      <c r="O516" s="101">
        <v>30</v>
      </c>
      <c r="P516" s="102">
        <v>90</v>
      </c>
      <c r="Q516" s="102">
        <v>12</v>
      </c>
      <c r="R516" s="102">
        <v>12</v>
      </c>
      <c r="S516" s="80" t="s">
        <v>1563</v>
      </c>
      <c r="T516" s="101" t="s">
        <v>1490</v>
      </c>
      <c r="U516" s="80"/>
    </row>
    <row r="517" spans="2:21" ht="12.75" hidden="1">
      <c r="B517" s="44" t="s">
        <v>1646</v>
      </c>
      <c r="C517" s="44" t="s">
        <v>1485</v>
      </c>
      <c r="D517" s="81" t="s">
        <v>648</v>
      </c>
      <c r="E517" s="80" t="s">
        <v>237</v>
      </c>
      <c r="F517" s="81">
        <v>1</v>
      </c>
      <c r="G517" s="81">
        <v>3</v>
      </c>
      <c r="H517" s="81">
        <v>4</v>
      </c>
      <c r="I517" s="101" t="s">
        <v>71</v>
      </c>
      <c r="J517" s="101" t="s">
        <v>71</v>
      </c>
      <c r="K517" s="80" t="s">
        <v>76</v>
      </c>
      <c r="L517" s="101" t="s">
        <v>1491</v>
      </c>
      <c r="M517" s="101" t="s">
        <v>1562</v>
      </c>
      <c r="N517" s="101">
        <v>3</v>
      </c>
      <c r="O517" s="101">
        <v>30</v>
      </c>
      <c r="P517" s="102">
        <v>90</v>
      </c>
      <c r="Q517" s="102">
        <v>12</v>
      </c>
      <c r="R517" s="102">
        <v>12</v>
      </c>
      <c r="S517" s="80" t="s">
        <v>1563</v>
      </c>
      <c r="T517" s="101" t="s">
        <v>1490</v>
      </c>
      <c r="U517" s="80"/>
    </row>
    <row r="518" spans="2:21" ht="12.75" hidden="1">
      <c r="B518" s="44" t="s">
        <v>1646</v>
      </c>
      <c r="C518" s="44" t="s">
        <v>1485</v>
      </c>
      <c r="D518" s="81" t="s">
        <v>648</v>
      </c>
      <c r="E518" s="80" t="s">
        <v>237</v>
      </c>
      <c r="F518" s="81">
        <v>1</v>
      </c>
      <c r="G518" s="81">
        <v>3</v>
      </c>
      <c r="H518" s="81">
        <v>4</v>
      </c>
      <c r="I518" s="101" t="s">
        <v>71</v>
      </c>
      <c r="J518" s="101" t="s">
        <v>71</v>
      </c>
      <c r="K518" s="80" t="s">
        <v>76</v>
      </c>
      <c r="L518" s="101" t="s">
        <v>1488</v>
      </c>
      <c r="M518" s="101" t="s">
        <v>1528</v>
      </c>
      <c r="N518" s="101">
        <v>1</v>
      </c>
      <c r="O518" s="101">
        <v>30</v>
      </c>
      <c r="P518" s="102">
        <v>30</v>
      </c>
      <c r="Q518" s="102">
        <v>4</v>
      </c>
      <c r="R518" s="102">
        <v>4</v>
      </c>
      <c r="S518" s="80" t="s">
        <v>1563</v>
      </c>
      <c r="T518" s="101" t="s">
        <v>1490</v>
      </c>
      <c r="U518" s="80"/>
    </row>
    <row r="519" spans="2:21" ht="12.75" hidden="1">
      <c r="B519" s="44" t="s">
        <v>1646</v>
      </c>
      <c r="C519" s="44" t="s">
        <v>1485</v>
      </c>
      <c r="D519" s="81" t="s">
        <v>648</v>
      </c>
      <c r="E519" s="80" t="s">
        <v>237</v>
      </c>
      <c r="F519" s="81">
        <v>1</v>
      </c>
      <c r="G519" s="81">
        <v>3</v>
      </c>
      <c r="H519" s="81">
        <v>4</v>
      </c>
      <c r="I519" s="101" t="s">
        <v>71</v>
      </c>
      <c r="J519" s="101" t="s">
        <v>71</v>
      </c>
      <c r="K519" s="80" t="s">
        <v>76</v>
      </c>
      <c r="L519" s="101" t="s">
        <v>1491</v>
      </c>
      <c r="M519" s="101" t="s">
        <v>1528</v>
      </c>
      <c r="N519" s="101">
        <v>1</v>
      </c>
      <c r="O519" s="101">
        <v>30</v>
      </c>
      <c r="P519" s="102">
        <v>30</v>
      </c>
      <c r="Q519" s="102">
        <v>4</v>
      </c>
      <c r="R519" s="102">
        <v>4</v>
      </c>
      <c r="S519" s="80" t="s">
        <v>1563</v>
      </c>
      <c r="T519" s="101" t="s">
        <v>1490</v>
      </c>
      <c r="U519" s="80"/>
    </row>
    <row r="520" spans="2:21" ht="12.75" hidden="1">
      <c r="B520" s="44" t="s">
        <v>1646</v>
      </c>
      <c r="C520" s="44" t="s">
        <v>1485</v>
      </c>
      <c r="D520" s="81" t="s">
        <v>765</v>
      </c>
      <c r="E520" s="80" t="s">
        <v>109</v>
      </c>
      <c r="F520" s="81">
        <v>3</v>
      </c>
      <c r="G520" s="81">
        <v>1</v>
      </c>
      <c r="H520" s="81">
        <v>5</v>
      </c>
      <c r="I520" s="101" t="s">
        <v>71</v>
      </c>
      <c r="J520" s="101" t="s">
        <v>71</v>
      </c>
      <c r="K520" s="80" t="s">
        <v>766</v>
      </c>
      <c r="L520" s="101" t="s">
        <v>1488</v>
      </c>
      <c r="M520" s="101" t="s">
        <v>1562</v>
      </c>
      <c r="N520" s="101">
        <v>2</v>
      </c>
      <c r="O520" s="101">
        <v>30</v>
      </c>
      <c r="P520" s="102">
        <v>60</v>
      </c>
      <c r="Q520" s="102">
        <v>8</v>
      </c>
      <c r="R520" s="102">
        <v>8</v>
      </c>
      <c r="S520" s="80" t="s">
        <v>1498</v>
      </c>
      <c r="T520" s="101" t="s">
        <v>1580</v>
      </c>
      <c r="U520" s="80"/>
    </row>
    <row r="521" spans="2:21" ht="12.75" hidden="1">
      <c r="B521" s="44" t="s">
        <v>1646</v>
      </c>
      <c r="C521" s="44" t="s">
        <v>1485</v>
      </c>
      <c r="D521" s="81" t="s">
        <v>765</v>
      </c>
      <c r="E521" s="80" t="s">
        <v>109</v>
      </c>
      <c r="F521" s="81">
        <v>3</v>
      </c>
      <c r="G521" s="81">
        <v>1</v>
      </c>
      <c r="H521" s="81">
        <v>5</v>
      </c>
      <c r="I521" s="101" t="s">
        <v>71</v>
      </c>
      <c r="J521" s="101" t="s">
        <v>71</v>
      </c>
      <c r="K521" s="80" t="s">
        <v>766</v>
      </c>
      <c r="L521" s="101" t="s">
        <v>1491</v>
      </c>
      <c r="M521" s="101" t="s">
        <v>1562</v>
      </c>
      <c r="N521" s="101">
        <v>2</v>
      </c>
      <c r="O521" s="101">
        <v>30</v>
      </c>
      <c r="P521" s="102">
        <v>60</v>
      </c>
      <c r="Q521" s="102">
        <v>8</v>
      </c>
      <c r="R521" s="102">
        <v>8</v>
      </c>
      <c r="S521" s="80" t="s">
        <v>1498</v>
      </c>
      <c r="T521" s="101" t="s">
        <v>1580</v>
      </c>
      <c r="U521" s="80"/>
    </row>
    <row r="522" spans="2:21" ht="12.75" hidden="1">
      <c r="B522" s="44" t="s">
        <v>1646</v>
      </c>
      <c r="C522" s="44" t="s">
        <v>1485</v>
      </c>
      <c r="D522" s="81" t="s">
        <v>765</v>
      </c>
      <c r="E522" s="80" t="s">
        <v>109</v>
      </c>
      <c r="F522" s="81">
        <v>3</v>
      </c>
      <c r="G522" s="81">
        <v>1</v>
      </c>
      <c r="H522" s="81">
        <v>5</v>
      </c>
      <c r="I522" s="101" t="s">
        <v>71</v>
      </c>
      <c r="J522" s="101" t="s">
        <v>71</v>
      </c>
      <c r="K522" s="80" t="s">
        <v>766</v>
      </c>
      <c r="L522" s="101" t="s">
        <v>1491</v>
      </c>
      <c r="M522" s="101" t="s">
        <v>1528</v>
      </c>
      <c r="N522" s="101">
        <v>1</v>
      </c>
      <c r="O522" s="101">
        <v>30</v>
      </c>
      <c r="P522" s="102">
        <v>30</v>
      </c>
      <c r="Q522" s="102">
        <v>4</v>
      </c>
      <c r="R522" s="102">
        <v>4</v>
      </c>
      <c r="S522" s="80" t="s">
        <v>1498</v>
      </c>
      <c r="T522" s="101" t="s">
        <v>1580</v>
      </c>
      <c r="U522" s="80"/>
    </row>
    <row r="523" spans="2:21" ht="12.75" hidden="1">
      <c r="B523" s="44" t="s">
        <v>1646</v>
      </c>
      <c r="C523" s="44" t="s">
        <v>1485</v>
      </c>
      <c r="D523" s="81" t="s">
        <v>806</v>
      </c>
      <c r="E523" s="80" t="s">
        <v>807</v>
      </c>
      <c r="F523" s="81">
        <v>2</v>
      </c>
      <c r="G523" s="81">
        <v>0</v>
      </c>
      <c r="H523" s="81">
        <v>4</v>
      </c>
      <c r="I523" s="101" t="s">
        <v>71</v>
      </c>
      <c r="J523" s="101" t="s">
        <v>71</v>
      </c>
      <c r="K523" s="80" t="s">
        <v>76</v>
      </c>
      <c r="L523" s="101" t="s">
        <v>1488</v>
      </c>
      <c r="M523" s="101" t="s">
        <v>1562</v>
      </c>
      <c r="N523" s="101">
        <v>2</v>
      </c>
      <c r="O523" s="101">
        <v>30</v>
      </c>
      <c r="P523" s="102">
        <v>60</v>
      </c>
      <c r="Q523" s="102">
        <v>4</v>
      </c>
      <c r="R523" s="102">
        <v>4</v>
      </c>
      <c r="S523" s="80"/>
      <c r="T523" s="101"/>
      <c r="U523" s="80"/>
    </row>
    <row r="524" spans="2:21" ht="12.75" hidden="1">
      <c r="B524" s="44" t="s">
        <v>1646</v>
      </c>
      <c r="C524" s="44" t="s">
        <v>1485</v>
      </c>
      <c r="D524" s="81" t="s">
        <v>806</v>
      </c>
      <c r="E524" s="80" t="s">
        <v>807</v>
      </c>
      <c r="F524" s="81">
        <v>2</v>
      </c>
      <c r="G524" s="81">
        <v>0</v>
      </c>
      <c r="H524" s="81">
        <v>4</v>
      </c>
      <c r="I524" s="101" t="s">
        <v>71</v>
      </c>
      <c r="J524" s="101" t="s">
        <v>71</v>
      </c>
      <c r="K524" s="80" t="s">
        <v>76</v>
      </c>
      <c r="L524" s="101" t="s">
        <v>1491</v>
      </c>
      <c r="M524" s="101" t="s">
        <v>1562</v>
      </c>
      <c r="N524" s="101">
        <v>2</v>
      </c>
      <c r="O524" s="101">
        <v>30</v>
      </c>
      <c r="P524" s="102">
        <v>60</v>
      </c>
      <c r="Q524" s="102">
        <v>4</v>
      </c>
      <c r="R524" s="102">
        <v>4</v>
      </c>
      <c r="S524" s="80"/>
      <c r="T524" s="101"/>
      <c r="U524" s="80"/>
    </row>
    <row r="525" spans="2:21" ht="12.75" hidden="1">
      <c r="B525" s="44" t="s">
        <v>1646</v>
      </c>
      <c r="C525" s="44" t="s">
        <v>1485</v>
      </c>
      <c r="D525" s="81" t="s">
        <v>806</v>
      </c>
      <c r="E525" s="80" t="s">
        <v>807</v>
      </c>
      <c r="F525" s="81">
        <v>2</v>
      </c>
      <c r="G525" s="81">
        <v>0</v>
      </c>
      <c r="H525" s="81">
        <v>4</v>
      </c>
      <c r="I525" s="101" t="s">
        <v>71</v>
      </c>
      <c r="J525" s="101" t="s">
        <v>71</v>
      </c>
      <c r="K525" s="80" t="s">
        <v>76</v>
      </c>
      <c r="L525" s="101" t="s">
        <v>1488</v>
      </c>
      <c r="M525" s="101" t="s">
        <v>1528</v>
      </c>
      <c r="N525" s="101">
        <v>1</v>
      </c>
      <c r="O525" s="101">
        <v>30</v>
      </c>
      <c r="P525" s="102">
        <v>30</v>
      </c>
      <c r="Q525" s="102">
        <v>2</v>
      </c>
      <c r="R525" s="102">
        <v>2</v>
      </c>
      <c r="S525" s="80"/>
      <c r="T525" s="101"/>
      <c r="U525" s="80"/>
    </row>
    <row r="526" spans="2:21" ht="12.75" hidden="1">
      <c r="B526" s="44" t="s">
        <v>1646</v>
      </c>
      <c r="C526" s="44" t="s">
        <v>1485</v>
      </c>
      <c r="D526" s="81" t="s">
        <v>806</v>
      </c>
      <c r="E526" s="80" t="s">
        <v>807</v>
      </c>
      <c r="F526" s="81">
        <v>2</v>
      </c>
      <c r="G526" s="81">
        <v>0</v>
      </c>
      <c r="H526" s="81">
        <v>4</v>
      </c>
      <c r="I526" s="101" t="s">
        <v>71</v>
      </c>
      <c r="J526" s="101" t="s">
        <v>71</v>
      </c>
      <c r="K526" s="80" t="s">
        <v>76</v>
      </c>
      <c r="L526" s="101" t="s">
        <v>1491</v>
      </c>
      <c r="M526" s="101" t="s">
        <v>1528</v>
      </c>
      <c r="N526" s="101">
        <v>1</v>
      </c>
      <c r="O526" s="101">
        <v>30</v>
      </c>
      <c r="P526" s="102">
        <v>30</v>
      </c>
      <c r="Q526" s="102">
        <v>2</v>
      </c>
      <c r="R526" s="102">
        <v>2</v>
      </c>
      <c r="S526" s="80"/>
      <c r="T526" s="101"/>
      <c r="U526" s="80"/>
    </row>
    <row r="527" spans="2:21" ht="12.75" hidden="1">
      <c r="B527" s="44" t="s">
        <v>1646</v>
      </c>
      <c r="C527" s="44" t="s">
        <v>1485</v>
      </c>
      <c r="D527" s="81" t="s">
        <v>850</v>
      </c>
      <c r="E527" s="80" t="s">
        <v>851</v>
      </c>
      <c r="F527" s="81">
        <v>3</v>
      </c>
      <c r="G527" s="81">
        <v>1</v>
      </c>
      <c r="H527" s="81">
        <v>5</v>
      </c>
      <c r="I527" s="101" t="s">
        <v>71</v>
      </c>
      <c r="J527" s="101" t="s">
        <v>71</v>
      </c>
      <c r="K527" s="80" t="s">
        <v>76</v>
      </c>
      <c r="L527" s="101" t="s">
        <v>1488</v>
      </c>
      <c r="M527" s="101" t="s">
        <v>1562</v>
      </c>
      <c r="N527" s="101">
        <v>4</v>
      </c>
      <c r="O527" s="101">
        <v>60</v>
      </c>
      <c r="P527" s="102">
        <v>240</v>
      </c>
      <c r="Q527" s="102">
        <v>32</v>
      </c>
      <c r="R527" s="102">
        <v>20</v>
      </c>
      <c r="S527" s="80" t="s">
        <v>1498</v>
      </c>
      <c r="T527" s="101" t="s">
        <v>1580</v>
      </c>
      <c r="U527" s="80"/>
    </row>
    <row r="528" spans="2:21" ht="12.75" hidden="1">
      <c r="B528" s="44" t="s">
        <v>1646</v>
      </c>
      <c r="C528" s="44" t="s">
        <v>1485</v>
      </c>
      <c r="D528" s="81" t="s">
        <v>850</v>
      </c>
      <c r="E528" s="80" t="s">
        <v>851</v>
      </c>
      <c r="F528" s="81">
        <v>3</v>
      </c>
      <c r="G528" s="81">
        <v>1</v>
      </c>
      <c r="H528" s="81">
        <v>5</v>
      </c>
      <c r="I528" s="101" t="s">
        <v>71</v>
      </c>
      <c r="J528" s="101" t="s">
        <v>71</v>
      </c>
      <c r="K528" s="80" t="s">
        <v>76</v>
      </c>
      <c r="L528" s="101" t="s">
        <v>1491</v>
      </c>
      <c r="M528" s="101" t="s">
        <v>1562</v>
      </c>
      <c r="N528" s="101">
        <v>2</v>
      </c>
      <c r="O528" s="101">
        <v>60</v>
      </c>
      <c r="P528" s="102">
        <v>120</v>
      </c>
      <c r="Q528" s="102">
        <v>16</v>
      </c>
      <c r="R528" s="102">
        <v>10</v>
      </c>
      <c r="S528" s="80" t="s">
        <v>1498</v>
      </c>
      <c r="T528" s="101" t="s">
        <v>1580</v>
      </c>
      <c r="U528" s="80"/>
    </row>
    <row r="529" spans="2:23" ht="12.75" hidden="1">
      <c r="B529" s="44" t="s">
        <v>1646</v>
      </c>
      <c r="C529" s="44" t="s">
        <v>1485</v>
      </c>
      <c r="D529" s="81" t="s">
        <v>872</v>
      </c>
      <c r="E529" s="80" t="s">
        <v>270</v>
      </c>
      <c r="F529" s="81">
        <v>3</v>
      </c>
      <c r="G529" s="81">
        <v>1</v>
      </c>
      <c r="H529" s="81">
        <v>5</v>
      </c>
      <c r="I529" s="101" t="s">
        <v>71</v>
      </c>
      <c r="J529" s="101" t="s">
        <v>71</v>
      </c>
      <c r="K529" s="80" t="s">
        <v>584</v>
      </c>
      <c r="L529" s="101" t="s">
        <v>1488</v>
      </c>
      <c r="M529" s="101" t="s">
        <v>1562</v>
      </c>
      <c r="N529" s="101">
        <v>1</v>
      </c>
      <c r="O529" s="101">
        <v>90</v>
      </c>
      <c r="P529" s="102">
        <v>90</v>
      </c>
      <c r="Q529" s="102">
        <v>4</v>
      </c>
      <c r="R529" s="102">
        <v>4</v>
      </c>
      <c r="S529" s="80"/>
      <c r="T529" s="101"/>
      <c r="U529" s="80"/>
    </row>
    <row r="530" spans="2:23" ht="12.75" hidden="1">
      <c r="B530" s="44" t="s">
        <v>1646</v>
      </c>
      <c r="C530" s="44" t="s">
        <v>1485</v>
      </c>
      <c r="D530" s="81" t="s">
        <v>872</v>
      </c>
      <c r="E530" s="80" t="s">
        <v>270</v>
      </c>
      <c r="F530" s="81">
        <v>3</v>
      </c>
      <c r="G530" s="81">
        <v>1</v>
      </c>
      <c r="H530" s="81">
        <v>5</v>
      </c>
      <c r="I530" s="101" t="s">
        <v>71</v>
      </c>
      <c r="J530" s="101" t="s">
        <v>71</v>
      </c>
      <c r="K530" s="80" t="s">
        <v>584</v>
      </c>
      <c r="L530" s="101" t="s">
        <v>1491</v>
      </c>
      <c r="M530" s="101" t="s">
        <v>1562</v>
      </c>
      <c r="N530" s="101">
        <v>2</v>
      </c>
      <c r="O530" s="101">
        <v>90</v>
      </c>
      <c r="P530" s="102">
        <v>180</v>
      </c>
      <c r="Q530" s="102">
        <v>8</v>
      </c>
      <c r="R530" s="102">
        <v>8</v>
      </c>
      <c r="S530" s="80"/>
      <c r="T530" s="101"/>
      <c r="U530" s="80"/>
    </row>
    <row r="531" spans="2:23" ht="12.75" hidden="1">
      <c r="B531" s="44" t="s">
        <v>1646</v>
      </c>
      <c r="C531" s="44" t="s">
        <v>1485</v>
      </c>
      <c r="D531" s="81" t="s">
        <v>872</v>
      </c>
      <c r="E531" s="80" t="s">
        <v>270</v>
      </c>
      <c r="F531" s="81">
        <v>3</v>
      </c>
      <c r="G531" s="81">
        <v>1</v>
      </c>
      <c r="H531" s="81">
        <v>5</v>
      </c>
      <c r="I531" s="101" t="s">
        <v>71</v>
      </c>
      <c r="J531" s="101" t="s">
        <v>71</v>
      </c>
      <c r="K531" s="80" t="s">
        <v>584</v>
      </c>
      <c r="L531" s="101" t="s">
        <v>1488</v>
      </c>
      <c r="M531" s="101" t="s">
        <v>1528</v>
      </c>
      <c r="N531" s="101">
        <v>1</v>
      </c>
      <c r="O531" s="101">
        <v>90</v>
      </c>
      <c r="P531" s="102">
        <v>90</v>
      </c>
      <c r="Q531" s="102">
        <v>4</v>
      </c>
      <c r="R531" s="102">
        <v>4</v>
      </c>
      <c r="S531" s="80"/>
      <c r="T531" s="101"/>
      <c r="U531" s="80"/>
    </row>
    <row r="532" spans="2:23" ht="12.75" hidden="1">
      <c r="B532" s="44" t="s">
        <v>1646</v>
      </c>
      <c r="C532" s="44" t="s">
        <v>1485</v>
      </c>
      <c r="D532" s="81" t="s">
        <v>875</v>
      </c>
      <c r="E532" s="80" t="s">
        <v>87</v>
      </c>
      <c r="F532" s="81">
        <v>3</v>
      </c>
      <c r="G532" s="81">
        <v>1</v>
      </c>
      <c r="H532" s="81">
        <v>5</v>
      </c>
      <c r="I532" s="101" t="s">
        <v>71</v>
      </c>
      <c r="J532" s="101" t="s">
        <v>71</v>
      </c>
      <c r="K532" s="80" t="s">
        <v>876</v>
      </c>
      <c r="L532" s="101" t="s">
        <v>1488</v>
      </c>
      <c r="M532" s="101" t="s">
        <v>1562</v>
      </c>
      <c r="N532" s="101">
        <v>2</v>
      </c>
      <c r="O532" s="101">
        <v>90</v>
      </c>
      <c r="P532" s="102">
        <v>180</v>
      </c>
      <c r="Q532" s="102">
        <v>8</v>
      </c>
      <c r="R532" s="102">
        <v>8</v>
      </c>
      <c r="S532" s="80"/>
      <c r="T532" s="101"/>
      <c r="U532" s="80"/>
    </row>
    <row r="533" spans="2:23" ht="12.75" hidden="1">
      <c r="B533" s="44" t="s">
        <v>1646</v>
      </c>
      <c r="C533" s="44" t="s">
        <v>1485</v>
      </c>
      <c r="D533" s="81" t="s">
        <v>875</v>
      </c>
      <c r="E533" s="80" t="s">
        <v>87</v>
      </c>
      <c r="F533" s="81">
        <v>3</v>
      </c>
      <c r="G533" s="81">
        <v>1</v>
      </c>
      <c r="H533" s="81">
        <v>5</v>
      </c>
      <c r="I533" s="101" t="s">
        <v>71</v>
      </c>
      <c r="J533" s="101" t="s">
        <v>71</v>
      </c>
      <c r="K533" s="80" t="s">
        <v>876</v>
      </c>
      <c r="L533" s="101" t="s">
        <v>1491</v>
      </c>
      <c r="M533" s="101" t="s">
        <v>1562</v>
      </c>
      <c r="N533" s="101">
        <v>2</v>
      </c>
      <c r="O533" s="101">
        <v>90</v>
      </c>
      <c r="P533" s="102">
        <v>180</v>
      </c>
      <c r="Q533" s="102">
        <v>8</v>
      </c>
      <c r="R533" s="102">
        <v>8</v>
      </c>
      <c r="S533" s="80"/>
      <c r="T533" s="101"/>
      <c r="U533" s="80"/>
    </row>
    <row r="534" spans="2:23" ht="12.75" hidden="1">
      <c r="B534" s="44" t="s">
        <v>1646</v>
      </c>
      <c r="C534" s="44" t="s">
        <v>1485</v>
      </c>
      <c r="D534" s="81" t="s">
        <v>875</v>
      </c>
      <c r="E534" s="80" t="s">
        <v>87</v>
      </c>
      <c r="F534" s="81">
        <v>3</v>
      </c>
      <c r="G534" s="81">
        <v>1</v>
      </c>
      <c r="H534" s="81">
        <v>5</v>
      </c>
      <c r="I534" s="101" t="s">
        <v>71</v>
      </c>
      <c r="J534" s="101" t="s">
        <v>71</v>
      </c>
      <c r="K534" s="80" t="s">
        <v>876</v>
      </c>
      <c r="L534" s="101" t="s">
        <v>1488</v>
      </c>
      <c r="M534" s="101" t="s">
        <v>1528</v>
      </c>
      <c r="N534" s="101">
        <v>1</v>
      </c>
      <c r="O534" s="101">
        <v>90</v>
      </c>
      <c r="P534" s="102">
        <v>90</v>
      </c>
      <c r="Q534" s="102">
        <v>4</v>
      </c>
      <c r="R534" s="102">
        <v>4</v>
      </c>
      <c r="S534" s="80"/>
      <c r="T534" s="101"/>
      <c r="U534" s="80"/>
    </row>
    <row r="535" spans="2:23" ht="12.75" hidden="1">
      <c r="B535" s="44" t="s">
        <v>1646</v>
      </c>
      <c r="C535" s="44" t="s">
        <v>1485</v>
      </c>
      <c r="D535" s="81" t="s">
        <v>910</v>
      </c>
      <c r="E535" s="80" t="s">
        <v>911</v>
      </c>
      <c r="F535" s="81">
        <v>0</v>
      </c>
      <c r="G535" s="81">
        <v>3</v>
      </c>
      <c r="H535" s="81">
        <v>2</v>
      </c>
      <c r="I535" s="101" t="s">
        <v>71</v>
      </c>
      <c r="J535" s="101" t="s">
        <v>71</v>
      </c>
      <c r="K535" s="80" t="s">
        <v>912</v>
      </c>
      <c r="L535" s="101" t="s">
        <v>1488</v>
      </c>
      <c r="M535" s="101" t="s">
        <v>1562</v>
      </c>
      <c r="N535" s="101">
        <v>4</v>
      </c>
      <c r="O535" s="101">
        <v>30</v>
      </c>
      <c r="P535" s="102">
        <v>120</v>
      </c>
      <c r="Q535" s="102">
        <v>12</v>
      </c>
      <c r="R535" s="102">
        <v>12</v>
      </c>
      <c r="S535" s="80" t="s">
        <v>1498</v>
      </c>
      <c r="T535" s="101" t="s">
        <v>1490</v>
      </c>
      <c r="U535" s="80"/>
    </row>
    <row r="536" spans="2:23" ht="12.75" hidden="1">
      <c r="B536" s="44" t="s">
        <v>1646</v>
      </c>
      <c r="C536" s="44" t="s">
        <v>1485</v>
      </c>
      <c r="D536" s="81" t="s">
        <v>910</v>
      </c>
      <c r="E536" s="80" t="s">
        <v>911</v>
      </c>
      <c r="F536" s="81">
        <v>0</v>
      </c>
      <c r="G536" s="81">
        <v>3</v>
      </c>
      <c r="H536" s="81">
        <v>2</v>
      </c>
      <c r="I536" s="101" t="s">
        <v>71</v>
      </c>
      <c r="J536" s="101" t="s">
        <v>71</v>
      </c>
      <c r="K536" s="80" t="s">
        <v>912</v>
      </c>
      <c r="L536" s="101" t="s">
        <v>1491</v>
      </c>
      <c r="M536" s="101" t="s">
        <v>1562</v>
      </c>
      <c r="N536" s="101">
        <v>4</v>
      </c>
      <c r="O536" s="101">
        <v>30</v>
      </c>
      <c r="P536" s="102">
        <v>120</v>
      </c>
      <c r="Q536" s="102">
        <v>12</v>
      </c>
      <c r="R536" s="102">
        <v>12</v>
      </c>
      <c r="S536" s="80" t="s">
        <v>1498</v>
      </c>
      <c r="T536" s="101" t="s">
        <v>1490</v>
      </c>
      <c r="U536" s="80"/>
    </row>
    <row r="537" spans="2:23" ht="12.75" hidden="1">
      <c r="B537" s="44" t="s">
        <v>1646</v>
      </c>
      <c r="C537" s="44" t="s">
        <v>1485</v>
      </c>
      <c r="D537" s="81" t="s">
        <v>910</v>
      </c>
      <c r="E537" s="80" t="s">
        <v>911</v>
      </c>
      <c r="F537" s="81">
        <v>0</v>
      </c>
      <c r="G537" s="81">
        <v>3</v>
      </c>
      <c r="H537" s="81">
        <v>2</v>
      </c>
      <c r="I537" s="101" t="s">
        <v>71</v>
      </c>
      <c r="J537" s="101" t="s">
        <v>71</v>
      </c>
      <c r="K537" s="80" t="s">
        <v>912</v>
      </c>
      <c r="L537" s="101" t="s">
        <v>1488</v>
      </c>
      <c r="M537" s="101" t="s">
        <v>1528</v>
      </c>
      <c r="N537" s="101">
        <v>1</v>
      </c>
      <c r="O537" s="101">
        <v>30</v>
      </c>
      <c r="P537" s="102">
        <v>30</v>
      </c>
      <c r="Q537" s="102">
        <v>3</v>
      </c>
      <c r="R537" s="102">
        <v>3</v>
      </c>
      <c r="S537" s="80" t="s">
        <v>1498</v>
      </c>
      <c r="T537" s="101" t="s">
        <v>1490</v>
      </c>
      <c r="U537" s="80"/>
    </row>
    <row r="538" spans="2:23" ht="12.75" hidden="1">
      <c r="B538" s="44" t="s">
        <v>1646</v>
      </c>
      <c r="C538" s="44" t="s">
        <v>1485</v>
      </c>
      <c r="D538" s="81" t="s">
        <v>910</v>
      </c>
      <c r="E538" s="80" t="s">
        <v>911</v>
      </c>
      <c r="F538" s="81">
        <v>0</v>
      </c>
      <c r="G538" s="81">
        <v>3</v>
      </c>
      <c r="H538" s="81">
        <v>2</v>
      </c>
      <c r="I538" s="101" t="s">
        <v>71</v>
      </c>
      <c r="J538" s="101" t="s">
        <v>71</v>
      </c>
      <c r="K538" s="80" t="s">
        <v>912</v>
      </c>
      <c r="L538" s="101" t="s">
        <v>1491</v>
      </c>
      <c r="M538" s="101" t="s">
        <v>1528</v>
      </c>
      <c r="N538" s="101">
        <v>1</v>
      </c>
      <c r="O538" s="101">
        <v>30</v>
      </c>
      <c r="P538" s="102">
        <v>30</v>
      </c>
      <c r="Q538" s="102">
        <v>3</v>
      </c>
      <c r="R538" s="102">
        <v>3</v>
      </c>
      <c r="S538" s="80" t="s">
        <v>1498</v>
      </c>
      <c r="T538" s="101" t="s">
        <v>1490</v>
      </c>
      <c r="U538" s="80"/>
    </row>
    <row r="539" spans="2:23" ht="12.75" hidden="1">
      <c r="B539" s="44" t="s">
        <v>1646</v>
      </c>
      <c r="C539" s="44" t="s">
        <v>1485</v>
      </c>
      <c r="D539" s="81" t="s">
        <v>1306</v>
      </c>
      <c r="E539" s="80" t="s">
        <v>1307</v>
      </c>
      <c r="F539" s="81">
        <v>3</v>
      </c>
      <c r="G539" s="81">
        <v>1</v>
      </c>
      <c r="H539" s="81">
        <v>5</v>
      </c>
      <c r="I539" s="101" t="s">
        <v>71</v>
      </c>
      <c r="J539" s="101" t="s">
        <v>71</v>
      </c>
      <c r="K539" s="80" t="s">
        <v>584</v>
      </c>
      <c r="L539" s="101" t="s">
        <v>1488</v>
      </c>
      <c r="M539" s="101" t="s">
        <v>1562</v>
      </c>
      <c r="N539" s="101">
        <v>2</v>
      </c>
      <c r="O539" s="101">
        <v>90</v>
      </c>
      <c r="P539" s="102">
        <v>180</v>
      </c>
      <c r="Q539" s="102">
        <v>8</v>
      </c>
      <c r="R539" s="102">
        <v>8</v>
      </c>
      <c r="S539" s="80"/>
      <c r="T539" s="101"/>
      <c r="U539" s="80"/>
    </row>
    <row r="540" spans="2:23" ht="12.75" hidden="1">
      <c r="B540" s="44" t="s">
        <v>1646</v>
      </c>
      <c r="C540" s="44" t="s">
        <v>1485</v>
      </c>
      <c r="D540" s="81" t="s">
        <v>1306</v>
      </c>
      <c r="E540" s="80" t="s">
        <v>1307</v>
      </c>
      <c r="F540" s="81">
        <v>3</v>
      </c>
      <c r="G540" s="81">
        <v>1</v>
      </c>
      <c r="H540" s="81">
        <v>5</v>
      </c>
      <c r="I540" s="101" t="s">
        <v>71</v>
      </c>
      <c r="J540" s="101" t="s">
        <v>71</v>
      </c>
      <c r="K540" s="80" t="s">
        <v>584</v>
      </c>
      <c r="L540" s="101" t="s">
        <v>1491</v>
      </c>
      <c r="M540" s="101" t="s">
        <v>1562</v>
      </c>
      <c r="N540" s="101">
        <v>2</v>
      </c>
      <c r="O540" s="101">
        <v>90</v>
      </c>
      <c r="P540" s="102">
        <v>180</v>
      </c>
      <c r="Q540" s="102">
        <v>8</v>
      </c>
      <c r="R540" s="102">
        <v>8</v>
      </c>
      <c r="S540" s="80"/>
      <c r="T540" s="101"/>
      <c r="U540" s="80"/>
    </row>
    <row r="541" spans="2:23" s="4" customFormat="1" ht="12.75" hidden="1">
      <c r="B541" s="43" t="s">
        <v>60</v>
      </c>
      <c r="C541" s="43" t="s">
        <v>36</v>
      </c>
      <c r="D541" s="3" t="s">
        <v>1031</v>
      </c>
      <c r="E541" s="80" t="s">
        <v>1032</v>
      </c>
      <c r="F541" s="81">
        <v>3</v>
      </c>
      <c r="G541" s="81">
        <v>0</v>
      </c>
      <c r="H541" s="81">
        <v>4</v>
      </c>
      <c r="I541" s="101" t="s">
        <v>71</v>
      </c>
      <c r="J541" s="101" t="s">
        <v>71</v>
      </c>
      <c r="K541" s="101" t="s">
        <v>76</v>
      </c>
      <c r="L541" s="80" t="s">
        <v>1488</v>
      </c>
      <c r="M541" s="101" t="s">
        <v>1562</v>
      </c>
      <c r="N541" s="97">
        <v>1</v>
      </c>
      <c r="O541" s="101">
        <v>20</v>
      </c>
      <c r="P541" s="101">
        <v>20</v>
      </c>
      <c r="Q541" s="102">
        <v>3</v>
      </c>
      <c r="R541" s="102">
        <v>3</v>
      </c>
      <c r="S541" s="98"/>
      <c r="T541" s="98"/>
      <c r="U541" s="80"/>
      <c r="V541" s="78"/>
      <c r="W541" s="78"/>
    </row>
    <row r="542" spans="2:23" s="4" customFormat="1" ht="12.75" hidden="1">
      <c r="B542" s="43" t="s">
        <v>60</v>
      </c>
      <c r="C542" s="43" t="s">
        <v>36</v>
      </c>
      <c r="D542" s="3" t="s">
        <v>1031</v>
      </c>
      <c r="E542" s="80" t="s">
        <v>1032</v>
      </c>
      <c r="F542" s="81">
        <v>3</v>
      </c>
      <c r="G542" s="81">
        <v>0</v>
      </c>
      <c r="H542" s="81">
        <v>4</v>
      </c>
      <c r="I542" s="101" t="s">
        <v>71</v>
      </c>
      <c r="J542" s="101" t="s">
        <v>71</v>
      </c>
      <c r="K542" s="101" t="s">
        <v>76</v>
      </c>
      <c r="L542" s="80" t="s">
        <v>1491</v>
      </c>
      <c r="M542" s="101" t="s">
        <v>1562</v>
      </c>
      <c r="N542" s="97">
        <v>1</v>
      </c>
      <c r="O542" s="101">
        <v>20</v>
      </c>
      <c r="P542" s="101">
        <v>20</v>
      </c>
      <c r="Q542" s="102">
        <v>3</v>
      </c>
      <c r="R542" s="102">
        <v>3</v>
      </c>
      <c r="S542" s="98"/>
      <c r="T542" s="98"/>
      <c r="U542" s="80"/>
      <c r="V542" s="78"/>
      <c r="W542" s="78"/>
    </row>
    <row r="543" spans="2:23" s="4" customFormat="1" ht="12.75" hidden="1">
      <c r="B543" s="43" t="s">
        <v>60</v>
      </c>
      <c r="C543" s="43" t="s">
        <v>36</v>
      </c>
      <c r="D543" s="3" t="s">
        <v>1035</v>
      </c>
      <c r="E543" s="80" t="s">
        <v>1036</v>
      </c>
      <c r="F543" s="81">
        <v>4</v>
      </c>
      <c r="G543" s="81">
        <v>0</v>
      </c>
      <c r="H543" s="81">
        <v>4</v>
      </c>
      <c r="I543" s="101" t="s">
        <v>71</v>
      </c>
      <c r="J543" s="101" t="s">
        <v>71</v>
      </c>
      <c r="K543" s="101" t="s">
        <v>76</v>
      </c>
      <c r="L543" s="80" t="s">
        <v>1488</v>
      </c>
      <c r="M543" s="101" t="s">
        <v>1562</v>
      </c>
      <c r="N543" s="97">
        <v>1</v>
      </c>
      <c r="O543" s="101">
        <v>40</v>
      </c>
      <c r="P543" s="101">
        <v>40</v>
      </c>
      <c r="Q543" s="102">
        <v>4</v>
      </c>
      <c r="R543" s="102">
        <v>4</v>
      </c>
      <c r="S543" s="98"/>
      <c r="T543" s="98"/>
      <c r="U543" s="80"/>
      <c r="V543" s="78"/>
      <c r="W543" s="78"/>
    </row>
    <row r="544" spans="2:23" s="4" customFormat="1" ht="12.75" hidden="1">
      <c r="B544" s="117" t="s">
        <v>1727</v>
      </c>
      <c r="C544" s="117" t="s">
        <v>1728</v>
      </c>
      <c r="D544" s="3" t="s">
        <v>723</v>
      </c>
      <c r="E544" s="80" t="s">
        <v>724</v>
      </c>
      <c r="F544" s="81">
        <v>4</v>
      </c>
      <c r="G544" s="81">
        <v>0</v>
      </c>
      <c r="H544" s="81">
        <v>4</v>
      </c>
      <c r="I544" s="101" t="s">
        <v>71</v>
      </c>
      <c r="J544" s="101" t="s">
        <v>71</v>
      </c>
      <c r="K544" s="101" t="s">
        <v>76</v>
      </c>
      <c r="L544" s="80" t="s">
        <v>1488</v>
      </c>
      <c r="M544" s="101" t="s">
        <v>1528</v>
      </c>
      <c r="N544" s="97">
        <v>1</v>
      </c>
      <c r="O544" s="101">
        <v>20</v>
      </c>
      <c r="P544" s="101">
        <v>20</v>
      </c>
      <c r="Q544" s="102">
        <v>4</v>
      </c>
      <c r="R544" s="102">
        <v>4</v>
      </c>
      <c r="S544" s="98"/>
      <c r="T544" s="98"/>
      <c r="U544" s="80"/>
      <c r="V544" s="78"/>
      <c r="W544" s="78"/>
    </row>
    <row r="545" spans="2:23" s="4" customFormat="1" ht="12.75" hidden="1">
      <c r="B545" s="117" t="s">
        <v>1727</v>
      </c>
      <c r="C545" s="117" t="s">
        <v>1728</v>
      </c>
      <c r="D545" s="3" t="s">
        <v>723</v>
      </c>
      <c r="E545" s="80" t="s">
        <v>724</v>
      </c>
      <c r="F545" s="81">
        <v>4</v>
      </c>
      <c r="G545" s="81">
        <v>0</v>
      </c>
      <c r="H545" s="81">
        <v>4</v>
      </c>
      <c r="I545" s="101" t="s">
        <v>71</v>
      </c>
      <c r="J545" s="101" t="s">
        <v>71</v>
      </c>
      <c r="K545" s="101" t="s">
        <v>76</v>
      </c>
      <c r="L545" s="80" t="s">
        <v>1491</v>
      </c>
      <c r="M545" s="101" t="s">
        <v>1528</v>
      </c>
      <c r="N545" s="97">
        <v>1</v>
      </c>
      <c r="O545" s="101">
        <v>20</v>
      </c>
      <c r="P545" s="101">
        <v>20</v>
      </c>
      <c r="Q545" s="102">
        <v>4</v>
      </c>
      <c r="R545" s="102">
        <v>4</v>
      </c>
      <c r="S545" s="98"/>
      <c r="T545" s="98"/>
      <c r="U545" s="80"/>
      <c r="V545" s="78"/>
      <c r="W545" s="78"/>
    </row>
    <row r="546" spans="2:23" s="4" customFormat="1" ht="12.75" hidden="1">
      <c r="B546" s="117" t="s">
        <v>1727</v>
      </c>
      <c r="C546" s="117" t="s">
        <v>1728</v>
      </c>
      <c r="D546" s="3" t="s">
        <v>546</v>
      </c>
      <c r="E546" s="80" t="s">
        <v>547</v>
      </c>
      <c r="F546" s="81">
        <v>4</v>
      </c>
      <c r="G546" s="81">
        <v>0</v>
      </c>
      <c r="H546" s="81">
        <v>4</v>
      </c>
      <c r="I546" s="101" t="s">
        <v>71</v>
      </c>
      <c r="J546" s="101" t="s">
        <v>71</v>
      </c>
      <c r="K546" s="101" t="s">
        <v>76</v>
      </c>
      <c r="L546" s="80" t="s">
        <v>1488</v>
      </c>
      <c r="M546" s="101" t="s">
        <v>1528</v>
      </c>
      <c r="N546" s="97">
        <v>1</v>
      </c>
      <c r="O546" s="101">
        <v>20</v>
      </c>
      <c r="P546" s="101">
        <v>20</v>
      </c>
      <c r="Q546" s="102">
        <v>4</v>
      </c>
      <c r="R546" s="102">
        <v>4</v>
      </c>
      <c r="S546" s="98"/>
      <c r="T546" s="98"/>
      <c r="U546" s="80"/>
      <c r="V546" s="78"/>
      <c r="W546" s="78"/>
    </row>
    <row r="547" spans="2:23" s="4" customFormat="1" ht="12.75" hidden="1">
      <c r="B547" s="117" t="s">
        <v>1727</v>
      </c>
      <c r="C547" s="117" t="s">
        <v>1728</v>
      </c>
      <c r="D547" s="3" t="s">
        <v>546</v>
      </c>
      <c r="E547" s="80" t="s">
        <v>547</v>
      </c>
      <c r="F547" s="81">
        <v>4</v>
      </c>
      <c r="G547" s="81">
        <v>0</v>
      </c>
      <c r="H547" s="81">
        <v>4</v>
      </c>
      <c r="I547" s="101" t="s">
        <v>71</v>
      </c>
      <c r="J547" s="101" t="s">
        <v>71</v>
      </c>
      <c r="K547" s="101" t="s">
        <v>76</v>
      </c>
      <c r="L547" s="80" t="s">
        <v>1491</v>
      </c>
      <c r="M547" s="101" t="s">
        <v>1528</v>
      </c>
      <c r="N547" s="97">
        <v>1</v>
      </c>
      <c r="O547" s="101">
        <v>20</v>
      </c>
      <c r="P547" s="101">
        <v>20</v>
      </c>
      <c r="Q547" s="102">
        <v>4</v>
      </c>
      <c r="R547" s="102">
        <v>4</v>
      </c>
      <c r="S547" s="98"/>
      <c r="T547" s="98"/>
      <c r="U547" s="80"/>
      <c r="V547" s="78"/>
      <c r="W547" s="78"/>
    </row>
    <row r="548" spans="2:23" s="4" customFormat="1" ht="12.75" hidden="1">
      <c r="B548" s="117" t="s">
        <v>1727</v>
      </c>
      <c r="C548" s="117" t="s">
        <v>1728</v>
      </c>
      <c r="D548" s="3" t="s">
        <v>716</v>
      </c>
      <c r="E548" s="80" t="s">
        <v>717</v>
      </c>
      <c r="F548" s="81">
        <v>4</v>
      </c>
      <c r="G548" s="81">
        <v>0</v>
      </c>
      <c r="H548" s="81">
        <v>4</v>
      </c>
      <c r="I548" s="101" t="s">
        <v>71</v>
      </c>
      <c r="J548" s="101" t="s">
        <v>71</v>
      </c>
      <c r="K548" s="101" t="s">
        <v>76</v>
      </c>
      <c r="L548" s="80" t="s">
        <v>1488</v>
      </c>
      <c r="M548" s="101" t="s">
        <v>1528</v>
      </c>
      <c r="N548" s="97">
        <v>1</v>
      </c>
      <c r="O548" s="101">
        <v>20</v>
      </c>
      <c r="P548" s="101">
        <v>20</v>
      </c>
      <c r="Q548" s="102">
        <v>4</v>
      </c>
      <c r="R548" s="102">
        <v>4</v>
      </c>
      <c r="S548" s="98"/>
      <c r="T548" s="98"/>
      <c r="U548" s="80"/>
      <c r="V548" s="78"/>
      <c r="W548" s="78"/>
    </row>
    <row r="549" spans="2:23" s="4" customFormat="1" ht="12.75" hidden="1">
      <c r="B549" s="117" t="s">
        <v>1727</v>
      </c>
      <c r="C549" s="117" t="s">
        <v>1728</v>
      </c>
      <c r="D549" s="3" t="s">
        <v>716</v>
      </c>
      <c r="E549" s="80" t="s">
        <v>717</v>
      </c>
      <c r="F549" s="81">
        <v>4</v>
      </c>
      <c r="G549" s="81">
        <v>0</v>
      </c>
      <c r="H549" s="81">
        <v>4</v>
      </c>
      <c r="I549" s="101" t="s">
        <v>71</v>
      </c>
      <c r="J549" s="101" t="s">
        <v>71</v>
      </c>
      <c r="K549" s="101" t="s">
        <v>76</v>
      </c>
      <c r="L549" s="80" t="s">
        <v>1491</v>
      </c>
      <c r="M549" s="101" t="s">
        <v>1528</v>
      </c>
      <c r="N549" s="97">
        <v>1</v>
      </c>
      <c r="O549" s="101">
        <v>20</v>
      </c>
      <c r="P549" s="101">
        <v>20</v>
      </c>
      <c r="Q549" s="102">
        <v>4</v>
      </c>
      <c r="R549" s="102">
        <v>4</v>
      </c>
      <c r="S549" s="98"/>
      <c r="T549" s="98"/>
      <c r="U549" s="80"/>
      <c r="V549" s="78"/>
      <c r="W549" s="78"/>
    </row>
    <row r="550" spans="2:23" s="4" customFormat="1" ht="12.75" hidden="1">
      <c r="B550" s="117" t="s">
        <v>1727</v>
      </c>
      <c r="C550" s="117" t="s">
        <v>1728</v>
      </c>
      <c r="D550" s="3" t="s">
        <v>831</v>
      </c>
      <c r="E550" s="80" t="s">
        <v>832</v>
      </c>
      <c r="F550" s="81">
        <v>4</v>
      </c>
      <c r="G550" s="81">
        <v>0</v>
      </c>
      <c r="H550" s="81">
        <v>4</v>
      </c>
      <c r="I550" s="101" t="s">
        <v>71</v>
      </c>
      <c r="J550" s="101" t="s">
        <v>71</v>
      </c>
      <c r="K550" s="101" t="s">
        <v>833</v>
      </c>
      <c r="L550" s="80" t="s">
        <v>1488</v>
      </c>
      <c r="M550" s="101" t="s">
        <v>1528</v>
      </c>
      <c r="N550" s="97">
        <v>1</v>
      </c>
      <c r="O550" s="101">
        <v>20</v>
      </c>
      <c r="P550" s="101">
        <v>20</v>
      </c>
      <c r="Q550" s="102">
        <v>4</v>
      </c>
      <c r="R550" s="102">
        <v>4</v>
      </c>
      <c r="S550" s="98"/>
      <c r="T550" s="98"/>
      <c r="U550" s="80"/>
      <c r="V550" s="78"/>
      <c r="W550" s="78"/>
    </row>
    <row r="551" spans="2:23" s="4" customFormat="1" ht="12.75" hidden="1">
      <c r="B551" s="117" t="s">
        <v>1727</v>
      </c>
      <c r="C551" s="117" t="s">
        <v>1728</v>
      </c>
      <c r="D551" s="3" t="s">
        <v>831</v>
      </c>
      <c r="E551" s="80" t="s">
        <v>832</v>
      </c>
      <c r="F551" s="81">
        <v>4</v>
      </c>
      <c r="G551" s="81">
        <v>0</v>
      </c>
      <c r="H551" s="81">
        <v>4</v>
      </c>
      <c r="I551" s="101" t="s">
        <v>71</v>
      </c>
      <c r="J551" s="101" t="s">
        <v>71</v>
      </c>
      <c r="K551" s="101" t="s">
        <v>833</v>
      </c>
      <c r="L551" s="80" t="s">
        <v>1491</v>
      </c>
      <c r="M551" s="101" t="s">
        <v>1528</v>
      </c>
      <c r="N551" s="97">
        <v>1</v>
      </c>
      <c r="O551" s="101">
        <v>20</v>
      </c>
      <c r="P551" s="101">
        <v>20</v>
      </c>
      <c r="Q551" s="102">
        <v>4</v>
      </c>
      <c r="R551" s="102">
        <v>4</v>
      </c>
      <c r="S551" s="98"/>
      <c r="T551" s="98"/>
      <c r="U551" s="80"/>
      <c r="V551" s="78"/>
      <c r="W551" s="78"/>
    </row>
    <row r="552" spans="2:23" s="4" customFormat="1" ht="12.75" hidden="1">
      <c r="B552" s="117" t="s">
        <v>1727</v>
      </c>
      <c r="C552" s="117" t="s">
        <v>1728</v>
      </c>
      <c r="D552" s="3" t="s">
        <v>1421</v>
      </c>
      <c r="E552" s="80" t="s">
        <v>1684</v>
      </c>
      <c r="F552" s="81">
        <v>4</v>
      </c>
      <c r="G552" s="81">
        <v>0</v>
      </c>
      <c r="H552" s="81">
        <v>4</v>
      </c>
      <c r="I552" s="101" t="s">
        <v>73</v>
      </c>
      <c r="J552" s="101" t="s">
        <v>73</v>
      </c>
      <c r="K552" s="101" t="s">
        <v>76</v>
      </c>
      <c r="L552" s="80" t="s">
        <v>1488</v>
      </c>
      <c r="M552" s="101" t="s">
        <v>1528</v>
      </c>
      <c r="N552" s="97">
        <v>1</v>
      </c>
      <c r="O552" s="101">
        <v>20</v>
      </c>
      <c r="P552" s="101">
        <v>20</v>
      </c>
      <c r="Q552" s="102">
        <v>4</v>
      </c>
      <c r="R552" s="102">
        <v>4</v>
      </c>
      <c r="S552" s="98"/>
      <c r="T552" s="98"/>
      <c r="U552" s="80"/>
      <c r="V552" s="78"/>
      <c r="W552" s="78"/>
    </row>
    <row r="553" spans="2:23" s="4" customFormat="1" ht="12.75" hidden="1">
      <c r="B553" s="117" t="s">
        <v>1727</v>
      </c>
      <c r="C553" s="117" t="s">
        <v>1728</v>
      </c>
      <c r="D553" s="3" t="s">
        <v>1421</v>
      </c>
      <c r="E553" s="80" t="s">
        <v>1684</v>
      </c>
      <c r="F553" s="81">
        <v>4</v>
      </c>
      <c r="G553" s="81">
        <v>0</v>
      </c>
      <c r="H553" s="81">
        <v>4</v>
      </c>
      <c r="I553" s="101" t="s">
        <v>73</v>
      </c>
      <c r="J553" s="101" t="s">
        <v>73</v>
      </c>
      <c r="K553" s="101" t="s">
        <v>76</v>
      </c>
      <c r="L553" s="80" t="s">
        <v>1491</v>
      </c>
      <c r="M553" s="101" t="s">
        <v>1528</v>
      </c>
      <c r="N553" s="97">
        <v>1</v>
      </c>
      <c r="O553" s="101">
        <v>20</v>
      </c>
      <c r="P553" s="101">
        <v>20</v>
      </c>
      <c r="Q553" s="102">
        <v>4</v>
      </c>
      <c r="R553" s="102">
        <v>4</v>
      </c>
      <c r="S553" s="98"/>
      <c r="T553" s="98"/>
      <c r="U553" s="80"/>
      <c r="V553" s="78"/>
      <c r="W553" s="78"/>
    </row>
    <row r="554" spans="2:23" s="4" customFormat="1" ht="12.75" hidden="1">
      <c r="B554" s="117" t="s">
        <v>1727</v>
      </c>
      <c r="C554" s="117" t="s">
        <v>1728</v>
      </c>
      <c r="D554" s="3" t="s">
        <v>713</v>
      </c>
      <c r="E554" s="80" t="s">
        <v>714</v>
      </c>
      <c r="F554" s="81">
        <v>4</v>
      </c>
      <c r="G554" s="81">
        <v>0</v>
      </c>
      <c r="H554" s="81">
        <v>4</v>
      </c>
      <c r="I554" s="101" t="s">
        <v>71</v>
      </c>
      <c r="J554" s="101" t="s">
        <v>71</v>
      </c>
      <c r="K554" s="101" t="s">
        <v>76</v>
      </c>
      <c r="L554" s="80" t="s">
        <v>1488</v>
      </c>
      <c r="M554" s="101" t="s">
        <v>1528</v>
      </c>
      <c r="N554" s="97">
        <v>1</v>
      </c>
      <c r="O554" s="101">
        <v>20</v>
      </c>
      <c r="P554" s="101">
        <v>20</v>
      </c>
      <c r="Q554" s="102">
        <v>4</v>
      </c>
      <c r="R554" s="102">
        <v>4</v>
      </c>
      <c r="S554" s="98"/>
      <c r="T554" s="98"/>
      <c r="U554" s="80"/>
      <c r="V554" s="78"/>
      <c r="W554" s="78"/>
    </row>
    <row r="555" spans="2:23" s="4" customFormat="1" ht="12.75" hidden="1">
      <c r="B555" s="117" t="s">
        <v>1727</v>
      </c>
      <c r="C555" s="117" t="s">
        <v>1728</v>
      </c>
      <c r="D555" s="3" t="s">
        <v>713</v>
      </c>
      <c r="E555" s="80" t="s">
        <v>714</v>
      </c>
      <c r="F555" s="81">
        <v>4</v>
      </c>
      <c r="G555" s="81">
        <v>0</v>
      </c>
      <c r="H555" s="81">
        <v>4</v>
      </c>
      <c r="I555" s="101" t="s">
        <v>71</v>
      </c>
      <c r="J555" s="101" t="s">
        <v>71</v>
      </c>
      <c r="K555" s="101" t="s">
        <v>76</v>
      </c>
      <c r="L555" s="80" t="s">
        <v>1491</v>
      </c>
      <c r="M555" s="101" t="s">
        <v>1528</v>
      </c>
      <c r="N555" s="97">
        <v>1</v>
      </c>
      <c r="O555" s="101">
        <v>20</v>
      </c>
      <c r="P555" s="101">
        <v>20</v>
      </c>
      <c r="Q555" s="102">
        <v>4</v>
      </c>
      <c r="R555" s="102">
        <v>4</v>
      </c>
      <c r="S555" s="98"/>
      <c r="T555" s="98"/>
      <c r="U555" s="80"/>
      <c r="V555" s="78"/>
      <c r="W555" s="78"/>
    </row>
    <row r="556" spans="2:23" s="4" customFormat="1" ht="12.75" hidden="1">
      <c r="B556" s="117" t="s">
        <v>1727</v>
      </c>
      <c r="C556" s="117" t="s">
        <v>1728</v>
      </c>
      <c r="D556" s="3" t="s">
        <v>595</v>
      </c>
      <c r="E556" s="80" t="s">
        <v>596</v>
      </c>
      <c r="F556" s="81">
        <v>4</v>
      </c>
      <c r="G556" s="81">
        <v>0</v>
      </c>
      <c r="H556" s="81">
        <v>4</v>
      </c>
      <c r="I556" s="101" t="s">
        <v>71</v>
      </c>
      <c r="J556" s="101" t="s">
        <v>71</v>
      </c>
      <c r="K556" s="101" t="s">
        <v>76</v>
      </c>
      <c r="L556" s="80" t="s">
        <v>1488</v>
      </c>
      <c r="M556" s="101" t="s">
        <v>1528</v>
      </c>
      <c r="N556" s="97">
        <v>1</v>
      </c>
      <c r="O556" s="101">
        <v>20</v>
      </c>
      <c r="P556" s="101">
        <v>20</v>
      </c>
      <c r="Q556" s="102">
        <v>4</v>
      </c>
      <c r="R556" s="102">
        <v>4</v>
      </c>
      <c r="S556" s="98"/>
      <c r="T556" s="98"/>
      <c r="U556" s="80"/>
      <c r="V556" s="78"/>
      <c r="W556" s="78"/>
    </row>
    <row r="557" spans="2:23" s="4" customFormat="1" ht="12.75" hidden="1">
      <c r="B557" s="117" t="s">
        <v>1727</v>
      </c>
      <c r="C557" s="117" t="s">
        <v>1728</v>
      </c>
      <c r="D557" s="3" t="s">
        <v>595</v>
      </c>
      <c r="E557" s="80" t="s">
        <v>596</v>
      </c>
      <c r="F557" s="81">
        <v>4</v>
      </c>
      <c r="G557" s="81">
        <v>0</v>
      </c>
      <c r="H557" s="81">
        <v>4</v>
      </c>
      <c r="I557" s="101" t="s">
        <v>71</v>
      </c>
      <c r="J557" s="101" t="s">
        <v>71</v>
      </c>
      <c r="K557" s="101" t="s">
        <v>76</v>
      </c>
      <c r="L557" s="80" t="s">
        <v>1491</v>
      </c>
      <c r="M557" s="101" t="s">
        <v>1528</v>
      </c>
      <c r="N557" s="97">
        <v>1</v>
      </c>
      <c r="O557" s="101">
        <v>20</v>
      </c>
      <c r="P557" s="101">
        <v>20</v>
      </c>
      <c r="Q557" s="102">
        <v>4</v>
      </c>
      <c r="R557" s="102">
        <v>4</v>
      </c>
      <c r="S557" s="98"/>
      <c r="T557" s="98"/>
      <c r="U557" s="80"/>
      <c r="V557" s="78"/>
      <c r="W557" s="78"/>
    </row>
    <row r="558" spans="2:23" s="4" customFormat="1" ht="12.75" hidden="1">
      <c r="B558" s="117" t="s">
        <v>1727</v>
      </c>
      <c r="C558" s="117" t="s">
        <v>1728</v>
      </c>
      <c r="D558" s="3" t="s">
        <v>1076</v>
      </c>
      <c r="E558" s="80" t="s">
        <v>1077</v>
      </c>
      <c r="F558" s="81">
        <v>4</v>
      </c>
      <c r="G558" s="81">
        <v>0</v>
      </c>
      <c r="H558" s="81">
        <v>4</v>
      </c>
      <c r="I558" s="101" t="s">
        <v>71</v>
      </c>
      <c r="J558" s="101" t="s">
        <v>71</v>
      </c>
      <c r="K558" s="101" t="s">
        <v>76</v>
      </c>
      <c r="L558" s="80" t="s">
        <v>1488</v>
      </c>
      <c r="M558" s="101" t="s">
        <v>1528</v>
      </c>
      <c r="N558" s="97">
        <v>1</v>
      </c>
      <c r="O558" s="101">
        <v>20</v>
      </c>
      <c r="P558" s="101">
        <v>20</v>
      </c>
      <c r="Q558" s="102">
        <v>4</v>
      </c>
      <c r="R558" s="102">
        <v>4</v>
      </c>
      <c r="S558" s="98"/>
      <c r="T558" s="98"/>
      <c r="U558" s="80"/>
      <c r="V558" s="78"/>
      <c r="W558" s="78"/>
    </row>
    <row r="559" spans="2:23" s="4" customFormat="1" ht="12.75" hidden="1">
      <c r="B559" s="117" t="s">
        <v>1727</v>
      </c>
      <c r="C559" s="117" t="s">
        <v>1728</v>
      </c>
      <c r="D559" s="3" t="s">
        <v>1076</v>
      </c>
      <c r="E559" s="80" t="s">
        <v>1077</v>
      </c>
      <c r="F559" s="81">
        <v>4</v>
      </c>
      <c r="G559" s="81">
        <v>0</v>
      </c>
      <c r="H559" s="81">
        <v>4</v>
      </c>
      <c r="I559" s="101" t="s">
        <v>71</v>
      </c>
      <c r="J559" s="101" t="s">
        <v>71</v>
      </c>
      <c r="K559" s="101" t="s">
        <v>76</v>
      </c>
      <c r="L559" s="80" t="s">
        <v>1491</v>
      </c>
      <c r="M559" s="101" t="s">
        <v>1528</v>
      </c>
      <c r="N559" s="97">
        <v>1</v>
      </c>
      <c r="O559" s="101">
        <v>20</v>
      </c>
      <c r="P559" s="101">
        <v>20</v>
      </c>
      <c r="Q559" s="102">
        <v>4</v>
      </c>
      <c r="R559" s="102">
        <v>4</v>
      </c>
      <c r="S559" s="98"/>
      <c r="T559" s="98"/>
      <c r="U559" s="80"/>
      <c r="V559" s="78"/>
      <c r="W559" s="78"/>
    </row>
    <row r="560" spans="2:23" s="4" customFormat="1" ht="12.75" hidden="1">
      <c r="B560" s="117" t="s">
        <v>1727</v>
      </c>
      <c r="C560" s="117" t="s">
        <v>1728</v>
      </c>
      <c r="D560" s="3" t="s">
        <v>1422</v>
      </c>
      <c r="E560" s="80" t="s">
        <v>1687</v>
      </c>
      <c r="F560" s="81">
        <v>4</v>
      </c>
      <c r="G560" s="81">
        <v>0</v>
      </c>
      <c r="H560" s="81">
        <v>4</v>
      </c>
      <c r="I560" s="101" t="s">
        <v>73</v>
      </c>
      <c r="J560" s="101" t="s">
        <v>73</v>
      </c>
      <c r="K560" s="101" t="s">
        <v>76</v>
      </c>
      <c r="L560" s="80" t="s">
        <v>1488</v>
      </c>
      <c r="M560" s="101" t="s">
        <v>1528</v>
      </c>
      <c r="N560" s="97">
        <v>1</v>
      </c>
      <c r="O560" s="101">
        <v>20</v>
      </c>
      <c r="P560" s="101">
        <v>20</v>
      </c>
      <c r="Q560" s="102">
        <v>4</v>
      </c>
      <c r="R560" s="102">
        <v>4</v>
      </c>
      <c r="S560" s="98"/>
      <c r="T560" s="98"/>
      <c r="U560" s="80"/>
      <c r="V560" s="78"/>
      <c r="W560" s="78"/>
    </row>
    <row r="561" spans="2:23" s="4" customFormat="1" ht="12.75" hidden="1">
      <c r="B561" s="117" t="s">
        <v>1727</v>
      </c>
      <c r="C561" s="117" t="s">
        <v>1728</v>
      </c>
      <c r="D561" s="3" t="s">
        <v>1422</v>
      </c>
      <c r="E561" s="80" t="s">
        <v>1687</v>
      </c>
      <c r="F561" s="81">
        <v>4</v>
      </c>
      <c r="G561" s="81">
        <v>0</v>
      </c>
      <c r="H561" s="81">
        <v>4</v>
      </c>
      <c r="I561" s="101" t="s">
        <v>73</v>
      </c>
      <c r="J561" s="101" t="s">
        <v>73</v>
      </c>
      <c r="K561" s="101" t="s">
        <v>76</v>
      </c>
      <c r="L561" s="80" t="s">
        <v>1491</v>
      </c>
      <c r="M561" s="101" t="s">
        <v>1528</v>
      </c>
      <c r="N561" s="97">
        <v>1</v>
      </c>
      <c r="O561" s="101">
        <v>20</v>
      </c>
      <c r="P561" s="101">
        <v>20</v>
      </c>
      <c r="Q561" s="102">
        <v>4</v>
      </c>
      <c r="R561" s="102">
        <v>4</v>
      </c>
      <c r="S561" s="98"/>
      <c r="T561" s="98"/>
      <c r="U561" s="80"/>
      <c r="V561" s="78"/>
      <c r="W561" s="78"/>
    </row>
    <row r="562" spans="2:23" s="4" customFormat="1" ht="12.75" hidden="1">
      <c r="B562" s="117" t="s">
        <v>1727</v>
      </c>
      <c r="C562" s="117" t="s">
        <v>1728</v>
      </c>
      <c r="D562" s="3" t="s">
        <v>173</v>
      </c>
      <c r="E562" s="80" t="s">
        <v>1731</v>
      </c>
      <c r="F562" s="81">
        <v>3</v>
      </c>
      <c r="G562" s="81">
        <v>0</v>
      </c>
      <c r="H562" s="81">
        <v>4</v>
      </c>
      <c r="I562" s="101" t="s">
        <v>71</v>
      </c>
      <c r="J562" s="101" t="s">
        <v>71</v>
      </c>
      <c r="K562" s="101" t="s">
        <v>76</v>
      </c>
      <c r="L562" s="80" t="s">
        <v>1488</v>
      </c>
      <c r="M562" s="101" t="s">
        <v>1528</v>
      </c>
      <c r="N562" s="97">
        <v>1</v>
      </c>
      <c r="O562" s="101">
        <v>40</v>
      </c>
      <c r="P562" s="101">
        <v>40</v>
      </c>
      <c r="Q562" s="102">
        <v>3</v>
      </c>
      <c r="R562" s="102">
        <v>3</v>
      </c>
      <c r="S562" s="98"/>
      <c r="T562" s="98"/>
      <c r="U562" s="80"/>
      <c r="V562" s="78"/>
      <c r="W562" s="78"/>
    </row>
    <row r="563" spans="2:23" s="4" customFormat="1" ht="12.75" hidden="1">
      <c r="B563" s="117" t="s">
        <v>1727</v>
      </c>
      <c r="C563" s="117" t="s">
        <v>1728</v>
      </c>
      <c r="D563" s="3" t="s">
        <v>173</v>
      </c>
      <c r="E563" s="80" t="s">
        <v>1731</v>
      </c>
      <c r="F563" s="81">
        <v>3</v>
      </c>
      <c r="G563" s="81">
        <v>0</v>
      </c>
      <c r="H563" s="81">
        <v>4</v>
      </c>
      <c r="I563" s="101" t="s">
        <v>71</v>
      </c>
      <c r="J563" s="101" t="s">
        <v>71</v>
      </c>
      <c r="K563" s="101" t="s">
        <v>76</v>
      </c>
      <c r="L563" s="80" t="s">
        <v>1491</v>
      </c>
      <c r="M563" s="101" t="s">
        <v>1528</v>
      </c>
      <c r="N563" s="97">
        <v>1</v>
      </c>
      <c r="O563" s="101">
        <v>40</v>
      </c>
      <c r="P563" s="101">
        <v>40</v>
      </c>
      <c r="Q563" s="102">
        <v>3</v>
      </c>
      <c r="R563" s="102">
        <v>3</v>
      </c>
      <c r="S563" s="98"/>
      <c r="T563" s="98"/>
      <c r="U563" s="80"/>
      <c r="V563" s="78"/>
      <c r="W563" s="78"/>
    </row>
    <row r="564" spans="2:23" s="4" customFormat="1" ht="12.75" hidden="1">
      <c r="B564" s="117" t="s">
        <v>1727</v>
      </c>
      <c r="C564" s="117" t="s">
        <v>1728</v>
      </c>
      <c r="D564" s="3" t="s">
        <v>498</v>
      </c>
      <c r="E564" s="80" t="s">
        <v>499</v>
      </c>
      <c r="F564" s="81">
        <v>2</v>
      </c>
      <c r="G564" s="81">
        <v>6</v>
      </c>
      <c r="H564" s="81">
        <v>4</v>
      </c>
      <c r="I564" s="101" t="s">
        <v>71</v>
      </c>
      <c r="J564" s="101" t="s">
        <v>71</v>
      </c>
      <c r="K564" s="101" t="s">
        <v>76</v>
      </c>
      <c r="L564" s="80" t="s">
        <v>1488</v>
      </c>
      <c r="M564" s="101" t="s">
        <v>1528</v>
      </c>
      <c r="N564" s="97">
        <v>1</v>
      </c>
      <c r="O564" s="101">
        <v>40</v>
      </c>
      <c r="P564" s="101">
        <v>40</v>
      </c>
      <c r="Q564" s="102">
        <v>3</v>
      </c>
      <c r="R564" s="102">
        <v>3</v>
      </c>
      <c r="S564" s="98"/>
      <c r="T564" s="98"/>
      <c r="U564" s="80"/>
      <c r="V564" s="78"/>
      <c r="W564" s="78"/>
    </row>
    <row r="565" spans="2:23" s="4" customFormat="1" ht="12.75" hidden="1">
      <c r="B565" s="117" t="s">
        <v>1727</v>
      </c>
      <c r="C565" s="117" t="s">
        <v>1728</v>
      </c>
      <c r="D565" s="3" t="s">
        <v>498</v>
      </c>
      <c r="E565" s="80" t="s">
        <v>499</v>
      </c>
      <c r="F565" s="81">
        <v>2</v>
      </c>
      <c r="G565" s="81">
        <v>6</v>
      </c>
      <c r="H565" s="81">
        <v>4</v>
      </c>
      <c r="I565" s="101" t="s">
        <v>71</v>
      </c>
      <c r="J565" s="101" t="s">
        <v>71</v>
      </c>
      <c r="K565" s="101" t="s">
        <v>76</v>
      </c>
      <c r="L565" s="80" t="s">
        <v>1491</v>
      </c>
      <c r="M565" s="101" t="s">
        <v>1528</v>
      </c>
      <c r="N565" s="97">
        <v>1</v>
      </c>
      <c r="O565" s="101">
        <v>40</v>
      </c>
      <c r="P565" s="101">
        <v>40</v>
      </c>
      <c r="Q565" s="102">
        <v>3</v>
      </c>
      <c r="R565" s="102">
        <v>3</v>
      </c>
      <c r="S565" s="98"/>
      <c r="T565" s="98"/>
      <c r="U565" s="80"/>
      <c r="V565" s="78"/>
      <c r="W565" s="78"/>
    </row>
    <row r="566" spans="2:23" s="4" customFormat="1" ht="12.75" hidden="1">
      <c r="B566" s="117" t="s">
        <v>1727</v>
      </c>
      <c r="C566" s="117" t="s">
        <v>1728</v>
      </c>
      <c r="D566" s="3" t="s">
        <v>1019</v>
      </c>
      <c r="E566" s="80" t="s">
        <v>1020</v>
      </c>
      <c r="F566" s="81">
        <v>3</v>
      </c>
      <c r="G566" s="81">
        <v>0</v>
      </c>
      <c r="H566" s="81">
        <v>4</v>
      </c>
      <c r="I566" s="101" t="s">
        <v>71</v>
      </c>
      <c r="J566" s="101" t="s">
        <v>71</v>
      </c>
      <c r="K566" s="101" t="s">
        <v>1021</v>
      </c>
      <c r="L566" s="80" t="s">
        <v>1488</v>
      </c>
      <c r="M566" s="101" t="s">
        <v>1528</v>
      </c>
      <c r="N566" s="97">
        <v>1</v>
      </c>
      <c r="O566" s="101">
        <v>40</v>
      </c>
      <c r="P566" s="101">
        <v>40</v>
      </c>
      <c r="Q566" s="102">
        <v>3</v>
      </c>
      <c r="R566" s="102">
        <v>3</v>
      </c>
      <c r="S566" s="98"/>
      <c r="T566" s="98"/>
      <c r="U566" s="80"/>
      <c r="V566" s="78"/>
      <c r="W566" s="78"/>
    </row>
    <row r="567" spans="2:23" s="4" customFormat="1" ht="12.75" hidden="1">
      <c r="B567" s="117" t="s">
        <v>1727</v>
      </c>
      <c r="C567" s="117" t="s">
        <v>1728</v>
      </c>
      <c r="D567" s="3" t="s">
        <v>1019</v>
      </c>
      <c r="E567" s="80" t="s">
        <v>1020</v>
      </c>
      <c r="F567" s="81">
        <v>3</v>
      </c>
      <c r="G567" s="81">
        <v>0</v>
      </c>
      <c r="H567" s="81">
        <v>4</v>
      </c>
      <c r="I567" s="101" t="s">
        <v>71</v>
      </c>
      <c r="J567" s="101" t="s">
        <v>71</v>
      </c>
      <c r="K567" s="101" t="s">
        <v>1021</v>
      </c>
      <c r="L567" s="80" t="s">
        <v>1491</v>
      </c>
      <c r="M567" s="101" t="s">
        <v>1528</v>
      </c>
      <c r="N567" s="97">
        <v>1</v>
      </c>
      <c r="O567" s="101">
        <v>40</v>
      </c>
      <c r="P567" s="101">
        <v>40</v>
      </c>
      <c r="Q567" s="102">
        <v>3</v>
      </c>
      <c r="R567" s="102">
        <v>3</v>
      </c>
      <c r="S567" s="98"/>
      <c r="T567" s="98"/>
      <c r="U567" s="80"/>
      <c r="V567" s="78"/>
      <c r="W567" s="78"/>
    </row>
    <row r="568" spans="2:23" s="4" customFormat="1" ht="12.75" hidden="1">
      <c r="B568" s="117" t="s">
        <v>1727</v>
      </c>
      <c r="C568" s="117" t="s">
        <v>1728</v>
      </c>
      <c r="D568" s="3" t="s">
        <v>504</v>
      </c>
      <c r="E568" s="80" t="s">
        <v>505</v>
      </c>
      <c r="F568" s="81">
        <v>2</v>
      </c>
      <c r="G568" s="81">
        <v>6</v>
      </c>
      <c r="H568" s="81">
        <v>4</v>
      </c>
      <c r="I568" s="101" t="s">
        <v>71</v>
      </c>
      <c r="J568" s="101" t="s">
        <v>71</v>
      </c>
      <c r="K568" s="101" t="s">
        <v>76</v>
      </c>
      <c r="L568" s="80" t="s">
        <v>1488</v>
      </c>
      <c r="M568" s="101" t="s">
        <v>1528</v>
      </c>
      <c r="N568" s="97">
        <v>1</v>
      </c>
      <c r="O568" s="101">
        <v>40</v>
      </c>
      <c r="P568" s="101">
        <v>40</v>
      </c>
      <c r="Q568" s="102">
        <v>3</v>
      </c>
      <c r="R568" s="102">
        <v>3</v>
      </c>
      <c r="S568" s="98"/>
      <c r="T568" s="98"/>
      <c r="U568" s="80"/>
      <c r="V568" s="78"/>
      <c r="W568" s="78"/>
    </row>
    <row r="569" spans="2:23" s="4" customFormat="1" ht="12.75" hidden="1">
      <c r="B569" s="117" t="s">
        <v>1727</v>
      </c>
      <c r="C569" s="117" t="s">
        <v>1728</v>
      </c>
      <c r="D569" s="3" t="s">
        <v>504</v>
      </c>
      <c r="E569" s="80" t="s">
        <v>505</v>
      </c>
      <c r="F569" s="81">
        <v>2</v>
      </c>
      <c r="G569" s="81">
        <v>6</v>
      </c>
      <c r="H569" s="81">
        <v>4</v>
      </c>
      <c r="I569" s="101" t="s">
        <v>71</v>
      </c>
      <c r="J569" s="101" t="s">
        <v>71</v>
      </c>
      <c r="K569" s="101" t="s">
        <v>76</v>
      </c>
      <c r="L569" s="80" t="s">
        <v>1491</v>
      </c>
      <c r="M569" s="101" t="s">
        <v>1528</v>
      </c>
      <c r="N569" s="97">
        <v>1</v>
      </c>
      <c r="O569" s="101">
        <v>40</v>
      </c>
      <c r="P569" s="101">
        <v>40</v>
      </c>
      <c r="Q569" s="102">
        <v>3</v>
      </c>
      <c r="R569" s="102">
        <v>3</v>
      </c>
      <c r="S569" s="98"/>
      <c r="T569" s="98"/>
      <c r="U569" s="80"/>
      <c r="V569" s="78"/>
      <c r="W569" s="78"/>
    </row>
    <row r="570" spans="2:23" s="4" customFormat="1" ht="12.75" hidden="1">
      <c r="B570" s="50" t="s">
        <v>62</v>
      </c>
      <c r="C570" s="50" t="s">
        <v>37</v>
      </c>
      <c r="D570" s="3" t="s">
        <v>1039</v>
      </c>
      <c r="E570" s="80" t="s">
        <v>1040</v>
      </c>
      <c r="F570" s="81">
        <v>3</v>
      </c>
      <c r="G570" s="81">
        <v>0</v>
      </c>
      <c r="H570" s="81">
        <v>4</v>
      </c>
      <c r="I570" s="101" t="s">
        <v>71</v>
      </c>
      <c r="J570" s="101" t="s">
        <v>71</v>
      </c>
      <c r="K570" s="101" t="s">
        <v>76</v>
      </c>
      <c r="L570" s="80" t="s">
        <v>1488</v>
      </c>
      <c r="M570" s="101" t="s">
        <v>1562</v>
      </c>
      <c r="N570" s="97">
        <v>1</v>
      </c>
      <c r="O570" s="101">
        <v>20</v>
      </c>
      <c r="P570" s="101">
        <v>20</v>
      </c>
      <c r="Q570" s="102">
        <v>3</v>
      </c>
      <c r="R570" s="102">
        <v>3</v>
      </c>
      <c r="S570" s="98"/>
      <c r="T570" s="98"/>
      <c r="U570" s="80"/>
      <c r="V570" s="78"/>
      <c r="W570" s="78"/>
    </row>
    <row r="571" spans="2:23" s="4" customFormat="1" ht="12.75" hidden="1">
      <c r="B571" s="50" t="s">
        <v>62</v>
      </c>
      <c r="C571" s="50" t="s">
        <v>37</v>
      </c>
      <c r="D571" s="3" t="s">
        <v>1039</v>
      </c>
      <c r="E571" s="80" t="s">
        <v>1040</v>
      </c>
      <c r="F571" s="81">
        <v>3</v>
      </c>
      <c r="G571" s="81">
        <v>0</v>
      </c>
      <c r="H571" s="81">
        <v>4</v>
      </c>
      <c r="I571" s="101" t="s">
        <v>71</v>
      </c>
      <c r="J571" s="101" t="s">
        <v>71</v>
      </c>
      <c r="K571" s="101" t="s">
        <v>76</v>
      </c>
      <c r="L571" s="80" t="s">
        <v>1491</v>
      </c>
      <c r="M571" s="101" t="s">
        <v>1562</v>
      </c>
      <c r="N571" s="97">
        <v>1</v>
      </c>
      <c r="O571" s="101">
        <v>20</v>
      </c>
      <c r="P571" s="101">
        <v>20</v>
      </c>
      <c r="Q571" s="102">
        <v>3</v>
      </c>
      <c r="R571" s="102">
        <v>3</v>
      </c>
      <c r="S571" s="98"/>
      <c r="T571" s="98"/>
      <c r="U571" s="80"/>
      <c r="V571" s="78"/>
      <c r="W571" s="78"/>
    </row>
    <row r="572" spans="2:23" s="4" customFormat="1" ht="12.75" hidden="1">
      <c r="B572" s="50" t="s">
        <v>62</v>
      </c>
      <c r="C572" s="50" t="s">
        <v>37</v>
      </c>
      <c r="D572" s="3" t="s">
        <v>510</v>
      </c>
      <c r="E572" s="80" t="s">
        <v>511</v>
      </c>
      <c r="F572" s="81">
        <v>0</v>
      </c>
      <c r="G572" s="81">
        <v>0</v>
      </c>
      <c r="H572" s="81">
        <v>0</v>
      </c>
      <c r="I572" s="101" t="s">
        <v>71</v>
      </c>
      <c r="J572" s="101" t="s">
        <v>71</v>
      </c>
      <c r="K572" s="101" t="s">
        <v>76</v>
      </c>
      <c r="L572" s="80" t="s">
        <v>1488</v>
      </c>
      <c r="M572" s="101" t="s">
        <v>1562</v>
      </c>
      <c r="N572" s="97">
        <v>1</v>
      </c>
      <c r="O572" s="101">
        <v>20</v>
      </c>
      <c r="P572" s="101">
        <v>20</v>
      </c>
      <c r="Q572" s="102">
        <v>3</v>
      </c>
      <c r="R572" s="102">
        <v>3</v>
      </c>
      <c r="S572" s="98"/>
      <c r="T572" s="98"/>
      <c r="U572" s="80"/>
      <c r="V572" s="78"/>
      <c r="W572" s="78"/>
    </row>
    <row r="573" spans="2:23" s="4" customFormat="1" ht="12.75" hidden="1">
      <c r="B573" s="50" t="s">
        <v>62</v>
      </c>
      <c r="C573" s="50" t="s">
        <v>37</v>
      </c>
      <c r="D573" s="3" t="s">
        <v>510</v>
      </c>
      <c r="E573" s="80" t="s">
        <v>511</v>
      </c>
      <c r="F573" s="81">
        <v>0</v>
      </c>
      <c r="G573" s="81">
        <v>0</v>
      </c>
      <c r="H573" s="81">
        <v>0</v>
      </c>
      <c r="I573" s="101" t="s">
        <v>71</v>
      </c>
      <c r="J573" s="101" t="s">
        <v>71</v>
      </c>
      <c r="K573" s="101" t="s">
        <v>76</v>
      </c>
      <c r="L573" s="80" t="s">
        <v>1491</v>
      </c>
      <c r="M573" s="101" t="s">
        <v>1562</v>
      </c>
      <c r="N573" s="97">
        <v>1</v>
      </c>
      <c r="O573" s="101">
        <v>20</v>
      </c>
      <c r="P573" s="101">
        <v>20</v>
      </c>
      <c r="Q573" s="102">
        <v>3</v>
      </c>
      <c r="R573" s="102">
        <v>3</v>
      </c>
      <c r="S573" s="98"/>
      <c r="T573" s="98"/>
      <c r="U573" s="80"/>
      <c r="V573" s="78"/>
      <c r="W573" s="78"/>
    </row>
    <row r="574" spans="2:23" s="4" customFormat="1" ht="12.75" hidden="1">
      <c r="B574" s="50" t="s">
        <v>62</v>
      </c>
      <c r="C574" s="50" t="s">
        <v>37</v>
      </c>
      <c r="D574" s="3" t="s">
        <v>879</v>
      </c>
      <c r="E574" s="80" t="s">
        <v>880</v>
      </c>
      <c r="F574" s="81">
        <v>4</v>
      </c>
      <c r="G574" s="81">
        <v>0</v>
      </c>
      <c r="H574" s="81">
        <v>4</v>
      </c>
      <c r="I574" s="101" t="s">
        <v>71</v>
      </c>
      <c r="J574" s="101" t="s">
        <v>71</v>
      </c>
      <c r="K574" s="101" t="s">
        <v>76</v>
      </c>
      <c r="L574" s="80" t="s">
        <v>1488</v>
      </c>
      <c r="M574" s="101" t="s">
        <v>1562</v>
      </c>
      <c r="N574" s="97">
        <v>1</v>
      </c>
      <c r="O574" s="101">
        <v>35</v>
      </c>
      <c r="P574" s="101">
        <v>35</v>
      </c>
      <c r="Q574" s="102">
        <v>4</v>
      </c>
      <c r="R574" s="102">
        <v>4</v>
      </c>
      <c r="S574" s="98"/>
      <c r="T574" s="98"/>
      <c r="U574" s="80"/>
      <c r="V574" s="78"/>
      <c r="W574" s="78"/>
    </row>
    <row r="575" spans="2:23" s="4" customFormat="1" ht="12.75" hidden="1">
      <c r="B575" s="50" t="s">
        <v>62</v>
      </c>
      <c r="C575" s="50" t="s">
        <v>37</v>
      </c>
      <c r="D575" s="3" t="s">
        <v>879</v>
      </c>
      <c r="E575" s="80" t="s">
        <v>880</v>
      </c>
      <c r="F575" s="81">
        <v>4</v>
      </c>
      <c r="G575" s="81">
        <v>0</v>
      </c>
      <c r="H575" s="81">
        <v>4</v>
      </c>
      <c r="I575" s="101" t="s">
        <v>71</v>
      </c>
      <c r="J575" s="101" t="s">
        <v>71</v>
      </c>
      <c r="K575" s="101" t="s">
        <v>76</v>
      </c>
      <c r="L575" s="80" t="s">
        <v>1491</v>
      </c>
      <c r="M575" s="101" t="s">
        <v>1562</v>
      </c>
      <c r="N575" s="97">
        <v>1</v>
      </c>
      <c r="O575" s="101">
        <v>35</v>
      </c>
      <c r="P575" s="101">
        <v>35</v>
      </c>
      <c r="Q575" s="102">
        <v>4</v>
      </c>
      <c r="R575" s="102">
        <v>4</v>
      </c>
      <c r="S575" s="98"/>
      <c r="T575" s="98"/>
      <c r="U575" s="80"/>
      <c r="V575" s="78"/>
      <c r="W575" s="78"/>
    </row>
    <row r="576" spans="2:23" s="4" customFormat="1" ht="12.75" hidden="1">
      <c r="B576" s="51" t="s">
        <v>63</v>
      </c>
      <c r="C576" s="51" t="s">
        <v>38</v>
      </c>
      <c r="D576" s="3" t="s">
        <v>1035</v>
      </c>
      <c r="E576" s="80" t="s">
        <v>1036</v>
      </c>
      <c r="F576" s="81">
        <v>4</v>
      </c>
      <c r="G576" s="81">
        <v>0</v>
      </c>
      <c r="H576" s="81">
        <v>4</v>
      </c>
      <c r="I576" s="101" t="s">
        <v>71</v>
      </c>
      <c r="J576" s="101" t="s">
        <v>71</v>
      </c>
      <c r="K576" s="101" t="s">
        <v>76</v>
      </c>
      <c r="L576" s="80" t="s">
        <v>1488</v>
      </c>
      <c r="M576" s="101" t="s">
        <v>1562</v>
      </c>
      <c r="N576" s="97">
        <v>1</v>
      </c>
      <c r="O576" s="101">
        <v>50</v>
      </c>
      <c r="P576" s="101">
        <v>50</v>
      </c>
      <c r="Q576" s="102">
        <v>4</v>
      </c>
      <c r="R576" s="102">
        <v>4</v>
      </c>
      <c r="S576" s="98" t="s">
        <v>1512</v>
      </c>
      <c r="T576" s="98" t="s">
        <v>1512</v>
      </c>
      <c r="U576" s="80"/>
      <c r="V576" s="78"/>
      <c r="W576" s="78"/>
    </row>
    <row r="577" spans="2:23" s="4" customFormat="1" ht="12.75" hidden="1">
      <c r="B577" s="51" t="s">
        <v>63</v>
      </c>
      <c r="C577" s="51" t="s">
        <v>38</v>
      </c>
      <c r="D577" s="3" t="s">
        <v>1035</v>
      </c>
      <c r="E577" s="80" t="s">
        <v>1036</v>
      </c>
      <c r="F577" s="81">
        <v>4</v>
      </c>
      <c r="G577" s="81">
        <v>0</v>
      </c>
      <c r="H577" s="81">
        <v>4</v>
      </c>
      <c r="I577" s="101" t="s">
        <v>71</v>
      </c>
      <c r="J577" s="101" t="s">
        <v>71</v>
      </c>
      <c r="K577" s="101" t="s">
        <v>76</v>
      </c>
      <c r="L577" s="80" t="s">
        <v>1491</v>
      </c>
      <c r="M577" s="101" t="s">
        <v>1562</v>
      </c>
      <c r="N577" s="97">
        <v>1</v>
      </c>
      <c r="O577" s="101">
        <v>50</v>
      </c>
      <c r="P577" s="101">
        <v>50</v>
      </c>
      <c r="Q577" s="102">
        <v>4</v>
      </c>
      <c r="R577" s="102">
        <v>4</v>
      </c>
      <c r="S577" s="98" t="s">
        <v>1512</v>
      </c>
      <c r="T577" s="98" t="s">
        <v>1512</v>
      </c>
      <c r="U577" s="80"/>
      <c r="V577" s="78"/>
      <c r="W577" s="78"/>
    </row>
    <row r="578" spans="2:23" s="4" customFormat="1" ht="12.75" hidden="1">
      <c r="B578" s="51" t="s">
        <v>63</v>
      </c>
      <c r="C578" s="51" t="s">
        <v>38</v>
      </c>
      <c r="D578" s="3" t="s">
        <v>1010</v>
      </c>
      <c r="E578" s="80" t="s">
        <v>1011</v>
      </c>
      <c r="F578" s="81">
        <v>3</v>
      </c>
      <c r="G578" s="81">
        <v>0</v>
      </c>
      <c r="H578" s="81">
        <v>3</v>
      </c>
      <c r="I578" s="101" t="s">
        <v>71</v>
      </c>
      <c r="J578" s="101" t="s">
        <v>71</v>
      </c>
      <c r="K578" s="101" t="s">
        <v>76</v>
      </c>
      <c r="L578" s="80" t="s">
        <v>1488</v>
      </c>
      <c r="M578" s="101" t="s">
        <v>1562</v>
      </c>
      <c r="N578" s="97">
        <v>1</v>
      </c>
      <c r="O578" s="101">
        <v>50</v>
      </c>
      <c r="P578" s="101">
        <v>50</v>
      </c>
      <c r="Q578" s="102">
        <v>3</v>
      </c>
      <c r="R578" s="102">
        <v>3</v>
      </c>
      <c r="S578" s="98" t="s">
        <v>1512</v>
      </c>
      <c r="T578" s="98" t="s">
        <v>1512</v>
      </c>
      <c r="U578" s="80"/>
      <c r="V578" s="78"/>
      <c r="W578" s="78"/>
    </row>
    <row r="579" spans="2:23" s="4" customFormat="1" ht="12.75" hidden="1">
      <c r="B579" s="51" t="s">
        <v>63</v>
      </c>
      <c r="C579" s="51" t="s">
        <v>38</v>
      </c>
      <c r="D579" s="3" t="s">
        <v>1010</v>
      </c>
      <c r="E579" s="80" t="s">
        <v>1011</v>
      </c>
      <c r="F579" s="81">
        <v>3</v>
      </c>
      <c r="G579" s="81">
        <v>0</v>
      </c>
      <c r="H579" s="81">
        <v>3</v>
      </c>
      <c r="I579" s="101" t="s">
        <v>71</v>
      </c>
      <c r="J579" s="101" t="s">
        <v>71</v>
      </c>
      <c r="K579" s="101" t="s">
        <v>76</v>
      </c>
      <c r="L579" s="80" t="s">
        <v>1491</v>
      </c>
      <c r="M579" s="101" t="s">
        <v>1562</v>
      </c>
      <c r="N579" s="97">
        <v>1</v>
      </c>
      <c r="O579" s="101">
        <v>50</v>
      </c>
      <c r="P579" s="101">
        <v>50</v>
      </c>
      <c r="Q579" s="102">
        <v>3</v>
      </c>
      <c r="R579" s="102">
        <v>3</v>
      </c>
      <c r="S579" s="98" t="s">
        <v>1512</v>
      </c>
      <c r="T579" s="98" t="s">
        <v>1512</v>
      </c>
      <c r="U579" s="80"/>
      <c r="V579" s="78"/>
      <c r="W579" s="78"/>
    </row>
    <row r="580" spans="2:23" s="4" customFormat="1" ht="12.75" hidden="1">
      <c r="B580" s="51" t="s">
        <v>63</v>
      </c>
      <c r="C580" s="51" t="s">
        <v>38</v>
      </c>
      <c r="D580" s="3" t="s">
        <v>843</v>
      </c>
      <c r="E580" s="80" t="s">
        <v>844</v>
      </c>
      <c r="F580" s="81">
        <v>4</v>
      </c>
      <c r="G580" s="81">
        <v>0</v>
      </c>
      <c r="H580" s="81">
        <v>4</v>
      </c>
      <c r="I580" s="101" t="s">
        <v>71</v>
      </c>
      <c r="J580" s="101" t="s">
        <v>71</v>
      </c>
      <c r="K580" s="101" t="s">
        <v>845</v>
      </c>
      <c r="L580" s="80" t="s">
        <v>1488</v>
      </c>
      <c r="M580" s="101" t="s">
        <v>1562</v>
      </c>
      <c r="N580" s="97">
        <v>1</v>
      </c>
      <c r="O580" s="101">
        <v>50</v>
      </c>
      <c r="P580" s="101">
        <v>50</v>
      </c>
      <c r="Q580" s="102">
        <v>4</v>
      </c>
      <c r="R580" s="102">
        <v>4</v>
      </c>
      <c r="S580" s="98" t="s">
        <v>1512</v>
      </c>
      <c r="T580" s="98" t="s">
        <v>1512</v>
      </c>
      <c r="U580" s="80"/>
      <c r="V580" s="78"/>
      <c r="W580" s="78"/>
    </row>
    <row r="581" spans="2:23" s="4" customFormat="1" ht="12.75" hidden="1">
      <c r="B581" s="51" t="s">
        <v>63</v>
      </c>
      <c r="C581" s="51" t="s">
        <v>38</v>
      </c>
      <c r="D581" s="3" t="s">
        <v>843</v>
      </c>
      <c r="E581" s="80" t="s">
        <v>844</v>
      </c>
      <c r="F581" s="81">
        <v>4</v>
      </c>
      <c r="G581" s="81">
        <v>0</v>
      </c>
      <c r="H581" s="81">
        <v>4</v>
      </c>
      <c r="I581" s="101" t="s">
        <v>71</v>
      </c>
      <c r="J581" s="101" t="s">
        <v>71</v>
      </c>
      <c r="K581" s="101" t="s">
        <v>845</v>
      </c>
      <c r="L581" s="80" t="s">
        <v>1491</v>
      </c>
      <c r="M581" s="101" t="s">
        <v>1562</v>
      </c>
      <c r="N581" s="97">
        <v>1</v>
      </c>
      <c r="O581" s="101">
        <v>50</v>
      </c>
      <c r="P581" s="101">
        <v>50</v>
      </c>
      <c r="Q581" s="102">
        <v>4</v>
      </c>
      <c r="R581" s="102">
        <v>4</v>
      </c>
      <c r="S581" s="98" t="s">
        <v>1512</v>
      </c>
      <c r="T581" s="98" t="s">
        <v>1512</v>
      </c>
      <c r="U581" s="80"/>
      <c r="V581" s="78"/>
      <c r="W581" s="78"/>
    </row>
    <row r="582" spans="2:23" s="4" customFormat="1" ht="12.75" hidden="1">
      <c r="B582" s="51" t="s">
        <v>63</v>
      </c>
      <c r="C582" s="51" t="s">
        <v>38</v>
      </c>
      <c r="D582" s="3" t="s">
        <v>1706</v>
      </c>
      <c r="E582" s="80" t="s">
        <v>224</v>
      </c>
      <c r="F582" s="81">
        <v>4</v>
      </c>
      <c r="G582" s="81">
        <v>0</v>
      </c>
      <c r="H582" s="81">
        <v>4</v>
      </c>
      <c r="I582" s="101" t="s">
        <v>71</v>
      </c>
      <c r="J582" s="101" t="s">
        <v>71</v>
      </c>
      <c r="K582" s="101" t="s">
        <v>1707</v>
      </c>
      <c r="L582" s="80" t="s">
        <v>1488</v>
      </c>
      <c r="M582" s="101" t="s">
        <v>1562</v>
      </c>
      <c r="N582" s="97">
        <v>1</v>
      </c>
      <c r="O582" s="101">
        <v>50</v>
      </c>
      <c r="P582" s="101">
        <v>50</v>
      </c>
      <c r="Q582" s="102">
        <v>4</v>
      </c>
      <c r="R582" s="102">
        <v>4</v>
      </c>
      <c r="S582" s="98" t="s">
        <v>1512</v>
      </c>
      <c r="T582" s="98" t="s">
        <v>1512</v>
      </c>
      <c r="U582" s="80"/>
      <c r="V582" s="78"/>
      <c r="W582" s="78"/>
    </row>
    <row r="583" spans="2:23" s="4" customFormat="1" ht="12.75" hidden="1">
      <c r="B583" s="51" t="s">
        <v>63</v>
      </c>
      <c r="C583" s="51" t="s">
        <v>38</v>
      </c>
      <c r="D583" s="3" t="s">
        <v>1706</v>
      </c>
      <c r="E583" s="80" t="s">
        <v>224</v>
      </c>
      <c r="F583" s="81">
        <v>4</v>
      </c>
      <c r="G583" s="81">
        <v>0</v>
      </c>
      <c r="H583" s="81">
        <v>4</v>
      </c>
      <c r="I583" s="101" t="s">
        <v>71</v>
      </c>
      <c r="J583" s="101" t="s">
        <v>71</v>
      </c>
      <c r="K583" s="101" t="s">
        <v>1707</v>
      </c>
      <c r="L583" s="80" t="s">
        <v>1491</v>
      </c>
      <c r="M583" s="101" t="s">
        <v>1562</v>
      </c>
      <c r="N583" s="97">
        <v>1</v>
      </c>
      <c r="O583" s="101">
        <v>50</v>
      </c>
      <c r="P583" s="101">
        <v>50</v>
      </c>
      <c r="Q583" s="102">
        <v>4</v>
      </c>
      <c r="R583" s="102">
        <v>4</v>
      </c>
      <c r="S583" s="98" t="s">
        <v>1512</v>
      </c>
      <c r="T583" s="98" t="s">
        <v>1512</v>
      </c>
      <c r="U583" s="80"/>
      <c r="V583" s="78"/>
      <c r="W583" s="78"/>
    </row>
    <row r="584" spans="2:23" s="4" customFormat="1" ht="12.75" hidden="1">
      <c r="B584" s="51" t="s">
        <v>63</v>
      </c>
      <c r="C584" s="51" t="s">
        <v>38</v>
      </c>
      <c r="D584" s="3" t="s">
        <v>560</v>
      </c>
      <c r="E584" s="80" t="s">
        <v>561</v>
      </c>
      <c r="F584" s="81">
        <v>4</v>
      </c>
      <c r="G584" s="81">
        <v>0</v>
      </c>
      <c r="H584" s="81">
        <v>4</v>
      </c>
      <c r="I584" s="101" t="s">
        <v>71</v>
      </c>
      <c r="J584" s="101" t="s">
        <v>71</v>
      </c>
      <c r="K584" s="101" t="s">
        <v>76</v>
      </c>
      <c r="L584" s="80" t="s">
        <v>1488</v>
      </c>
      <c r="M584" s="101" t="s">
        <v>1562</v>
      </c>
      <c r="N584" s="97">
        <v>1</v>
      </c>
      <c r="O584" s="101">
        <v>50</v>
      </c>
      <c r="P584" s="101">
        <v>50</v>
      </c>
      <c r="Q584" s="102">
        <v>4</v>
      </c>
      <c r="R584" s="102">
        <v>4</v>
      </c>
      <c r="S584" s="98" t="s">
        <v>1512</v>
      </c>
      <c r="T584" s="98" t="s">
        <v>1512</v>
      </c>
      <c r="U584" s="80"/>
      <c r="V584" s="78"/>
      <c r="W584" s="78"/>
    </row>
    <row r="585" spans="2:23" s="4" customFormat="1" ht="12.75" hidden="1">
      <c r="B585" s="51" t="s">
        <v>63</v>
      </c>
      <c r="C585" s="51" t="s">
        <v>38</v>
      </c>
      <c r="D585" s="3" t="s">
        <v>560</v>
      </c>
      <c r="E585" s="80" t="s">
        <v>561</v>
      </c>
      <c r="F585" s="81">
        <v>4</v>
      </c>
      <c r="G585" s="81">
        <v>0</v>
      </c>
      <c r="H585" s="81">
        <v>4</v>
      </c>
      <c r="I585" s="101" t="s">
        <v>71</v>
      </c>
      <c r="J585" s="101" t="s">
        <v>71</v>
      </c>
      <c r="K585" s="101" t="s">
        <v>76</v>
      </c>
      <c r="L585" s="80" t="s">
        <v>1491</v>
      </c>
      <c r="M585" s="101" t="s">
        <v>1562</v>
      </c>
      <c r="N585" s="97">
        <v>1</v>
      </c>
      <c r="O585" s="101">
        <v>50</v>
      </c>
      <c r="P585" s="101">
        <v>50</v>
      </c>
      <c r="Q585" s="102">
        <v>4</v>
      </c>
      <c r="R585" s="102">
        <v>4</v>
      </c>
      <c r="S585" s="98" t="s">
        <v>1512</v>
      </c>
      <c r="T585" s="98" t="s">
        <v>1512</v>
      </c>
      <c r="U585" s="80"/>
      <c r="V585" s="78"/>
      <c r="W585" s="78"/>
    </row>
    <row r="586" spans="2:23" s="4" customFormat="1" ht="12.75" hidden="1">
      <c r="B586" s="51" t="s">
        <v>63</v>
      </c>
      <c r="C586" s="51" t="s">
        <v>38</v>
      </c>
      <c r="D586" s="3" t="s">
        <v>1045</v>
      </c>
      <c r="E586" s="80" t="s">
        <v>1046</v>
      </c>
      <c r="F586" s="81">
        <v>3</v>
      </c>
      <c r="G586" s="81">
        <v>0</v>
      </c>
      <c r="H586" s="81">
        <v>4</v>
      </c>
      <c r="I586" s="101" t="s">
        <v>71</v>
      </c>
      <c r="J586" s="101" t="s">
        <v>71</v>
      </c>
      <c r="K586" s="101" t="s">
        <v>1044</v>
      </c>
      <c r="L586" s="80" t="s">
        <v>1488</v>
      </c>
      <c r="M586" s="101" t="s">
        <v>1562</v>
      </c>
      <c r="N586" s="97">
        <v>1</v>
      </c>
      <c r="O586" s="101">
        <v>20</v>
      </c>
      <c r="P586" s="101">
        <v>20</v>
      </c>
      <c r="Q586" s="102">
        <v>3</v>
      </c>
      <c r="R586" s="102">
        <v>3</v>
      </c>
      <c r="S586" s="98" t="s">
        <v>1733</v>
      </c>
      <c r="T586" s="98" t="s">
        <v>1564</v>
      </c>
      <c r="U586" s="80"/>
      <c r="V586" s="78"/>
      <c r="W586" s="78"/>
    </row>
    <row r="587" spans="2:23" s="4" customFormat="1" ht="12.75" hidden="1">
      <c r="B587" s="51" t="s">
        <v>63</v>
      </c>
      <c r="C587" s="51" t="s">
        <v>38</v>
      </c>
      <c r="D587" s="3" t="s">
        <v>1045</v>
      </c>
      <c r="E587" s="80" t="s">
        <v>1046</v>
      </c>
      <c r="F587" s="81">
        <v>3</v>
      </c>
      <c r="G587" s="81">
        <v>0</v>
      </c>
      <c r="H587" s="81">
        <v>4</v>
      </c>
      <c r="I587" s="101" t="s">
        <v>71</v>
      </c>
      <c r="J587" s="101" t="s">
        <v>71</v>
      </c>
      <c r="K587" s="101" t="s">
        <v>1044</v>
      </c>
      <c r="L587" s="80" t="s">
        <v>1491</v>
      </c>
      <c r="M587" s="101" t="s">
        <v>1562</v>
      </c>
      <c r="N587" s="97">
        <v>1</v>
      </c>
      <c r="O587" s="101">
        <v>20</v>
      </c>
      <c r="P587" s="101">
        <v>20</v>
      </c>
      <c r="Q587" s="102">
        <v>3</v>
      </c>
      <c r="R587" s="102">
        <v>3</v>
      </c>
      <c r="S587" s="98" t="s">
        <v>1733</v>
      </c>
      <c r="T587" s="98" t="s">
        <v>1564</v>
      </c>
      <c r="U587" s="80"/>
      <c r="V587" s="78"/>
      <c r="W587" s="78"/>
    </row>
    <row r="588" spans="2:23" s="4" customFormat="1" ht="12.75" hidden="1">
      <c r="B588" s="51" t="s">
        <v>63</v>
      </c>
      <c r="C588" s="51" t="s">
        <v>38</v>
      </c>
      <c r="D588" s="3" t="s">
        <v>526</v>
      </c>
      <c r="E588" s="80" t="s">
        <v>527</v>
      </c>
      <c r="F588" s="81">
        <v>0</v>
      </c>
      <c r="G588" s="81">
        <v>0</v>
      </c>
      <c r="H588" s="81">
        <v>0</v>
      </c>
      <c r="I588" s="101" t="s">
        <v>71</v>
      </c>
      <c r="J588" s="101" t="s">
        <v>71</v>
      </c>
      <c r="K588" s="101" t="s">
        <v>76</v>
      </c>
      <c r="L588" s="80" t="s">
        <v>1488</v>
      </c>
      <c r="M588" s="101" t="s">
        <v>1562</v>
      </c>
      <c r="N588" s="97">
        <v>1</v>
      </c>
      <c r="O588" s="101">
        <v>15</v>
      </c>
      <c r="P588" s="101">
        <v>15</v>
      </c>
      <c r="Q588" s="102">
        <v>3</v>
      </c>
      <c r="R588" s="102">
        <v>3</v>
      </c>
      <c r="S588" s="98" t="s">
        <v>1733</v>
      </c>
      <c r="T588" s="98" t="s">
        <v>1720</v>
      </c>
      <c r="U588" s="80"/>
      <c r="V588" s="78"/>
      <c r="W588" s="78"/>
    </row>
    <row r="589" spans="2:23" s="4" customFormat="1" ht="12.75" hidden="1">
      <c r="B589" s="51" t="s">
        <v>63</v>
      </c>
      <c r="C589" s="51" t="s">
        <v>38</v>
      </c>
      <c r="D589" s="3" t="s">
        <v>526</v>
      </c>
      <c r="E589" s="80" t="s">
        <v>527</v>
      </c>
      <c r="F589" s="81">
        <v>0</v>
      </c>
      <c r="G589" s="81">
        <v>0</v>
      </c>
      <c r="H589" s="81">
        <v>0</v>
      </c>
      <c r="I589" s="101" t="s">
        <v>71</v>
      </c>
      <c r="J589" s="101" t="s">
        <v>71</v>
      </c>
      <c r="K589" s="101" t="s">
        <v>76</v>
      </c>
      <c r="L589" s="80" t="s">
        <v>1491</v>
      </c>
      <c r="M589" s="101" t="s">
        <v>1562</v>
      </c>
      <c r="N589" s="97">
        <v>1</v>
      </c>
      <c r="O589" s="101">
        <v>15</v>
      </c>
      <c r="P589" s="101">
        <v>15</v>
      </c>
      <c r="Q589" s="102">
        <v>3</v>
      </c>
      <c r="R589" s="102">
        <v>3</v>
      </c>
      <c r="S589" s="98" t="s">
        <v>1733</v>
      </c>
      <c r="T589" s="98" t="s">
        <v>1720</v>
      </c>
      <c r="U589" s="80"/>
      <c r="V589" s="78"/>
      <c r="W589" s="78"/>
    </row>
    <row r="590" spans="2:23" s="4" customFormat="1" ht="12.75" hidden="1">
      <c r="B590" s="51" t="s">
        <v>63</v>
      </c>
      <c r="C590" s="51" t="s">
        <v>38</v>
      </c>
      <c r="D590" s="3" t="s">
        <v>528</v>
      </c>
      <c r="E590" s="80" t="s">
        <v>529</v>
      </c>
      <c r="F590" s="81">
        <v>0</v>
      </c>
      <c r="G590" s="81">
        <v>0</v>
      </c>
      <c r="H590" s="81">
        <v>0</v>
      </c>
      <c r="I590" s="101" t="s">
        <v>71</v>
      </c>
      <c r="J590" s="101" t="s">
        <v>71</v>
      </c>
      <c r="K590" s="101" t="s">
        <v>76</v>
      </c>
      <c r="L590" s="80" t="s">
        <v>1488</v>
      </c>
      <c r="M590" s="101" t="s">
        <v>1562</v>
      </c>
      <c r="N590" s="97">
        <v>1</v>
      </c>
      <c r="O590" s="101">
        <v>15</v>
      </c>
      <c r="P590" s="101">
        <v>15</v>
      </c>
      <c r="Q590" s="102">
        <v>3</v>
      </c>
      <c r="R590" s="102">
        <v>3</v>
      </c>
      <c r="S590" s="98" t="s">
        <v>1733</v>
      </c>
      <c r="T590" s="98" t="s">
        <v>1720</v>
      </c>
      <c r="U590" s="80"/>
      <c r="V590" s="78"/>
      <c r="W590" s="78"/>
    </row>
    <row r="591" spans="2:23" s="4" customFormat="1" ht="12.75" hidden="1">
      <c r="B591" s="51" t="s">
        <v>63</v>
      </c>
      <c r="C591" s="51" t="s">
        <v>38</v>
      </c>
      <c r="D591" s="3" t="s">
        <v>528</v>
      </c>
      <c r="E591" s="80" t="s">
        <v>529</v>
      </c>
      <c r="F591" s="81">
        <v>0</v>
      </c>
      <c r="G591" s="81">
        <v>0</v>
      </c>
      <c r="H591" s="81">
        <v>0</v>
      </c>
      <c r="I591" s="101" t="s">
        <v>71</v>
      </c>
      <c r="J591" s="101" t="s">
        <v>71</v>
      </c>
      <c r="K591" s="101" t="s">
        <v>76</v>
      </c>
      <c r="L591" s="80" t="s">
        <v>1491</v>
      </c>
      <c r="M591" s="101" t="s">
        <v>1562</v>
      </c>
      <c r="N591" s="97">
        <v>1</v>
      </c>
      <c r="O591" s="101">
        <v>15</v>
      </c>
      <c r="P591" s="101">
        <v>15</v>
      </c>
      <c r="Q591" s="102">
        <v>3</v>
      </c>
      <c r="R591" s="102">
        <v>3</v>
      </c>
      <c r="S591" s="98" t="s">
        <v>1733</v>
      </c>
      <c r="T591" s="98" t="s">
        <v>1720</v>
      </c>
      <c r="U591" s="80"/>
      <c r="V591" s="78"/>
      <c r="W591" s="78"/>
    </row>
    <row r="592" spans="2:23" s="4" customFormat="1" ht="12.75" hidden="1">
      <c r="B592" s="51" t="s">
        <v>63</v>
      </c>
      <c r="C592" s="51" t="s">
        <v>38</v>
      </c>
      <c r="D592" s="3" t="s">
        <v>514</v>
      </c>
      <c r="E592" s="80" t="s">
        <v>515</v>
      </c>
      <c r="F592" s="81">
        <v>0</v>
      </c>
      <c r="G592" s="81">
        <v>0</v>
      </c>
      <c r="H592" s="81">
        <v>0</v>
      </c>
      <c r="I592" s="101" t="s">
        <v>71</v>
      </c>
      <c r="J592" s="101" t="s">
        <v>71</v>
      </c>
      <c r="K592" s="101" t="s">
        <v>76</v>
      </c>
      <c r="L592" s="80" t="s">
        <v>1488</v>
      </c>
      <c r="M592" s="101" t="s">
        <v>1562</v>
      </c>
      <c r="N592" s="97">
        <v>1</v>
      </c>
      <c r="O592" s="101">
        <v>15</v>
      </c>
      <c r="P592" s="101">
        <v>15</v>
      </c>
      <c r="Q592" s="102">
        <v>3</v>
      </c>
      <c r="R592" s="102">
        <v>3</v>
      </c>
      <c r="S592" s="98" t="s">
        <v>1733</v>
      </c>
      <c r="T592" s="98" t="s">
        <v>1720</v>
      </c>
      <c r="U592" s="80"/>
      <c r="V592" s="78"/>
      <c r="W592" s="78"/>
    </row>
    <row r="593" spans="2:23" s="4" customFormat="1" ht="12.75" hidden="1">
      <c r="B593" s="51" t="s">
        <v>63</v>
      </c>
      <c r="C593" s="51" t="s">
        <v>38</v>
      </c>
      <c r="D593" s="3" t="s">
        <v>514</v>
      </c>
      <c r="E593" s="80" t="s">
        <v>515</v>
      </c>
      <c r="F593" s="81">
        <v>0</v>
      </c>
      <c r="G593" s="81">
        <v>0</v>
      </c>
      <c r="H593" s="81">
        <v>0</v>
      </c>
      <c r="I593" s="101" t="s">
        <v>71</v>
      </c>
      <c r="J593" s="101" t="s">
        <v>71</v>
      </c>
      <c r="K593" s="101" t="s">
        <v>76</v>
      </c>
      <c r="L593" s="80" t="s">
        <v>1491</v>
      </c>
      <c r="M593" s="101" t="s">
        <v>1562</v>
      </c>
      <c r="N593" s="97">
        <v>1</v>
      </c>
      <c r="O593" s="101">
        <v>15</v>
      </c>
      <c r="P593" s="101">
        <v>15</v>
      </c>
      <c r="Q593" s="102">
        <v>3</v>
      </c>
      <c r="R593" s="102">
        <v>3</v>
      </c>
      <c r="S593" s="98" t="s">
        <v>1733</v>
      </c>
      <c r="T593" s="98" t="s">
        <v>1720</v>
      </c>
      <c r="U593" s="80"/>
      <c r="V593" s="78"/>
      <c r="W593" s="78"/>
    </row>
    <row r="594" spans="2:23" s="4" customFormat="1" ht="12.75" hidden="1">
      <c r="B594" s="51" t="s">
        <v>63</v>
      </c>
      <c r="C594" s="51" t="s">
        <v>38</v>
      </c>
      <c r="D594" s="3" t="s">
        <v>516</v>
      </c>
      <c r="E594" s="80" t="s">
        <v>517</v>
      </c>
      <c r="F594" s="81">
        <v>0</v>
      </c>
      <c r="G594" s="81">
        <v>0</v>
      </c>
      <c r="H594" s="81">
        <v>0</v>
      </c>
      <c r="I594" s="101" t="s">
        <v>71</v>
      </c>
      <c r="J594" s="101" t="s">
        <v>71</v>
      </c>
      <c r="K594" s="101" t="s">
        <v>76</v>
      </c>
      <c r="L594" s="80" t="s">
        <v>1488</v>
      </c>
      <c r="M594" s="101" t="s">
        <v>1562</v>
      </c>
      <c r="N594" s="97">
        <v>1</v>
      </c>
      <c r="O594" s="101">
        <v>15</v>
      </c>
      <c r="P594" s="101">
        <v>15</v>
      </c>
      <c r="Q594" s="102">
        <v>3</v>
      </c>
      <c r="R594" s="102">
        <v>3</v>
      </c>
      <c r="S594" s="98" t="s">
        <v>1733</v>
      </c>
      <c r="T594" s="98" t="s">
        <v>1720</v>
      </c>
      <c r="U594" s="80"/>
      <c r="V594" s="78"/>
      <c r="W594" s="78"/>
    </row>
    <row r="595" spans="2:23" s="4" customFormat="1" ht="12.75" hidden="1">
      <c r="B595" s="51" t="s">
        <v>63</v>
      </c>
      <c r="C595" s="51" t="s">
        <v>38</v>
      </c>
      <c r="D595" s="3" t="s">
        <v>516</v>
      </c>
      <c r="E595" s="80" t="s">
        <v>517</v>
      </c>
      <c r="F595" s="81">
        <v>0</v>
      </c>
      <c r="G595" s="81">
        <v>0</v>
      </c>
      <c r="H595" s="81">
        <v>0</v>
      </c>
      <c r="I595" s="101" t="s">
        <v>71</v>
      </c>
      <c r="J595" s="101" t="s">
        <v>71</v>
      </c>
      <c r="K595" s="101" t="s">
        <v>76</v>
      </c>
      <c r="L595" s="80" t="s">
        <v>1491</v>
      </c>
      <c r="M595" s="101" t="s">
        <v>1562</v>
      </c>
      <c r="N595" s="97">
        <v>1</v>
      </c>
      <c r="O595" s="101">
        <v>15</v>
      </c>
      <c r="P595" s="101">
        <v>15</v>
      </c>
      <c r="Q595" s="102">
        <v>3</v>
      </c>
      <c r="R595" s="102">
        <v>3</v>
      </c>
      <c r="S595" s="98" t="s">
        <v>1733</v>
      </c>
      <c r="T595" s="98" t="s">
        <v>1720</v>
      </c>
      <c r="U595" s="80"/>
      <c r="V595" s="78"/>
      <c r="W595" s="78"/>
    </row>
    <row r="596" spans="2:23" s="4" customFormat="1" ht="12.75" hidden="1">
      <c r="B596" s="51" t="s">
        <v>63</v>
      </c>
      <c r="C596" s="51" t="s">
        <v>38</v>
      </c>
      <c r="D596" s="3" t="s">
        <v>518</v>
      </c>
      <c r="E596" s="80" t="s">
        <v>519</v>
      </c>
      <c r="F596" s="81">
        <v>0</v>
      </c>
      <c r="G596" s="81">
        <v>0</v>
      </c>
      <c r="H596" s="81">
        <v>0</v>
      </c>
      <c r="I596" s="101" t="s">
        <v>71</v>
      </c>
      <c r="J596" s="101" t="s">
        <v>71</v>
      </c>
      <c r="K596" s="101" t="s">
        <v>76</v>
      </c>
      <c r="L596" s="80" t="s">
        <v>1488</v>
      </c>
      <c r="M596" s="101" t="s">
        <v>1562</v>
      </c>
      <c r="N596" s="97">
        <v>1</v>
      </c>
      <c r="O596" s="101">
        <v>15</v>
      </c>
      <c r="P596" s="101">
        <v>15</v>
      </c>
      <c r="Q596" s="102">
        <v>3</v>
      </c>
      <c r="R596" s="102">
        <v>3</v>
      </c>
      <c r="S596" s="98" t="s">
        <v>1733</v>
      </c>
      <c r="T596" s="98" t="s">
        <v>1720</v>
      </c>
      <c r="U596" s="80"/>
      <c r="V596" s="78"/>
      <c r="W596" s="78"/>
    </row>
    <row r="597" spans="2:23" s="4" customFormat="1" ht="12.75" hidden="1">
      <c r="B597" s="51" t="s">
        <v>63</v>
      </c>
      <c r="C597" s="51" t="s">
        <v>38</v>
      </c>
      <c r="D597" s="3" t="s">
        <v>518</v>
      </c>
      <c r="E597" s="80" t="s">
        <v>519</v>
      </c>
      <c r="F597" s="81">
        <v>0</v>
      </c>
      <c r="G597" s="81">
        <v>0</v>
      </c>
      <c r="H597" s="81">
        <v>0</v>
      </c>
      <c r="I597" s="101" t="s">
        <v>71</v>
      </c>
      <c r="J597" s="101" t="s">
        <v>71</v>
      </c>
      <c r="K597" s="101" t="s">
        <v>76</v>
      </c>
      <c r="L597" s="80" t="s">
        <v>1491</v>
      </c>
      <c r="M597" s="101" t="s">
        <v>1562</v>
      </c>
      <c r="N597" s="97">
        <v>1</v>
      </c>
      <c r="O597" s="101">
        <v>15</v>
      </c>
      <c r="P597" s="101">
        <v>15</v>
      </c>
      <c r="Q597" s="102">
        <v>3</v>
      </c>
      <c r="R597" s="102">
        <v>3</v>
      </c>
      <c r="S597" s="98" t="s">
        <v>1733</v>
      </c>
      <c r="T597" s="98" t="s">
        <v>1720</v>
      </c>
      <c r="U597" s="80"/>
      <c r="V597" s="78"/>
      <c r="W597" s="78"/>
    </row>
    <row r="598" spans="2:23" s="4" customFormat="1" ht="12.75" hidden="1">
      <c r="B598" s="118"/>
      <c r="C598" s="118" t="s">
        <v>1735</v>
      </c>
      <c r="D598" s="3" t="s">
        <v>1035</v>
      </c>
      <c r="E598" s="80" t="s">
        <v>1036</v>
      </c>
      <c r="F598" s="81">
        <v>4</v>
      </c>
      <c r="G598" s="81">
        <v>0</v>
      </c>
      <c r="H598" s="81">
        <v>4</v>
      </c>
      <c r="I598" s="101" t="s">
        <v>71</v>
      </c>
      <c r="J598" s="101" t="s">
        <v>71</v>
      </c>
      <c r="K598" s="101" t="s">
        <v>76</v>
      </c>
      <c r="L598" s="80" t="s">
        <v>1488</v>
      </c>
      <c r="M598" s="101" t="s">
        <v>1562</v>
      </c>
      <c r="N598" s="97">
        <v>1</v>
      </c>
      <c r="O598" s="101">
        <v>35</v>
      </c>
      <c r="P598" s="101">
        <v>35</v>
      </c>
      <c r="Q598" s="102">
        <v>4</v>
      </c>
      <c r="R598" s="102">
        <v>4</v>
      </c>
      <c r="S598" s="98"/>
      <c r="T598" s="98"/>
      <c r="U598" s="80" t="s">
        <v>1740</v>
      </c>
      <c r="V598" s="78"/>
      <c r="W598" s="78"/>
    </row>
    <row r="599" spans="2:23" s="4" customFormat="1" ht="12.75" hidden="1">
      <c r="B599" s="118"/>
      <c r="C599" s="118" t="s">
        <v>1735</v>
      </c>
      <c r="D599" s="3" t="s">
        <v>1035</v>
      </c>
      <c r="E599" s="80" t="s">
        <v>1036</v>
      </c>
      <c r="F599" s="81">
        <v>4</v>
      </c>
      <c r="G599" s="81">
        <v>0</v>
      </c>
      <c r="H599" s="81">
        <v>4</v>
      </c>
      <c r="I599" s="101" t="s">
        <v>71</v>
      </c>
      <c r="J599" s="101" t="s">
        <v>71</v>
      </c>
      <c r="K599" s="101" t="s">
        <v>76</v>
      </c>
      <c r="L599" s="80" t="s">
        <v>1491</v>
      </c>
      <c r="M599" s="101" t="s">
        <v>1562</v>
      </c>
      <c r="N599" s="97">
        <v>1</v>
      </c>
      <c r="O599" s="101">
        <v>35</v>
      </c>
      <c r="P599" s="101">
        <v>35</v>
      </c>
      <c r="Q599" s="102">
        <v>4</v>
      </c>
      <c r="R599" s="102">
        <v>4</v>
      </c>
      <c r="S599" s="98"/>
      <c r="T599" s="98"/>
      <c r="U599" s="80" t="s">
        <v>1744</v>
      </c>
      <c r="V599" s="78"/>
      <c r="W599" s="78"/>
    </row>
    <row r="600" spans="2:23" s="4" customFormat="1" ht="12.75" hidden="1">
      <c r="B600" s="118"/>
      <c r="C600" s="118" t="s">
        <v>1735</v>
      </c>
      <c r="D600" s="3" t="s">
        <v>1010</v>
      </c>
      <c r="E600" s="80" t="s">
        <v>1011</v>
      </c>
      <c r="F600" s="81">
        <v>3</v>
      </c>
      <c r="G600" s="81">
        <v>0</v>
      </c>
      <c r="H600" s="81">
        <v>3</v>
      </c>
      <c r="I600" s="101" t="s">
        <v>71</v>
      </c>
      <c r="J600" s="101" t="s">
        <v>71</v>
      </c>
      <c r="K600" s="101" t="s">
        <v>76</v>
      </c>
      <c r="L600" s="80" t="s">
        <v>1488</v>
      </c>
      <c r="M600" s="101" t="s">
        <v>1562</v>
      </c>
      <c r="N600" s="97">
        <v>1</v>
      </c>
      <c r="O600" s="101">
        <v>35</v>
      </c>
      <c r="P600" s="101">
        <v>35</v>
      </c>
      <c r="Q600" s="102">
        <v>3</v>
      </c>
      <c r="R600" s="102">
        <v>3</v>
      </c>
      <c r="S600" s="98"/>
      <c r="T600" s="98"/>
      <c r="U600" s="80" t="s">
        <v>1745</v>
      </c>
      <c r="V600" s="78"/>
      <c r="W600" s="78"/>
    </row>
    <row r="601" spans="2:23" s="4" customFormat="1" ht="12.75" hidden="1">
      <c r="B601" s="118"/>
      <c r="C601" s="118" t="s">
        <v>1735</v>
      </c>
      <c r="D601" s="3" t="s">
        <v>1010</v>
      </c>
      <c r="E601" s="80" t="s">
        <v>1011</v>
      </c>
      <c r="F601" s="81">
        <v>3</v>
      </c>
      <c r="G601" s="81">
        <v>0</v>
      </c>
      <c r="H601" s="81">
        <v>3</v>
      </c>
      <c r="I601" s="101" t="s">
        <v>71</v>
      </c>
      <c r="J601" s="101" t="s">
        <v>71</v>
      </c>
      <c r="K601" s="101" t="s">
        <v>76</v>
      </c>
      <c r="L601" s="80" t="s">
        <v>1491</v>
      </c>
      <c r="M601" s="101" t="s">
        <v>1562</v>
      </c>
      <c r="N601" s="97">
        <v>1</v>
      </c>
      <c r="O601" s="101">
        <v>35</v>
      </c>
      <c r="P601" s="101">
        <v>35</v>
      </c>
      <c r="Q601" s="102">
        <v>3</v>
      </c>
      <c r="R601" s="102">
        <v>3</v>
      </c>
      <c r="S601" s="98"/>
      <c r="T601" s="98"/>
      <c r="U601" s="80" t="s">
        <v>1744</v>
      </c>
      <c r="V601" s="78"/>
      <c r="W601" s="78"/>
    </row>
    <row r="602" spans="2:23" s="4" customFormat="1" ht="12.75" hidden="1">
      <c r="B602" s="118"/>
      <c r="C602" s="118" t="s">
        <v>1735</v>
      </c>
      <c r="D602" s="3" t="s">
        <v>1010</v>
      </c>
      <c r="E602" s="80" t="s">
        <v>1011</v>
      </c>
      <c r="F602" s="81">
        <v>3</v>
      </c>
      <c r="G602" s="81">
        <v>0</v>
      </c>
      <c r="H602" s="81">
        <v>3</v>
      </c>
      <c r="I602" s="101" t="s">
        <v>71</v>
      </c>
      <c r="J602" s="101" t="s">
        <v>71</v>
      </c>
      <c r="K602" s="101" t="s">
        <v>76</v>
      </c>
      <c r="L602" s="80" t="s">
        <v>1488</v>
      </c>
      <c r="M602" s="101" t="s">
        <v>1528</v>
      </c>
      <c r="N602" s="97">
        <v>1</v>
      </c>
      <c r="O602" s="101">
        <v>35</v>
      </c>
      <c r="P602" s="101">
        <v>35</v>
      </c>
      <c r="Q602" s="102">
        <v>3</v>
      </c>
      <c r="R602" s="102">
        <v>3</v>
      </c>
      <c r="S602" s="98"/>
      <c r="T602" s="98"/>
      <c r="U602" s="80" t="s">
        <v>1739</v>
      </c>
      <c r="V602" s="78"/>
      <c r="W602" s="78"/>
    </row>
    <row r="603" spans="2:23" s="4" customFormat="1" ht="12.75" hidden="1">
      <c r="B603" s="118"/>
      <c r="C603" s="118" t="s">
        <v>1735</v>
      </c>
      <c r="D603" s="3" t="s">
        <v>1405</v>
      </c>
      <c r="E603" s="80" t="s">
        <v>1406</v>
      </c>
      <c r="F603" s="81">
        <v>2</v>
      </c>
      <c r="G603" s="81">
        <v>0</v>
      </c>
      <c r="H603" s="81">
        <v>2</v>
      </c>
      <c r="I603" s="101" t="s">
        <v>1742</v>
      </c>
      <c r="J603" s="101" t="s">
        <v>1508</v>
      </c>
      <c r="K603" s="101" t="s">
        <v>76</v>
      </c>
      <c r="L603" s="80" t="s">
        <v>1488</v>
      </c>
      <c r="M603" s="101" t="s">
        <v>1562</v>
      </c>
      <c r="N603" s="97">
        <v>1</v>
      </c>
      <c r="O603" s="101">
        <v>35</v>
      </c>
      <c r="P603" s="101">
        <v>35</v>
      </c>
      <c r="Q603" s="102">
        <v>2</v>
      </c>
      <c r="R603" s="102">
        <v>2</v>
      </c>
      <c r="S603" s="98"/>
      <c r="T603" s="98"/>
      <c r="U603" s="80" t="s">
        <v>1745</v>
      </c>
      <c r="V603" s="78"/>
      <c r="W603" s="78"/>
    </row>
    <row r="604" spans="2:23" s="4" customFormat="1" ht="12.75" hidden="1">
      <c r="B604" s="118"/>
      <c r="C604" s="118" t="s">
        <v>1735</v>
      </c>
      <c r="D604" s="3" t="s">
        <v>1405</v>
      </c>
      <c r="E604" s="80" t="s">
        <v>1406</v>
      </c>
      <c r="F604" s="81">
        <v>2</v>
      </c>
      <c r="G604" s="81">
        <v>0</v>
      </c>
      <c r="H604" s="81">
        <v>2</v>
      </c>
      <c r="I604" s="101" t="s">
        <v>1742</v>
      </c>
      <c r="J604" s="101" t="s">
        <v>73</v>
      </c>
      <c r="K604" s="101" t="s">
        <v>76</v>
      </c>
      <c r="L604" s="80" t="s">
        <v>1491</v>
      </c>
      <c r="M604" s="101" t="s">
        <v>1562</v>
      </c>
      <c r="N604" s="97">
        <v>2</v>
      </c>
      <c r="O604" s="101">
        <v>35</v>
      </c>
      <c r="P604" s="101">
        <v>70</v>
      </c>
      <c r="Q604" s="102">
        <v>4</v>
      </c>
      <c r="R604" s="102">
        <v>4</v>
      </c>
      <c r="S604" s="98"/>
      <c r="T604" s="98"/>
      <c r="U604" s="80" t="s">
        <v>1746</v>
      </c>
      <c r="V604" s="78"/>
      <c r="W604" s="78"/>
    </row>
    <row r="605" spans="2:23" s="4" customFormat="1" ht="12.75" hidden="1">
      <c r="B605" s="118"/>
      <c r="C605" s="118" t="s">
        <v>1735</v>
      </c>
      <c r="D605" s="3" t="s">
        <v>1010</v>
      </c>
      <c r="E605" s="80" t="s">
        <v>1011</v>
      </c>
      <c r="F605" s="81">
        <v>3</v>
      </c>
      <c r="G605" s="81">
        <v>0</v>
      </c>
      <c r="H605" s="81">
        <v>3</v>
      </c>
      <c r="I605" s="101" t="s">
        <v>71</v>
      </c>
      <c r="J605" s="101" t="s">
        <v>71</v>
      </c>
      <c r="K605" s="101" t="s">
        <v>76</v>
      </c>
      <c r="L605" s="80" t="s">
        <v>1491</v>
      </c>
      <c r="M605" s="101" t="s">
        <v>1528</v>
      </c>
      <c r="N605" s="97">
        <v>1</v>
      </c>
      <c r="O605" s="101">
        <v>35</v>
      </c>
      <c r="P605" s="101">
        <v>35</v>
      </c>
      <c r="Q605" s="102">
        <v>3</v>
      </c>
      <c r="R605" s="102">
        <v>3</v>
      </c>
      <c r="S605" s="98"/>
      <c r="T605" s="98"/>
      <c r="U605" s="80" t="s">
        <v>1739</v>
      </c>
      <c r="V605" s="78"/>
      <c r="W605" s="78"/>
    </row>
    <row r="606" spans="2:23" s="4" customFormat="1" ht="12.75" hidden="1">
      <c r="B606" s="118"/>
      <c r="C606" s="118" t="s">
        <v>1735</v>
      </c>
      <c r="D606" s="3" t="s">
        <v>526</v>
      </c>
      <c r="E606" s="80" t="s">
        <v>527</v>
      </c>
      <c r="F606" s="81">
        <v>0</v>
      </c>
      <c r="G606" s="81">
        <v>0</v>
      </c>
      <c r="H606" s="81">
        <v>0</v>
      </c>
      <c r="I606" s="101" t="s">
        <v>71</v>
      </c>
      <c r="J606" s="101" t="s">
        <v>71</v>
      </c>
      <c r="K606" s="101" t="s">
        <v>76</v>
      </c>
      <c r="L606" s="80" t="s">
        <v>1488</v>
      </c>
      <c r="M606" s="101" t="s">
        <v>1562</v>
      </c>
      <c r="N606" s="97">
        <v>1</v>
      </c>
      <c r="O606" s="101">
        <v>20</v>
      </c>
      <c r="P606" s="101">
        <v>20</v>
      </c>
      <c r="Q606" s="102">
        <v>3</v>
      </c>
      <c r="R606" s="102">
        <v>3</v>
      </c>
      <c r="S606" s="98"/>
      <c r="T606" s="98"/>
      <c r="U606" s="80" t="s">
        <v>1740</v>
      </c>
      <c r="V606" s="78"/>
      <c r="W606" s="78"/>
    </row>
    <row r="607" spans="2:23" s="4" customFormat="1" ht="12.75" hidden="1">
      <c r="B607" s="118"/>
      <c r="C607" s="118" t="s">
        <v>1735</v>
      </c>
      <c r="D607" s="3" t="s">
        <v>526</v>
      </c>
      <c r="E607" s="80" t="s">
        <v>527</v>
      </c>
      <c r="F607" s="81">
        <v>0</v>
      </c>
      <c r="G607" s="81">
        <v>0</v>
      </c>
      <c r="H607" s="81">
        <v>0</v>
      </c>
      <c r="I607" s="101" t="s">
        <v>71</v>
      </c>
      <c r="J607" s="101" t="s">
        <v>71</v>
      </c>
      <c r="K607" s="101" t="s">
        <v>76</v>
      </c>
      <c r="L607" s="80" t="s">
        <v>1491</v>
      </c>
      <c r="M607" s="101" t="s">
        <v>1562</v>
      </c>
      <c r="N607" s="97">
        <v>1</v>
      </c>
      <c r="O607" s="101">
        <v>20</v>
      </c>
      <c r="P607" s="101">
        <v>20</v>
      </c>
      <c r="Q607" s="102">
        <v>3</v>
      </c>
      <c r="R607" s="102">
        <v>3</v>
      </c>
      <c r="S607" s="98"/>
      <c r="T607" s="98"/>
      <c r="U607" s="80" t="s">
        <v>1744</v>
      </c>
      <c r="V607" s="78"/>
      <c r="W607" s="78"/>
    </row>
    <row r="608" spans="2:23" s="4" customFormat="1" ht="12.75" hidden="1">
      <c r="B608" s="118"/>
      <c r="C608" s="118" t="s">
        <v>1735</v>
      </c>
      <c r="D608" s="3" t="s">
        <v>528</v>
      </c>
      <c r="E608" s="80" t="s">
        <v>529</v>
      </c>
      <c r="F608" s="81">
        <v>0</v>
      </c>
      <c r="G608" s="81">
        <v>0</v>
      </c>
      <c r="H608" s="81">
        <v>0</v>
      </c>
      <c r="I608" s="101" t="s">
        <v>71</v>
      </c>
      <c r="J608" s="101" t="s">
        <v>71</v>
      </c>
      <c r="K608" s="101" t="s">
        <v>76</v>
      </c>
      <c r="L608" s="80" t="s">
        <v>1488</v>
      </c>
      <c r="M608" s="101" t="s">
        <v>1562</v>
      </c>
      <c r="N608" s="97">
        <v>1</v>
      </c>
      <c r="O608" s="101">
        <v>20</v>
      </c>
      <c r="P608" s="101">
        <v>20</v>
      </c>
      <c r="Q608" s="102">
        <v>3</v>
      </c>
      <c r="R608" s="102">
        <v>3</v>
      </c>
      <c r="S608" s="98"/>
      <c r="T608" s="98"/>
      <c r="U608" s="80" t="s">
        <v>1740</v>
      </c>
      <c r="V608" s="78"/>
      <c r="W608" s="78"/>
    </row>
    <row r="609" spans="1:23" s="4" customFormat="1" ht="12.75" hidden="1">
      <c r="B609" s="118"/>
      <c r="C609" s="118" t="s">
        <v>1735</v>
      </c>
      <c r="D609" s="3" t="s">
        <v>528</v>
      </c>
      <c r="E609" s="80" t="s">
        <v>529</v>
      </c>
      <c r="F609" s="81">
        <v>0</v>
      </c>
      <c r="G609" s="81">
        <v>0</v>
      </c>
      <c r="H609" s="81">
        <v>0</v>
      </c>
      <c r="I609" s="101" t="s">
        <v>71</v>
      </c>
      <c r="J609" s="101" t="s">
        <v>71</v>
      </c>
      <c r="K609" s="101" t="s">
        <v>76</v>
      </c>
      <c r="L609" s="80" t="s">
        <v>1491</v>
      </c>
      <c r="M609" s="101" t="s">
        <v>1562</v>
      </c>
      <c r="N609" s="97">
        <v>1</v>
      </c>
      <c r="O609" s="101">
        <v>20</v>
      </c>
      <c r="P609" s="101">
        <v>20</v>
      </c>
      <c r="Q609" s="102">
        <v>3</v>
      </c>
      <c r="R609" s="102">
        <v>3</v>
      </c>
      <c r="S609" s="98"/>
      <c r="T609" s="98"/>
      <c r="U609" s="80" t="s">
        <v>1744</v>
      </c>
      <c r="V609" s="78"/>
      <c r="W609" s="78"/>
    </row>
    <row r="610" spans="1:23" s="4" customFormat="1" ht="12.75" hidden="1">
      <c r="B610" s="33" t="s">
        <v>64</v>
      </c>
      <c r="C610" s="33" t="s">
        <v>1650</v>
      </c>
      <c r="D610" s="3" t="s">
        <v>1053</v>
      </c>
      <c r="E610" s="80" t="s">
        <v>1054</v>
      </c>
      <c r="F610" s="81">
        <v>3</v>
      </c>
      <c r="G610" s="81">
        <v>0</v>
      </c>
      <c r="H610" s="81">
        <v>4</v>
      </c>
      <c r="I610" s="101" t="s">
        <v>71</v>
      </c>
      <c r="J610" s="101" t="s">
        <v>71</v>
      </c>
      <c r="K610" s="101" t="s">
        <v>76</v>
      </c>
      <c r="L610" s="80" t="s">
        <v>1488</v>
      </c>
      <c r="M610" s="101" t="s">
        <v>1562</v>
      </c>
      <c r="N610" s="97">
        <v>1</v>
      </c>
      <c r="O610" s="101">
        <v>25</v>
      </c>
      <c r="P610" s="101">
        <v>25</v>
      </c>
      <c r="Q610" s="102">
        <v>3</v>
      </c>
      <c r="R610" s="102">
        <v>3</v>
      </c>
      <c r="S610" s="98" t="s">
        <v>1493</v>
      </c>
      <c r="T610" s="98" t="s">
        <v>1490</v>
      </c>
      <c r="U610" s="80"/>
      <c r="V610" s="78"/>
      <c r="W610" s="78"/>
    </row>
    <row r="611" spans="1:23" s="4" customFormat="1" ht="12.75" hidden="1">
      <c r="B611" s="33" t="s">
        <v>64</v>
      </c>
      <c r="C611" s="33" t="s">
        <v>1650</v>
      </c>
      <c r="D611" s="3" t="s">
        <v>1053</v>
      </c>
      <c r="E611" s="80" t="s">
        <v>1054</v>
      </c>
      <c r="F611" s="81">
        <v>3</v>
      </c>
      <c r="G611" s="81">
        <v>0</v>
      </c>
      <c r="H611" s="81">
        <v>4</v>
      </c>
      <c r="I611" s="101" t="s">
        <v>71</v>
      </c>
      <c r="J611" s="101" t="s">
        <v>71</v>
      </c>
      <c r="K611" s="101" t="s">
        <v>76</v>
      </c>
      <c r="L611" s="80" t="s">
        <v>1491</v>
      </c>
      <c r="M611" s="101" t="s">
        <v>1562</v>
      </c>
      <c r="N611" s="97">
        <v>1</v>
      </c>
      <c r="O611" s="101">
        <v>25</v>
      </c>
      <c r="P611" s="101">
        <v>25</v>
      </c>
      <c r="Q611" s="102">
        <v>3</v>
      </c>
      <c r="R611" s="102">
        <v>3</v>
      </c>
      <c r="S611" s="98" t="s">
        <v>1493</v>
      </c>
      <c r="T611" s="98" t="s">
        <v>1490</v>
      </c>
      <c r="U611" s="80"/>
      <c r="V611" s="78"/>
      <c r="W611" s="78"/>
    </row>
    <row r="612" spans="1:23" s="4" customFormat="1" ht="12.75" hidden="1">
      <c r="B612" s="33" t="s">
        <v>64</v>
      </c>
      <c r="C612" s="33" t="s">
        <v>1650</v>
      </c>
      <c r="D612" s="3" t="s">
        <v>522</v>
      </c>
      <c r="E612" s="80" t="s">
        <v>523</v>
      </c>
      <c r="F612" s="81">
        <v>0</v>
      </c>
      <c r="G612" s="81">
        <v>0</v>
      </c>
      <c r="H612" s="81">
        <v>0</v>
      </c>
      <c r="I612" s="101" t="s">
        <v>71</v>
      </c>
      <c r="J612" s="101" t="s">
        <v>71</v>
      </c>
      <c r="K612" s="101" t="s">
        <v>76</v>
      </c>
      <c r="L612" s="80" t="s">
        <v>1488</v>
      </c>
      <c r="M612" s="101" t="s">
        <v>1562</v>
      </c>
      <c r="N612" s="97">
        <v>1</v>
      </c>
      <c r="O612" s="101">
        <v>25</v>
      </c>
      <c r="P612" s="101">
        <v>25</v>
      </c>
      <c r="Q612" s="102">
        <v>3</v>
      </c>
      <c r="R612" s="102">
        <v>3</v>
      </c>
      <c r="S612" s="98"/>
      <c r="T612" s="98"/>
      <c r="U612" s="80"/>
      <c r="V612" s="78"/>
      <c r="W612" s="78"/>
    </row>
    <row r="613" spans="1:23" s="4" customFormat="1" ht="12.75" hidden="1">
      <c r="B613" s="33" t="s">
        <v>64</v>
      </c>
      <c r="C613" s="33" t="s">
        <v>1650</v>
      </c>
      <c r="D613" s="3" t="s">
        <v>522</v>
      </c>
      <c r="E613" s="80" t="s">
        <v>523</v>
      </c>
      <c r="F613" s="81">
        <v>0</v>
      </c>
      <c r="G613" s="81">
        <v>0</v>
      </c>
      <c r="H613" s="81">
        <v>0</v>
      </c>
      <c r="I613" s="101" t="s">
        <v>71</v>
      </c>
      <c r="J613" s="101" t="s">
        <v>71</v>
      </c>
      <c r="K613" s="101" t="s">
        <v>76</v>
      </c>
      <c r="L613" s="80" t="s">
        <v>1491</v>
      </c>
      <c r="M613" s="101" t="s">
        <v>1562</v>
      </c>
      <c r="N613" s="97">
        <v>1</v>
      </c>
      <c r="O613" s="101">
        <v>25</v>
      </c>
      <c r="P613" s="101">
        <v>25</v>
      </c>
      <c r="Q613" s="102">
        <v>3</v>
      </c>
      <c r="R613" s="102">
        <v>3</v>
      </c>
      <c r="S613" s="98"/>
      <c r="T613" s="98"/>
      <c r="U613" s="80"/>
      <c r="V613" s="78"/>
      <c r="W613" s="78"/>
    </row>
    <row r="614" spans="1:23" s="4" customFormat="1" ht="12.75" hidden="1">
      <c r="B614" s="33" t="s">
        <v>64</v>
      </c>
      <c r="C614" s="33" t="s">
        <v>1650</v>
      </c>
      <c r="D614" s="3" t="s">
        <v>520</v>
      </c>
      <c r="E614" s="80" t="s">
        <v>521</v>
      </c>
      <c r="F614" s="81">
        <v>0</v>
      </c>
      <c r="G614" s="81">
        <v>0</v>
      </c>
      <c r="H614" s="81">
        <v>0</v>
      </c>
      <c r="I614" s="101" t="s">
        <v>71</v>
      </c>
      <c r="J614" s="101" t="s">
        <v>71</v>
      </c>
      <c r="K614" s="101" t="s">
        <v>76</v>
      </c>
      <c r="L614" s="80" t="s">
        <v>1488</v>
      </c>
      <c r="M614" s="101" t="s">
        <v>1562</v>
      </c>
      <c r="N614" s="97">
        <v>1</v>
      </c>
      <c r="O614" s="101">
        <v>25</v>
      </c>
      <c r="P614" s="101">
        <v>25</v>
      </c>
      <c r="Q614" s="102">
        <v>3</v>
      </c>
      <c r="R614" s="102">
        <v>3</v>
      </c>
      <c r="S614" s="98"/>
      <c r="T614" s="98"/>
      <c r="U614" s="80"/>
      <c r="V614" s="78"/>
      <c r="W614" s="78"/>
    </row>
    <row r="615" spans="1:23" s="4" customFormat="1" ht="12.75" hidden="1">
      <c r="B615" s="33" t="s">
        <v>64</v>
      </c>
      <c r="C615" s="33" t="s">
        <v>1650</v>
      </c>
      <c r="D615" s="3" t="s">
        <v>520</v>
      </c>
      <c r="E615" s="80" t="s">
        <v>521</v>
      </c>
      <c r="F615" s="81">
        <v>0</v>
      </c>
      <c r="G615" s="81">
        <v>0</v>
      </c>
      <c r="H615" s="81">
        <v>0</v>
      </c>
      <c r="I615" s="101" t="s">
        <v>71</v>
      </c>
      <c r="J615" s="101" t="s">
        <v>71</v>
      </c>
      <c r="K615" s="101" t="s">
        <v>76</v>
      </c>
      <c r="L615" s="80" t="s">
        <v>1491</v>
      </c>
      <c r="M615" s="101" t="s">
        <v>1562</v>
      </c>
      <c r="N615" s="97">
        <v>1</v>
      </c>
      <c r="O615" s="101">
        <v>25</v>
      </c>
      <c r="P615" s="101">
        <v>25</v>
      </c>
      <c r="Q615" s="102">
        <v>3</v>
      </c>
      <c r="R615" s="102">
        <v>3</v>
      </c>
      <c r="S615" s="98"/>
      <c r="T615" s="98"/>
      <c r="U615" s="80"/>
      <c r="V615" s="78"/>
      <c r="W615" s="78"/>
    </row>
    <row r="616" spans="1:23" s="4" customFormat="1" ht="12.75" hidden="1">
      <c r="B616" s="33" t="s">
        <v>64</v>
      </c>
      <c r="C616" s="33" t="s">
        <v>1650</v>
      </c>
      <c r="D616" s="3" t="s">
        <v>1137</v>
      </c>
      <c r="E616" s="80" t="s">
        <v>1138</v>
      </c>
      <c r="F616" s="81">
        <v>2</v>
      </c>
      <c r="G616" s="81">
        <v>0</v>
      </c>
      <c r="H616" s="81">
        <v>4</v>
      </c>
      <c r="I616" s="101" t="s">
        <v>73</v>
      </c>
      <c r="J616" s="101" t="s">
        <v>73</v>
      </c>
      <c r="K616" s="101" t="s">
        <v>76</v>
      </c>
      <c r="L616" s="80" t="s">
        <v>1488</v>
      </c>
      <c r="M616" s="101" t="s">
        <v>1562</v>
      </c>
      <c r="N616" s="97">
        <v>1</v>
      </c>
      <c r="O616" s="101">
        <v>25</v>
      </c>
      <c r="P616" s="101">
        <v>25</v>
      </c>
      <c r="Q616" s="102">
        <v>2</v>
      </c>
      <c r="R616" s="102">
        <v>2</v>
      </c>
      <c r="S616" s="98"/>
      <c r="T616" s="98"/>
      <c r="U616" s="80"/>
      <c r="V616" s="78"/>
      <c r="W616" s="78"/>
    </row>
    <row r="617" spans="1:23" ht="12.75" hidden="1">
      <c r="B617" s="11"/>
      <c r="C617" s="1"/>
      <c r="N617" s="102">
        <f>SUM(N2:N616)</f>
        <v>765</v>
      </c>
      <c r="Q617" s="102">
        <f>SUM(Q2:Q616)</f>
        <v>3166</v>
      </c>
      <c r="R617" s="102">
        <f>SUM(R2:R616)</f>
        <v>2947</v>
      </c>
    </row>
    <row r="618" spans="1:23" ht="12.75">
      <c r="B618" s="11"/>
      <c r="C618" s="1"/>
    </row>
    <row r="619" spans="1:23" ht="12.75">
      <c r="B619" s="11"/>
      <c r="C619" s="1"/>
    </row>
    <row r="620" spans="1:23" ht="12.75">
      <c r="B620" s="11"/>
      <c r="C620" s="1"/>
      <c r="K620" s="103" t="s">
        <v>1659</v>
      </c>
      <c r="L620" s="103" t="s">
        <v>1667</v>
      </c>
    </row>
    <row r="621" spans="1:23" ht="12.75">
      <c r="A621" s="58"/>
      <c r="B621" s="58"/>
      <c r="C621" s="58"/>
      <c r="E621" s="88"/>
      <c r="F621" s="59"/>
      <c r="G621" s="59"/>
      <c r="H621" s="59"/>
      <c r="I621" s="60" t="s">
        <v>12</v>
      </c>
      <c r="J621" s="60" t="s">
        <v>12</v>
      </c>
      <c r="K621" s="60">
        <f>Q617</f>
        <v>3166</v>
      </c>
      <c r="L621" s="60">
        <f>R617</f>
        <v>2947</v>
      </c>
      <c r="M621" s="59"/>
      <c r="N621" s="59"/>
      <c r="O621" s="59"/>
      <c r="P621" s="59"/>
      <c r="Q621" s="59"/>
      <c r="R621" s="59"/>
      <c r="S621" s="59"/>
      <c r="T621" s="59"/>
    </row>
    <row r="622" spans="1:23" ht="12.75">
      <c r="A622" s="58"/>
      <c r="B622" s="58"/>
      <c r="C622" s="58"/>
      <c r="E622" s="88"/>
      <c r="F622" s="59"/>
      <c r="G622" s="59"/>
      <c r="H622" s="59"/>
      <c r="I622" s="60" t="s">
        <v>1651</v>
      </c>
      <c r="J622" s="60" t="s">
        <v>1651</v>
      </c>
      <c r="K622" s="60">
        <v>295</v>
      </c>
      <c r="L622" s="60"/>
      <c r="M622" s="59"/>
      <c r="N622" s="60"/>
      <c r="O622" s="59"/>
      <c r="P622" s="59"/>
      <c r="Q622" s="59"/>
      <c r="R622" s="59"/>
      <c r="S622" s="59"/>
      <c r="T622" s="59"/>
    </row>
    <row r="623" spans="1:23" ht="12.75">
      <c r="A623" s="58"/>
      <c r="B623" s="58"/>
      <c r="C623" s="58"/>
      <c r="E623" s="88"/>
      <c r="F623" s="59"/>
      <c r="G623" s="59"/>
      <c r="H623" s="59"/>
      <c r="I623" s="60" t="s">
        <v>9</v>
      </c>
      <c r="J623" s="60" t="s">
        <v>9</v>
      </c>
      <c r="K623" s="60">
        <f>N617</f>
        <v>765</v>
      </c>
      <c r="L623" s="60"/>
      <c r="M623" s="59"/>
      <c r="N623" s="60"/>
      <c r="O623" s="59"/>
      <c r="P623" s="59"/>
      <c r="Q623" s="59"/>
      <c r="R623" s="59"/>
      <c r="S623" s="59"/>
      <c r="T623" s="59"/>
    </row>
    <row r="624" spans="1:23" ht="51">
      <c r="A624" s="58"/>
      <c r="B624" s="58"/>
      <c r="C624" s="58"/>
      <c r="E624" s="88"/>
      <c r="F624" s="59"/>
      <c r="G624" s="59"/>
      <c r="H624" s="59"/>
      <c r="I624" s="60"/>
      <c r="J624" s="60"/>
      <c r="K624" s="60"/>
      <c r="L624" s="135" t="s">
        <v>1771</v>
      </c>
      <c r="M624" s="135"/>
      <c r="N624" s="136" t="s">
        <v>1659</v>
      </c>
      <c r="O624" s="136" t="s">
        <v>1488</v>
      </c>
      <c r="P624" s="136" t="s">
        <v>1491</v>
      </c>
      <c r="Q624" s="137" t="s">
        <v>1770</v>
      </c>
      <c r="R624" s="59"/>
      <c r="S624" s="59"/>
      <c r="T624" s="59"/>
    </row>
    <row r="625" spans="1:20" ht="12.75">
      <c r="A625" s="58"/>
      <c r="B625" s="58"/>
      <c r="C625" s="58"/>
      <c r="E625" s="88"/>
      <c r="F625" s="124" t="s">
        <v>1670</v>
      </c>
      <c r="G625" s="125"/>
      <c r="H625" s="126"/>
      <c r="I625" s="61"/>
      <c r="J625" s="104" t="s">
        <v>1671</v>
      </c>
      <c r="K625" s="61"/>
      <c r="L625" s="138" t="s">
        <v>1734</v>
      </c>
      <c r="M625" s="139" t="s">
        <v>1767</v>
      </c>
      <c r="N625" s="139">
        <v>226</v>
      </c>
      <c r="O625" s="136">
        <v>185</v>
      </c>
      <c r="P625" s="136">
        <v>180</v>
      </c>
      <c r="Q625" s="136" t="s">
        <v>1486</v>
      </c>
      <c r="R625" s="59"/>
      <c r="S625" s="59"/>
      <c r="T625" s="59"/>
    </row>
    <row r="626" spans="1:20" ht="12.75">
      <c r="A626" s="60"/>
      <c r="B626" s="60"/>
      <c r="C626" s="60"/>
      <c r="E626" s="62" t="s">
        <v>1652</v>
      </c>
      <c r="F626" s="133">
        <f>K621</f>
        <v>3166</v>
      </c>
      <c r="G626" s="133"/>
      <c r="H626" s="133"/>
      <c r="I626" s="60"/>
      <c r="J626" s="62">
        <f>R617</f>
        <v>2947</v>
      </c>
      <c r="K626" s="60"/>
      <c r="L626" s="138"/>
      <c r="M626" s="136" t="s">
        <v>1768</v>
      </c>
      <c r="N626" s="136">
        <f>SUM(O626:Q626)</f>
        <v>512</v>
      </c>
      <c r="O626" s="136">
        <f>SUMIFS($N$2:$N$616,$L$2:$L$616,"d",$M$2:$M$616,"SA")</f>
        <v>252</v>
      </c>
      <c r="P626" s="136">
        <f>SUMIFS($N$2:$N$616,$L$2:$L$616,"n",$M$2:$M$616,"SA")</f>
        <v>253</v>
      </c>
      <c r="Q626" s="136">
        <f>SUMIFS($N$2:$N$616,$L$2:$L$616,"",$M$2:$M$616,"SA")</f>
        <v>7</v>
      </c>
      <c r="R626" s="60"/>
      <c r="S626" s="60"/>
      <c r="T626" s="60"/>
    </row>
    <row r="627" spans="1:20" ht="12.75">
      <c r="A627" s="60"/>
      <c r="B627" s="60"/>
      <c r="C627" s="60"/>
      <c r="E627" s="60"/>
      <c r="F627" s="64"/>
      <c r="G627" s="60"/>
      <c r="H627" s="60"/>
      <c r="I627" s="60"/>
      <c r="J627" s="60"/>
      <c r="K627" s="60"/>
      <c r="L627" s="138" t="s">
        <v>1769</v>
      </c>
      <c r="M627" s="139" t="s">
        <v>1767</v>
      </c>
      <c r="N627" s="139">
        <v>103</v>
      </c>
      <c r="O627" s="136">
        <v>99</v>
      </c>
      <c r="P627" s="136">
        <v>97</v>
      </c>
      <c r="Q627" s="136" t="s">
        <v>1486</v>
      </c>
      <c r="R627" s="60"/>
      <c r="S627" s="60"/>
      <c r="T627" s="60"/>
    </row>
    <row r="628" spans="1:20" ht="12.75">
      <c r="A628" s="60"/>
      <c r="B628" s="60"/>
      <c r="C628" s="60"/>
      <c r="E628" s="62" t="s">
        <v>1653</v>
      </c>
      <c r="F628" s="133">
        <f>SUMIFS($Q$1:$Q$616,$J$1:$J$616,"obrigatória")</f>
        <v>2744</v>
      </c>
      <c r="G628" s="133"/>
      <c r="H628" s="133"/>
      <c r="I628" s="60"/>
      <c r="J628" s="62">
        <f>SUMIFS($R$2:$R$616,$J$2:$J$616,"obrigatória")</f>
        <v>2525</v>
      </c>
      <c r="K628" s="60"/>
      <c r="L628" s="138"/>
      <c r="M628" s="136" t="s">
        <v>1768</v>
      </c>
      <c r="N628" s="136">
        <f>SUM(O628:Q628)</f>
        <v>253</v>
      </c>
      <c r="O628" s="136">
        <f>SUMIFS($N$2:$N$616,$L$2:$L$616,"d",$M$2:$M$616,"Sb")</f>
        <v>125</v>
      </c>
      <c r="P628" s="136">
        <f>SUMIFS($N$2:$N$616,$L$2:$L$616,"n",$M$2:$M$616,"sb")</f>
        <v>126</v>
      </c>
      <c r="Q628" s="136">
        <f>SUMIFS($N$2:$N$616,$L$2:$L$616,"",$M$2:$M$616,"Sb")</f>
        <v>2</v>
      </c>
      <c r="R628" s="60"/>
      <c r="S628" s="60"/>
      <c r="T628" s="60"/>
    </row>
    <row r="629" spans="1:20" ht="12.75">
      <c r="A629" s="60"/>
      <c r="B629" s="60"/>
      <c r="C629" s="60"/>
      <c r="E629" s="62" t="s">
        <v>1654</v>
      </c>
      <c r="F629" s="133">
        <f>SUMIFS($Q$2:$Q$616,$J$2:$J$616,"opção limitada")</f>
        <v>411</v>
      </c>
      <c r="G629" s="133"/>
      <c r="H629" s="133"/>
      <c r="I629" s="60"/>
      <c r="J629" s="62">
        <f>SUMIFS($R$2:$R$616,$J$2:$J$616,"opção limitada")</f>
        <v>411</v>
      </c>
      <c r="K629" s="60"/>
      <c r="L629" s="60"/>
      <c r="M629" s="60"/>
      <c r="N629" s="60"/>
      <c r="O629" s="60"/>
      <c r="P629" s="60"/>
      <c r="Q629" s="60"/>
      <c r="R629" s="60"/>
      <c r="S629" s="60"/>
      <c r="T629" s="60"/>
    </row>
    <row r="630" spans="1:20" ht="12.75">
      <c r="A630" s="60"/>
      <c r="B630" s="60"/>
      <c r="C630" s="60"/>
      <c r="E630" s="62" t="s">
        <v>1655</v>
      </c>
      <c r="F630" s="133">
        <f>SUMIFS($Q$2:$Q$616,$J$2:$J$616,"livre")</f>
        <v>11</v>
      </c>
      <c r="G630" s="133"/>
      <c r="H630" s="133"/>
      <c r="I630" s="60"/>
      <c r="J630" s="62">
        <f>SUMIFS($R$2:$R$616,$J$2:$J$616,"livre")</f>
        <v>11</v>
      </c>
      <c r="K630" s="60"/>
      <c r="L630" s="60"/>
      <c r="M630" s="60"/>
      <c r="N630" s="60"/>
      <c r="O630" s="60"/>
      <c r="P630" s="60"/>
      <c r="Q630" s="60"/>
      <c r="R630" s="60"/>
      <c r="S630" s="60"/>
      <c r="T630" s="60"/>
    </row>
    <row r="631" spans="1:20" ht="12.75">
      <c r="A631" s="60"/>
      <c r="B631" s="60"/>
      <c r="C631" s="60"/>
      <c r="E631" s="60"/>
      <c r="F631" s="60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</row>
    <row r="632" spans="1:20" ht="12.75">
      <c r="A632" s="60"/>
      <c r="B632" s="60"/>
      <c r="C632" s="60"/>
      <c r="E632" s="60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</row>
    <row r="633" spans="1:20" ht="12.75">
      <c r="A633" s="60"/>
      <c r="B633" s="60"/>
      <c r="C633" s="60"/>
      <c r="E633" s="62" t="s">
        <v>1656</v>
      </c>
      <c r="F633" s="133" t="s">
        <v>1657</v>
      </c>
      <c r="G633" s="133"/>
      <c r="H633" s="133"/>
      <c r="I633" s="105" t="s">
        <v>1658</v>
      </c>
      <c r="J633" s="62" t="s">
        <v>1659</v>
      </c>
      <c r="K633" s="60"/>
      <c r="L633" s="60"/>
      <c r="M633" s="60"/>
      <c r="N633" s="60"/>
      <c r="O633" s="60"/>
      <c r="P633" s="60"/>
      <c r="Q633" s="60"/>
      <c r="R633" s="60"/>
      <c r="S633" s="60"/>
      <c r="T633" s="60"/>
    </row>
    <row r="634" spans="1:20" ht="12.75">
      <c r="A634" s="60"/>
      <c r="B634" s="60"/>
      <c r="C634" s="60"/>
      <c r="E634" s="62" t="s">
        <v>1660</v>
      </c>
      <c r="F634" s="133">
        <v>178</v>
      </c>
      <c r="G634" s="133"/>
      <c r="H634" s="133"/>
      <c r="I634" s="105">
        <v>5.9</v>
      </c>
      <c r="J634" s="106">
        <f>F634-I634</f>
        <v>172.1</v>
      </c>
      <c r="K634" s="60"/>
      <c r="L634" s="60"/>
      <c r="M634" s="60"/>
      <c r="N634" s="60"/>
      <c r="O634" s="60"/>
      <c r="P634" s="60"/>
      <c r="Q634" s="60"/>
      <c r="R634" s="60"/>
      <c r="S634" s="60"/>
      <c r="T634" s="60"/>
    </row>
    <row r="635" spans="1:20" ht="12.75">
      <c r="A635" s="60"/>
      <c r="B635" s="60"/>
      <c r="C635" s="60"/>
      <c r="E635" s="62" t="s">
        <v>1661</v>
      </c>
      <c r="F635" s="133">
        <v>217</v>
      </c>
      <c r="G635" s="133"/>
      <c r="H635" s="133"/>
      <c r="I635" s="105">
        <v>11.5</v>
      </c>
      <c r="J635" s="106">
        <f>F635-I635</f>
        <v>205.5</v>
      </c>
      <c r="K635" s="60"/>
      <c r="L635" s="60"/>
      <c r="M635" s="60"/>
      <c r="N635" s="60"/>
      <c r="O635" s="60"/>
      <c r="P635" s="60"/>
      <c r="Q635" s="60"/>
      <c r="R635" s="60"/>
      <c r="S635" s="60"/>
      <c r="T635" s="60"/>
    </row>
    <row r="636" spans="1:20" ht="12.75">
      <c r="A636" s="60"/>
      <c r="B636" s="60"/>
      <c r="C636" s="60"/>
      <c r="E636" s="62" t="s">
        <v>1662</v>
      </c>
      <c r="F636" s="133">
        <v>115</v>
      </c>
      <c r="G636" s="133"/>
      <c r="H636" s="133"/>
      <c r="I636" s="105">
        <v>7.1</v>
      </c>
      <c r="J636" s="106">
        <f>F636-I636</f>
        <v>107.9</v>
      </c>
      <c r="K636" s="60"/>
      <c r="L636" s="60"/>
      <c r="M636" s="60"/>
      <c r="N636" s="60"/>
      <c r="O636" s="60"/>
      <c r="P636" s="60"/>
      <c r="Q636" s="60"/>
      <c r="R636" s="60"/>
      <c r="S636" s="60"/>
      <c r="T636" s="60"/>
    </row>
    <row r="637" spans="1:20" ht="12.75">
      <c r="A637" s="60"/>
      <c r="B637" s="60"/>
      <c r="C637" s="60"/>
      <c r="E637" s="62" t="s">
        <v>1659</v>
      </c>
      <c r="F637" s="133">
        <v>510</v>
      </c>
      <c r="G637" s="133"/>
      <c r="H637" s="133"/>
      <c r="I637" s="105">
        <v>24.5</v>
      </c>
      <c r="J637" s="106">
        <f>F637-I637</f>
        <v>485.5</v>
      </c>
      <c r="K637" s="60"/>
      <c r="L637" s="60"/>
      <c r="M637" s="60"/>
      <c r="N637" s="60"/>
      <c r="O637" s="60"/>
      <c r="P637" s="60"/>
      <c r="Q637" s="60"/>
      <c r="R637" s="60"/>
      <c r="S637" s="60"/>
      <c r="T637" s="60"/>
    </row>
    <row r="638" spans="1:20" ht="12.75">
      <c r="A638" s="60"/>
      <c r="B638" s="60"/>
      <c r="C638" s="60"/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</row>
    <row r="639" spans="1:20" ht="12.75">
      <c r="A639" s="60"/>
      <c r="B639" s="60"/>
      <c r="C639" s="60"/>
      <c r="E639" s="62" t="s">
        <v>1663</v>
      </c>
      <c r="F639" s="129">
        <f>F626/J637</f>
        <v>6.5211122554067975</v>
      </c>
      <c r="G639" s="129"/>
      <c r="H639" s="129"/>
      <c r="I639" s="60"/>
      <c r="J639" s="106">
        <f>J626/J637</f>
        <v>6.0700308959835221</v>
      </c>
      <c r="K639" s="60"/>
      <c r="L639" s="60"/>
      <c r="M639" s="60"/>
      <c r="N639" s="60"/>
      <c r="O639" s="60"/>
      <c r="P639" s="60"/>
      <c r="Q639" s="60"/>
      <c r="R639" s="60"/>
      <c r="S639" s="60"/>
      <c r="T639" s="60"/>
    </row>
    <row r="640" spans="1:20" ht="12.75">
      <c r="A640" s="60"/>
      <c r="B640" s="60"/>
      <c r="C640" s="60"/>
      <c r="E640" s="60"/>
      <c r="F640" s="68"/>
      <c r="G640" s="65"/>
      <c r="H640" s="65"/>
      <c r="I640" s="60"/>
      <c r="J640" s="65"/>
      <c r="K640" s="60"/>
      <c r="L640" s="60"/>
      <c r="M640" s="60"/>
      <c r="N640" s="60"/>
      <c r="O640" s="60"/>
      <c r="P640" s="60"/>
      <c r="Q640" s="60"/>
      <c r="R640" s="60"/>
      <c r="S640" s="60"/>
      <c r="T640" s="60"/>
    </row>
    <row r="641" spans="1:20" ht="12.75">
      <c r="A641" s="60"/>
      <c r="B641" s="60"/>
      <c r="C641" s="60"/>
      <c r="E641" s="62" t="s">
        <v>1664</v>
      </c>
      <c r="F641" s="129"/>
      <c r="G641" s="129"/>
      <c r="H641" s="129"/>
      <c r="I641" s="60"/>
      <c r="J641" s="65"/>
      <c r="K641" s="60"/>
      <c r="L641" s="60"/>
      <c r="M641" s="60"/>
      <c r="N641" s="60"/>
      <c r="O641" s="60"/>
      <c r="P641" s="60"/>
      <c r="Q641" s="60"/>
      <c r="R641" s="60"/>
      <c r="S641" s="60"/>
      <c r="T641" s="60"/>
    </row>
    <row r="642" spans="1:20" ht="12.75">
      <c r="A642" s="60"/>
      <c r="B642" s="60"/>
      <c r="C642" s="60"/>
      <c r="E642" s="62" t="s">
        <v>1660</v>
      </c>
      <c r="F642" s="129">
        <f>J634*$F$639</f>
        <v>1122.2834191555098</v>
      </c>
      <c r="G642" s="129"/>
      <c r="H642" s="129"/>
      <c r="I642" s="60"/>
      <c r="J642" s="106">
        <f>$J$639*J634</f>
        <v>1044.6523171987642</v>
      </c>
      <c r="K642" s="60"/>
      <c r="L642" s="60"/>
      <c r="M642" s="60"/>
      <c r="N642" s="60"/>
      <c r="O642" s="60"/>
      <c r="P642" s="60"/>
      <c r="Q642" s="60"/>
      <c r="R642" s="60"/>
      <c r="S642" s="60"/>
      <c r="T642" s="60"/>
    </row>
    <row r="643" spans="1:20" ht="12.75">
      <c r="A643" s="60"/>
      <c r="B643" s="60"/>
      <c r="C643" s="60"/>
      <c r="E643" s="62" t="s">
        <v>1661</v>
      </c>
      <c r="F643" s="129">
        <f t="shared" ref="F643:F645" si="0">J635*$F$639</f>
        <v>1340.0885684860968</v>
      </c>
      <c r="G643" s="129"/>
      <c r="H643" s="129"/>
      <c r="I643" s="60"/>
      <c r="J643" s="106">
        <f t="shared" ref="J643:J645" si="1">$J$639*J635</f>
        <v>1247.3913491246137</v>
      </c>
      <c r="K643" s="60"/>
      <c r="L643" s="60"/>
      <c r="M643" s="60"/>
      <c r="N643" s="60"/>
      <c r="O643" s="60"/>
      <c r="P643" s="60"/>
      <c r="Q643" s="60"/>
      <c r="R643" s="60"/>
      <c r="S643" s="60"/>
      <c r="T643" s="60"/>
    </row>
    <row r="644" spans="1:20" ht="12.75">
      <c r="A644" s="60"/>
      <c r="B644" s="60"/>
      <c r="C644" s="60"/>
      <c r="E644" s="62" t="s">
        <v>1662</v>
      </c>
      <c r="F644" s="129">
        <f t="shared" si="0"/>
        <v>703.62801235839345</v>
      </c>
      <c r="G644" s="129"/>
      <c r="H644" s="129"/>
      <c r="I644" s="60"/>
      <c r="J644" s="106">
        <f t="shared" si="1"/>
        <v>654.95633367662208</v>
      </c>
      <c r="K644" s="60"/>
      <c r="L644" s="60"/>
      <c r="M644" s="60"/>
      <c r="N644" s="60"/>
      <c r="O644" s="60"/>
      <c r="P644" s="60"/>
      <c r="Q644" s="60"/>
      <c r="R644" s="60"/>
      <c r="S644" s="60"/>
      <c r="T644" s="60"/>
    </row>
    <row r="645" spans="1:20" ht="12.75">
      <c r="A645" s="60"/>
      <c r="B645" s="60"/>
      <c r="C645" s="60"/>
      <c r="E645" s="62" t="s">
        <v>1659</v>
      </c>
      <c r="F645" s="129">
        <f t="shared" si="0"/>
        <v>3166</v>
      </c>
      <c r="G645" s="129"/>
      <c r="H645" s="129"/>
      <c r="I645" s="60"/>
      <c r="J645" s="106">
        <f t="shared" si="1"/>
        <v>2947</v>
      </c>
      <c r="K645" s="60"/>
      <c r="L645" s="60"/>
      <c r="M645" s="60"/>
      <c r="N645" s="60"/>
      <c r="O645" s="60"/>
      <c r="P645" s="60"/>
      <c r="Q645" s="60"/>
      <c r="R645" s="60"/>
      <c r="S645" s="60"/>
      <c r="T645" s="60"/>
    </row>
    <row r="646" spans="1:20" ht="12.75" customHeight="1">
      <c r="A646" s="58"/>
      <c r="B646" s="58"/>
      <c r="C646" s="58"/>
      <c r="D646" s="88"/>
      <c r="E646" s="134"/>
      <c r="F646" s="134"/>
      <c r="G646" s="127"/>
      <c r="H646" s="127"/>
      <c r="I646" s="127"/>
      <c r="J646" s="128"/>
      <c r="K646" s="128"/>
      <c r="L646" s="128"/>
      <c r="M646" s="59"/>
      <c r="N646" s="59"/>
      <c r="O646" s="59"/>
      <c r="P646" s="59"/>
      <c r="Q646" s="59"/>
      <c r="R646" s="59"/>
      <c r="S646" s="59"/>
      <c r="T646" s="59"/>
    </row>
    <row r="647" spans="1:20" ht="12.75" customHeight="1">
      <c r="A647" s="58"/>
      <c r="B647" s="58"/>
      <c r="C647" s="58"/>
      <c r="D647" s="88"/>
      <c r="E647" s="134"/>
      <c r="F647" s="134"/>
      <c r="G647" s="127"/>
      <c r="H647" s="127"/>
      <c r="I647" s="127"/>
      <c r="J647" s="128"/>
      <c r="K647" s="128"/>
      <c r="L647" s="128"/>
      <c r="M647" s="59"/>
      <c r="N647" s="59"/>
      <c r="O647" s="59"/>
      <c r="P647" s="59"/>
      <c r="Q647" s="59"/>
      <c r="R647" s="59"/>
      <c r="S647" s="59"/>
      <c r="T647" s="59"/>
    </row>
    <row r="648" spans="1:20" ht="12.75" customHeight="1">
      <c r="A648" s="66"/>
      <c r="B648" s="66" t="s">
        <v>1665</v>
      </c>
      <c r="C648" s="66"/>
      <c r="D648" s="88"/>
      <c r="E648" s="130"/>
      <c r="F648" s="130"/>
      <c r="G648" s="131"/>
      <c r="H648" s="131"/>
      <c r="I648" s="131"/>
      <c r="J648" s="132"/>
      <c r="K648" s="132"/>
      <c r="L648" s="132"/>
      <c r="M648" s="67"/>
      <c r="N648" s="67"/>
      <c r="O648" s="67"/>
      <c r="P648" s="67"/>
      <c r="Q648" s="67"/>
      <c r="R648" s="67"/>
      <c r="S648" s="67"/>
      <c r="T648" s="67"/>
    </row>
    <row r="649" spans="1:20" ht="12.75" customHeight="1">
      <c r="B649" s="11"/>
      <c r="C649" s="1"/>
    </row>
    <row r="650" spans="1:20" ht="12.75" customHeight="1">
      <c r="B650" s="11"/>
      <c r="C650" s="1"/>
    </row>
    <row r="651" spans="1:20" ht="12.75" customHeight="1">
      <c r="B651" s="11"/>
      <c r="C651" s="1"/>
    </row>
    <row r="652" spans="1:20" ht="12.75" customHeight="1">
      <c r="B652" s="11"/>
      <c r="C652" s="1"/>
    </row>
    <row r="653" spans="1:20" ht="12.75" customHeight="1">
      <c r="B653" s="11"/>
      <c r="C653" s="1"/>
    </row>
    <row r="654" spans="1:20" ht="12.75" customHeight="1">
      <c r="B654" s="11"/>
      <c r="C654" s="1"/>
    </row>
    <row r="655" spans="1:20" ht="12.75" customHeight="1">
      <c r="B655" s="11"/>
      <c r="C655" s="1"/>
    </row>
    <row r="656" spans="1:20" ht="12.75" customHeight="1">
      <c r="B656" s="11"/>
      <c r="C656" s="1"/>
    </row>
    <row r="657" spans="2:3" ht="12.75" customHeight="1">
      <c r="B657" s="11"/>
      <c r="C657" s="1"/>
    </row>
    <row r="658" spans="2:3" ht="12.75" customHeight="1">
      <c r="B658" s="11"/>
      <c r="C658" s="1"/>
    </row>
    <row r="659" spans="2:3" ht="12.75" customHeight="1">
      <c r="B659" s="11"/>
      <c r="C659" s="1"/>
    </row>
    <row r="660" spans="2:3" ht="12.75" customHeight="1">
      <c r="B660" s="11"/>
      <c r="C660" s="1"/>
    </row>
    <row r="661" spans="2:3" ht="12.75" customHeight="1">
      <c r="B661" s="11"/>
      <c r="C661" s="1"/>
    </row>
    <row r="662" spans="2:3" ht="12.75" customHeight="1">
      <c r="B662" s="11"/>
      <c r="C662" s="1"/>
    </row>
    <row r="663" spans="2:3" ht="0" hidden="1" customHeight="1">
      <c r="B663" s="11"/>
      <c r="C663" s="1"/>
    </row>
    <row r="664" spans="2:3" ht="0" hidden="1" customHeight="1">
      <c r="B664" s="11"/>
      <c r="C664" s="1"/>
    </row>
    <row r="665" spans="2:3" ht="0" hidden="1" customHeight="1">
      <c r="B665" s="11"/>
      <c r="C665" s="1"/>
    </row>
    <row r="666" spans="2:3" ht="0" hidden="1" customHeight="1">
      <c r="B666" s="11"/>
      <c r="C666" s="1"/>
    </row>
    <row r="667" spans="2:3" ht="0" hidden="1" customHeight="1">
      <c r="B667" s="11"/>
      <c r="C667" s="1"/>
    </row>
    <row r="668" spans="2:3" ht="0" hidden="1" customHeight="1">
      <c r="B668" s="11"/>
      <c r="C668" s="1"/>
    </row>
    <row r="669" spans="2:3" ht="0" hidden="1" customHeight="1">
      <c r="B669" s="11"/>
      <c r="C669" s="1"/>
    </row>
    <row r="670" spans="2:3" ht="0" hidden="1" customHeight="1">
      <c r="B670" s="11"/>
      <c r="C670" s="1"/>
    </row>
    <row r="671" spans="2:3" ht="0" hidden="1" customHeight="1">
      <c r="B671" s="11"/>
      <c r="C671" s="1"/>
    </row>
    <row r="672" spans="2:3" ht="0" hidden="1" customHeight="1">
      <c r="B672" s="11"/>
      <c r="C672" s="1"/>
    </row>
    <row r="673" spans="2:3" ht="0" hidden="1" customHeight="1">
      <c r="B673" s="11"/>
      <c r="C673" s="1"/>
    </row>
    <row r="674" spans="2:3" ht="0" hidden="1" customHeight="1">
      <c r="B674" s="11"/>
      <c r="C674" s="1"/>
    </row>
    <row r="675" spans="2:3" ht="0" hidden="1" customHeight="1">
      <c r="B675" s="11"/>
      <c r="C675" s="1"/>
    </row>
    <row r="676" spans="2:3" ht="0" hidden="1" customHeight="1">
      <c r="B676" s="11"/>
      <c r="C676" s="1"/>
    </row>
    <row r="677" spans="2:3" ht="0" hidden="1" customHeight="1">
      <c r="B677" s="11"/>
      <c r="C677" s="1"/>
    </row>
    <row r="678" spans="2:3" ht="0" hidden="1" customHeight="1">
      <c r="B678" s="11"/>
      <c r="C678" s="1"/>
    </row>
    <row r="679" spans="2:3" ht="0" hidden="1" customHeight="1">
      <c r="B679" s="11"/>
      <c r="C679" s="1"/>
    </row>
    <row r="680" spans="2:3" ht="0" hidden="1" customHeight="1">
      <c r="B680" s="11"/>
      <c r="C680" s="1"/>
    </row>
    <row r="681" spans="2:3" ht="0" hidden="1" customHeight="1">
      <c r="B681" s="11"/>
      <c r="C681" s="1"/>
    </row>
  </sheetData>
  <autoFilter ref="A1:Y617">
    <filterColumn colId="1">
      <filters>
        <filter val="BCT"/>
      </filters>
    </filterColumn>
  </autoFilter>
  <sortState ref="B2:U618">
    <sortCondition ref="C2:C618"/>
  </sortState>
  <mergeCells count="28">
    <mergeCell ref="L624:M624"/>
    <mergeCell ref="L625:L626"/>
    <mergeCell ref="L627:L628"/>
    <mergeCell ref="J646:L646"/>
    <mergeCell ref="E647:F647"/>
    <mergeCell ref="G647:I647"/>
    <mergeCell ref="J647:L647"/>
    <mergeCell ref="E648:F648"/>
    <mergeCell ref="G648:I648"/>
    <mergeCell ref="J648:L648"/>
    <mergeCell ref="E646:F646"/>
    <mergeCell ref="G646:I646"/>
    <mergeCell ref="F645:H645"/>
    <mergeCell ref="F636:H636"/>
    <mergeCell ref="F637:H637"/>
    <mergeCell ref="F639:H639"/>
    <mergeCell ref="F641:H641"/>
    <mergeCell ref="F642:H642"/>
    <mergeCell ref="F633:H633"/>
    <mergeCell ref="F634:H634"/>
    <mergeCell ref="F635:H635"/>
    <mergeCell ref="F643:H643"/>
    <mergeCell ref="F644:H644"/>
    <mergeCell ref="F625:H625"/>
    <mergeCell ref="F626:H626"/>
    <mergeCell ref="F628:H628"/>
    <mergeCell ref="F629:H629"/>
    <mergeCell ref="F630:H630"/>
  </mergeCells>
  <conditionalFormatting sqref="U541:W616 N400:Q455 M399:M402 M576:M597 S541:S616 N462:Q540 N458:Q459 J398:P399 N456:P457 N460:P461 J400:L540 N541:P616 K541:L616 J255:L304 S327:U540 N305:P326 S255:U304 S192:U197 K172:K197 N198:P254 D192:I616 L2:L171 J230 S218:U238 S198:W217 S239:W254 S305:W326 J192:L197 N192:Q197 N327:Q397 K198:L214 K218:L254 J215:L217 M195 N255:Q304 K311:L326 K305:L309 J310:L310 J327:L397 B198:C616">
    <cfRule type="cellIs" dxfId="29" priority="77" operator="equal">
      <formula>#REF!</formula>
    </cfRule>
  </conditionalFormatting>
  <conditionalFormatting sqref="M576:M597 O541:P616 S541:W616 K541:L616 C541:I616">
    <cfRule type="cellIs" dxfId="28" priority="5" operator="equal">
      <formula>#REF!</formula>
    </cfRule>
  </conditionalFormatting>
  <conditionalFormatting sqref="M576:M597 S541:W616 K541:L616 N541:P616 C541:I616">
    <cfRule type="cellIs" dxfId="27" priority="4" operator="equal">
      <formula>#REF!</formula>
    </cfRule>
  </conditionalFormatting>
  <dataValidations count="2">
    <dataValidation allowBlank="1" showDropDown="1" showInputMessage="1" showErrorMessage="1" sqref="N541:N616 M398:M402 N305:N326 N198:N254 M195"/>
    <dataValidation type="list" allowBlank="1" showDropDown="1" showInputMessage="1" showErrorMessage="1" sqref="M576:M597 L192:L197 L327:L540 L255:L304">
      <formula1>"D,N"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5"/>
  <dimension ref="A1:C27"/>
  <sheetViews>
    <sheetView workbookViewId="0">
      <selection activeCell="D27" sqref="D27"/>
    </sheetView>
  </sheetViews>
  <sheetFormatPr defaultRowHeight="15"/>
  <cols>
    <col min="2" max="2" width="58" bestFit="1" customWidth="1"/>
  </cols>
  <sheetData>
    <row r="1" spans="1:3">
      <c r="A1" t="s">
        <v>40</v>
      </c>
      <c r="B1" t="s">
        <v>1425</v>
      </c>
      <c r="C1" t="s">
        <v>40</v>
      </c>
    </row>
    <row r="2" spans="1:3">
      <c r="A2" t="s">
        <v>41</v>
      </c>
      <c r="B2" t="s">
        <v>1426</v>
      </c>
      <c r="C2" t="s">
        <v>41</v>
      </c>
    </row>
    <row r="3" spans="1:3">
      <c r="A3" t="s">
        <v>42</v>
      </c>
      <c r="B3" t="s">
        <v>1427</v>
      </c>
      <c r="C3" t="s">
        <v>42</v>
      </c>
    </row>
    <row r="4" spans="1:3">
      <c r="A4" t="s">
        <v>43</v>
      </c>
      <c r="B4" t="s">
        <v>1428</v>
      </c>
      <c r="C4" t="s">
        <v>43</v>
      </c>
    </row>
    <row r="5" spans="1:3">
      <c r="A5" t="s">
        <v>44</v>
      </c>
      <c r="B5" t="s">
        <v>1429</v>
      </c>
      <c r="C5" t="s">
        <v>44</v>
      </c>
    </row>
    <row r="6" spans="1:3">
      <c r="A6" t="s">
        <v>45</v>
      </c>
      <c r="B6" t="s">
        <v>1430</v>
      </c>
      <c r="C6" t="s">
        <v>45</v>
      </c>
    </row>
    <row r="7" spans="1:3">
      <c r="A7" t="s">
        <v>46</v>
      </c>
      <c r="B7" t="s">
        <v>1431</v>
      </c>
      <c r="C7" t="s">
        <v>46</v>
      </c>
    </row>
    <row r="8" spans="1:3">
      <c r="A8" t="s">
        <v>47</v>
      </c>
      <c r="B8" t="s">
        <v>1432</v>
      </c>
      <c r="C8" t="s">
        <v>47</v>
      </c>
    </row>
    <row r="9" spans="1:3">
      <c r="A9" t="s">
        <v>48</v>
      </c>
      <c r="B9" t="s">
        <v>1433</v>
      </c>
      <c r="C9" t="s">
        <v>48</v>
      </c>
    </row>
    <row r="10" spans="1:3">
      <c r="A10" t="s">
        <v>49</v>
      </c>
      <c r="B10" t="s">
        <v>1434</v>
      </c>
      <c r="C10" t="s">
        <v>49</v>
      </c>
    </row>
    <row r="11" spans="1:3">
      <c r="A11" t="s">
        <v>50</v>
      </c>
      <c r="B11" t="s">
        <v>1435</v>
      </c>
      <c r="C11" t="s">
        <v>50</v>
      </c>
    </row>
    <row r="12" spans="1:3">
      <c r="A12" t="s">
        <v>51</v>
      </c>
      <c r="B12" t="s">
        <v>1436</v>
      </c>
      <c r="C12" t="s">
        <v>51</v>
      </c>
    </row>
    <row r="13" spans="1:3">
      <c r="A13" t="s">
        <v>52</v>
      </c>
      <c r="B13" t="s">
        <v>1437</v>
      </c>
      <c r="C13" t="s">
        <v>52</v>
      </c>
    </row>
    <row r="14" spans="1:3">
      <c r="A14" t="s">
        <v>53</v>
      </c>
      <c r="B14" t="s">
        <v>1438</v>
      </c>
      <c r="C14" t="s">
        <v>53</v>
      </c>
    </row>
    <row r="15" spans="1:3">
      <c r="A15" t="s">
        <v>54</v>
      </c>
      <c r="B15" t="s">
        <v>1439</v>
      </c>
      <c r="C15" t="s">
        <v>54</v>
      </c>
    </row>
    <row r="16" spans="1:3">
      <c r="A16" t="s">
        <v>55</v>
      </c>
      <c r="B16" t="s">
        <v>1440</v>
      </c>
      <c r="C16" t="s">
        <v>55</v>
      </c>
    </row>
    <row r="17" spans="1:3">
      <c r="A17" t="s">
        <v>56</v>
      </c>
      <c r="B17" t="s">
        <v>1441</v>
      </c>
      <c r="C17" t="s">
        <v>56</v>
      </c>
    </row>
    <row r="18" spans="1:3">
      <c r="A18" t="s">
        <v>57</v>
      </c>
      <c r="B18" t="s">
        <v>1442</v>
      </c>
      <c r="C18" t="s">
        <v>57</v>
      </c>
    </row>
    <row r="19" spans="1:3">
      <c r="A19" t="s">
        <v>58</v>
      </c>
      <c r="B19" t="s">
        <v>1443</v>
      </c>
      <c r="C19" t="s">
        <v>58</v>
      </c>
    </row>
    <row r="20" spans="1:3">
      <c r="A20" t="s">
        <v>59</v>
      </c>
      <c r="B20" t="s">
        <v>1444</v>
      </c>
      <c r="C20" t="s">
        <v>59</v>
      </c>
    </row>
    <row r="21" spans="1:3">
      <c r="A21" t="s">
        <v>60</v>
      </c>
      <c r="B21" t="s">
        <v>1445</v>
      </c>
      <c r="C21" t="s">
        <v>60</v>
      </c>
    </row>
    <row r="22" spans="1:3">
      <c r="A22" t="s">
        <v>61</v>
      </c>
      <c r="B22" t="s">
        <v>1446</v>
      </c>
      <c r="C22" t="s">
        <v>61</v>
      </c>
    </row>
    <row r="23" spans="1:3">
      <c r="A23" t="s">
        <v>62</v>
      </c>
      <c r="B23" t="s">
        <v>1447</v>
      </c>
      <c r="C23" t="s">
        <v>62</v>
      </c>
    </row>
    <row r="24" spans="1:3">
      <c r="A24" t="s">
        <v>63</v>
      </c>
      <c r="B24" t="s">
        <v>1448</v>
      </c>
      <c r="C24" t="s">
        <v>63</v>
      </c>
    </row>
    <row r="25" spans="1:3">
      <c r="A25" t="s">
        <v>64</v>
      </c>
      <c r="B25" t="s">
        <v>1449</v>
      </c>
      <c r="C25" t="s">
        <v>64</v>
      </c>
    </row>
    <row r="26" spans="1:3">
      <c r="A26" t="s">
        <v>65</v>
      </c>
      <c r="B26" t="s">
        <v>1450</v>
      </c>
      <c r="C26" t="s">
        <v>65</v>
      </c>
    </row>
    <row r="27" spans="1:3">
      <c r="A27" t="s">
        <v>1484</v>
      </c>
      <c r="B27" t="s">
        <v>1483</v>
      </c>
      <c r="C27" t="s">
        <v>1484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6"/>
  <dimension ref="B1:F31"/>
  <sheetViews>
    <sheetView workbookViewId="0">
      <pane ySplit="3" topLeftCell="A4" activePane="bottomLeft" state="frozen"/>
      <selection activeCell="D27" sqref="D27"/>
      <selection pane="bottomLeft" activeCell="D27" sqref="D27"/>
    </sheetView>
  </sheetViews>
  <sheetFormatPr defaultRowHeight="12.75"/>
  <cols>
    <col min="1" max="1" width="1.42578125" style="5" customWidth="1"/>
    <col min="2" max="2" width="43.42578125" style="5" bestFit="1" customWidth="1"/>
    <col min="3" max="3" width="36.7109375" style="5" customWidth="1"/>
    <col min="4" max="4" width="14.7109375" style="5" bestFit="1" customWidth="1"/>
    <col min="5" max="5" width="94.42578125" style="5" bestFit="1" customWidth="1"/>
    <col min="6" max="16384" width="9.140625" style="5"/>
  </cols>
  <sheetData>
    <row r="1" spans="2:6" ht="7.5" customHeight="1"/>
    <row r="2" spans="2:6" ht="12.75" customHeight="1">
      <c r="B2" s="5" t="s">
        <v>1477</v>
      </c>
    </row>
    <row r="3" spans="2:6">
      <c r="B3" s="6" t="s">
        <v>1451</v>
      </c>
      <c r="C3" s="6" t="s">
        <v>1</v>
      </c>
      <c r="D3" s="6" t="s">
        <v>39</v>
      </c>
      <c r="E3" s="6" t="s">
        <v>1478</v>
      </c>
      <c r="F3" s="5" t="s">
        <v>69</v>
      </c>
    </row>
    <row r="4" spans="2:6">
      <c r="B4" s="7" t="s">
        <v>1434</v>
      </c>
      <c r="C4" s="7" t="s">
        <v>672</v>
      </c>
      <c r="D4" s="7" t="s">
        <v>71</v>
      </c>
      <c r="E4" s="7" t="s">
        <v>1479</v>
      </c>
      <c r="F4" s="5" t="s">
        <v>69</v>
      </c>
    </row>
    <row r="5" spans="2:6">
      <c r="B5" s="7" t="s">
        <v>1434</v>
      </c>
      <c r="C5" s="7" t="s">
        <v>901</v>
      </c>
      <c r="D5" s="7" t="s">
        <v>73</v>
      </c>
      <c r="E5" s="7" t="s">
        <v>1480</v>
      </c>
      <c r="F5" s="5" t="s">
        <v>69</v>
      </c>
    </row>
    <row r="6" spans="2:6">
      <c r="B6" s="7" t="s">
        <v>1434</v>
      </c>
      <c r="C6" s="7" t="s">
        <v>936</v>
      </c>
      <c r="D6" s="7" t="s">
        <v>73</v>
      </c>
      <c r="E6" s="7" t="s">
        <v>1481</v>
      </c>
      <c r="F6" s="5" t="s">
        <v>69</v>
      </c>
    </row>
    <row r="7" spans="2:6">
      <c r="B7" s="7" t="s">
        <v>1435</v>
      </c>
      <c r="C7" s="7" t="s">
        <v>1452</v>
      </c>
      <c r="D7" s="7" t="s">
        <v>73</v>
      </c>
      <c r="E7" s="7" t="s">
        <v>1482</v>
      </c>
      <c r="F7" s="5" t="s">
        <v>69</v>
      </c>
    </row>
    <row r="8" spans="2:6">
      <c r="B8" s="7" t="s">
        <v>1435</v>
      </c>
      <c r="C8" s="7" t="s">
        <v>1453</v>
      </c>
      <c r="D8" s="7" t="s">
        <v>73</v>
      </c>
      <c r="E8" s="7" t="s">
        <v>1482</v>
      </c>
      <c r="F8" s="5" t="s">
        <v>69</v>
      </c>
    </row>
    <row r="9" spans="2:6">
      <c r="B9" s="7" t="s">
        <v>1435</v>
      </c>
      <c r="C9" s="7" t="s">
        <v>1454</v>
      </c>
      <c r="D9" s="7" t="s">
        <v>73</v>
      </c>
      <c r="E9" s="7" t="s">
        <v>1482</v>
      </c>
      <c r="F9" s="5" t="s">
        <v>69</v>
      </c>
    </row>
    <row r="10" spans="2:6">
      <c r="B10" s="7" t="s">
        <v>1431</v>
      </c>
      <c r="C10" s="7" t="s">
        <v>1455</v>
      </c>
      <c r="D10" s="7" t="s">
        <v>73</v>
      </c>
      <c r="E10" s="7" t="s">
        <v>1482</v>
      </c>
      <c r="F10" s="5" t="s">
        <v>69</v>
      </c>
    </row>
    <row r="11" spans="2:6">
      <c r="B11" s="7" t="s">
        <v>1431</v>
      </c>
      <c r="C11" s="7" t="s">
        <v>1456</v>
      </c>
      <c r="D11" s="7" t="s">
        <v>73</v>
      </c>
      <c r="E11" s="7" t="s">
        <v>1482</v>
      </c>
      <c r="F11" s="5" t="s">
        <v>69</v>
      </c>
    </row>
    <row r="12" spans="2:6">
      <c r="B12" s="7" t="s">
        <v>1431</v>
      </c>
      <c r="C12" s="7" t="s">
        <v>1457</v>
      </c>
      <c r="D12" s="7" t="s">
        <v>73</v>
      </c>
      <c r="E12" s="7" t="s">
        <v>1482</v>
      </c>
      <c r="F12" s="5" t="s">
        <v>69</v>
      </c>
    </row>
    <row r="13" spans="2:6">
      <c r="B13" s="7" t="s">
        <v>1431</v>
      </c>
      <c r="C13" s="7" t="s">
        <v>1458</v>
      </c>
      <c r="D13" s="7" t="s">
        <v>73</v>
      </c>
      <c r="E13" s="7" t="s">
        <v>1482</v>
      </c>
      <c r="F13" s="5" t="s">
        <v>69</v>
      </c>
    </row>
    <row r="14" spans="2:6">
      <c r="B14" s="7" t="s">
        <v>1431</v>
      </c>
      <c r="C14" s="7" t="s">
        <v>1459</v>
      </c>
      <c r="D14" s="7" t="s">
        <v>73</v>
      </c>
      <c r="E14" s="7" t="s">
        <v>1482</v>
      </c>
      <c r="F14" s="5" t="s">
        <v>69</v>
      </c>
    </row>
    <row r="15" spans="2:6">
      <c r="B15" s="7" t="s">
        <v>1431</v>
      </c>
      <c r="C15" s="7" t="s">
        <v>1460</v>
      </c>
      <c r="D15" s="7" t="s">
        <v>73</v>
      </c>
      <c r="E15" s="7" t="s">
        <v>1482</v>
      </c>
      <c r="F15" s="5" t="s">
        <v>69</v>
      </c>
    </row>
    <row r="16" spans="2:6">
      <c r="B16" s="7" t="s">
        <v>1431</v>
      </c>
      <c r="C16" s="7" t="s">
        <v>1461</v>
      </c>
      <c r="D16" s="7" t="s">
        <v>73</v>
      </c>
      <c r="E16" s="7" t="s">
        <v>1482</v>
      </c>
      <c r="F16" s="5" t="s">
        <v>69</v>
      </c>
    </row>
    <row r="17" spans="2:6">
      <c r="B17" s="7" t="s">
        <v>1431</v>
      </c>
      <c r="C17" s="7" t="s">
        <v>1462</v>
      </c>
      <c r="D17" s="7" t="s">
        <v>71</v>
      </c>
      <c r="E17" s="7" t="s">
        <v>1482</v>
      </c>
      <c r="F17" s="5" t="s">
        <v>69</v>
      </c>
    </row>
    <row r="18" spans="2:6">
      <c r="B18" s="7" t="s">
        <v>1431</v>
      </c>
      <c r="C18" s="7" t="s">
        <v>1463</v>
      </c>
      <c r="D18" s="7" t="s">
        <v>71</v>
      </c>
      <c r="E18" s="7" t="s">
        <v>1482</v>
      </c>
      <c r="F18" s="5" t="s">
        <v>69</v>
      </c>
    </row>
    <row r="19" spans="2:6">
      <c r="B19" s="7" t="s">
        <v>1431</v>
      </c>
      <c r="C19" s="7" t="s">
        <v>1464</v>
      </c>
      <c r="D19" s="7" t="s">
        <v>73</v>
      </c>
      <c r="E19" s="7" t="s">
        <v>1482</v>
      </c>
      <c r="F19" s="5" t="s">
        <v>69</v>
      </c>
    </row>
    <row r="20" spans="2:6">
      <c r="B20" s="7" t="s">
        <v>1431</v>
      </c>
      <c r="C20" s="7" t="s">
        <v>1465</v>
      </c>
      <c r="D20" s="7" t="s">
        <v>73</v>
      </c>
      <c r="E20" s="7" t="s">
        <v>1482</v>
      </c>
      <c r="F20" s="5" t="s">
        <v>69</v>
      </c>
    </row>
    <row r="21" spans="2:6">
      <c r="B21" s="7" t="s">
        <v>1431</v>
      </c>
      <c r="C21" s="7" t="s">
        <v>1466</v>
      </c>
      <c r="D21" s="7" t="s">
        <v>73</v>
      </c>
      <c r="E21" s="7" t="s">
        <v>1482</v>
      </c>
      <c r="F21" s="5" t="s">
        <v>69</v>
      </c>
    </row>
    <row r="22" spans="2:6">
      <c r="B22" s="7" t="s">
        <v>1439</v>
      </c>
      <c r="C22" s="7" t="s">
        <v>1467</v>
      </c>
      <c r="D22" s="7" t="s">
        <v>73</v>
      </c>
      <c r="E22" s="7" t="s">
        <v>1482</v>
      </c>
      <c r="F22" s="5" t="s">
        <v>69</v>
      </c>
    </row>
    <row r="23" spans="2:6">
      <c r="B23" s="7" t="s">
        <v>1439</v>
      </c>
      <c r="C23" s="7" t="s">
        <v>1468</v>
      </c>
      <c r="D23" s="7" t="s">
        <v>73</v>
      </c>
      <c r="E23" s="7" t="s">
        <v>1482</v>
      </c>
      <c r="F23" s="5" t="s">
        <v>69</v>
      </c>
    </row>
    <row r="24" spans="2:6">
      <c r="B24" s="7" t="s">
        <v>1439</v>
      </c>
      <c r="C24" s="7" t="s">
        <v>1469</v>
      </c>
      <c r="D24" s="7" t="s">
        <v>73</v>
      </c>
      <c r="E24" s="7" t="s">
        <v>1482</v>
      </c>
      <c r="F24" s="5" t="s">
        <v>69</v>
      </c>
    </row>
    <row r="25" spans="2:6">
      <c r="B25" s="7" t="s">
        <v>1439</v>
      </c>
      <c r="C25" s="7" t="s">
        <v>1470</v>
      </c>
      <c r="D25" s="7" t="s">
        <v>73</v>
      </c>
      <c r="E25" s="7" t="s">
        <v>1482</v>
      </c>
      <c r="F25" s="5" t="s">
        <v>69</v>
      </c>
    </row>
    <row r="26" spans="2:6">
      <c r="B26" s="7" t="s">
        <v>1439</v>
      </c>
      <c r="C26" s="7" t="s">
        <v>1471</v>
      </c>
      <c r="D26" s="7" t="s">
        <v>73</v>
      </c>
      <c r="E26" s="7" t="s">
        <v>1482</v>
      </c>
      <c r="F26" s="5" t="s">
        <v>69</v>
      </c>
    </row>
    <row r="27" spans="2:6">
      <c r="B27" s="7" t="s">
        <v>1439</v>
      </c>
      <c r="C27" s="7" t="s">
        <v>1472</v>
      </c>
      <c r="D27" s="7" t="s">
        <v>73</v>
      </c>
      <c r="E27" s="7" t="s">
        <v>1482</v>
      </c>
      <c r="F27" s="5" t="s">
        <v>69</v>
      </c>
    </row>
    <row r="28" spans="2:6">
      <c r="B28" s="7" t="s">
        <v>1439</v>
      </c>
      <c r="C28" s="7" t="s">
        <v>1473</v>
      </c>
      <c r="D28" s="7" t="s">
        <v>73</v>
      </c>
      <c r="E28" s="7" t="s">
        <v>1482</v>
      </c>
      <c r="F28" s="5" t="s">
        <v>69</v>
      </c>
    </row>
    <row r="29" spans="2:6">
      <c r="B29" s="7" t="s">
        <v>1439</v>
      </c>
      <c r="C29" s="7" t="s">
        <v>1474</v>
      </c>
      <c r="D29" s="7" t="s">
        <v>73</v>
      </c>
      <c r="E29" s="7" t="s">
        <v>1482</v>
      </c>
      <c r="F29" s="5" t="s">
        <v>69</v>
      </c>
    </row>
    <row r="30" spans="2:6">
      <c r="B30" s="7" t="s">
        <v>1439</v>
      </c>
      <c r="C30" s="7" t="s">
        <v>1475</v>
      </c>
      <c r="D30" s="7" t="s">
        <v>73</v>
      </c>
      <c r="E30" s="7" t="s">
        <v>1482</v>
      </c>
      <c r="F30" s="5" t="s">
        <v>69</v>
      </c>
    </row>
    <row r="31" spans="2:6">
      <c r="B31" s="7" t="s">
        <v>1439</v>
      </c>
      <c r="C31" s="7" t="s">
        <v>1476</v>
      </c>
      <c r="D31" s="7" t="s">
        <v>73</v>
      </c>
      <c r="E31" s="7" t="s">
        <v>1482</v>
      </c>
      <c r="F31" s="5" t="s">
        <v>69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B585"/>
  <sheetViews>
    <sheetView workbookViewId="0">
      <selection sqref="A1:B27"/>
    </sheetView>
  </sheetViews>
  <sheetFormatPr defaultRowHeight="15"/>
  <cols>
    <col min="1" max="1" width="6.5703125" style="1" bestFit="1" customWidth="1"/>
    <col min="2" max="2" width="44.5703125" style="11" bestFit="1" customWidth="1"/>
  </cols>
  <sheetData>
    <row r="1" spans="1:2">
      <c r="A1" s="2" t="s">
        <v>1631</v>
      </c>
      <c r="B1" s="10" t="s">
        <v>1451</v>
      </c>
    </row>
    <row r="2" spans="1:2">
      <c r="A2" s="12" t="s">
        <v>1633</v>
      </c>
      <c r="B2" s="12" t="s">
        <v>1634</v>
      </c>
    </row>
    <row r="3" spans="1:2">
      <c r="A3" s="13" t="s">
        <v>45</v>
      </c>
      <c r="B3" s="13" t="s">
        <v>16</v>
      </c>
    </row>
    <row r="4" spans="1:2">
      <c r="A4" s="34" t="s">
        <v>40</v>
      </c>
      <c r="B4" s="34" t="s">
        <v>17</v>
      </c>
    </row>
    <row r="5" spans="1:2">
      <c r="A5" s="14" t="s">
        <v>44</v>
      </c>
      <c r="B5" s="14" t="s">
        <v>18</v>
      </c>
    </row>
    <row r="6" spans="1:2">
      <c r="A6" s="35" t="s">
        <v>41</v>
      </c>
      <c r="B6" s="35" t="s">
        <v>19</v>
      </c>
    </row>
    <row r="7" spans="1:2">
      <c r="A7" s="15" t="s">
        <v>46</v>
      </c>
      <c r="B7" s="15" t="s">
        <v>20</v>
      </c>
    </row>
    <row r="8" spans="1:2">
      <c r="A8" s="16" t="s">
        <v>1635</v>
      </c>
      <c r="B8" s="16" t="s">
        <v>21</v>
      </c>
    </row>
    <row r="9" spans="1:2">
      <c r="A9" s="17" t="s">
        <v>1636</v>
      </c>
      <c r="B9" s="17" t="s">
        <v>22</v>
      </c>
    </row>
    <row r="10" spans="1:2">
      <c r="A10" s="18" t="s">
        <v>50</v>
      </c>
      <c r="B10" s="18" t="s">
        <v>23</v>
      </c>
    </row>
    <row r="11" spans="1:2">
      <c r="A11" s="70" t="s">
        <v>52</v>
      </c>
      <c r="B11" s="70" t="s">
        <v>24</v>
      </c>
    </row>
    <row r="12" spans="1:2">
      <c r="A12" s="19" t="s">
        <v>51</v>
      </c>
      <c r="B12" s="19" t="s">
        <v>25</v>
      </c>
    </row>
    <row r="13" spans="1:2">
      <c r="A13" s="20" t="s">
        <v>1637</v>
      </c>
      <c r="B13" s="20" t="s">
        <v>26</v>
      </c>
    </row>
    <row r="14" spans="1:2">
      <c r="A14" s="21" t="s">
        <v>54</v>
      </c>
      <c r="B14" s="21" t="s">
        <v>27</v>
      </c>
    </row>
    <row r="15" spans="1:2">
      <c r="A15" s="22" t="s">
        <v>1638</v>
      </c>
      <c r="B15" s="22" t="s">
        <v>28</v>
      </c>
    </row>
    <row r="16" spans="1:2">
      <c r="A16" s="23" t="s">
        <v>1639</v>
      </c>
      <c r="B16" s="23" t="s">
        <v>29</v>
      </c>
    </row>
    <row r="17" spans="1:2">
      <c r="A17" s="24" t="s">
        <v>1640</v>
      </c>
      <c r="B17" s="24" t="s">
        <v>30</v>
      </c>
    </row>
    <row r="18" spans="1:2">
      <c r="A18" s="25" t="s">
        <v>1641</v>
      </c>
      <c r="B18" s="25" t="s">
        <v>31</v>
      </c>
    </row>
    <row r="19" spans="1:2">
      <c r="A19" s="26" t="s">
        <v>1642</v>
      </c>
      <c r="B19" s="26" t="s">
        <v>32</v>
      </c>
    </row>
    <row r="20" spans="1:2">
      <c r="A20" s="27" t="s">
        <v>1643</v>
      </c>
      <c r="B20" s="27" t="s">
        <v>33</v>
      </c>
    </row>
    <row r="21" spans="1:2">
      <c r="A21" s="56" t="s">
        <v>1644</v>
      </c>
      <c r="B21" s="56" t="s">
        <v>34</v>
      </c>
    </row>
    <row r="22" spans="1:2">
      <c r="A22" s="57" t="s">
        <v>1645</v>
      </c>
      <c r="B22" s="57" t="s">
        <v>35</v>
      </c>
    </row>
    <row r="23" spans="1:2">
      <c r="A23" s="28" t="s">
        <v>1646</v>
      </c>
      <c r="B23" s="28" t="s">
        <v>1485</v>
      </c>
    </row>
    <row r="24" spans="1:2">
      <c r="A24" s="29" t="s">
        <v>60</v>
      </c>
      <c r="B24" s="29" t="s">
        <v>36</v>
      </c>
    </row>
    <row r="25" spans="1:2">
      <c r="A25" s="30" t="s">
        <v>1647</v>
      </c>
      <c r="B25" s="30" t="s">
        <v>37</v>
      </c>
    </row>
    <row r="26" spans="1:2">
      <c r="A26" s="31" t="s">
        <v>1648</v>
      </c>
      <c r="B26" s="31" t="s">
        <v>38</v>
      </c>
    </row>
    <row r="27" spans="1:2">
      <c r="A27" s="32" t="s">
        <v>1649</v>
      </c>
      <c r="B27" s="32" t="s">
        <v>1650</v>
      </c>
    </row>
    <row r="28" spans="1:2">
      <c r="A28" s="37"/>
      <c r="B28" s="53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  <row r="107" spans="1:2">
      <c r="A107"/>
      <c r="B107"/>
    </row>
    <row r="108" spans="1:2">
      <c r="A108"/>
      <c r="B108"/>
    </row>
    <row r="109" spans="1:2">
      <c r="A109"/>
      <c r="B109"/>
    </row>
    <row r="110" spans="1:2">
      <c r="A110"/>
      <c r="B110"/>
    </row>
    <row r="111" spans="1:2">
      <c r="A111"/>
      <c r="B111"/>
    </row>
    <row r="112" spans="1:2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N154"/>
  <sheetViews>
    <sheetView workbookViewId="0">
      <selection activeCell="D10" sqref="D10:D13"/>
    </sheetView>
  </sheetViews>
  <sheetFormatPr defaultRowHeight="15"/>
  <cols>
    <col min="1" max="1" width="9" style="196" customWidth="1"/>
    <col min="2" max="2" width="44.5703125" style="196" hidden="1" customWidth="1"/>
    <col min="3" max="3" width="9" style="196" customWidth="1"/>
    <col min="4" max="4" width="40.7109375" style="259" customWidth="1"/>
    <col min="5" max="5" width="5.28515625" style="196" customWidth="1"/>
    <col min="6" max="6" width="9" style="261" customWidth="1"/>
    <col min="7" max="7" width="44.5703125" style="261" hidden="1" customWidth="1"/>
    <col min="8" max="8" width="9" style="261" customWidth="1"/>
    <col min="9" max="9" width="40.7109375" style="262" customWidth="1"/>
    <col min="10" max="10" width="5.5703125" style="196" customWidth="1"/>
    <col min="11" max="11" width="9" style="196" customWidth="1"/>
    <col min="12" max="12" width="44.5703125" style="196" hidden="1" customWidth="1"/>
    <col min="13" max="13" width="9" style="196" customWidth="1"/>
    <col min="14" max="14" width="40.7109375" style="259" customWidth="1"/>
    <col min="15" max="16384" width="9.140625" style="196"/>
  </cols>
  <sheetData>
    <row r="1" spans="1:14" customFormat="1" ht="36.75" customHeight="1">
      <c r="A1" s="197" t="s">
        <v>1778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</row>
    <row r="2" spans="1:14">
      <c r="A2" s="198" t="s">
        <v>1631</v>
      </c>
      <c r="B2" s="198" t="s">
        <v>1451</v>
      </c>
      <c r="C2" s="199" t="s">
        <v>0</v>
      </c>
      <c r="D2" s="223" t="s">
        <v>1</v>
      </c>
      <c r="E2" s="268"/>
      <c r="F2" s="198" t="s">
        <v>1631</v>
      </c>
      <c r="G2" s="198" t="s">
        <v>1451</v>
      </c>
      <c r="H2" s="199" t="s">
        <v>0</v>
      </c>
      <c r="I2" s="223" t="s">
        <v>1</v>
      </c>
      <c r="J2" s="268"/>
      <c r="K2" s="198" t="s">
        <v>1631</v>
      </c>
      <c r="L2" s="198" t="s">
        <v>1451</v>
      </c>
      <c r="M2" s="199" t="s">
        <v>0</v>
      </c>
      <c r="N2" s="223" t="s">
        <v>1</v>
      </c>
    </row>
    <row r="3" spans="1:14">
      <c r="A3" s="269" t="s">
        <v>40</v>
      </c>
      <c r="B3" s="269" t="s">
        <v>17</v>
      </c>
      <c r="C3" s="201" t="s">
        <v>170</v>
      </c>
      <c r="D3" s="224" t="s">
        <v>171</v>
      </c>
      <c r="E3" s="268"/>
      <c r="F3" s="270" t="s">
        <v>1772</v>
      </c>
      <c r="G3" s="270" t="s">
        <v>1680</v>
      </c>
      <c r="H3" s="201" t="s">
        <v>1422</v>
      </c>
      <c r="I3" s="224" t="s">
        <v>1687</v>
      </c>
      <c r="J3" s="268"/>
      <c r="K3" s="271" t="s">
        <v>60</v>
      </c>
      <c r="L3" s="271" t="s">
        <v>36</v>
      </c>
      <c r="M3" s="221" t="s">
        <v>1035</v>
      </c>
      <c r="N3" s="224" t="s">
        <v>1036</v>
      </c>
    </row>
    <row r="4" spans="1:14">
      <c r="A4" s="272" t="s">
        <v>41</v>
      </c>
      <c r="B4" s="272" t="s">
        <v>19</v>
      </c>
      <c r="C4" s="202"/>
      <c r="D4" s="225"/>
      <c r="E4" s="268"/>
      <c r="F4" s="273" t="s">
        <v>1727</v>
      </c>
      <c r="G4" s="273" t="s">
        <v>1728</v>
      </c>
      <c r="H4" s="202"/>
      <c r="I4" s="225"/>
      <c r="J4" s="268"/>
      <c r="K4" s="274" t="s">
        <v>63</v>
      </c>
      <c r="L4" s="274" t="s">
        <v>38</v>
      </c>
      <c r="M4" s="275"/>
      <c r="N4" s="276"/>
    </row>
    <row r="5" spans="1:14">
      <c r="A5" s="277" t="s">
        <v>49</v>
      </c>
      <c r="B5" s="277" t="s">
        <v>22</v>
      </c>
      <c r="C5" s="217" t="s">
        <v>1706</v>
      </c>
      <c r="D5" s="224" t="s">
        <v>224</v>
      </c>
      <c r="E5" s="268"/>
      <c r="F5" s="270" t="s">
        <v>1772</v>
      </c>
      <c r="G5" s="270" t="s">
        <v>1680</v>
      </c>
      <c r="H5" s="201" t="s">
        <v>595</v>
      </c>
      <c r="I5" s="224" t="s">
        <v>596</v>
      </c>
      <c r="J5" s="268"/>
      <c r="K5" s="278" t="s">
        <v>1747</v>
      </c>
      <c r="L5" s="279" t="s">
        <v>1735</v>
      </c>
      <c r="M5" s="222"/>
      <c r="N5" s="225"/>
    </row>
    <row r="6" spans="1:14">
      <c r="A6" s="280" t="s">
        <v>63</v>
      </c>
      <c r="B6" s="280" t="s">
        <v>38</v>
      </c>
      <c r="C6" s="218"/>
      <c r="D6" s="225"/>
      <c r="E6" s="268"/>
      <c r="F6" s="273" t="s">
        <v>1727</v>
      </c>
      <c r="G6" s="273" t="s">
        <v>1728</v>
      </c>
      <c r="H6" s="202"/>
      <c r="I6" s="225"/>
      <c r="J6" s="268"/>
      <c r="K6" s="281" t="s">
        <v>1772</v>
      </c>
      <c r="L6" s="281" t="s">
        <v>1680</v>
      </c>
      <c r="M6" s="206" t="s">
        <v>1076</v>
      </c>
      <c r="N6" s="224" t="s">
        <v>1077</v>
      </c>
    </row>
    <row r="7" spans="1:14">
      <c r="A7" s="269" t="s">
        <v>40</v>
      </c>
      <c r="B7" s="269" t="s">
        <v>17</v>
      </c>
      <c r="C7" s="201" t="s">
        <v>256</v>
      </c>
      <c r="D7" s="224" t="s">
        <v>257</v>
      </c>
      <c r="E7" s="268"/>
      <c r="F7" s="270" t="s">
        <v>1772</v>
      </c>
      <c r="G7" s="270" t="s">
        <v>1680</v>
      </c>
      <c r="H7" s="201" t="s">
        <v>713</v>
      </c>
      <c r="I7" s="224" t="s">
        <v>714</v>
      </c>
      <c r="J7" s="268"/>
      <c r="K7" s="282" t="s">
        <v>1727</v>
      </c>
      <c r="L7" s="282" t="s">
        <v>1728</v>
      </c>
      <c r="M7" s="207"/>
      <c r="N7" s="225"/>
    </row>
    <row r="8" spans="1:14">
      <c r="A8" s="272" t="s">
        <v>41</v>
      </c>
      <c r="B8" s="272" t="s">
        <v>19</v>
      </c>
      <c r="C8" s="283"/>
      <c r="D8" s="276"/>
      <c r="E8" s="268"/>
      <c r="F8" s="273" t="s">
        <v>1727</v>
      </c>
      <c r="G8" s="273" t="s">
        <v>1728</v>
      </c>
      <c r="H8" s="202"/>
      <c r="I8" s="225"/>
      <c r="J8" s="268"/>
      <c r="K8" s="284" t="s">
        <v>45</v>
      </c>
      <c r="L8" s="284" t="s">
        <v>16</v>
      </c>
      <c r="M8" s="206" t="s">
        <v>1104</v>
      </c>
      <c r="N8" s="224" t="s">
        <v>902</v>
      </c>
    </row>
    <row r="9" spans="1:14">
      <c r="A9" s="285" t="s">
        <v>46</v>
      </c>
      <c r="B9" s="285" t="s">
        <v>20</v>
      </c>
      <c r="C9" s="202"/>
      <c r="D9" s="225"/>
      <c r="E9" s="268"/>
      <c r="F9" s="270" t="s">
        <v>1772</v>
      </c>
      <c r="G9" s="270" t="s">
        <v>1680</v>
      </c>
      <c r="H9" s="201" t="s">
        <v>716</v>
      </c>
      <c r="I9" s="224" t="s">
        <v>717</v>
      </c>
      <c r="J9" s="268"/>
      <c r="K9" s="286" t="s">
        <v>49</v>
      </c>
      <c r="L9" s="286" t="s">
        <v>22</v>
      </c>
      <c r="M9" s="207"/>
      <c r="N9" s="225"/>
    </row>
    <row r="10" spans="1:14">
      <c r="A10" s="287" t="s">
        <v>1774</v>
      </c>
      <c r="B10" s="287" t="s">
        <v>30</v>
      </c>
      <c r="C10" s="217" t="s">
        <v>264</v>
      </c>
      <c r="D10" s="224" t="s">
        <v>265</v>
      </c>
      <c r="E10" s="268"/>
      <c r="F10" s="273" t="s">
        <v>1727</v>
      </c>
      <c r="G10" s="273" t="s">
        <v>1728</v>
      </c>
      <c r="H10" s="202"/>
      <c r="I10" s="225"/>
      <c r="J10" s="268"/>
      <c r="K10" s="288" t="s">
        <v>1637</v>
      </c>
      <c r="L10" s="288" t="s">
        <v>26</v>
      </c>
      <c r="M10" s="208" t="s">
        <v>1137</v>
      </c>
      <c r="N10" s="224" t="s">
        <v>1138</v>
      </c>
    </row>
    <row r="11" spans="1:14">
      <c r="A11" s="289" t="s">
        <v>1775</v>
      </c>
      <c r="B11" s="289" t="s">
        <v>31</v>
      </c>
      <c r="C11" s="290"/>
      <c r="D11" s="276"/>
      <c r="E11" s="268"/>
      <c r="F11" s="281" t="s">
        <v>1772</v>
      </c>
      <c r="G11" s="281" t="s">
        <v>1680</v>
      </c>
      <c r="H11" s="206" t="s">
        <v>723</v>
      </c>
      <c r="I11" s="224" t="s">
        <v>724</v>
      </c>
      <c r="J11" s="268"/>
      <c r="K11" s="291" t="s">
        <v>64</v>
      </c>
      <c r="L11" s="291" t="s">
        <v>1650</v>
      </c>
      <c r="M11" s="209"/>
      <c r="N11" s="225"/>
    </row>
    <row r="12" spans="1:14">
      <c r="A12" s="292" t="s">
        <v>1777</v>
      </c>
      <c r="B12" s="292" t="s">
        <v>33</v>
      </c>
      <c r="C12" s="290"/>
      <c r="D12" s="276"/>
      <c r="E12" s="268"/>
      <c r="F12" s="282" t="s">
        <v>1727</v>
      </c>
      <c r="G12" s="282" t="s">
        <v>1728</v>
      </c>
      <c r="H12" s="207"/>
      <c r="I12" s="225"/>
      <c r="J12" s="268"/>
      <c r="K12" s="293" t="s">
        <v>44</v>
      </c>
      <c r="L12" s="293" t="s">
        <v>18</v>
      </c>
      <c r="M12" s="206" t="s">
        <v>1218</v>
      </c>
      <c r="N12" s="224" t="s">
        <v>1219</v>
      </c>
    </row>
    <row r="13" spans="1:14">
      <c r="A13" s="294" t="s">
        <v>1644</v>
      </c>
      <c r="B13" s="294" t="s">
        <v>34</v>
      </c>
      <c r="C13" s="218"/>
      <c r="D13" s="225"/>
      <c r="E13" s="268"/>
      <c r="F13" s="295" t="s">
        <v>46</v>
      </c>
      <c r="G13" s="295" t="s">
        <v>20</v>
      </c>
      <c r="H13" s="208" t="s">
        <v>1380</v>
      </c>
      <c r="I13" s="224" t="s">
        <v>1211</v>
      </c>
      <c r="J13" s="268"/>
      <c r="K13" s="296" t="s">
        <v>50</v>
      </c>
      <c r="L13" s="296" t="s">
        <v>23</v>
      </c>
      <c r="M13" s="207"/>
      <c r="N13" s="225"/>
    </row>
    <row r="14" spans="1:14">
      <c r="A14" s="285" t="s">
        <v>46</v>
      </c>
      <c r="B14" s="285" t="s">
        <v>20</v>
      </c>
      <c r="C14" s="219" t="s">
        <v>1596</v>
      </c>
      <c r="D14" s="224" t="s">
        <v>329</v>
      </c>
      <c r="E14" s="268"/>
      <c r="F14" s="297" t="s">
        <v>51</v>
      </c>
      <c r="G14" s="297" t="s">
        <v>25</v>
      </c>
      <c r="H14" s="209"/>
      <c r="I14" s="225"/>
      <c r="J14" s="268"/>
      <c r="K14" s="298" t="s">
        <v>1773</v>
      </c>
      <c r="L14" s="298" t="s">
        <v>28</v>
      </c>
      <c r="M14" s="210" t="s">
        <v>1224</v>
      </c>
      <c r="N14" s="224" t="s">
        <v>146</v>
      </c>
    </row>
    <row r="15" spans="1:14">
      <c r="A15" s="299" t="s">
        <v>1646</v>
      </c>
      <c r="B15" s="299" t="s">
        <v>1485</v>
      </c>
      <c r="C15" s="220"/>
      <c r="D15" s="225"/>
      <c r="E15" s="268"/>
      <c r="F15" s="281" t="s">
        <v>1772</v>
      </c>
      <c r="G15" s="281" t="s">
        <v>1680</v>
      </c>
      <c r="H15" s="206" t="s">
        <v>831</v>
      </c>
      <c r="I15" s="224" t="s">
        <v>832</v>
      </c>
      <c r="J15" s="268"/>
      <c r="K15" s="300" t="s">
        <v>1644</v>
      </c>
      <c r="L15" s="300" t="s">
        <v>34</v>
      </c>
      <c r="M15" s="211"/>
      <c r="N15" s="225"/>
    </row>
    <row r="16" spans="1:14">
      <c r="A16" s="280" t="s">
        <v>63</v>
      </c>
      <c r="B16" s="280" t="s">
        <v>38</v>
      </c>
      <c r="C16" s="215" t="s">
        <v>526</v>
      </c>
      <c r="D16" s="224" t="s">
        <v>527</v>
      </c>
      <c r="E16" s="268"/>
      <c r="F16" s="282" t="s">
        <v>1727</v>
      </c>
      <c r="G16" s="282" t="s">
        <v>1728</v>
      </c>
      <c r="H16" s="207"/>
      <c r="I16" s="225"/>
      <c r="J16" s="268"/>
      <c r="K16" s="301" t="s">
        <v>1777</v>
      </c>
      <c r="L16" s="301" t="s">
        <v>33</v>
      </c>
      <c r="M16" s="210" t="s">
        <v>1243</v>
      </c>
      <c r="N16" s="224" t="s">
        <v>1244</v>
      </c>
    </row>
    <row r="17" spans="1:14">
      <c r="A17" s="278" t="s">
        <v>1747</v>
      </c>
      <c r="B17" s="278" t="s">
        <v>1735</v>
      </c>
      <c r="C17" s="216"/>
      <c r="D17" s="225"/>
      <c r="E17" s="268"/>
      <c r="F17" s="302" t="s">
        <v>1775</v>
      </c>
      <c r="G17" s="302" t="s">
        <v>31</v>
      </c>
      <c r="H17" s="208" t="s">
        <v>842</v>
      </c>
      <c r="I17" s="224" t="s">
        <v>68</v>
      </c>
      <c r="J17" s="268"/>
      <c r="K17" s="300" t="s">
        <v>1644</v>
      </c>
      <c r="L17" s="300" t="s">
        <v>34</v>
      </c>
      <c r="M17" s="211"/>
      <c r="N17" s="225"/>
    </row>
    <row r="18" spans="1:14">
      <c r="A18" s="280" t="s">
        <v>63</v>
      </c>
      <c r="B18" s="280" t="s">
        <v>38</v>
      </c>
      <c r="C18" s="215" t="s">
        <v>528</v>
      </c>
      <c r="D18" s="224" t="s">
        <v>529</v>
      </c>
      <c r="E18" s="268"/>
      <c r="F18" s="300" t="s">
        <v>1644</v>
      </c>
      <c r="G18" s="300" t="s">
        <v>34</v>
      </c>
      <c r="H18" s="209"/>
      <c r="I18" s="225"/>
      <c r="J18" s="268"/>
      <c r="K18" s="281" t="s">
        <v>1772</v>
      </c>
      <c r="L18" s="281" t="s">
        <v>1680</v>
      </c>
      <c r="M18" s="206" t="s">
        <v>1421</v>
      </c>
      <c r="N18" s="224" t="s">
        <v>1684</v>
      </c>
    </row>
    <row r="19" spans="1:14">
      <c r="A19" s="278" t="s">
        <v>1747</v>
      </c>
      <c r="B19" s="278" t="s">
        <v>1735</v>
      </c>
      <c r="C19" s="216"/>
      <c r="D19" s="225"/>
      <c r="E19" s="268"/>
      <c r="F19" s="303" t="s">
        <v>40</v>
      </c>
      <c r="G19" s="303" t="s">
        <v>17</v>
      </c>
      <c r="H19" s="206" t="s">
        <v>979</v>
      </c>
      <c r="I19" s="224" t="s">
        <v>192</v>
      </c>
      <c r="J19" s="268"/>
      <c r="K19" s="282" t="s">
        <v>1727</v>
      </c>
      <c r="L19" s="282" t="s">
        <v>1728</v>
      </c>
      <c r="M19" s="207"/>
      <c r="N19" s="225"/>
    </row>
    <row r="20" spans="1:14">
      <c r="A20" s="270" t="s">
        <v>1772</v>
      </c>
      <c r="B20" s="270" t="s">
        <v>1680</v>
      </c>
      <c r="C20" s="201" t="s">
        <v>546</v>
      </c>
      <c r="D20" s="224" t="s">
        <v>547</v>
      </c>
      <c r="E20" s="268"/>
      <c r="F20" s="304" t="s">
        <v>41</v>
      </c>
      <c r="G20" s="304" t="s">
        <v>19</v>
      </c>
      <c r="H20" s="207"/>
      <c r="I20" s="225"/>
      <c r="J20" s="268"/>
      <c r="K20" s="298" t="s">
        <v>1773</v>
      </c>
      <c r="L20" s="298" t="s">
        <v>28</v>
      </c>
      <c r="M20" s="210" t="s">
        <v>1355</v>
      </c>
      <c r="N20" s="224" t="s">
        <v>1356</v>
      </c>
    </row>
    <row r="21" spans="1:14">
      <c r="A21" s="273" t="s">
        <v>1727</v>
      </c>
      <c r="B21" s="273" t="s">
        <v>1728</v>
      </c>
      <c r="C21" s="202"/>
      <c r="D21" s="225"/>
      <c r="E21" s="268"/>
      <c r="F21" s="305" t="s">
        <v>52</v>
      </c>
      <c r="G21" s="305" t="s">
        <v>24</v>
      </c>
      <c r="H21" s="208" t="s">
        <v>1413</v>
      </c>
      <c r="I21" s="224" t="s">
        <v>1627</v>
      </c>
      <c r="J21" s="268"/>
      <c r="K21" s="302" t="s">
        <v>1775</v>
      </c>
      <c r="L21" s="302" t="s">
        <v>31</v>
      </c>
      <c r="M21" s="211"/>
      <c r="N21" s="225"/>
    </row>
    <row r="22" spans="1:14">
      <c r="A22" s="277" t="s">
        <v>49</v>
      </c>
      <c r="B22" s="277" t="s">
        <v>22</v>
      </c>
      <c r="C22" s="217" t="s">
        <v>560</v>
      </c>
      <c r="D22" s="224" t="s">
        <v>561</v>
      </c>
      <c r="E22" s="268"/>
      <c r="F22" s="305" t="s">
        <v>52</v>
      </c>
      <c r="G22" s="305" t="s">
        <v>24</v>
      </c>
      <c r="H22" s="209"/>
      <c r="I22" s="225"/>
      <c r="J22" s="268"/>
      <c r="K22" s="298" t="s">
        <v>1773</v>
      </c>
      <c r="L22" s="298" t="s">
        <v>28</v>
      </c>
      <c r="M22" s="210" t="s">
        <v>1573</v>
      </c>
      <c r="N22" s="224" t="s">
        <v>1061</v>
      </c>
    </row>
    <row r="23" spans="1:14">
      <c r="A23" s="280" t="s">
        <v>63</v>
      </c>
      <c r="B23" s="280" t="s">
        <v>38</v>
      </c>
      <c r="C23" s="218"/>
      <c r="D23" s="225"/>
      <c r="E23" s="268"/>
      <c r="F23" s="274" t="s">
        <v>63</v>
      </c>
      <c r="G23" s="274" t="s">
        <v>38</v>
      </c>
      <c r="H23" s="221" t="s">
        <v>1010</v>
      </c>
      <c r="I23" s="224" t="s">
        <v>1011</v>
      </c>
      <c r="J23" s="268"/>
      <c r="K23" s="301" t="s">
        <v>1777</v>
      </c>
      <c r="L23" s="301" t="s">
        <v>33</v>
      </c>
      <c r="M23" s="211"/>
      <c r="N23" s="225"/>
    </row>
    <row r="24" spans="1:14">
      <c r="A24" s="268"/>
      <c r="B24" s="268"/>
      <c r="C24" s="268"/>
      <c r="D24" s="268"/>
      <c r="E24" s="268"/>
      <c r="F24" s="278" t="s">
        <v>1747</v>
      </c>
      <c r="G24" s="279" t="s">
        <v>1735</v>
      </c>
      <c r="H24" s="222"/>
      <c r="I24" s="225"/>
      <c r="J24" s="268"/>
      <c r="K24" s="268"/>
      <c r="L24" s="268"/>
      <c r="M24" s="268"/>
      <c r="N24" s="268"/>
    </row>
    <row r="25" spans="1:14">
      <c r="D25" s="196"/>
      <c r="F25" s="196"/>
      <c r="G25" s="196"/>
      <c r="H25" s="196"/>
      <c r="I25" s="196"/>
      <c r="N25" s="196"/>
    </row>
    <row r="26" spans="1:14">
      <c r="D26" s="196"/>
      <c r="F26" s="196"/>
      <c r="G26" s="196"/>
      <c r="H26" s="196"/>
      <c r="I26" s="196"/>
      <c r="N26" s="196"/>
    </row>
    <row r="27" spans="1:14">
      <c r="D27" s="196"/>
      <c r="F27" s="196"/>
      <c r="G27" s="196"/>
      <c r="H27" s="196"/>
      <c r="I27" s="196"/>
      <c r="N27" s="196"/>
    </row>
    <row r="28" spans="1:14">
      <c r="D28" s="196"/>
      <c r="F28" s="196"/>
      <c r="G28" s="196"/>
      <c r="H28" s="196"/>
      <c r="I28" s="196"/>
      <c r="N28" s="196"/>
    </row>
    <row r="29" spans="1:14">
      <c r="D29" s="196"/>
      <c r="F29" s="196"/>
      <c r="G29" s="196"/>
      <c r="H29" s="196"/>
      <c r="I29" s="196"/>
      <c r="N29" s="196"/>
    </row>
    <row r="30" spans="1:14">
      <c r="D30" s="196"/>
      <c r="F30" s="196"/>
      <c r="G30" s="196"/>
      <c r="H30" s="196"/>
      <c r="I30" s="196"/>
      <c r="N30" s="196"/>
    </row>
    <row r="31" spans="1:14">
      <c r="D31" s="196"/>
      <c r="F31" s="196"/>
      <c r="G31" s="196"/>
      <c r="H31" s="196"/>
      <c r="I31" s="196"/>
      <c r="N31" s="196"/>
    </row>
    <row r="32" spans="1:14">
      <c r="D32" s="196"/>
      <c r="F32" s="196"/>
      <c r="G32" s="196"/>
      <c r="H32" s="196"/>
      <c r="I32" s="196"/>
      <c r="N32" s="196"/>
    </row>
    <row r="33" spans="4:14">
      <c r="D33" s="196"/>
      <c r="F33" s="196"/>
      <c r="G33" s="196"/>
      <c r="H33" s="196"/>
      <c r="I33" s="196"/>
      <c r="N33" s="196"/>
    </row>
    <row r="34" spans="4:14">
      <c r="D34" s="196"/>
      <c r="F34" s="196"/>
      <c r="G34" s="196"/>
      <c r="H34" s="196"/>
      <c r="I34" s="196"/>
      <c r="N34" s="196"/>
    </row>
    <row r="35" spans="4:14">
      <c r="D35" s="196"/>
      <c r="F35" s="196"/>
      <c r="G35" s="196"/>
      <c r="H35" s="196"/>
      <c r="I35" s="196"/>
      <c r="N35" s="196"/>
    </row>
    <row r="36" spans="4:14">
      <c r="D36" s="196"/>
      <c r="F36" s="196"/>
      <c r="G36" s="196"/>
      <c r="H36" s="196"/>
      <c r="I36" s="196"/>
      <c r="N36" s="196"/>
    </row>
    <row r="37" spans="4:14">
      <c r="D37" s="196"/>
      <c r="F37" s="196"/>
      <c r="G37" s="196"/>
      <c r="H37" s="196"/>
      <c r="I37" s="196"/>
      <c r="N37" s="196"/>
    </row>
    <row r="38" spans="4:14">
      <c r="D38" s="196"/>
      <c r="F38" s="196"/>
      <c r="G38" s="196"/>
      <c r="H38" s="196"/>
      <c r="I38" s="196"/>
      <c r="N38" s="196"/>
    </row>
    <row r="39" spans="4:14">
      <c r="D39" s="196"/>
      <c r="F39" s="196"/>
      <c r="G39" s="196"/>
      <c r="H39" s="196"/>
      <c r="I39" s="196"/>
      <c r="N39" s="196"/>
    </row>
    <row r="40" spans="4:14">
      <c r="D40" s="196"/>
      <c r="F40" s="196"/>
      <c r="G40" s="196"/>
      <c r="H40" s="196"/>
      <c r="I40" s="196"/>
      <c r="N40" s="196"/>
    </row>
    <row r="41" spans="4:14">
      <c r="D41" s="196"/>
      <c r="F41" s="196"/>
      <c r="G41" s="196"/>
      <c r="H41" s="196"/>
      <c r="I41" s="196"/>
      <c r="N41" s="196"/>
    </row>
    <row r="42" spans="4:14">
      <c r="D42" s="196"/>
      <c r="F42" s="196"/>
      <c r="G42" s="196"/>
      <c r="H42" s="196"/>
      <c r="I42" s="196"/>
      <c r="N42" s="196"/>
    </row>
    <row r="43" spans="4:14">
      <c r="D43" s="196"/>
      <c r="F43" s="196"/>
      <c r="G43" s="196"/>
      <c r="H43" s="196"/>
      <c r="I43" s="196"/>
      <c r="N43" s="196"/>
    </row>
    <row r="44" spans="4:14">
      <c r="D44" s="196"/>
      <c r="F44" s="196"/>
      <c r="G44" s="196"/>
      <c r="H44" s="196"/>
      <c r="I44" s="196"/>
      <c r="K44" s="260"/>
      <c r="L44" s="260"/>
      <c r="M44" s="260"/>
      <c r="N44" s="263"/>
    </row>
    <row r="45" spans="4:14">
      <c r="D45" s="196"/>
      <c r="F45" s="196"/>
      <c r="G45" s="196"/>
      <c r="H45" s="196"/>
      <c r="I45" s="196"/>
      <c r="K45" s="260"/>
      <c r="L45" s="260"/>
      <c r="M45" s="260"/>
      <c r="N45" s="263"/>
    </row>
    <row r="46" spans="4:14">
      <c r="D46" s="196"/>
      <c r="F46" s="196"/>
      <c r="G46" s="196"/>
      <c r="H46" s="196"/>
      <c r="I46" s="196"/>
      <c r="K46" s="260"/>
      <c r="L46" s="260"/>
      <c r="M46" s="260"/>
      <c r="N46" s="263"/>
    </row>
    <row r="47" spans="4:14">
      <c r="D47" s="196"/>
      <c r="F47" s="196"/>
      <c r="G47" s="196"/>
      <c r="H47" s="196"/>
      <c r="I47" s="196"/>
      <c r="K47" s="260"/>
      <c r="L47" s="260"/>
      <c r="M47" s="260"/>
      <c r="N47" s="263"/>
    </row>
    <row r="48" spans="4:14">
      <c r="D48" s="196"/>
      <c r="F48" s="260"/>
      <c r="G48" s="260"/>
      <c r="H48" s="260"/>
      <c r="I48" s="260"/>
      <c r="K48" s="260"/>
      <c r="L48" s="260"/>
      <c r="M48" s="260"/>
      <c r="N48" s="263"/>
    </row>
    <row r="49" spans="4:14">
      <c r="D49" s="196"/>
      <c r="F49" s="260"/>
      <c r="G49" s="260"/>
      <c r="H49" s="260"/>
      <c r="I49" s="260"/>
      <c r="K49" s="260"/>
      <c r="L49" s="260"/>
      <c r="M49" s="260"/>
      <c r="N49" s="263"/>
    </row>
    <row r="50" spans="4:14">
      <c r="D50" s="196"/>
      <c r="F50" s="260"/>
      <c r="G50" s="260"/>
      <c r="H50" s="260"/>
      <c r="I50" s="260"/>
      <c r="K50" s="260"/>
      <c r="L50" s="260"/>
      <c r="M50" s="260"/>
      <c r="N50" s="263"/>
    </row>
    <row r="51" spans="4:14">
      <c r="D51" s="196"/>
      <c r="F51" s="260"/>
      <c r="G51" s="260"/>
      <c r="H51" s="260"/>
      <c r="I51" s="260"/>
      <c r="K51" s="260"/>
      <c r="L51" s="260"/>
      <c r="M51" s="260"/>
      <c r="N51" s="263"/>
    </row>
    <row r="52" spans="4:14">
      <c r="D52" s="196"/>
      <c r="F52" s="260"/>
      <c r="G52" s="260"/>
      <c r="H52" s="260"/>
      <c r="I52" s="260"/>
      <c r="K52" s="260"/>
      <c r="L52" s="260"/>
      <c r="M52" s="260"/>
      <c r="N52" s="263"/>
    </row>
    <row r="53" spans="4:14">
      <c r="D53" s="196"/>
      <c r="F53" s="260"/>
      <c r="G53" s="260"/>
      <c r="H53" s="260"/>
      <c r="I53" s="260"/>
      <c r="K53" s="260"/>
      <c r="L53" s="260"/>
      <c r="M53" s="260"/>
      <c r="N53" s="263"/>
    </row>
    <row r="54" spans="4:14">
      <c r="D54" s="196"/>
      <c r="F54" s="260"/>
      <c r="G54" s="260"/>
      <c r="H54" s="260"/>
      <c r="I54" s="260"/>
      <c r="K54" s="260"/>
      <c r="L54" s="260"/>
      <c r="M54" s="260"/>
      <c r="N54" s="263"/>
    </row>
    <row r="55" spans="4:14">
      <c r="D55" s="196"/>
      <c r="F55" s="260"/>
      <c r="G55" s="260"/>
      <c r="H55" s="260"/>
      <c r="I55" s="260"/>
      <c r="K55" s="260"/>
      <c r="L55" s="260"/>
      <c r="M55" s="260"/>
      <c r="N55" s="263"/>
    </row>
    <row r="56" spans="4:14">
      <c r="D56" s="196"/>
      <c r="F56" s="260"/>
      <c r="G56" s="260"/>
      <c r="H56" s="260"/>
      <c r="I56" s="260"/>
      <c r="K56" s="260"/>
      <c r="L56" s="260"/>
      <c r="M56" s="260"/>
      <c r="N56" s="263"/>
    </row>
    <row r="57" spans="4:14">
      <c r="D57" s="196"/>
      <c r="F57" s="260"/>
      <c r="G57" s="260"/>
      <c r="H57" s="260"/>
      <c r="I57" s="260"/>
      <c r="K57" s="260"/>
      <c r="L57" s="260"/>
      <c r="M57" s="260"/>
      <c r="N57" s="263"/>
    </row>
    <row r="58" spans="4:14">
      <c r="D58" s="196"/>
      <c r="F58" s="260"/>
      <c r="G58" s="260"/>
      <c r="H58" s="260"/>
      <c r="I58" s="260"/>
      <c r="K58" s="260"/>
      <c r="L58" s="260"/>
      <c r="M58" s="260"/>
      <c r="N58" s="263"/>
    </row>
    <row r="59" spans="4:14">
      <c r="D59" s="196"/>
      <c r="F59" s="260"/>
      <c r="G59" s="260"/>
      <c r="H59" s="260"/>
      <c r="I59" s="260"/>
      <c r="K59" s="260"/>
      <c r="L59" s="260"/>
      <c r="M59" s="260"/>
      <c r="N59" s="263"/>
    </row>
    <row r="60" spans="4:14">
      <c r="D60" s="196"/>
      <c r="F60" s="260"/>
      <c r="G60" s="260"/>
      <c r="H60" s="260"/>
      <c r="I60" s="260"/>
      <c r="K60" s="260"/>
      <c r="L60" s="260"/>
      <c r="M60" s="260"/>
      <c r="N60" s="263"/>
    </row>
    <row r="61" spans="4:14">
      <c r="D61" s="196"/>
      <c r="F61" s="260"/>
      <c r="G61" s="260"/>
      <c r="H61" s="260"/>
      <c r="I61" s="260"/>
      <c r="K61" s="260"/>
      <c r="L61" s="260"/>
      <c r="M61" s="260"/>
      <c r="N61" s="263"/>
    </row>
    <row r="62" spans="4:14">
      <c r="D62" s="196"/>
      <c r="F62" s="260"/>
      <c r="G62" s="260"/>
      <c r="H62" s="260"/>
      <c r="I62" s="260"/>
      <c r="K62" s="264"/>
      <c r="L62" s="264"/>
      <c r="M62" s="264"/>
      <c r="N62" s="265"/>
    </row>
    <row r="63" spans="4:14">
      <c r="D63" s="196"/>
      <c r="F63" s="260"/>
      <c r="G63" s="260"/>
      <c r="H63" s="260"/>
      <c r="I63" s="260"/>
      <c r="K63" s="255"/>
      <c r="L63" s="255"/>
      <c r="M63" s="256"/>
      <c r="N63" s="252"/>
    </row>
    <row r="64" spans="4:14">
      <c r="D64" s="196"/>
      <c r="F64" s="260"/>
      <c r="G64" s="260"/>
      <c r="H64" s="260"/>
      <c r="I64" s="260"/>
      <c r="K64" s="254"/>
      <c r="L64" s="254"/>
      <c r="M64" s="257"/>
      <c r="N64" s="253"/>
    </row>
    <row r="65" spans="4:14">
      <c r="D65" s="196"/>
      <c r="F65" s="260"/>
      <c r="G65" s="260"/>
      <c r="H65" s="260"/>
      <c r="I65" s="260"/>
      <c r="K65" s="255"/>
      <c r="L65" s="255"/>
      <c r="M65" s="256"/>
      <c r="N65" s="252"/>
    </row>
    <row r="66" spans="4:14">
      <c r="D66" s="196"/>
      <c r="F66" s="260"/>
      <c r="G66" s="260"/>
      <c r="H66" s="260"/>
      <c r="I66" s="260"/>
      <c r="K66" s="258"/>
      <c r="L66" s="258"/>
      <c r="M66" s="257"/>
      <c r="N66" s="253"/>
    </row>
    <row r="67" spans="4:14">
      <c r="F67" s="260"/>
      <c r="G67" s="260"/>
      <c r="H67" s="260"/>
      <c r="I67" s="260"/>
    </row>
    <row r="68" spans="4:14">
      <c r="F68" s="260"/>
      <c r="G68" s="260"/>
      <c r="H68" s="260"/>
      <c r="I68" s="260"/>
    </row>
    <row r="69" spans="4:14">
      <c r="F69" s="260"/>
      <c r="G69" s="260"/>
      <c r="H69" s="260"/>
      <c r="I69" s="260"/>
    </row>
    <row r="70" spans="4:14">
      <c r="F70" s="260"/>
      <c r="G70" s="260"/>
      <c r="H70" s="260"/>
      <c r="I70" s="260"/>
    </row>
    <row r="71" spans="4:14">
      <c r="F71" s="260"/>
      <c r="G71" s="260"/>
      <c r="H71" s="260"/>
      <c r="I71" s="260"/>
    </row>
    <row r="72" spans="4:14">
      <c r="F72" s="260"/>
      <c r="G72" s="260"/>
      <c r="H72" s="260"/>
      <c r="I72" s="260"/>
    </row>
    <row r="73" spans="4:14">
      <c r="F73" s="260"/>
      <c r="G73" s="260"/>
      <c r="H73" s="260"/>
      <c r="I73" s="260"/>
    </row>
    <row r="74" spans="4:14">
      <c r="F74" s="260"/>
      <c r="G74" s="260"/>
      <c r="H74" s="260"/>
      <c r="I74" s="260"/>
    </row>
    <row r="75" spans="4:14">
      <c r="F75" s="260"/>
      <c r="G75" s="260"/>
      <c r="H75" s="260"/>
      <c r="I75" s="260"/>
    </row>
    <row r="76" spans="4:14">
      <c r="F76" s="260"/>
      <c r="G76" s="260"/>
      <c r="H76" s="260"/>
      <c r="I76" s="260"/>
    </row>
    <row r="77" spans="4:14">
      <c r="F77" s="260"/>
      <c r="G77" s="260"/>
      <c r="H77" s="260"/>
      <c r="I77" s="260"/>
    </row>
    <row r="78" spans="4:14">
      <c r="F78" s="260"/>
      <c r="G78" s="260"/>
      <c r="H78" s="260"/>
      <c r="I78" s="260"/>
    </row>
    <row r="79" spans="4:14">
      <c r="F79" s="260"/>
      <c r="G79" s="260"/>
      <c r="H79" s="260"/>
      <c r="I79" s="260"/>
    </row>
    <row r="80" spans="4:14">
      <c r="F80" s="260"/>
      <c r="G80" s="260"/>
      <c r="H80" s="260"/>
      <c r="I80" s="260"/>
    </row>
    <row r="81" spans="6:9">
      <c r="F81" s="260"/>
      <c r="G81" s="260"/>
      <c r="H81" s="260"/>
      <c r="I81" s="260"/>
    </row>
    <row r="82" spans="6:9">
      <c r="F82" s="260"/>
      <c r="G82" s="260"/>
      <c r="H82" s="260"/>
      <c r="I82" s="260"/>
    </row>
    <row r="83" spans="6:9">
      <c r="F83" s="260"/>
      <c r="G83" s="260"/>
      <c r="H83" s="260"/>
      <c r="I83" s="260"/>
    </row>
    <row r="84" spans="6:9">
      <c r="F84" s="260"/>
      <c r="G84" s="260"/>
      <c r="H84" s="260"/>
      <c r="I84" s="260"/>
    </row>
    <row r="85" spans="6:9">
      <c r="F85" s="260"/>
      <c r="G85" s="260"/>
      <c r="H85" s="260"/>
      <c r="I85" s="260"/>
    </row>
    <row r="86" spans="6:9">
      <c r="F86" s="260"/>
      <c r="G86" s="260"/>
      <c r="H86" s="260"/>
      <c r="I86" s="260"/>
    </row>
    <row r="87" spans="6:9">
      <c r="F87" s="260"/>
      <c r="G87" s="260"/>
      <c r="H87" s="260"/>
      <c r="I87" s="260"/>
    </row>
    <row r="88" spans="6:9">
      <c r="F88" s="260"/>
      <c r="G88" s="260"/>
      <c r="H88" s="260"/>
      <c r="I88" s="260"/>
    </row>
    <row r="89" spans="6:9">
      <c r="F89" s="260"/>
      <c r="G89" s="260"/>
      <c r="H89" s="260"/>
      <c r="I89" s="260"/>
    </row>
    <row r="90" spans="6:9">
      <c r="F90" s="260"/>
      <c r="G90" s="260"/>
      <c r="H90" s="260"/>
      <c r="I90" s="260"/>
    </row>
    <row r="91" spans="6:9">
      <c r="F91" s="260"/>
      <c r="G91" s="260"/>
      <c r="H91" s="260"/>
      <c r="I91" s="260"/>
    </row>
    <row r="92" spans="6:9">
      <c r="F92" s="260"/>
      <c r="G92" s="260"/>
      <c r="H92" s="260"/>
      <c r="I92" s="260"/>
    </row>
    <row r="93" spans="6:9">
      <c r="F93" s="260"/>
      <c r="G93" s="260"/>
      <c r="H93" s="260"/>
      <c r="I93" s="260"/>
    </row>
    <row r="94" spans="6:9">
      <c r="F94" s="260"/>
      <c r="G94" s="260"/>
      <c r="H94" s="260"/>
      <c r="I94" s="260"/>
    </row>
    <row r="95" spans="6:9">
      <c r="F95" s="260"/>
      <c r="G95" s="260"/>
      <c r="H95" s="260"/>
      <c r="I95" s="260"/>
    </row>
    <row r="96" spans="6:9">
      <c r="F96" s="260"/>
      <c r="G96" s="260"/>
      <c r="H96" s="260"/>
      <c r="I96" s="260"/>
    </row>
    <row r="97" spans="6:9">
      <c r="F97" s="260"/>
      <c r="G97" s="260"/>
      <c r="H97" s="260"/>
      <c r="I97" s="260"/>
    </row>
    <row r="98" spans="6:9">
      <c r="F98" s="260"/>
      <c r="G98" s="260"/>
      <c r="H98" s="260"/>
      <c r="I98" s="260"/>
    </row>
    <row r="99" spans="6:9">
      <c r="F99" s="260"/>
      <c r="G99" s="260"/>
      <c r="H99" s="260"/>
      <c r="I99" s="260"/>
    </row>
    <row r="100" spans="6:9">
      <c r="F100" s="260"/>
      <c r="G100" s="260"/>
      <c r="H100" s="260"/>
      <c r="I100" s="260"/>
    </row>
    <row r="101" spans="6:9">
      <c r="F101" s="260"/>
      <c r="G101" s="260"/>
      <c r="H101" s="260"/>
      <c r="I101" s="260"/>
    </row>
    <row r="102" spans="6:9">
      <c r="F102" s="260"/>
      <c r="G102" s="260"/>
      <c r="H102" s="260"/>
      <c r="I102" s="260"/>
    </row>
    <row r="103" spans="6:9">
      <c r="F103" s="260"/>
      <c r="G103" s="260"/>
      <c r="H103" s="260"/>
      <c r="I103" s="260"/>
    </row>
    <row r="104" spans="6:9">
      <c r="F104" s="260"/>
      <c r="G104" s="260"/>
      <c r="H104" s="260"/>
      <c r="I104" s="260"/>
    </row>
    <row r="105" spans="6:9">
      <c r="F105" s="260"/>
      <c r="G105" s="260"/>
      <c r="H105" s="260"/>
      <c r="I105" s="260"/>
    </row>
    <row r="106" spans="6:9">
      <c r="F106" s="260"/>
      <c r="G106" s="260"/>
      <c r="H106" s="260"/>
      <c r="I106" s="260"/>
    </row>
    <row r="107" spans="6:9">
      <c r="F107" s="260"/>
      <c r="G107" s="260"/>
      <c r="H107" s="260"/>
      <c r="I107" s="260"/>
    </row>
    <row r="108" spans="6:9">
      <c r="F108" s="260"/>
      <c r="G108" s="260"/>
      <c r="H108" s="260"/>
      <c r="I108" s="260"/>
    </row>
    <row r="109" spans="6:9">
      <c r="F109" s="260"/>
      <c r="G109" s="260"/>
      <c r="H109" s="260"/>
      <c r="I109" s="260"/>
    </row>
    <row r="110" spans="6:9">
      <c r="F110" s="260"/>
      <c r="G110" s="260"/>
      <c r="H110" s="260"/>
      <c r="I110" s="260"/>
    </row>
    <row r="111" spans="6:9">
      <c r="F111" s="260"/>
      <c r="G111" s="260"/>
      <c r="H111" s="260"/>
      <c r="I111" s="260"/>
    </row>
    <row r="112" spans="6:9">
      <c r="F112" s="260"/>
      <c r="G112" s="260"/>
      <c r="H112" s="260"/>
      <c r="I112" s="260"/>
    </row>
    <row r="113" spans="6:9">
      <c r="F113" s="260"/>
      <c r="G113" s="260"/>
      <c r="H113" s="260"/>
      <c r="I113" s="260"/>
    </row>
    <row r="114" spans="6:9">
      <c r="F114" s="260"/>
      <c r="G114" s="260"/>
      <c r="H114" s="260"/>
      <c r="I114" s="260"/>
    </row>
    <row r="115" spans="6:9">
      <c r="F115" s="260"/>
      <c r="G115" s="260"/>
      <c r="H115" s="260"/>
      <c r="I115" s="260"/>
    </row>
    <row r="116" spans="6:9">
      <c r="F116" s="260"/>
      <c r="G116" s="260"/>
      <c r="H116" s="260"/>
      <c r="I116" s="260"/>
    </row>
    <row r="117" spans="6:9">
      <c r="F117" s="260"/>
      <c r="G117" s="260"/>
      <c r="H117" s="260"/>
      <c r="I117" s="260"/>
    </row>
    <row r="118" spans="6:9">
      <c r="F118" s="260"/>
      <c r="G118" s="260"/>
      <c r="H118" s="260"/>
      <c r="I118" s="260"/>
    </row>
    <row r="119" spans="6:9">
      <c r="F119" s="260"/>
      <c r="G119" s="260"/>
      <c r="H119" s="260"/>
      <c r="I119" s="260"/>
    </row>
    <row r="120" spans="6:9">
      <c r="F120" s="260"/>
      <c r="G120" s="260"/>
      <c r="H120" s="260"/>
      <c r="I120" s="260"/>
    </row>
    <row r="121" spans="6:9">
      <c r="F121" s="260"/>
      <c r="G121" s="260"/>
      <c r="H121" s="260"/>
      <c r="I121" s="260"/>
    </row>
    <row r="122" spans="6:9">
      <c r="F122" s="260"/>
      <c r="G122" s="260"/>
      <c r="H122" s="260"/>
      <c r="I122" s="260"/>
    </row>
    <row r="123" spans="6:9">
      <c r="F123" s="260"/>
      <c r="G123" s="260"/>
      <c r="H123" s="260"/>
      <c r="I123" s="260"/>
    </row>
    <row r="124" spans="6:9">
      <c r="F124" s="260"/>
      <c r="G124" s="260"/>
      <c r="H124" s="260"/>
      <c r="I124" s="260"/>
    </row>
    <row r="125" spans="6:9">
      <c r="F125" s="260"/>
      <c r="G125" s="260"/>
      <c r="H125" s="260"/>
      <c r="I125" s="260"/>
    </row>
    <row r="126" spans="6:9">
      <c r="F126" s="260"/>
      <c r="G126" s="260"/>
      <c r="H126" s="260"/>
      <c r="I126" s="260"/>
    </row>
    <row r="127" spans="6:9">
      <c r="F127" s="260"/>
      <c r="G127" s="260"/>
      <c r="H127" s="260"/>
      <c r="I127" s="260"/>
    </row>
    <row r="128" spans="6:9">
      <c r="F128" s="260"/>
      <c r="G128" s="260"/>
      <c r="H128" s="260"/>
      <c r="I128" s="260"/>
    </row>
    <row r="129" spans="6:9">
      <c r="F129" s="260"/>
      <c r="G129" s="260"/>
      <c r="H129" s="260"/>
      <c r="I129" s="260"/>
    </row>
    <row r="130" spans="6:9">
      <c r="F130" s="260"/>
      <c r="G130" s="260"/>
      <c r="H130" s="260"/>
      <c r="I130" s="260"/>
    </row>
    <row r="131" spans="6:9">
      <c r="F131" s="260"/>
      <c r="G131" s="260"/>
      <c r="H131" s="260"/>
      <c r="I131" s="260"/>
    </row>
    <row r="132" spans="6:9">
      <c r="F132" s="260"/>
      <c r="G132" s="260"/>
      <c r="H132" s="260"/>
      <c r="I132" s="260"/>
    </row>
    <row r="133" spans="6:9">
      <c r="F133" s="260"/>
      <c r="G133" s="260"/>
      <c r="H133" s="260"/>
      <c r="I133" s="260"/>
    </row>
    <row r="134" spans="6:9">
      <c r="F134" s="260"/>
      <c r="G134" s="260"/>
      <c r="H134" s="260"/>
      <c r="I134" s="260"/>
    </row>
    <row r="135" spans="6:9">
      <c r="F135" s="260"/>
      <c r="G135" s="260"/>
      <c r="H135" s="260"/>
      <c r="I135" s="260"/>
    </row>
    <row r="136" spans="6:9">
      <c r="F136" s="260"/>
      <c r="G136" s="260"/>
      <c r="H136" s="260"/>
      <c r="I136" s="260"/>
    </row>
    <row r="137" spans="6:9">
      <c r="F137" s="260"/>
      <c r="G137" s="260"/>
      <c r="H137" s="260"/>
      <c r="I137" s="260"/>
    </row>
    <row r="138" spans="6:9">
      <c r="F138" s="260"/>
      <c r="G138" s="260"/>
      <c r="H138" s="260"/>
      <c r="I138" s="260"/>
    </row>
    <row r="139" spans="6:9">
      <c r="F139" s="260"/>
      <c r="G139" s="260"/>
      <c r="H139" s="260"/>
      <c r="I139" s="260"/>
    </row>
    <row r="140" spans="6:9">
      <c r="F140" s="260"/>
      <c r="G140" s="260"/>
      <c r="H140" s="260"/>
      <c r="I140" s="260"/>
    </row>
    <row r="141" spans="6:9">
      <c r="F141" s="260"/>
      <c r="G141" s="260"/>
      <c r="H141" s="260"/>
      <c r="I141" s="260"/>
    </row>
    <row r="142" spans="6:9">
      <c r="F142" s="260"/>
      <c r="G142" s="260"/>
      <c r="H142" s="260"/>
      <c r="I142" s="260"/>
    </row>
    <row r="143" spans="6:9">
      <c r="F143" s="260"/>
      <c r="G143" s="260"/>
      <c r="H143" s="260"/>
      <c r="I143" s="260"/>
    </row>
    <row r="144" spans="6:9">
      <c r="F144" s="260"/>
      <c r="G144" s="260"/>
      <c r="H144" s="260"/>
      <c r="I144" s="260"/>
    </row>
    <row r="145" spans="6:9">
      <c r="F145" s="260"/>
      <c r="G145" s="260"/>
      <c r="H145" s="260"/>
      <c r="I145" s="260"/>
    </row>
    <row r="146" spans="6:9">
      <c r="F146" s="260"/>
      <c r="G146" s="260"/>
      <c r="H146" s="260"/>
      <c r="I146" s="260"/>
    </row>
    <row r="147" spans="6:9">
      <c r="F147" s="260"/>
      <c r="G147" s="260"/>
      <c r="H147" s="260"/>
      <c r="I147" s="260"/>
    </row>
    <row r="148" spans="6:9">
      <c r="F148" s="260"/>
      <c r="G148" s="260"/>
      <c r="H148" s="260"/>
      <c r="I148" s="260"/>
    </row>
    <row r="149" spans="6:9">
      <c r="F149" s="260"/>
      <c r="G149" s="260"/>
      <c r="H149" s="260"/>
      <c r="I149" s="260"/>
    </row>
    <row r="150" spans="6:9">
      <c r="F150" s="260"/>
      <c r="G150" s="260"/>
      <c r="H150" s="260"/>
      <c r="I150" s="260"/>
    </row>
    <row r="151" spans="6:9">
      <c r="F151" s="260"/>
      <c r="G151" s="260"/>
      <c r="H151" s="260"/>
      <c r="I151" s="260"/>
    </row>
    <row r="152" spans="6:9">
      <c r="F152" s="260"/>
      <c r="G152" s="260"/>
      <c r="H152" s="260"/>
      <c r="I152" s="260"/>
    </row>
    <row r="153" spans="6:9">
      <c r="F153" s="260"/>
      <c r="G153" s="260"/>
      <c r="H153" s="260"/>
      <c r="I153" s="260"/>
    </row>
    <row r="154" spans="6:9">
      <c r="F154" s="260"/>
      <c r="G154" s="260"/>
      <c r="H154" s="260"/>
      <c r="I154" s="260"/>
    </row>
  </sheetData>
  <autoFilter ref="A2:D66">
    <sortState ref="A2:D68">
      <sortCondition ref="D1:D68"/>
    </sortState>
  </autoFilter>
  <mergeCells count="65">
    <mergeCell ref="A1:N1"/>
    <mergeCell ref="M63:M64"/>
    <mergeCell ref="N63:N64"/>
    <mergeCell ref="M65:M66"/>
    <mergeCell ref="N65:N66"/>
    <mergeCell ref="M18:M19"/>
    <mergeCell ref="N18:N19"/>
    <mergeCell ref="M20:M21"/>
    <mergeCell ref="N20:N21"/>
    <mergeCell ref="M22:M23"/>
    <mergeCell ref="N22:N23"/>
    <mergeCell ref="M12:M13"/>
    <mergeCell ref="N12:N13"/>
    <mergeCell ref="M14:M15"/>
    <mergeCell ref="N14:N15"/>
    <mergeCell ref="M16:M17"/>
    <mergeCell ref="N16:N17"/>
    <mergeCell ref="M6:M7"/>
    <mergeCell ref="N6:N7"/>
    <mergeCell ref="M8:M9"/>
    <mergeCell ref="N8:N9"/>
    <mergeCell ref="M10:M11"/>
    <mergeCell ref="N10:N11"/>
    <mergeCell ref="H21:H22"/>
    <mergeCell ref="I21:I22"/>
    <mergeCell ref="H23:H24"/>
    <mergeCell ref="I23:I24"/>
    <mergeCell ref="M3:M5"/>
    <mergeCell ref="N3:N5"/>
    <mergeCell ref="H15:H16"/>
    <mergeCell ref="I15:I16"/>
    <mergeCell ref="H17:H18"/>
    <mergeCell ref="I17:I18"/>
    <mergeCell ref="H19:H20"/>
    <mergeCell ref="I19:I20"/>
    <mergeCell ref="H9:H10"/>
    <mergeCell ref="I9:I10"/>
    <mergeCell ref="H11:H12"/>
    <mergeCell ref="I11:I12"/>
    <mergeCell ref="H13:H14"/>
    <mergeCell ref="I13:I14"/>
    <mergeCell ref="H3:H4"/>
    <mergeCell ref="I3:I4"/>
    <mergeCell ref="H5:H6"/>
    <mergeCell ref="I5:I6"/>
    <mergeCell ref="H7:H8"/>
    <mergeCell ref="I7:I8"/>
    <mergeCell ref="C18:C19"/>
    <mergeCell ref="D18:D19"/>
    <mergeCell ref="C20:C21"/>
    <mergeCell ref="D20:D21"/>
    <mergeCell ref="C22:C23"/>
    <mergeCell ref="D22:D23"/>
    <mergeCell ref="C10:C13"/>
    <mergeCell ref="D10:D13"/>
    <mergeCell ref="C14:C15"/>
    <mergeCell ref="D14:D15"/>
    <mergeCell ref="C16:C17"/>
    <mergeCell ref="D16:D17"/>
    <mergeCell ref="C3:C4"/>
    <mergeCell ref="D3:D4"/>
    <mergeCell ref="C5:C6"/>
    <mergeCell ref="D5:D6"/>
    <mergeCell ref="C7:C9"/>
    <mergeCell ref="D7:D9"/>
  </mergeCells>
  <conditionalFormatting sqref="K6:K23 K3:K4 M3:N3 M6:N6 M8:N8 M10:N10 M12:N12 M14:N14 M16:N16 M18:N18 M20:N20 M22:N22 F21:F23 H21:I21 H23:I23 H11:I11 H13:I13 H15:I15 H17:I17 H19:I19 F11:G20 G21:G24 L3:L23 M63:N63 M65:N65 K63:L66">
    <cfRule type="cellIs" dxfId="20" priority="15" operator="equal">
      <formula>#REF!</formula>
    </cfRule>
  </conditionalFormatting>
  <conditionalFormatting sqref="N3 I21 I3 D22 D2:D3 D5 D7 D10 D14 D16 D18 D20 I5 I7 I9 I11 I13 I15 I17 I19 I23 N6 N8 N10 N12 N14 N16 N18 N20 N22 D67:D1048576">
    <cfRule type="duplicateValues" dxfId="15" priority="12"/>
  </conditionalFormatting>
  <conditionalFormatting sqref="M3 H21 H3 C22 C14 C2:C3 C5 C7 C10 C16 C18 C20 H5 H7 H9 H11 H13 H15 H17 H19 H23 M6 M8 M10 M12 M14 M16 M18 M20 M22 C67:C1048576">
    <cfRule type="duplicateValues" dxfId="14" priority="11"/>
  </conditionalFormatting>
  <conditionalFormatting sqref="I2 I155:I1048576">
    <cfRule type="duplicateValues" dxfId="19" priority="9"/>
  </conditionalFormatting>
  <conditionalFormatting sqref="H155:H1048576 H2">
    <cfRule type="duplicateValues" dxfId="18" priority="8"/>
  </conditionalFormatting>
  <conditionalFormatting sqref="N67:N1048576 N63 N65 N2">
    <cfRule type="duplicateValues" dxfId="17" priority="6"/>
  </conditionalFormatting>
  <conditionalFormatting sqref="M63 M67:M1048576 M65 M2">
    <cfRule type="duplicateValues" dxfId="16" priority="5"/>
  </conditionalFormatting>
  <conditionalFormatting sqref="I2">
    <cfRule type="duplicateValues" dxfId="13" priority="4"/>
  </conditionalFormatting>
  <conditionalFormatting sqref="H2">
    <cfRule type="duplicateValues" dxfId="11" priority="3"/>
  </conditionalFormatting>
  <conditionalFormatting sqref="N2">
    <cfRule type="duplicateValues" dxfId="9" priority="2"/>
  </conditionalFormatting>
  <conditionalFormatting sqref="M2">
    <cfRule type="duplicateValues" dxfId="7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Resumo Créditos  red. Labs</vt:lpstr>
      <vt:lpstr>Resumo Créditos  sem red.</vt:lpstr>
      <vt:lpstr>2014.1</vt:lpstr>
      <vt:lpstr>Disciplinas Repetidas 2014.1</vt:lpstr>
      <vt:lpstr>2014.2</vt:lpstr>
      <vt:lpstr>Disciplinas Repetidas 2014.2</vt:lpstr>
      <vt:lpstr>2014.3</vt:lpstr>
      <vt:lpstr>CURSOS</vt:lpstr>
      <vt:lpstr>LOG</vt:lpstr>
      <vt:lpstr>Plan1</vt:lpstr>
      <vt:lpstr>Disciplinas Repetidas 2014.3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</dc:creator>
  <cp:lastModifiedBy>maria.zomignan</cp:lastModifiedBy>
  <dcterms:created xsi:type="dcterms:W3CDTF">2013-10-23T04:51:05Z</dcterms:created>
  <dcterms:modified xsi:type="dcterms:W3CDTF">2013-11-26T21:15:00Z</dcterms:modified>
</cp:coreProperties>
</file>